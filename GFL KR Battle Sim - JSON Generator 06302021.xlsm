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E6E6A053-66A0-40B2-B58C-BC45A4355448}" xr6:coauthVersionLast="36" xr6:coauthVersionMax="36" xr10:uidLastSave="{00000000-0000-0000-0000-000000000000}"/>
  <bookViews>
    <workbookView xWindow="0" yWindow="0" windowWidth="24000" windowHeight="8925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r:id="rId8"/>
    <sheet name="SF Team" sheetId="43" r:id="rId9"/>
    <sheet name="Mission_Act_Info" sheetId="20" state="hidden" r:id="rId10"/>
    <sheet name="GFBattleSimulator" sheetId="24" state="hidden" r:id="rId11"/>
    <sheet name="G&amp;K Stat Calc" sheetId="3" state="hidden" r:id="rId12"/>
    <sheet name="SF Stat Calc" sheetId="36" state="hidden" r:id="rId13"/>
    <sheet name="Fairy Data" sheetId="16" state="hidden" r:id="rId14"/>
    <sheet name="Talent Data" sheetId="17" state="hidden" r:id="rId15"/>
    <sheet name="Strat Buff Data" sheetId="27" state="hidden" r:id="rId16"/>
    <sheet name="Equip Data" sheetId="11" state="hidden" r:id="rId17"/>
    <sheet name="Doll Data" sheetId="4" state="hidden" r:id="rId18"/>
    <sheet name="SF Data" sheetId="29" state="hidden" r:id="rId19"/>
    <sheet name="SF Chip Data" sheetId="32" state="hidden" r:id="rId20"/>
    <sheet name="SF Resolution" sheetId="41" state="hidden" r:id="rId21"/>
    <sheet name="Exp Tables" sheetId="5" state="hidden" r:id="rId22"/>
    <sheet name="Misc Inputs" sheetId="18" state="hidden" r:id="rId23"/>
    <sheet name="Dropdowns" sheetId="2" state="hidden" r:id="rId24"/>
  </sheets>
  <definedNames>
    <definedName name="_xlnm._FilterDatabase" localSheetId="17" hidden="1">'Doll Data'!$A$1:$K$398</definedName>
    <definedName name="_xlnm._FilterDatabase" localSheetId="16" hidden="1">'Equip Data'!$A$1:$V$202</definedName>
    <definedName name="_xlnm._FilterDatabase" localSheetId="13" hidden="1">'Fairy Data'!$A$1:$K$37</definedName>
    <definedName name="_xlnm._FilterDatabase" localSheetId="18" hidden="1">'SF Data'!$A$1:$P$39</definedName>
    <definedName name="_xlnm._FilterDatabase" localSheetId="14" hidden="1">'Talent Data'!$A$1:$C$18</definedName>
    <definedName name="BossHP">Main!$E$10</definedName>
    <definedName name="ChipJSONPath">'Misc Inputs'!$C$34</definedName>
    <definedName name="DayNight">Main!$B$10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Main!$B$23:$W$27</definedName>
    <definedName name="EchType">Main!$B$14</definedName>
    <definedName name="EnemyID">Main!$E$9</definedName>
    <definedName name="EquipJSONPath">'Misc Inputs'!$C$32</definedName>
    <definedName name="FairyJSONPath">'Misc Inputs'!$C$35</definedName>
    <definedName name="FairySkill">Main!$E$11</definedName>
    <definedName name="HOCJSONPath">'Misc Inputs'!$C$33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OFFSET(Dropdowns!$A$2,0,MATCH(Main!$C$24&amp;Main!$B$24,Dropdowns!$B$1:$XFD$1,0),100,1)</definedName>
    <definedName name="Names3">OFFSET(Dropdowns!$A$2,0,MATCH(Main!$C$25&amp;Main!$B$25,Dropdowns!$B$1:$XFD$1,0),100,1)</definedName>
    <definedName name="Names4">OFFSET(Dropdowns!$A$2,0,MATCH(Main!$C$26&amp;Main!$B$26,Dropdowns!$B$1:$XFD$1,0),100,1)</definedName>
    <definedName name="Names5">OFFSET(Dropdowns!$A$2,0,MATCH(Main!$C$27&amp;Main!$B$27,Dropdowns!$B$1:$XFD$1,0),100,1)</definedName>
    <definedName name="NodeColor">Main!$B$11</definedName>
    <definedName name="OneStack">'Misc Inputs'!$C$9</definedName>
    <definedName name="Preset">Main!$B$18</definedName>
    <definedName name="PresetData">OFFSET('Preset Teams'!B1048558,MATCH(Preset,'Preset Teams'!B1048559:B1048555,0),1,5,22)</definedName>
    <definedName name="SFChipJSONPath">'Misc Inputs'!$C$39</definedName>
    <definedName name="SFJSONPath">'Misc Inputs'!$C$37</definedName>
    <definedName name="SFTeamJSONPath">'Misc Inputs'!$C$38</definedName>
    <definedName name="SimJSON">'Misc Inputs'!$C$40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Main!$C$64</definedName>
    <definedName name="StratSL1">Main!$C$64</definedName>
    <definedName name="StratSL2">Main!$C$65</definedName>
    <definedName name="StratSL3">Main!$C$66</definedName>
    <definedName name="ThreeStack">'Misc Inputs'!$C$11</definedName>
    <definedName name="TurnNum">Main!$B$12</definedName>
    <definedName name="TwoStack">'Misc Inputs'!$C$10</definedName>
    <definedName name="UseCustomStats">Main!$AD$21</definedName>
    <definedName name="UserID">Main!$B$9</definedName>
    <definedName name="UseSFCustomHP">Main!$P$38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3" l="1"/>
  <c r="B40" i="1"/>
  <c r="F3" i="33" s="1"/>
  <c r="B39" i="1"/>
  <c r="K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A3" i="33"/>
  <c r="J3" i="43" s="1"/>
  <c r="K3" i="43" s="1" a="1"/>
  <c r="K3" i="43" s="1"/>
  <c r="A4" i="33"/>
  <c r="J4" i="43" s="1"/>
  <c r="K4" i="43" s="1" a="1"/>
  <c r="K4" i="43" s="1"/>
  <c r="A5" i="33"/>
  <c r="J5" i="43" s="1"/>
  <c r="K5" i="43" s="1" a="1"/>
  <c r="K5" i="43" s="1"/>
  <c r="A6" i="33"/>
  <c r="J6" i="43" s="1"/>
  <c r="K6" i="43" s="1" a="1"/>
  <c r="K6" i="43" s="1"/>
  <c r="A7" i="33"/>
  <c r="J7" i="43" s="1"/>
  <c r="K7" i="43" s="1" a="1"/>
  <c r="K7" i="43" s="1"/>
  <c r="A8" i="33"/>
  <c r="J8" i="43" s="1"/>
  <c r="K8" i="43" s="1" a="1"/>
  <c r="K8" i="43" s="1"/>
  <c r="A9" i="33"/>
  <c r="J9" i="43" s="1"/>
  <c r="K9" i="43" s="1" a="1"/>
  <c r="K9" i="43" s="1"/>
  <c r="A10" i="33"/>
  <c r="J10" i="43" s="1"/>
  <c r="K10" i="43" s="1" a="1"/>
  <c r="K10" i="43" s="1"/>
  <c r="A2" i="33"/>
  <c r="J2" i="43" s="1"/>
  <c r="K2" i="43" s="1" a="1"/>
  <c r="K2" i="43" s="1"/>
  <c r="A2" i="7"/>
  <c r="A3" i="7"/>
  <c r="A4" i="7"/>
  <c r="A5" i="7"/>
  <c r="A6" i="7"/>
  <c r="N2" i="33" l="1"/>
  <c r="N3" i="33"/>
  <c r="M2" i="33"/>
  <c r="M3" i="33"/>
  <c r="L2" i="33"/>
  <c r="L3" i="33"/>
  <c r="K3" i="33"/>
  <c r="Q4" i="36" l="1"/>
  <c r="U4" i="36"/>
  <c r="Q5" i="36"/>
  <c r="U5" i="36"/>
  <c r="B47" i="1" l="1"/>
  <c r="B46" i="1"/>
  <c r="B45" i="1"/>
  <c r="B44" i="1"/>
  <c r="B43" i="1"/>
  <c r="B42" i="1"/>
  <c r="B41" i="1"/>
  <c r="F2" i="33"/>
  <c r="Y2" i="33" s="1"/>
  <c r="F4" i="33" l="1"/>
  <c r="Y4" i="33" s="1"/>
  <c r="N4" i="33"/>
  <c r="K4" i="33"/>
  <c r="L4" i="33"/>
  <c r="M4" i="33"/>
  <c r="N8" i="33"/>
  <c r="K8" i="33"/>
  <c r="F8" i="33"/>
  <c r="Y8" i="33" s="1"/>
  <c r="L8" i="33"/>
  <c r="M8" i="33"/>
  <c r="M5" i="33"/>
  <c r="N5" i="33"/>
  <c r="K5" i="33"/>
  <c r="F5" i="33"/>
  <c r="Y5" i="33" s="1"/>
  <c r="L5" i="33"/>
  <c r="M9" i="33"/>
  <c r="N9" i="33"/>
  <c r="K9" i="33"/>
  <c r="F9" i="33"/>
  <c r="Y9" i="33" s="1"/>
  <c r="L9" i="33"/>
  <c r="K7" i="33"/>
  <c r="F7" i="33"/>
  <c r="Y7" i="33" s="1"/>
  <c r="L7" i="33"/>
  <c r="M7" i="33"/>
  <c r="N7" i="33"/>
  <c r="L6" i="33"/>
  <c r="M6" i="33"/>
  <c r="N6" i="33"/>
  <c r="K6" i="33"/>
  <c r="F6" i="33"/>
  <c r="Y6" i="33" s="1"/>
  <c r="L10" i="33"/>
  <c r="M10" i="33"/>
  <c r="N10" i="33"/>
  <c r="K10" i="33"/>
  <c r="F10" i="33"/>
  <c r="Y10" i="33" s="1"/>
  <c r="S5" i="36"/>
  <c r="Y3" i="33"/>
  <c r="S4" i="36"/>
  <c r="F3" i="7"/>
  <c r="F4" i="7"/>
  <c r="F5" i="7"/>
  <c r="F6" i="7"/>
  <c r="F2" i="7"/>
  <c r="B2" i="43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P3" i="33"/>
  <c r="P4" i="33"/>
  <c r="P5" i="33"/>
  <c r="P6" i="33"/>
  <c r="P7" i="33"/>
  <c r="P8" i="33"/>
  <c r="P9" i="33"/>
  <c r="P10" i="33"/>
  <c r="P2" i="33"/>
  <c r="O3" i="33"/>
  <c r="O4" i="33"/>
  <c r="O5" i="33"/>
  <c r="O6" i="33"/>
  <c r="O7" i="33"/>
  <c r="O8" i="33"/>
  <c r="O9" i="33"/>
  <c r="O10" i="33"/>
  <c r="O2" i="33"/>
  <c r="I3" i="33"/>
  <c r="I4" i="33"/>
  <c r="I5" i="33"/>
  <c r="I6" i="33"/>
  <c r="I7" i="33"/>
  <c r="I8" i="33"/>
  <c r="I9" i="33"/>
  <c r="I10" i="33"/>
  <c r="I2" i="33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B3" i="33"/>
  <c r="B4" i="33"/>
  <c r="B5" i="33"/>
  <c r="B6" i="33"/>
  <c r="B7" i="33"/>
  <c r="B8" i="33"/>
  <c r="B9" i="33"/>
  <c r="B10" i="33"/>
  <c r="B2" i="33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28" i="18" s="1"/>
  <c r="C2" i="20" s="1"/>
  <c r="C13" i="18"/>
  <c r="C14" i="18" l="1"/>
  <c r="C15" i="18" s="1"/>
  <c r="C16" i="18" s="1"/>
  <c r="C17" i="18" s="1"/>
  <c r="C3" i="20" l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F6" i="12"/>
  <c r="E6" i="12" s="1"/>
  <c r="D6" i="12"/>
  <c r="B6" i="12"/>
  <c r="F5" i="12"/>
  <c r="E5" i="12" s="1"/>
  <c r="D5" i="12"/>
  <c r="P5" i="12" s="1"/>
  <c r="B5" i="12"/>
  <c r="F4" i="12"/>
  <c r="E4" i="12" s="1"/>
  <c r="D4" i="12"/>
  <c r="R4" i="12" s="1"/>
  <c r="B4" i="12"/>
  <c r="F3" i="12"/>
  <c r="E3" i="12" s="1"/>
  <c r="D3" i="12"/>
  <c r="S3" i="12" s="1"/>
  <c r="B3" i="12"/>
  <c r="F2" i="12"/>
  <c r="E2" i="12" s="1"/>
  <c r="D2" i="12"/>
  <c r="S2" i="12" s="1"/>
  <c r="B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A4" i="3" l="1"/>
  <c r="AA11" i="3"/>
  <c r="AE11" i="3"/>
  <c r="AE4" i="3"/>
  <c r="AB12" i="3"/>
  <c r="AB5" i="3"/>
  <c r="AF12" i="3"/>
  <c r="AF5" i="3"/>
  <c r="AC13" i="3"/>
  <c r="AC6" i="3"/>
  <c r="AD7" i="3"/>
  <c r="AD14" i="3"/>
  <c r="AB11" i="3"/>
  <c r="AB4" i="3"/>
  <c r="AF11" i="3"/>
  <c r="AF4" i="3"/>
  <c r="AC5" i="3"/>
  <c r="AC12" i="3"/>
  <c r="AD13" i="3"/>
  <c r="AD6" i="3"/>
  <c r="AA7" i="3"/>
  <c r="AA14" i="3"/>
  <c r="AE14" i="3"/>
  <c r="AE7" i="3"/>
  <c r="AC11" i="3"/>
  <c r="AC4" i="3"/>
  <c r="AD5" i="3"/>
  <c r="AD12" i="3"/>
  <c r="AA6" i="3"/>
  <c r="AA13" i="3"/>
  <c r="AE13" i="3"/>
  <c r="AE6" i="3"/>
  <c r="AB7" i="3"/>
  <c r="AB14" i="3"/>
  <c r="AF14" i="3"/>
  <c r="AF7" i="3"/>
  <c r="AD11" i="3"/>
  <c r="AD4" i="3"/>
  <c r="AA5" i="3"/>
  <c r="AA12" i="3"/>
  <c r="AE5" i="3"/>
  <c r="AE12" i="3"/>
  <c r="AB13" i="3"/>
  <c r="AB6" i="3"/>
  <c r="AF13" i="3"/>
  <c r="AF6" i="3"/>
  <c r="AC14" i="3"/>
  <c r="AC7" i="3"/>
  <c r="T3" i="3"/>
  <c r="AC10" i="3" s="1"/>
  <c r="AC3" i="3"/>
  <c r="U3" i="3"/>
  <c r="AD10" i="3" s="1"/>
  <c r="AD3" i="3"/>
  <c r="V3" i="3"/>
  <c r="AE10" i="3" s="1"/>
  <c r="AE3" i="3"/>
  <c r="R3" i="3"/>
  <c r="AA10" i="3" s="1"/>
  <c r="AA3" i="3"/>
  <c r="S3" i="3"/>
  <c r="AB10" i="3" s="1"/>
  <c r="AB3" i="3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C21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2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2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2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7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7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8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8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8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2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<sst xmlns="http://schemas.openxmlformats.org/spreadsheetml/2006/main" count="5858" uniqueCount="1324">
  <si>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</si>
  <si>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</si>
  <si>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</si>
  <si>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</si>
  <si>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</si>
  <si>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</si>
  <si>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</si>
  <si>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</si>
  <si>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</si>
  <si>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</si>
  <si>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</si>
  <si>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</si>
  <si>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</si>
  <si>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</si>
  <si>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</si>
  <si>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</si>
  <si>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</si>
  <si>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</si>
  <si>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</si>
  <si>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</si>
  <si>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</si>
  <si>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</si>
  <si>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</si>
  <si>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</si>
  <si>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</si>
  <si>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</si>
  <si>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</si>
  <si>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</si>
  <si>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</si>
  <si>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</si>
  <si>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</si>
  <si>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</si>
  <si>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</si>
  <si>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</si>
  <si>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</si>
  <si>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</si>
  <si>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</si>
  <si>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</si>
  <si>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</si>
  <si>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</si>
  <si>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</si>
  <si>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</si>
  <si>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</si>
  <si>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</si>
  <si>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</si>
  <si>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</si>
  <si>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</si>
  <si>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</si>
  <si>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</si>
  <si>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</si>
  <si>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</si>
  <si>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</si>
  <si>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</si>
  <si>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</si>
  <si>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</si>
  <si>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</si>
  <si>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</si>
  <si>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</si>
  <si>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</si>
  <si>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</si>
  <si>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</si>
  <si>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</si>
  <si>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</si>
  <si>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</si>
  <si>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</si>
  <si>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</si>
  <si>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</si>
  <si>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</si>
  <si>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</si>
  <si>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</si>
  <si>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</si>
  <si>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</si>
  <si>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</si>
  <si>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</si>
  <si>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</si>
  <si>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</si>
  <si>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</si>
  <si>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</si>
  <si>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</si>
  <si>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</si>
  <si>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</si>
  <si>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</si>
  <si>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</si>
  <si>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</si>
  <si>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</si>
  <si>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</si>
  <si>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</si>
  <si>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</si>
  <si>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</si>
  <si>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</si>
  <si>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</si>
  <si>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</si>
  <si>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</si>
  <si>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</si>
  <si>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</si>
  <si>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</si>
  <si>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</si>
  <si>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</si>
  <si>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</si>
  <si>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</si>
  <si>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</si>
  <si>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</si>
  <si>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</si>
  <si>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</si>
  <si>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</si>
  <si>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</si>
  <si>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</si>
  <si>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</si>
  <si>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</si>
  <si>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</si>
  <si>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</si>
  <si>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</si>
  <si>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</si>
  <si>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</si>
  <si>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</si>
  <si>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</si>
  <si>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</si>
  <si>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</si>
  <si>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</si>
  <si>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</si>
  <si>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</si>
  <si>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</si>
  <si>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</si>
  <si>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</si>
  <si>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</si>
  <si>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</si>
  <si>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</si>
  <si>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</si>
  <si>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</si>
  <si>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</si>
  <si>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</si>
  <si>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</si>
  <si>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</si>
  <si>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</si>
  <si>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</si>
  <si>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</si>
  <si>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</si>
  <si>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</si>
  <si>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</si>
  <si>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</si>
  <si>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</si>
  <si>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</si>
  <si>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</si>
  <si>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</si>
  <si>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</si>
  <si>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</si>
  <si>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</si>
  <si>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</si>
  <si>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</si>
  <si>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</si>
  <si>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</si>
  <si>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</si>
  <si>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</si>
  <si>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</si>
  <si>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</si>
  <si>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</si>
  <si>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</si>
  <si>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</si>
  <si>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</si>
  <si>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</si>
  <si>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</si>
  <si>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</si>
  <si>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</si>
  <si>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</si>
  <si>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</si>
  <si>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</si>
  <si>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</si>
  <si>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</si>
  <si>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</si>
  <si>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</si>
  <si>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</si>
  <si>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</si>
  <si>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</si>
  <si>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</si>
  <si>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</si>
  <si>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</si>
  <si>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</si>
  <si>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</si>
  <si>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</si>
  <si>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</si>
  <si>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</si>
  <si>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</si>
  <si>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</si>
  <si>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</si>
  <si>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</si>
  <si>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</si>
  <si>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</si>
  <si>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</si>
  <si>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</si>
  <si>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</si>
  <si>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</si>
  <si>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</si>
  <si>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</si>
  <si>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</si>
  <si>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</si>
  <si>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</si>
  <si>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</si>
  <si>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</si>
  <si>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</si>
  <si>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</si>
  <si>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</si>
  <si>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</si>
  <si>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</si>
  <si>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</si>
  <si>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</si>
  <si>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</si>
  <si>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</si>
  <si>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</si>
  <si>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</si>
  <si>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</si>
  <si>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</si>
  <si>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</si>
  <si>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</si>
  <si>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</si>
  <si>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</si>
  <si>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</si>
  <si>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</si>
  <si>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</si>
  <si>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</si>
  <si>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</si>
  <si>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</si>
  <si>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</si>
  <si>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</si>
  <si>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</si>
  <si>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</si>
  <si>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</si>
  <si>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</si>
  <si>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</si>
  <si>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</si>
  <si>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</si>
  <si>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</si>
  <si>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</si>
  <si>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</si>
  <si>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</si>
  <si>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</si>
  <si>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</si>
  <si>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</si>
  <si>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</si>
  <si>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</si>
  <si>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</si>
  <si>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</si>
  <si>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</si>
  <si>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</si>
  <si>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</si>
  <si>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</si>
  <si>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</si>
  <si>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</si>
  <si>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</si>
  <si>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</si>
  <si>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</si>
  <si>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</si>
  <si>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</si>
  <si>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</si>
  <si>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</si>
  <si>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</si>
  <si>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</si>
  <si>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</si>
  <si>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</si>
  <si>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</si>
  <si>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</si>
  <si>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</si>
  <si>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</si>
  <si>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</si>
  <si>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</si>
  <si>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</si>
  <si>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</si>
  <si>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</si>
  <si>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</si>
  <si>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</si>
  <si>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</si>
  <si>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</si>
  <si>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</si>
  <si>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</si>
  <si>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</si>
  <si>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</si>
  <si>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</si>
  <si>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</si>
  <si>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</si>
  <si>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</si>
  <si>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</si>
  <si>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</si>
  <si>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</si>
  <si>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</si>
  <si>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</si>
  <si>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</si>
  <si>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</si>
  <si>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</si>
  <si>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</si>
  <si>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</si>
  <si>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</si>
  <si>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</si>
  <si>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</si>
  <si>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</si>
  <si>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</si>
  <si>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</si>
  <si>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</si>
  <si>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</si>
  <si>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</si>
  <si>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</si>
  <si>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</si>
  <si>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</si>
  <si>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</si>
  <si>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</si>
  <si>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</si>
  <si>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</si>
  <si>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</si>
  <si>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</si>
  <si>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</si>
  <si>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</si>
  <si>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</si>
  <si>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</si>
  <si>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</si>
  <si>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</si>
  <si>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</si>
  <si>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</si>
  <si>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</si>
  <si>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</si>
  <si>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</si>
  <si>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</si>
  <si>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</si>
  <si>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</si>
  <si>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</si>
  <si>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</si>
  <si>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</si>
  <si>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</si>
  <si>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</si>
  <si>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</si>
  <si>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</si>
  <si>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</si>
  <si>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</si>
  <si>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</si>
  <si>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</si>
  <si>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</si>
  <si>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</si>
  <si>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</si>
  <si>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</si>
  <si>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</si>
  <si>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</si>
  <si>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</si>
  <si>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</si>
  <si>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</si>
  <si>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</si>
  <si>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</si>
  <si>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</si>
  <si>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</si>
  <si>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</si>
  <si>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</si>
  <si>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</si>
  <si>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</si>
  <si>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</si>
  <si>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</si>
  <si>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</si>
  <si>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</si>
  <si>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</si>
  <si>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</si>
  <si>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</si>
  <si>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</si>
  <si>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</si>
  <si>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</si>
  <si>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</si>
  <si>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</si>
  <si>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</si>
  <si>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</si>
  <si>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</si>
  <si>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</si>
  <si>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</si>
  <si>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</si>
  <si>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</si>
  <si>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</si>
  <si>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</si>
  <si>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</si>
  <si>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</si>
  <si>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</si>
  <si>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</si>
  <si>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</si>
  <si>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</si>
  <si>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</si>
  <si>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</si>
  <si>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</si>
  <si>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</si>
  <si>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</si>
  <si>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</si>
  <si>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</si>
  <si>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</si>
  <si>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</si>
  <si>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</si>
  <si>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</si>
  <si>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</si>
  <si>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</si>
  <si>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</si>
  <si>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</si>
  <si>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</si>
  <si>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</si>
  <si>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</si>
  <si>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</si>
  <si>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</si>
  <si>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</si>
  <si>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</si>
  <si>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</si>
  <si>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</si>
  <si>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</si>
  <si>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</si>
  <si>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</si>
  <si>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</si>
  <si>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</si>
  <si>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</si>
  <si>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</si>
  <si>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</si>
  <si>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</si>
  <si>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</si>
  <si>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</si>
  <si>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</si>
  <si>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</si>
  <si>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</si>
  <si>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</si>
  <si>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</si>
  <si>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</si>
  <si>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</si>
  <si>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</si>
  <si>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</si>
  <si>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</si>
  <si>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</si>
  <si>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</si>
  <si>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</si>
  <si>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</si>
  <si>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</si>
  <si>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</si>
  <si>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</si>
  <si>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</si>
  <si>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</si>
  <si>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</si>
  <si>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</si>
  <si>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</si>
  <si>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</si>
  <si>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</si>
  <si>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</si>
  <si>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</si>
  <si>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</si>
  <si>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</si>
  <si>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</si>
  <si>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</si>
  <si>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</si>
  <si>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</si>
  <si>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</si>
  <si>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</si>
  <si>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</si>
  <si>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</si>
  <si>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</si>
  <si>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</si>
  <si>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</si>
  <si>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</si>
  <si>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</si>
  <si>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</si>
  <si>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</si>
  <si>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</si>
  <si>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</si>
  <si>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</si>
  <si>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</si>
  <si>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</si>
  <si>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</si>
  <si>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</si>
  <si>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</si>
  <si>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</si>
  <si>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</si>
  <si>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</si>
  <si>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</si>
  <si>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</si>
  <si>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</si>
  <si>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</si>
  <si>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</si>
  <si>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</si>
  <si>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</si>
  <si>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</si>
  <si>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</si>
  <si>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</si>
  <si>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</si>
  <si>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</si>
  <si>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</si>
  <si>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</si>
  <si>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</si>
  <si>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</si>
  <si>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</si>
  <si>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</si>
  <si>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</si>
  <si>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</si>
  <si>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</si>
  <si>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</si>
  <si>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</si>
  <si>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</si>
  <si>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</si>
  <si>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</si>
  <si>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</si>
  <si>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</si>
  <si>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</si>
  <si>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</si>
  <si>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</si>
  <si>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</si>
  <si>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</si>
  <si>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</si>
  <si>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</si>
  <si>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</si>
  <si>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</si>
  <si>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</si>
  <si>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</si>
  <si>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</si>
  <si>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</si>
  <si>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</si>
  <si>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</si>
  <si>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</si>
  <si>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</si>
  <si>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</si>
  <si>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</si>
  <si>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</si>
  <si>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</si>
  <si>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</si>
  <si>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</si>
  <si>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</si>
  <si>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</si>
  <si>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</si>
  <si>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</si>
  <si>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</si>
  <si>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</si>
  <si>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</si>
  <si>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</si>
  <si>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</si>
  <si>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</si>
  <si>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</si>
  <si>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</si>
  <si>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</si>
  <si>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</si>
  <si>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</si>
  <si>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</si>
  <si>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</si>
  <si>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</si>
  <si>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</si>
  <si>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</si>
  <si>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</si>
  <si>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</si>
  <si>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</si>
  <si>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</si>
  <si>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</si>
  <si>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</si>
  <si>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</si>
  <si>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</si>
  <si>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</si>
  <si>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</si>
  <si>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</si>
  <si>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</si>
  <si>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</si>
  <si>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</si>
  <si>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</si>
  <si>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</si>
  <si>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</si>
  <si>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</si>
  <si>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</si>
  <si>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</si>
  <si>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</si>
  <si>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</si>
  <si>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</si>
  <si>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</si>
  <si>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</si>
  <si>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</si>
  <si>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</si>
  <si>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</si>
  <si>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</si>
  <si>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</si>
  <si>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</si>
  <si>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</si>
  <si>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</si>
  <si>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</si>
  <si>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</si>
  <si>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</si>
  <si>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</si>
  <si>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</si>
  <si>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</si>
  <si>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</si>
  <si>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</si>
  <si>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</si>
  <si>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</si>
  <si>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</si>
  <si>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</si>
  <si>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</si>
  <si>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</si>
  <si>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</si>
  <si>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</si>
  <si>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</si>
  <si>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</si>
  <si>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</si>
  <si>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</si>
  <si>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</si>
  <si>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</si>
  <si>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</si>
  <si>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</si>
  <si>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</si>
  <si>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</si>
  <si>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</si>
  <si>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</si>
  <si>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</si>
  <si>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</si>
  <si>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</si>
  <si>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</si>
  <si>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</si>
  <si>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</si>
  <si>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</si>
  <si>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</si>
  <si>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</si>
  <si>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</si>
  <si>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</si>
  <si>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</si>
  <si>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</si>
  <si>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</si>
  <si>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</si>
  <si>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</si>
  <si>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</si>
  <si>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</si>
  <si>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</si>
  <si>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</si>
  <si>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</si>
  <si>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</si>
  <si>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</si>
  <si>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</si>
  <si>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</si>
  <si>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</si>
  <si>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</si>
  <si>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</si>
  <si>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</si>
  <si>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</si>
  <si>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</si>
  <si>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</si>
  <si>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</si>
  <si>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</si>
  <si>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</si>
  <si>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</si>
  <si>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</si>
  <si>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</si>
  <si>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</si>
  <si>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</si>
  <si>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</si>
  <si>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</si>
  <si>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</si>
  <si>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</si>
  <si>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</si>
  <si>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</si>
  <si>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</si>
  <si>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</si>
  <si>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</si>
  <si>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</si>
  <si>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</si>
  <si>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</si>
  <si>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</si>
  <si>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</si>
  <si>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</si>
  <si>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</si>
  <si>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</si>
  <si>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</si>
  <si>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</si>
  <si>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</si>
  <si>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</si>
  <si>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</si>
  <si>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</si>
  <si>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</si>
  <si>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</si>
  <si>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</si>
  <si>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</si>
  <si>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</si>
  <si>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</si>
  <si>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</si>
  <si>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</si>
  <si>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</si>
  <si>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</si>
  <si>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</si>
  <si>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</si>
  <si>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</si>
  <si>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</si>
  <si>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</si>
  <si>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</si>
  <si>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</si>
  <si>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</si>
  <si>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</si>
  <si>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</si>
  <si>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</si>
  <si>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</si>
  <si>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</si>
  <si>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</si>
  <si>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</si>
  <si>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</si>
  <si>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</si>
  <si>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</si>
  <si>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</si>
  <si>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</si>
  <si>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</si>
  <si>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</si>
  <si>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</si>
  <si>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</si>
  <si>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</si>
  <si>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</si>
  <si>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</si>
  <si>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</si>
  <si>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</si>
  <si>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</si>
  <si>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</si>
  <si>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</si>
  <si>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</si>
  <si>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</si>
  <si>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</si>
  <si>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</si>
  <si>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</si>
  <si>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</si>
  <si>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</si>
  <si>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</si>
  <si>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</si>
  <si>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</si>
  <si>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</si>
  <si>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</si>
  <si>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</si>
  <si>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</si>
  <si>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</si>
  <si>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</si>
  <si>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</si>
  <si>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</si>
  <si>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</si>
  <si>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</si>
  <si>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</si>
  <si>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</si>
  <si>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</si>
  <si>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</si>
  <si>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</si>
  <si>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</si>
  <si>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</si>
  <si>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</si>
  <si>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</si>
  <si>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</si>
  <si>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</si>
  <si>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</si>
  <si>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</si>
  <si>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</si>
  <si>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</si>
  <si>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</si>
  <si>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</si>
  <si>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</si>
  <si>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</si>
  <si>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</si>
  <si>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</si>
  <si>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</si>
  <si>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</si>
  <si>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</si>
  <si>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</si>
  <si>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</si>
  <si>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</si>
  <si>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</si>
  <si>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</si>
  <si>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</si>
  <si>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</si>
  <si>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</si>
  <si>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</si>
  <si>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</si>
  <si>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</si>
  <si>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</si>
  <si>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</si>
  <si>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</si>
  <si>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</si>
  <si>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</si>
  <si>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</si>
  <si>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</si>
  <si>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</si>
  <si>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</si>
  <si>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</si>
  <si>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</si>
  <si>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</si>
  <si>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</si>
  <si>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</si>
  <si>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</si>
  <si>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</si>
  <si>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</si>
  <si>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</si>
  <si>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</si>
  <si>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</si>
  <si>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</si>
  <si>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</si>
  <si>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</si>
  <si>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</si>
  <si>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</si>
  <si>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</si>
  <si>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</si>
  <si>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</si>
  <si>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</si>
  <si>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</si>
  <si>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</si>
  <si>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</si>
  <si>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</si>
  <si>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</si>
  <si>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</si>
  <si>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</si>
  <si>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</si>
  <si>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</si>
  <si>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</si>
  <si>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</si>
  <si>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</si>
  <si>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</si>
  <si>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</si>
  <si>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</si>
  <si>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</si>
  <si>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</si>
  <si>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</si>
  <si>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</si>
  <si>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</si>
  <si>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</si>
  <si>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</si>
  <si>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</si>
  <si>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</si>
  <si>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</si>
  <si>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</si>
  <si>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</si>
  <si>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</si>
  <si>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</si>
  <si>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</si>
  <si>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</si>
  <si>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</si>
  <si>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</si>
  <si>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</si>
  <si>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</si>
  <si>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</si>
  <si>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</si>
  <si>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</si>
  <si>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</si>
  <si>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</si>
  <si>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</si>
  <si>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</si>
  <si>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</si>
  <si>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</si>
  <si>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</si>
  <si>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</si>
  <si>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</si>
  <si>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</si>
  <si>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</si>
  <si>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</si>
  <si>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</si>
  <si>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</si>
  <si>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</si>
  <si>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</si>
  <si>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</si>
  <si>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</si>
  <si>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</si>
  <si>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</si>
  <si>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</si>
  <si>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</si>
  <si>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</si>
  <si>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</si>
  <si>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</si>
  <si>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</si>
  <si>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</si>
  <si>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</si>
  <si>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</si>
  <si>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</si>
  <si>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</si>
  <si>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</si>
  <si>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</si>
  <si>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</si>
  <si>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</si>
  <si>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</si>
  <si>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</si>
  <si>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</si>
  <si>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</si>
  <si>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</si>
  <si>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</si>
  <si>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</si>
  <si>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</si>
  <si>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</si>
  <si>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</si>
  <si>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</si>
  <si>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</si>
  <si>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</si>
  <si>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</si>
  <si>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</si>
  <si>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</si>
  <si>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</si>
  <si>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</si>
  <si>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</si>
  <si>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</si>
  <si>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</si>
  <si>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</si>
  <si>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</si>
  <si>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</si>
  <si>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</si>
  <si>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</si>
  <si>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</si>
  <si>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</si>
  <si>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</si>
  <si>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</si>
  <si>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</si>
  <si>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</si>
  <si>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</si>
  <si>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</si>
  <si>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</si>
  <si>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</si>
  <si>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</si>
  <si>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</si>
  <si>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</si>
  <si>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</si>
  <si>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</si>
  <si>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</si>
  <si>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</si>
  <si>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</si>
  <si>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</si>
  <si>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</si>
  <si>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</si>
  <si>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</si>
  <si>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</si>
  <si>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</si>
  <si>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Enemy:</t>
  </si>
  <si>
    <t>Sim: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</si>
  <si>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</si>
  <si>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</si>
  <si>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</si>
  <si>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</si>
  <si>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</si>
  <si>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</si>
  <si>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</si>
  <si>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</si>
  <si>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</si>
  <si>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</si>
  <si>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</si>
  <si>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</si>
  <si>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</si>
  <si>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</si>
  <si>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</si>
  <si>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</si>
  <si>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</si>
  <si>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</si>
  <si>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</si>
  <si>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</si>
  <si>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</si>
  <si>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</si>
  <si>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</si>
  <si>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</si>
  <si>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</si>
  <si>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</si>
  <si>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</si>
  <si>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</si>
  <si>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</si>
  <si>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</si>
  <si>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</si>
  <si>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</si>
  <si>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</si>
  <si>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</si>
  <si>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</si>
  <si>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</si>
  <si>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</si>
  <si>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</si>
  <si>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</si>
  <si>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</si>
  <si>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</si>
  <si>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</si>
  <si>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</si>
  <si>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</si>
  <si>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</si>
  <si>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</si>
  <si>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</si>
  <si>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</si>
  <si>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</si>
  <si>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</si>
  <si>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</si>
  <si>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</si>
  <si>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</si>
  <si>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</si>
  <si>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</si>
  <si>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</si>
  <si>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</si>
  <si>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</si>
  <si>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</si>
  <si>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</si>
  <si>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</si>
  <si>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</si>
  <si>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</si>
  <si>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</si>
  <si>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</si>
  <si>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</si>
  <si>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</si>
  <si>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</si>
  <si>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</si>
  <si>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</si>
  <si>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</si>
  <si>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</si>
  <si>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</si>
  <si>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</si>
  <si>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</si>
  <si>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</si>
  <si>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</si>
  <si>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</si>
  <si>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</si>
  <si>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</si>
  <si>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</si>
  <si>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</si>
  <si>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</si>
  <si>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</si>
  <si>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</si>
  <si>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</si>
  <si>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</si>
  <si>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</si>
  <si>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</si>
  <si>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</si>
  <si>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</si>
  <si>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</si>
  <si>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</si>
  <si>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</si>
  <si>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</si>
  <si>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</si>
  <si>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</si>
  <si>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</si>
  <si>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</si>
  <si>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</si>
  <si>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Day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</si>
  <si>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</si>
  <si>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</si>
  <si>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</si>
  <si>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</si>
  <si>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</si>
  <si>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</si>
  <si>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</si>
  <si>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</si>
  <si>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</si>
  <si>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</si>
  <si>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</si>
  <si>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</si>
  <si>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</si>
  <si>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</si>
  <si>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</si>
  <si>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</si>
  <si>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</si>
  <si>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</si>
  <si>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</si>
  <si>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</si>
  <si>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</si>
  <si>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</si>
  <si>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</si>
  <si>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</si>
  <si>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</si>
  <si>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</si>
  <si>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</si>
  <si>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</si>
  <si>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</si>
  <si>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</si>
  <si>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</si>
  <si>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</si>
  <si>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</si>
  <si>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</si>
  <si>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</si>
  <si>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</si>
  <si>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</si>
  <si>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</si>
  <si>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</si>
  <si>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</si>
  <si>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PPD-40</t>
  </si>
  <si>
    <t>SIG MCX</t>
  </si>
  <si>
    <t>RPK-203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</si>
  <si>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</si>
  <si>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</si>
  <si>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</si>
  <si>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</si>
  <si>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</si>
  <si>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</si>
  <si>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</si>
  <si>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</si>
  <si>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</si>
  <si>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</si>
  <si>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</si>
  <si>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</si>
  <si>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</si>
  <si>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</si>
  <si>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</si>
  <si>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</si>
  <si>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</si>
  <si>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</si>
  <si>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</si>
  <si>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</si>
  <si>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</si>
  <si>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</si>
  <si>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</si>
  <si>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</si>
  <si>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</si>
  <si>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</si>
  <si>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</si>
  <si>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</si>
  <si>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</si>
  <si>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</si>
  <si>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</si>
  <si>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</si>
  <si>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</si>
  <si>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</si>
  <si>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</si>
  <si>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</si>
  <si>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</si>
  <si>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Enter "X" to enable a HOC, then fill in the necessary information: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</si>
  <si>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</si>
  <si>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</si>
  <si>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</si>
  <si>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</si>
  <si>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</si>
  <si>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</si>
  <si>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</si>
  <si>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</si>
  <si>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</si>
  <si>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</si>
  <si>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</si>
  <si>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</si>
  <si>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</si>
  <si>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</si>
  <si>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</si>
  <si>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</si>
  <si>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</si>
  <si>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</si>
  <si>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</si>
  <si>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</si>
  <si>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</si>
  <si>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</si>
  <si>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</si>
  <si>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</si>
  <si>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</si>
  <si>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</si>
  <si>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</si>
  <si>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</si>
  <si>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</si>
  <si>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</si>
  <si>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</si>
  <si>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</si>
  <si>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</si>
  <si>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</si>
  <si>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</si>
  <si>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</si>
  <si>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</si>
  <si>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</si>
  <si>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</si>
  <si>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</si>
  <si>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</si>
  <si>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</si>
  <si>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</si>
  <si>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</si>
  <si>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</si>
  <si>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</si>
  <si>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</si>
  <si>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</si>
  <si>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</si>
  <si>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</si>
  <si>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</si>
  <si>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</si>
  <si>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</si>
  <si>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M4/Grape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</si>
  <si>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</si>
  <si>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</si>
  <si>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</si>
  <si>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</si>
  <si>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</si>
  <si>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</si>
  <si>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</si>
  <si>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900906</t>
  </si>
  <si>
    <t>902385</t>
  </si>
  <si>
    <t>910118</t>
  </si>
  <si>
    <t>910119</t>
  </si>
  <si>
    <t>910120</t>
  </si>
  <si>
    <t>910121</t>
  </si>
  <si>
    <t>910122</t>
  </si>
  <si>
    <t>910124</t>
  </si>
  <si>
    <t>Flex talent</t>
  </si>
  <si>
    <t>DR - Armor Stack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</si>
  <si>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</si>
  <si>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</si>
  <si>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</si>
  <si>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</si>
  <si>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</si>
  <si>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</si>
  <si>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</si>
  <si>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</si>
  <si>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</si>
  <si>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</si>
  <si>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</si>
  <si>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</si>
  <si>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</si>
  <si>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</si>
  <si>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</si>
  <si>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BossArchitect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</si>
  <si>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</si>
  <si>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</si>
  <si>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</si>
  <si>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</si>
  <si>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</si>
  <si>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</si>
  <si>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</si>
  <si>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</si>
  <si>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</si>
  <si>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</si>
  <si>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</si>
  <si>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</si>
  <si>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</si>
  <si>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</si>
  <si>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</si>
  <si>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</si>
  <si>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</si>
  <si>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</si>
  <si>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</si>
  <si>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</si>
  <si>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</si>
  <si>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</si>
  <si>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</si>
  <si>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</si>
  <si>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</si>
  <si>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</si>
  <si>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</si>
  <si>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</si>
  <si>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</si>
  <si>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</si>
  <si>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</si>
  <si>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</si>
  <si>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</si>
  <si>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</si>
  <si>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</si>
  <si>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</si>
  <si>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</si>
  <si>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</si>
  <si>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</si>
  <si>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</si>
  <si>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</si>
  <si>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</si>
  <si>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</si>
  <si>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</si>
  <si>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</si>
  <si>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</si>
  <si>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</si>
  <si>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</si>
  <si>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</si>
  <si>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</si>
  <si>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</si>
  <si>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</si>
  <si>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</si>
  <si>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</si>
  <si>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</si>
  <si>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</si>
  <si>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</si>
  <si>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</si>
  <si>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Extra Links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</si>
  <si>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</si>
  <si>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</si>
  <si>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</si>
  <si>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</si>
  <si>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</si>
  <si>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</si>
  <si>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</si>
  <si>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</si>
  <si>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</si>
  <si>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</si>
  <si>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</si>
  <si>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</si>
  <si>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</si>
  <si>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</si>
  <si>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</si>
  <si>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</si>
  <si>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</si>
  <si>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</si>
  <si>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</si>
  <si>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</si>
  <si>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</si>
  <si>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</si>
  <si>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</si>
  <si>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</si>
  <si>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</si>
  <si>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</si>
  <si>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</si>
  <si>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</si>
  <si>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</si>
  <si>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</si>
  <si>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</si>
  <si>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</si>
  <si>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</si>
  <si>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</si>
  <si>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</si>
  <si>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</si>
  <si>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</si>
  <si>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</si>
  <si>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</si>
  <si>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</si>
  <si>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</si>
  <si>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</si>
  <si>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Total 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</si>
  <si>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</si>
  <si>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</si>
  <si>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</si>
  <si>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</si>
  <si>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</si>
  <si>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</si>
  <si>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</si>
  <si>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</si>
  <si>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</si>
  <si>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</si>
  <si>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</si>
  <si>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</si>
  <si>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</si>
  <si>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</si>
  <si>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</si>
  <si>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</si>
  <si>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</si>
  <si>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</si>
  <si>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</si>
  <si>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</si>
  <si>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</si>
  <si>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</si>
  <si>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</si>
  <si>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</si>
  <si>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</si>
  <si>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</si>
  <si>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</si>
  <si>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</si>
  <si>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HOC + Support Setup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</si>
  <si>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</si>
  <si>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</si>
  <si>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</si>
  <si>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</si>
  <si>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</si>
  <si>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</si>
  <si>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</si>
  <si>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</si>
  <si>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G&amp;K</t>
  </si>
  <si>
    <t>Enter up to 3 strategy skills below (no dupes):</t>
  </si>
  <si>
    <t>Enter "X" below to enable enemy debuffs (max 1):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</si>
  <si>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June 30, 2021)</t>
    </r>
  </si>
  <si>
    <t>Enter SF info below - recommended to use dropdowns where available, read comments for more details on inputs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</si>
</sst>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40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0" borderId="0" xfId="0" quotePrefix="1"/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8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8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9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6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16</xdr:row>
          <xdr:rowOff>133350</xdr:rowOff>
        </xdr:from>
        <xdr:to>
          <xdr:col>4</xdr:col>
          <xdr:colOff>123825</xdr:colOff>
          <xdr:row>18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16</xdr:row>
          <xdr:rowOff>133350</xdr:rowOff>
        </xdr:from>
        <xdr:to>
          <xdr:col>5</xdr:col>
          <xdr:colOff>428625</xdr:colOff>
          <xdr:row>18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16</xdr:row>
          <xdr:rowOff>133350</xdr:rowOff>
        </xdr:from>
        <xdr:to>
          <xdr:col>7</xdr:col>
          <xdr:colOff>47625</xdr:colOff>
          <xdr:row>18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vmlDrawing" Target="../drawings/vmlDrawing1.vml"/><Relationship Id="rId11" Type="http://schemas.openxmlformats.org/officeDocument/2006/relationships/comments" Target="../comments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bbs.nga.cn/read.php?tid=20891117&amp;rand=438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D73"/>
  <sheetViews>
    <sheetView tabSelected="1" zoomScaleNormal="100" workbookViewId="0"/>
  </sheetViews>
  <sheetFormatPr defaultRowHeight="15" outlineLevelRow="1" x14ac:dyDescent="0.25"/>
  <cols>
    <col min="1" max="1" width="10.85546875" style="167" customWidth="1"/>
    <col min="2" max="2" width="13.140625" style="167" customWidth="1"/>
    <col min="3" max="3" width="10.42578125" style="167" customWidth="1"/>
    <col min="4" max="4" width="13.85546875" style="167" bestFit="1" customWidth="1"/>
    <col min="5" max="5" width="10.140625" style="167" customWidth="1"/>
    <col min="6" max="6" width="11.28515625" style="167" customWidth="1"/>
    <col min="7" max="11" width="9.140625" style="167"/>
    <col min="12" max="12" width="10.85546875" style="167" customWidth="1"/>
    <col min="13" max="14" width="13.5703125" style="167" customWidth="1"/>
    <col min="15" max="15" width="9.140625" style="167"/>
    <col min="16" max="16" width="11.7109375" style="167" customWidth="1"/>
    <col min="17" max="16384" width="9.140625" style="167"/>
  </cols>
  <sheetData>
    <row r="1" spans="1:5" ht="26.25" x14ac:dyDescent="0.4">
      <c r="A1" s="166" t="s">
        <v>1322</v>
      </c>
    </row>
    <row r="2" spans="1:5" x14ac:dyDescent="0.25">
      <c r="A2" s="167" t="s">
        <v>1008</v>
      </c>
    </row>
    <row r="3" spans="1:5" x14ac:dyDescent="0.25">
      <c r="A3" s="167" t="s">
        <v>1009</v>
      </c>
    </row>
    <row r="4" spans="1:5" x14ac:dyDescent="0.25">
      <c r="A4" s="167" t="s">
        <v>1091</v>
      </c>
    </row>
    <row r="5" spans="1:5" x14ac:dyDescent="0.25">
      <c r="A5" s="167" t="s">
        <v>1094</v>
      </c>
      <c r="B5" s="168" t="s">
        <v>1093</v>
      </c>
    </row>
    <row r="6" spans="1:5" x14ac:dyDescent="0.25">
      <c r="A6" s="167" t="s">
        <v>1137</v>
      </c>
      <c r="B6" s="168" t="s">
        <v>1138</v>
      </c>
    </row>
    <row r="7" spans="1:5" x14ac:dyDescent="0.25">
      <c r="A7" s="167" t="s">
        <v>1147</v>
      </c>
      <c r="B7" s="168" t="s">
        <v>1148</v>
      </c>
    </row>
    <row r="9" spans="1:5" x14ac:dyDescent="0.25">
      <c r="A9" s="169" t="s">
        <v>892</v>
      </c>
      <c r="B9" s="170">
        <v>562858</v>
      </c>
      <c r="D9" s="169" t="s">
        <v>909</v>
      </c>
      <c r="E9" s="170">
        <v>9411321</v>
      </c>
    </row>
    <row r="10" spans="1:5" x14ac:dyDescent="0.25">
      <c r="A10" s="171" t="s">
        <v>1010</v>
      </c>
      <c r="B10" s="172" t="s">
        <v>1011</v>
      </c>
      <c r="D10" s="171" t="s">
        <v>1001</v>
      </c>
      <c r="E10" s="172">
        <v>178000</v>
      </c>
    </row>
    <row r="11" spans="1:5" x14ac:dyDescent="0.25">
      <c r="A11" s="171" t="s">
        <v>1000</v>
      </c>
      <c r="B11" s="172" t="s">
        <v>1139</v>
      </c>
      <c r="D11" s="171" t="s">
        <v>1002</v>
      </c>
      <c r="E11" s="172" t="b">
        <v>1</v>
      </c>
    </row>
    <row r="12" spans="1:5" x14ac:dyDescent="0.25">
      <c r="A12" s="171" t="s">
        <v>897</v>
      </c>
      <c r="B12" s="172">
        <v>8</v>
      </c>
      <c r="D12" s="171" t="s">
        <v>1003</v>
      </c>
      <c r="E12" s="172" t="b">
        <v>1</v>
      </c>
    </row>
    <row r="14" spans="1:5" x14ac:dyDescent="0.25">
      <c r="A14" s="173" t="s">
        <v>1248</v>
      </c>
      <c r="B14" s="174" t="s">
        <v>1319</v>
      </c>
    </row>
    <row r="16" spans="1:5" ht="18.75" x14ac:dyDescent="0.3">
      <c r="A16" s="175" t="s">
        <v>1246</v>
      </c>
      <c r="B16" s="176"/>
    </row>
    <row r="17" spans="1:30" hidden="1" outlineLevel="1" x14ac:dyDescent="0.25">
      <c r="A17" s="173"/>
      <c r="B17" s="176"/>
    </row>
    <row r="18" spans="1:30" hidden="1" outlineLevel="1" x14ac:dyDescent="0.25">
      <c r="A18" s="173" t="s">
        <v>1149</v>
      </c>
      <c r="B18" s="230" t="s">
        <v>1164</v>
      </c>
      <c r="C18" s="231"/>
    </row>
    <row r="19" spans="1:30" hidden="1" outlineLevel="1" x14ac:dyDescent="0.25">
      <c r="A19" s="173"/>
      <c r="B19" s="176"/>
    </row>
    <row r="20" spans="1:30" hidden="1" outlineLevel="1" x14ac:dyDescent="0.25">
      <c r="A20" s="177" t="s">
        <v>1121</v>
      </c>
      <c r="B20" s="177"/>
      <c r="C20" s="177"/>
      <c r="D20" s="177"/>
      <c r="E20" s="177"/>
      <c r="F20" s="177"/>
      <c r="G20" s="177"/>
      <c r="H20" s="177"/>
      <c r="I20" s="177"/>
      <c r="J20" s="177"/>
      <c r="L20" s="177" t="s">
        <v>1120</v>
      </c>
      <c r="M20" s="177"/>
      <c r="N20" s="177"/>
      <c r="O20" s="177"/>
      <c r="P20" s="177"/>
      <c r="Q20" s="177"/>
      <c r="R20" s="177"/>
      <c r="S20" s="177"/>
      <c r="T20" s="177"/>
      <c r="U20" s="177"/>
      <c r="V20" s="177"/>
      <c r="W20" s="177"/>
      <c r="Y20" s="173"/>
    </row>
    <row r="21" spans="1:30" hidden="1" outlineLevel="1" x14ac:dyDescent="0.25">
      <c r="A21" s="178"/>
      <c r="B21" s="179" t="s">
        <v>682</v>
      </c>
      <c r="C21" s="179"/>
      <c r="D21" s="179"/>
      <c r="E21" s="179"/>
      <c r="F21" s="179"/>
      <c r="G21" s="179"/>
      <c r="H21" s="179"/>
      <c r="I21" s="179"/>
      <c r="J21" s="180"/>
      <c r="L21" s="181" t="s">
        <v>814</v>
      </c>
      <c r="M21" s="179"/>
      <c r="N21" s="179"/>
      <c r="O21" s="180"/>
      <c r="P21" s="179" t="s">
        <v>815</v>
      </c>
      <c r="Q21" s="179"/>
      <c r="R21" s="179"/>
      <c r="S21" s="180"/>
      <c r="T21" s="179" t="s">
        <v>816</v>
      </c>
      <c r="U21" s="179"/>
      <c r="V21" s="179"/>
      <c r="W21" s="180"/>
      <c r="Y21" s="178"/>
      <c r="Z21" s="181" t="s">
        <v>1134</v>
      </c>
      <c r="AA21" s="179"/>
      <c r="AB21" s="179"/>
      <c r="AC21" s="180"/>
      <c r="AD21" s="197" t="b">
        <v>1</v>
      </c>
    </row>
    <row r="22" spans="1:30" hidden="1" outlineLevel="1" x14ac:dyDescent="0.25">
      <c r="A22" s="182" t="s">
        <v>0</v>
      </c>
      <c r="B22" s="183" t="s">
        <v>1280</v>
      </c>
      <c r="C22" s="183" t="s">
        <v>1</v>
      </c>
      <c r="D22" s="183" t="s">
        <v>8</v>
      </c>
      <c r="E22" s="183" t="s">
        <v>18</v>
      </c>
      <c r="F22" s="183" t="s">
        <v>384</v>
      </c>
      <c r="G22" s="183" t="s">
        <v>58</v>
      </c>
      <c r="H22" s="183" t="s">
        <v>59</v>
      </c>
      <c r="I22" s="183" t="s">
        <v>371</v>
      </c>
      <c r="J22" s="184" t="s">
        <v>60</v>
      </c>
      <c r="L22" s="185" t="s">
        <v>812</v>
      </c>
      <c r="M22" s="183" t="s">
        <v>8</v>
      </c>
      <c r="N22" s="183" t="s">
        <v>18</v>
      </c>
      <c r="O22" s="184" t="s">
        <v>813</v>
      </c>
      <c r="P22" s="183" t="s">
        <v>812</v>
      </c>
      <c r="Q22" s="183" t="s">
        <v>8</v>
      </c>
      <c r="R22" s="183" t="s">
        <v>18</v>
      </c>
      <c r="S22" s="184" t="s">
        <v>813</v>
      </c>
      <c r="T22" s="183" t="s">
        <v>812</v>
      </c>
      <c r="U22" s="183" t="s">
        <v>8</v>
      </c>
      <c r="V22" s="183" t="s">
        <v>18</v>
      </c>
      <c r="W22" s="184" t="s">
        <v>813</v>
      </c>
      <c r="Y22" s="182" t="s">
        <v>0</v>
      </c>
      <c r="Z22" s="198" t="s">
        <v>1136</v>
      </c>
      <c r="AA22" s="199" t="s">
        <v>10</v>
      </c>
      <c r="AB22" s="199" t="s">
        <v>11</v>
      </c>
      <c r="AC22" s="199" t="s">
        <v>12</v>
      </c>
      <c r="AD22" s="200" t="s">
        <v>13</v>
      </c>
    </row>
    <row r="23" spans="1:30" hidden="1" outlineLevel="1" x14ac:dyDescent="0.25">
      <c r="A23" s="226">
        <v>1</v>
      </c>
      <c r="B23" s="186">
        <v>6</v>
      </c>
      <c r="C23" s="187" t="s">
        <v>2</v>
      </c>
      <c r="D23" s="188" t="s">
        <v>360</v>
      </c>
      <c r="E23" s="187">
        <v>120</v>
      </c>
      <c r="F23" s="187">
        <v>5</v>
      </c>
      <c r="G23" s="187">
        <v>10</v>
      </c>
      <c r="H23" s="187">
        <v>10</v>
      </c>
      <c r="I23" s="187">
        <v>3</v>
      </c>
      <c r="J23" s="188">
        <v>100</v>
      </c>
      <c r="K23" s="189"/>
      <c r="L23" s="190" t="s">
        <v>811</v>
      </c>
      <c r="M23" s="191" t="s">
        <v>301</v>
      </c>
      <c r="N23" s="191">
        <v>10</v>
      </c>
      <c r="O23" s="192">
        <v>1</v>
      </c>
      <c r="P23" s="190" t="s">
        <v>845</v>
      </c>
      <c r="Q23" s="191" t="s">
        <v>648</v>
      </c>
      <c r="R23" s="191">
        <v>10</v>
      </c>
      <c r="S23" s="192">
        <v>1</v>
      </c>
      <c r="T23" s="190"/>
      <c r="U23" s="191"/>
      <c r="V23" s="191"/>
      <c r="W23" s="192"/>
      <c r="Y23" s="226">
        <v>1</v>
      </c>
      <c r="Z23" s="190"/>
      <c r="AA23" s="191"/>
      <c r="AB23" s="191"/>
      <c r="AC23" s="191"/>
      <c r="AD23" s="192"/>
    </row>
    <row r="24" spans="1:30" hidden="1" outlineLevel="1" x14ac:dyDescent="0.25">
      <c r="A24" s="226">
        <v>2</v>
      </c>
      <c r="B24" s="190">
        <v>5</v>
      </c>
      <c r="C24" s="191" t="s">
        <v>4</v>
      </c>
      <c r="D24" s="193" t="s">
        <v>286</v>
      </c>
      <c r="E24" s="191">
        <v>100</v>
      </c>
      <c r="F24" s="191">
        <v>5</v>
      </c>
      <c r="G24" s="191">
        <v>10</v>
      </c>
      <c r="H24" s="191">
        <v>0</v>
      </c>
      <c r="I24" s="191">
        <v>0</v>
      </c>
      <c r="J24" s="193">
        <v>100</v>
      </c>
      <c r="K24" s="189"/>
      <c r="L24" s="190" t="s">
        <v>825</v>
      </c>
      <c r="M24" s="191" t="s">
        <v>628</v>
      </c>
      <c r="N24" s="191">
        <v>10</v>
      </c>
      <c r="O24" s="192">
        <v>1</v>
      </c>
      <c r="P24" s="190" t="s">
        <v>835</v>
      </c>
      <c r="Q24" s="191" t="s">
        <v>644</v>
      </c>
      <c r="R24" s="191">
        <v>10</v>
      </c>
      <c r="S24" s="192">
        <v>1</v>
      </c>
      <c r="T24" s="190" t="s">
        <v>860</v>
      </c>
      <c r="U24" s="191" t="s">
        <v>665</v>
      </c>
      <c r="V24" s="191">
        <v>10</v>
      </c>
      <c r="W24" s="192">
        <v>1</v>
      </c>
      <c r="Y24" s="226">
        <v>2</v>
      </c>
      <c r="Z24" s="190"/>
      <c r="AA24" s="191"/>
      <c r="AB24" s="191"/>
      <c r="AC24" s="191"/>
      <c r="AD24" s="192"/>
    </row>
    <row r="25" spans="1:30" hidden="1" outlineLevel="1" x14ac:dyDescent="0.25">
      <c r="A25" s="226">
        <v>3</v>
      </c>
      <c r="B25" s="190">
        <v>5</v>
      </c>
      <c r="C25" s="191" t="s">
        <v>6</v>
      </c>
      <c r="D25" s="193" t="s">
        <v>228</v>
      </c>
      <c r="E25" s="191">
        <v>100</v>
      </c>
      <c r="F25" s="191">
        <v>5</v>
      </c>
      <c r="G25" s="191">
        <v>10</v>
      </c>
      <c r="H25" s="191">
        <v>0</v>
      </c>
      <c r="I25" s="191">
        <v>0</v>
      </c>
      <c r="J25" s="193">
        <v>100</v>
      </c>
      <c r="K25" s="189"/>
      <c r="L25" s="190" t="s">
        <v>825</v>
      </c>
      <c r="M25" s="191" t="s">
        <v>628</v>
      </c>
      <c r="N25" s="191">
        <v>10</v>
      </c>
      <c r="O25" s="192">
        <v>1</v>
      </c>
      <c r="P25" s="190" t="s">
        <v>835</v>
      </c>
      <c r="Q25" s="191" t="s">
        <v>644</v>
      </c>
      <c r="R25" s="191">
        <v>10</v>
      </c>
      <c r="S25" s="192">
        <v>1</v>
      </c>
      <c r="T25" s="190" t="s">
        <v>861</v>
      </c>
      <c r="U25" s="191" t="s">
        <v>681</v>
      </c>
      <c r="V25" s="191">
        <v>10</v>
      </c>
      <c r="W25" s="192">
        <v>1</v>
      </c>
      <c r="Y25" s="226">
        <v>3</v>
      </c>
      <c r="Z25" s="190"/>
      <c r="AA25" s="191"/>
      <c r="AB25" s="191"/>
      <c r="AC25" s="191"/>
      <c r="AD25" s="192"/>
    </row>
    <row r="26" spans="1:30" hidden="1" outlineLevel="1" x14ac:dyDescent="0.25">
      <c r="A26" s="226">
        <v>4</v>
      </c>
      <c r="B26" s="190">
        <v>4</v>
      </c>
      <c r="C26" s="191" t="s">
        <v>3</v>
      </c>
      <c r="D26" s="193" t="s">
        <v>145</v>
      </c>
      <c r="E26" s="191">
        <v>100</v>
      </c>
      <c r="F26" s="191">
        <v>5</v>
      </c>
      <c r="G26" s="191">
        <v>10</v>
      </c>
      <c r="H26" s="191">
        <v>0</v>
      </c>
      <c r="I26" s="191">
        <v>0</v>
      </c>
      <c r="J26" s="193">
        <v>100</v>
      </c>
      <c r="K26" s="189"/>
      <c r="L26" s="190" t="s">
        <v>875</v>
      </c>
      <c r="M26" s="191" t="s">
        <v>663</v>
      </c>
      <c r="N26" s="191">
        <v>10</v>
      </c>
      <c r="O26" s="192">
        <v>1</v>
      </c>
      <c r="P26" s="190" t="s">
        <v>9</v>
      </c>
      <c r="Q26" s="191" t="s">
        <v>669</v>
      </c>
      <c r="R26" s="191">
        <v>10</v>
      </c>
      <c r="S26" s="192">
        <v>1</v>
      </c>
      <c r="T26" s="190" t="s">
        <v>850</v>
      </c>
      <c r="U26" s="191" t="s">
        <v>652</v>
      </c>
      <c r="V26" s="191">
        <v>10</v>
      </c>
      <c r="W26" s="192">
        <v>1</v>
      </c>
      <c r="Y26" s="226">
        <v>4</v>
      </c>
      <c r="Z26" s="190"/>
      <c r="AA26" s="191"/>
      <c r="AB26" s="191"/>
      <c r="AC26" s="191"/>
      <c r="AD26" s="192"/>
    </row>
    <row r="27" spans="1:30" hidden="1" outlineLevel="1" x14ac:dyDescent="0.25">
      <c r="A27" s="227">
        <v>5</v>
      </c>
      <c r="B27" s="194">
        <v>5</v>
      </c>
      <c r="C27" s="195" t="s">
        <v>3</v>
      </c>
      <c r="D27" s="172" t="s">
        <v>266</v>
      </c>
      <c r="E27" s="195">
        <v>100</v>
      </c>
      <c r="F27" s="195">
        <v>5</v>
      </c>
      <c r="G27" s="195">
        <v>10</v>
      </c>
      <c r="H27" s="195">
        <v>0</v>
      </c>
      <c r="I27" s="195">
        <v>0</v>
      </c>
      <c r="J27" s="172">
        <v>100</v>
      </c>
      <c r="K27" s="189"/>
      <c r="L27" s="194" t="s">
        <v>875</v>
      </c>
      <c r="M27" s="195" t="s">
        <v>663</v>
      </c>
      <c r="N27" s="195">
        <v>10</v>
      </c>
      <c r="O27" s="196">
        <v>1</v>
      </c>
      <c r="P27" s="194" t="s">
        <v>9</v>
      </c>
      <c r="Q27" s="195" t="s">
        <v>669</v>
      </c>
      <c r="R27" s="195">
        <v>10</v>
      </c>
      <c r="S27" s="196">
        <v>1</v>
      </c>
      <c r="T27" s="194" t="s">
        <v>850</v>
      </c>
      <c r="U27" s="195" t="s">
        <v>652</v>
      </c>
      <c r="V27" s="195">
        <v>10</v>
      </c>
      <c r="W27" s="196">
        <v>1</v>
      </c>
      <c r="Y27" s="227">
        <v>5</v>
      </c>
      <c r="Z27" s="194"/>
      <c r="AA27" s="195"/>
      <c r="AB27" s="195"/>
      <c r="AC27" s="195"/>
      <c r="AD27" s="196"/>
    </row>
    <row r="28" spans="1:30" hidden="1" outlineLevel="1" x14ac:dyDescent="0.25"/>
    <row r="29" spans="1:30" hidden="1" outlineLevel="1" x14ac:dyDescent="0.25">
      <c r="A29" s="177" t="s">
        <v>1119</v>
      </c>
      <c r="B29" s="177"/>
      <c r="C29" s="177"/>
      <c r="D29" s="177"/>
      <c r="E29" s="177"/>
      <c r="F29" s="177"/>
      <c r="H29" s="177" t="s">
        <v>1122</v>
      </c>
      <c r="I29" s="177"/>
      <c r="J29" s="177"/>
    </row>
    <row r="30" spans="1:30" hidden="1" outlineLevel="1" x14ac:dyDescent="0.25">
      <c r="A30" s="178"/>
      <c r="B30" s="181" t="s">
        <v>886</v>
      </c>
      <c r="C30" s="179"/>
      <c r="D30" s="179"/>
      <c r="E30" s="179"/>
      <c r="F30" s="180"/>
      <c r="H30" s="174">
        <v>1</v>
      </c>
      <c r="I30" s="174"/>
      <c r="J30" s="174"/>
    </row>
    <row r="31" spans="1:30" hidden="1" outlineLevel="1" x14ac:dyDescent="0.25">
      <c r="A31" s="182" t="s">
        <v>890</v>
      </c>
      <c r="B31" s="185" t="s">
        <v>8</v>
      </c>
      <c r="C31" s="183" t="s">
        <v>1280</v>
      </c>
      <c r="D31" s="183" t="s">
        <v>18</v>
      </c>
      <c r="E31" s="183" t="s">
        <v>891</v>
      </c>
      <c r="F31" s="184" t="s">
        <v>689</v>
      </c>
      <c r="H31" s="174">
        <v>2</v>
      </c>
      <c r="I31" s="174">
        <v>4</v>
      </c>
      <c r="J31" s="174"/>
    </row>
    <row r="32" spans="1:30" hidden="1" outlineLevel="1" x14ac:dyDescent="0.25">
      <c r="A32" s="227">
        <v>1</v>
      </c>
      <c r="B32" s="194" t="s">
        <v>765</v>
      </c>
      <c r="C32" s="195">
        <v>5</v>
      </c>
      <c r="D32" s="195">
        <v>100</v>
      </c>
      <c r="E32" s="195">
        <v>10</v>
      </c>
      <c r="F32" s="172" t="s">
        <v>777</v>
      </c>
      <c r="H32" s="174">
        <v>3</v>
      </c>
      <c r="I32" s="174">
        <v>5</v>
      </c>
      <c r="J32" s="174"/>
    </row>
    <row r="33" spans="1:20" hidden="1" outlineLevel="1" x14ac:dyDescent="0.25"/>
    <row r="34" spans="1:20" collapsed="1" x14ac:dyDescent="0.25"/>
    <row r="35" spans="1:20" ht="18.75" x14ac:dyDescent="0.3">
      <c r="A35" s="201" t="s">
        <v>1247</v>
      </c>
      <c r="B35" s="201"/>
      <c r="C35" s="201"/>
      <c r="D35" s="201"/>
      <c r="E35" s="201"/>
      <c r="F35" s="201"/>
      <c r="G35" s="201"/>
      <c r="H35" s="201"/>
      <c r="I35" s="201"/>
      <c r="J35" s="201"/>
    </row>
    <row r="36" spans="1:20" s="202" customFormat="1" ht="15" hidden="1" customHeight="1" outlineLevel="1" x14ac:dyDescent="0.3">
      <c r="A36" s="229" t="s">
        <v>1323</v>
      </c>
      <c r="B36" s="201"/>
      <c r="C36" s="201"/>
      <c r="D36" s="201"/>
      <c r="E36" s="201"/>
      <c r="F36" s="201"/>
      <c r="G36" s="201"/>
      <c r="H36" s="201"/>
      <c r="I36" s="228"/>
      <c r="J36" s="228"/>
      <c r="K36" s="228"/>
      <c r="L36" s="201"/>
      <c r="M36" s="201"/>
    </row>
    <row r="37" spans="1:20" hidden="1" outlineLevel="1" x14ac:dyDescent="0.25">
      <c r="A37" s="203"/>
      <c r="B37" s="181" t="s">
        <v>1243</v>
      </c>
      <c r="C37" s="179"/>
      <c r="D37" s="179"/>
      <c r="E37" s="179"/>
      <c r="F37" s="179"/>
      <c r="G37" s="179"/>
      <c r="H37" s="179"/>
      <c r="I37" s="181" t="s">
        <v>891</v>
      </c>
      <c r="J37" s="179"/>
      <c r="K37" s="179"/>
      <c r="L37" s="180"/>
      <c r="M37" s="181" t="s">
        <v>1236</v>
      </c>
      <c r="N37" s="180"/>
      <c r="P37" s="204" t="s">
        <v>1318</v>
      </c>
    </row>
    <row r="38" spans="1:20" hidden="1" outlineLevel="1" x14ac:dyDescent="0.25">
      <c r="A38" s="182" t="s">
        <v>1235</v>
      </c>
      <c r="B38" s="183" t="s">
        <v>1279</v>
      </c>
      <c r="C38" s="228" t="s">
        <v>8</v>
      </c>
      <c r="D38" s="228" t="s">
        <v>18</v>
      </c>
      <c r="E38" s="228" t="s">
        <v>1281</v>
      </c>
      <c r="F38" s="228" t="s">
        <v>1238</v>
      </c>
      <c r="G38" s="228" t="s">
        <v>1240</v>
      </c>
      <c r="H38" s="228" t="s">
        <v>60</v>
      </c>
      <c r="I38" s="185">
        <v>1</v>
      </c>
      <c r="J38" s="183">
        <v>2</v>
      </c>
      <c r="K38" s="183">
        <v>3</v>
      </c>
      <c r="L38" s="184">
        <v>4</v>
      </c>
      <c r="M38" s="185">
        <v>1</v>
      </c>
      <c r="N38" s="184">
        <v>2</v>
      </c>
      <c r="P38" s="174" t="b">
        <v>0</v>
      </c>
    </row>
    <row r="39" spans="1:20" hidden="1" outlineLevel="1" x14ac:dyDescent="0.25">
      <c r="A39" s="224">
        <v>1</v>
      </c>
      <c r="B39" s="225">
        <f>IFERROR(4-INDEX('SF Data'!C:C,MATCH(C39,'SF Data'!B:B,0)),"")</f>
        <v>3</v>
      </c>
      <c r="C39" s="186" t="s">
        <v>1181</v>
      </c>
      <c r="D39" s="187">
        <v>100</v>
      </c>
      <c r="E39" s="187">
        <v>5</v>
      </c>
      <c r="F39" s="187">
        <v>4</v>
      </c>
      <c r="G39" s="187"/>
      <c r="H39" s="188">
        <v>100</v>
      </c>
      <c r="I39" s="191">
        <v>10</v>
      </c>
      <c r="J39" s="191">
        <v>10</v>
      </c>
      <c r="K39" s="191">
        <v>5</v>
      </c>
      <c r="L39" s="193">
        <v>5</v>
      </c>
      <c r="M39" s="190" t="s">
        <v>1287</v>
      </c>
      <c r="N39" s="193" t="s">
        <v>1282</v>
      </c>
      <c r="P39" s="205"/>
      <c r="R39" s="232" t="s">
        <v>1309</v>
      </c>
      <c r="S39" s="232"/>
      <c r="T39" s="232"/>
    </row>
    <row r="40" spans="1:20" hidden="1" outlineLevel="1" x14ac:dyDescent="0.25">
      <c r="A40" s="226">
        <v>2</v>
      </c>
      <c r="B40" s="218">
        <f>IFERROR(4-INDEX('SF Data'!C:C,MATCH(C40,'SF Data'!B:B,0)),"")</f>
        <v>2</v>
      </c>
      <c r="C40" s="190" t="s">
        <v>1197</v>
      </c>
      <c r="D40" s="191">
        <v>100</v>
      </c>
      <c r="E40" s="191">
        <v>5</v>
      </c>
      <c r="F40" s="191">
        <v>4</v>
      </c>
      <c r="G40" s="191" t="s">
        <v>1239</v>
      </c>
      <c r="H40" s="193">
        <v>100</v>
      </c>
      <c r="I40" s="191">
        <v>5</v>
      </c>
      <c r="J40" s="191">
        <v>5</v>
      </c>
      <c r="K40" s="191"/>
      <c r="L40" s="193"/>
      <c r="M40" s="190"/>
      <c r="N40" s="193"/>
      <c r="P40" s="205"/>
      <c r="R40" s="174">
        <v>2</v>
      </c>
      <c r="S40" s="174">
        <v>3</v>
      </c>
      <c r="T40" s="174">
        <v>4</v>
      </c>
    </row>
    <row r="41" spans="1:20" hidden="1" outlineLevel="1" x14ac:dyDescent="0.25">
      <c r="A41" s="226">
        <v>3</v>
      </c>
      <c r="B41" s="218">
        <f>IFERROR(4-INDEX('SF Data'!C:C,MATCH(C41,'SF Data'!B:B,0)),"")</f>
        <v>2</v>
      </c>
      <c r="C41" s="190" t="s">
        <v>1197</v>
      </c>
      <c r="D41" s="191">
        <v>100</v>
      </c>
      <c r="E41" s="191">
        <v>5</v>
      </c>
      <c r="F41" s="191">
        <v>4</v>
      </c>
      <c r="G41" s="191" t="s">
        <v>1239</v>
      </c>
      <c r="H41" s="193">
        <v>100</v>
      </c>
      <c r="I41" s="191">
        <v>5</v>
      </c>
      <c r="J41" s="191">
        <v>5</v>
      </c>
      <c r="K41" s="191"/>
      <c r="L41" s="193"/>
      <c r="M41" s="190"/>
      <c r="N41" s="193"/>
      <c r="P41" s="205"/>
      <c r="R41" s="174">
        <v>5</v>
      </c>
      <c r="S41" s="174">
        <v>1</v>
      </c>
      <c r="T41" s="174">
        <v>6</v>
      </c>
    </row>
    <row r="42" spans="1:20" hidden="1" outlineLevel="1" x14ac:dyDescent="0.25">
      <c r="A42" s="226">
        <v>4</v>
      </c>
      <c r="B42" s="218">
        <f>IFERROR(4-INDEX('SF Data'!C:C,MATCH(C42,'SF Data'!B:B,0)),"")</f>
        <v>2</v>
      </c>
      <c r="C42" s="190" t="s">
        <v>1197</v>
      </c>
      <c r="D42" s="191">
        <v>100</v>
      </c>
      <c r="E42" s="191">
        <v>5</v>
      </c>
      <c r="F42" s="191">
        <v>4</v>
      </c>
      <c r="G42" s="191" t="s">
        <v>1239</v>
      </c>
      <c r="H42" s="193">
        <v>100</v>
      </c>
      <c r="I42" s="191">
        <v>5</v>
      </c>
      <c r="J42" s="191">
        <v>5</v>
      </c>
      <c r="K42" s="191"/>
      <c r="L42" s="193"/>
      <c r="M42" s="190"/>
      <c r="N42" s="193"/>
      <c r="P42" s="205"/>
      <c r="R42" s="174">
        <v>7</v>
      </c>
      <c r="S42" s="174">
        <v>8</v>
      </c>
      <c r="T42" s="174">
        <v>9</v>
      </c>
    </row>
    <row r="43" spans="1:20" hidden="1" outlineLevel="1" x14ac:dyDescent="0.25">
      <c r="A43" s="226">
        <v>5</v>
      </c>
      <c r="B43" s="218">
        <f>IFERROR(4-INDEX('SF Data'!C:C,MATCH(C43,'SF Data'!B:B,0)),"")</f>
        <v>2</v>
      </c>
      <c r="C43" s="190" t="s">
        <v>1197</v>
      </c>
      <c r="D43" s="191">
        <v>100</v>
      </c>
      <c r="E43" s="191">
        <v>5</v>
      </c>
      <c r="F43" s="191">
        <v>4</v>
      </c>
      <c r="G43" s="191" t="s">
        <v>1239</v>
      </c>
      <c r="H43" s="193">
        <v>100</v>
      </c>
      <c r="I43" s="191">
        <v>5</v>
      </c>
      <c r="J43" s="191">
        <v>5</v>
      </c>
      <c r="K43" s="191"/>
      <c r="L43" s="193"/>
      <c r="M43" s="190"/>
      <c r="N43" s="193"/>
      <c r="P43" s="205"/>
    </row>
    <row r="44" spans="1:20" hidden="1" outlineLevel="1" x14ac:dyDescent="0.25">
      <c r="A44" s="226">
        <v>6</v>
      </c>
      <c r="B44" s="218">
        <f>IFERROR(4-INDEX('SF Data'!C:C,MATCH(C44,'SF Data'!B:B,0)),"")</f>
        <v>2</v>
      </c>
      <c r="C44" s="190" t="s">
        <v>1197</v>
      </c>
      <c r="D44" s="191">
        <v>100</v>
      </c>
      <c r="E44" s="191">
        <v>5</v>
      </c>
      <c r="F44" s="191">
        <v>4</v>
      </c>
      <c r="G44" s="191" t="s">
        <v>1239</v>
      </c>
      <c r="H44" s="193">
        <v>100</v>
      </c>
      <c r="I44" s="191">
        <v>5</v>
      </c>
      <c r="J44" s="191">
        <v>5</v>
      </c>
      <c r="K44" s="191"/>
      <c r="L44" s="193"/>
      <c r="M44" s="190"/>
      <c r="N44" s="193"/>
      <c r="P44" s="205"/>
    </row>
    <row r="45" spans="1:20" hidden="1" outlineLevel="1" x14ac:dyDescent="0.25">
      <c r="A45" s="226">
        <v>7</v>
      </c>
      <c r="B45" s="218">
        <f>IFERROR(4-INDEX('SF Data'!C:C,MATCH(C45,'SF Data'!B:B,0)),"")</f>
        <v>2</v>
      </c>
      <c r="C45" s="190" t="s">
        <v>1197</v>
      </c>
      <c r="D45" s="191">
        <v>100</v>
      </c>
      <c r="E45" s="191">
        <v>5</v>
      </c>
      <c r="F45" s="191">
        <v>4</v>
      </c>
      <c r="G45" s="191" t="s">
        <v>1239</v>
      </c>
      <c r="H45" s="193">
        <v>100</v>
      </c>
      <c r="I45" s="191">
        <v>5</v>
      </c>
      <c r="J45" s="191">
        <v>5</v>
      </c>
      <c r="K45" s="191"/>
      <c r="L45" s="193"/>
      <c r="M45" s="190"/>
      <c r="N45" s="193"/>
      <c r="P45" s="205"/>
    </row>
    <row r="46" spans="1:20" hidden="1" outlineLevel="1" x14ac:dyDescent="0.25">
      <c r="A46" s="226">
        <v>8</v>
      </c>
      <c r="B46" s="218">
        <f>IFERROR(4-INDEX('SF Data'!C:C,MATCH(C46,'SF Data'!B:B,0)),"")</f>
        <v>2</v>
      </c>
      <c r="C46" s="190" t="s">
        <v>1197</v>
      </c>
      <c r="D46" s="191">
        <v>100</v>
      </c>
      <c r="E46" s="191">
        <v>5</v>
      </c>
      <c r="F46" s="191">
        <v>4</v>
      </c>
      <c r="G46" s="191" t="s">
        <v>1239</v>
      </c>
      <c r="H46" s="193">
        <v>100</v>
      </c>
      <c r="I46" s="191">
        <v>5</v>
      </c>
      <c r="J46" s="191">
        <v>5</v>
      </c>
      <c r="K46" s="191"/>
      <c r="L46" s="193"/>
      <c r="M46" s="190"/>
      <c r="N46" s="193"/>
      <c r="P46" s="205"/>
    </row>
    <row r="47" spans="1:20" hidden="1" outlineLevel="1" x14ac:dyDescent="0.25">
      <c r="A47" s="227">
        <v>9</v>
      </c>
      <c r="B47" s="220">
        <f>IFERROR(4-INDEX('SF Data'!C:C,MATCH(C47,'SF Data'!B:B,0)),"")</f>
        <v>2</v>
      </c>
      <c r="C47" s="194" t="s">
        <v>1197</v>
      </c>
      <c r="D47" s="195">
        <v>100</v>
      </c>
      <c r="E47" s="195">
        <v>5</v>
      </c>
      <c r="F47" s="195">
        <v>4</v>
      </c>
      <c r="G47" s="195" t="s">
        <v>1239</v>
      </c>
      <c r="H47" s="172">
        <v>100</v>
      </c>
      <c r="I47" s="195">
        <v>5</v>
      </c>
      <c r="J47" s="195">
        <v>5</v>
      </c>
      <c r="K47" s="195"/>
      <c r="L47" s="172"/>
      <c r="M47" s="194"/>
      <c r="N47" s="172"/>
      <c r="P47" s="206"/>
    </row>
    <row r="48" spans="1:20" hidden="1" outlineLevel="1" x14ac:dyDescent="0.25"/>
    <row r="49" spans="1:10" collapsed="1" x14ac:dyDescent="0.25"/>
    <row r="50" spans="1:10" ht="18.75" x14ac:dyDescent="0.3">
      <c r="A50" s="201" t="s">
        <v>1310</v>
      </c>
    </row>
    <row r="51" spans="1:10" hidden="1" outlineLevel="1" x14ac:dyDescent="0.25">
      <c r="A51" s="177" t="s">
        <v>1092</v>
      </c>
      <c r="B51" s="177"/>
      <c r="C51" s="177"/>
      <c r="D51" s="177"/>
      <c r="E51" s="177"/>
      <c r="F51" s="177"/>
      <c r="G51" s="177"/>
      <c r="H51" s="177"/>
      <c r="I51" s="177"/>
      <c r="J51" s="177"/>
    </row>
    <row r="52" spans="1:10" hidden="1" outlineLevel="1" x14ac:dyDescent="0.25">
      <c r="A52" s="208"/>
      <c r="B52" s="209"/>
      <c r="C52" s="210"/>
      <c r="D52" s="181" t="s">
        <v>1042</v>
      </c>
      <c r="E52" s="179"/>
      <c r="F52" s="179"/>
      <c r="G52" s="180"/>
      <c r="H52" s="181" t="s">
        <v>891</v>
      </c>
      <c r="I52" s="179"/>
      <c r="J52" s="180"/>
    </row>
    <row r="53" spans="1:10" hidden="1" outlineLevel="1" x14ac:dyDescent="0.25">
      <c r="A53" s="185" t="s">
        <v>1007</v>
      </c>
      <c r="B53" s="185" t="s">
        <v>1015</v>
      </c>
      <c r="C53" s="184" t="s">
        <v>8</v>
      </c>
      <c r="D53" s="183" t="s">
        <v>1025</v>
      </c>
      <c r="E53" s="183" t="s">
        <v>1024</v>
      </c>
      <c r="F53" s="183" t="s">
        <v>1026</v>
      </c>
      <c r="G53" s="184" t="s">
        <v>1027</v>
      </c>
      <c r="H53" s="183">
        <v>1</v>
      </c>
      <c r="I53" s="183">
        <v>2</v>
      </c>
      <c r="J53" s="184">
        <v>3</v>
      </c>
    </row>
    <row r="54" spans="1:10" hidden="1" outlineLevel="1" x14ac:dyDescent="0.25">
      <c r="A54" s="190"/>
      <c r="B54" s="218">
        <v>1</v>
      </c>
      <c r="C54" s="219" t="s">
        <v>1016</v>
      </c>
      <c r="D54" s="191">
        <v>462</v>
      </c>
      <c r="E54" s="191">
        <v>795</v>
      </c>
      <c r="F54" s="191">
        <v>568</v>
      </c>
      <c r="G54" s="193">
        <v>133</v>
      </c>
      <c r="H54" s="191">
        <v>10</v>
      </c>
      <c r="I54" s="191">
        <v>10</v>
      </c>
      <c r="J54" s="193">
        <v>10</v>
      </c>
    </row>
    <row r="55" spans="1:10" hidden="1" outlineLevel="1" x14ac:dyDescent="0.25">
      <c r="A55" s="190"/>
      <c r="B55" s="218">
        <v>2</v>
      </c>
      <c r="C55" s="219" t="s">
        <v>1017</v>
      </c>
      <c r="D55" s="191">
        <v>284</v>
      </c>
      <c r="E55" s="191">
        <v>336</v>
      </c>
      <c r="F55" s="191">
        <v>381</v>
      </c>
      <c r="G55" s="193">
        <v>726</v>
      </c>
      <c r="H55" s="191">
        <v>10</v>
      </c>
      <c r="I55" s="191">
        <v>10</v>
      </c>
      <c r="J55" s="193">
        <v>10</v>
      </c>
    </row>
    <row r="56" spans="1:10" hidden="1" outlineLevel="1" x14ac:dyDescent="0.25">
      <c r="A56" s="190"/>
      <c r="B56" s="218">
        <v>3</v>
      </c>
      <c r="C56" s="219" t="s">
        <v>1018</v>
      </c>
      <c r="D56" s="191">
        <v>620</v>
      </c>
      <c r="E56" s="191">
        <v>121</v>
      </c>
      <c r="F56" s="191">
        <v>276</v>
      </c>
      <c r="G56" s="193">
        <v>306</v>
      </c>
      <c r="H56" s="191">
        <v>10</v>
      </c>
      <c r="I56" s="191">
        <v>10</v>
      </c>
      <c r="J56" s="193">
        <v>10</v>
      </c>
    </row>
    <row r="57" spans="1:10" hidden="1" outlineLevel="1" x14ac:dyDescent="0.25">
      <c r="A57" s="190"/>
      <c r="B57" s="218">
        <v>4</v>
      </c>
      <c r="C57" s="219" t="s">
        <v>1019</v>
      </c>
      <c r="D57" s="191">
        <v>519</v>
      </c>
      <c r="E57" s="191">
        <v>138</v>
      </c>
      <c r="F57" s="191">
        <v>266</v>
      </c>
      <c r="G57" s="193">
        <v>401</v>
      </c>
      <c r="H57" s="191">
        <v>10</v>
      </c>
      <c r="I57" s="191">
        <v>10</v>
      </c>
      <c r="J57" s="193">
        <v>10</v>
      </c>
    </row>
    <row r="58" spans="1:10" hidden="1" outlineLevel="1" x14ac:dyDescent="0.25">
      <c r="A58" s="190"/>
      <c r="B58" s="218">
        <v>5</v>
      </c>
      <c r="C58" s="219" t="s">
        <v>1020</v>
      </c>
      <c r="D58" s="191">
        <v>423</v>
      </c>
      <c r="E58" s="191">
        <v>603</v>
      </c>
      <c r="F58" s="191">
        <v>533</v>
      </c>
      <c r="G58" s="193">
        <v>249</v>
      </c>
      <c r="H58" s="191">
        <v>10</v>
      </c>
      <c r="I58" s="191">
        <v>10</v>
      </c>
      <c r="J58" s="193">
        <v>10</v>
      </c>
    </row>
    <row r="59" spans="1:10" hidden="1" outlineLevel="1" x14ac:dyDescent="0.25">
      <c r="A59" s="190"/>
      <c r="B59" s="218">
        <v>6</v>
      </c>
      <c r="C59" s="219" t="s">
        <v>1021</v>
      </c>
      <c r="D59" s="191">
        <v>77</v>
      </c>
      <c r="E59" s="191">
        <v>136</v>
      </c>
      <c r="F59" s="191">
        <v>188</v>
      </c>
      <c r="G59" s="193">
        <v>331</v>
      </c>
      <c r="H59" s="191">
        <v>10</v>
      </c>
      <c r="I59" s="191">
        <v>10</v>
      </c>
      <c r="J59" s="193">
        <v>10</v>
      </c>
    </row>
    <row r="60" spans="1:10" hidden="1" outlineLevel="1" x14ac:dyDescent="0.25">
      <c r="A60" s="194"/>
      <c r="B60" s="220">
        <v>7</v>
      </c>
      <c r="C60" s="221" t="s">
        <v>1022</v>
      </c>
      <c r="D60" s="195">
        <v>414</v>
      </c>
      <c r="E60" s="195">
        <v>557</v>
      </c>
      <c r="F60" s="195">
        <v>459</v>
      </c>
      <c r="G60" s="172">
        <v>214</v>
      </c>
      <c r="H60" s="195">
        <v>10</v>
      </c>
      <c r="I60" s="195">
        <v>10</v>
      </c>
      <c r="J60" s="172">
        <v>10</v>
      </c>
    </row>
    <row r="61" spans="1:10" hidden="1" outlineLevel="1" x14ac:dyDescent="0.25"/>
    <row r="62" spans="1:10" hidden="1" outlineLevel="1" x14ac:dyDescent="0.25">
      <c r="A62" s="177" t="s">
        <v>1320</v>
      </c>
      <c r="B62" s="177"/>
      <c r="C62" s="177"/>
    </row>
    <row r="63" spans="1:10" hidden="1" outlineLevel="1" x14ac:dyDescent="0.25">
      <c r="A63" s="211" t="s">
        <v>1117</v>
      </c>
      <c r="B63" s="199" t="s">
        <v>907</v>
      </c>
      <c r="C63" s="200" t="s">
        <v>891</v>
      </c>
    </row>
    <row r="64" spans="1:10" hidden="1" outlineLevel="1" x14ac:dyDescent="0.25">
      <c r="A64" s="218">
        <v>1</v>
      </c>
      <c r="B64" s="212"/>
      <c r="C64" s="193"/>
    </row>
    <row r="65" spans="1:3" hidden="1" outlineLevel="1" x14ac:dyDescent="0.25">
      <c r="A65" s="218">
        <v>2</v>
      </c>
      <c r="B65" s="213"/>
      <c r="C65" s="193"/>
    </row>
    <row r="66" spans="1:3" hidden="1" outlineLevel="1" x14ac:dyDescent="0.25">
      <c r="A66" s="220">
        <v>3</v>
      </c>
      <c r="B66" s="214"/>
      <c r="C66" s="172"/>
    </row>
    <row r="67" spans="1:3" hidden="1" outlineLevel="1" x14ac:dyDescent="0.25">
      <c r="A67" s="207"/>
      <c r="B67" s="207"/>
      <c r="C67" s="207"/>
    </row>
    <row r="68" spans="1:3" hidden="1" outlineLevel="1" x14ac:dyDescent="0.25">
      <c r="A68" s="173" t="s">
        <v>1321</v>
      </c>
    </row>
    <row r="69" spans="1:3" hidden="1" outlineLevel="1" x14ac:dyDescent="0.25">
      <c r="A69" s="204" t="s">
        <v>1007</v>
      </c>
      <c r="B69" s="203" t="s">
        <v>8</v>
      </c>
      <c r="C69" s="200" t="s">
        <v>891</v>
      </c>
    </row>
    <row r="70" spans="1:3" hidden="1" outlineLevel="1" x14ac:dyDescent="0.25">
      <c r="A70" s="215"/>
      <c r="B70" s="222" t="s">
        <v>1118</v>
      </c>
      <c r="C70" s="216"/>
    </row>
    <row r="71" spans="1:3" hidden="1" outlineLevel="1" x14ac:dyDescent="0.25">
      <c r="A71" s="217"/>
      <c r="B71" s="223" t="s">
        <v>769</v>
      </c>
      <c r="C71" s="217"/>
    </row>
    <row r="72" spans="1:3" hidden="1" outlineLevel="1" x14ac:dyDescent="0.25"/>
    <row r="73" spans="1:3" collapsed="1" x14ac:dyDescent="0.25"/>
  </sheetData>
  <mergeCells count="2">
    <mergeCell ref="B18:C18"/>
    <mergeCell ref="R39:T39"/>
  </mergeCells>
  <conditionalFormatting sqref="M39:M47">
    <cfRule type="expression" dxfId="5" priority="6">
      <formula>$B39&lt;&gt;3</formula>
    </cfRule>
  </conditionalFormatting>
  <conditionalFormatting sqref="N39:N47">
    <cfRule type="expression" dxfId="4" priority="5">
      <formula>OR($B39&lt;&gt;3,AND($B39=3,$F39&lt;&gt;4))</formula>
    </cfRule>
  </conditionalFormatting>
  <conditionalFormatting sqref="G39:G47">
    <cfRule type="expression" dxfId="3" priority="4">
      <formula>$B39=3</formula>
    </cfRule>
  </conditionalFormatting>
  <conditionalFormatting sqref="L39:L47">
    <cfRule type="expression" dxfId="2" priority="3">
      <formula>OR($B39&lt;&gt;3,$F39&lt;&gt;4)</formula>
    </cfRule>
  </conditionalFormatting>
  <conditionalFormatting sqref="K39:K47">
    <cfRule type="expression" dxfId="1" priority="2">
      <formula>B39&lt;&gt;3</formula>
    </cfRule>
  </conditionalFormatting>
  <conditionalFormatting sqref="J39:J47">
    <cfRule type="expression" dxfId="0" priority="1">
      <formula>$B39&lt;2</formula>
    </cfRule>
  </conditionalFormatting>
  <dataValidations count="26">
    <dataValidation type="list" allowBlank="1" showInputMessage="1" showErrorMessage="1" sqref="C32 F23:F27" xr:uid="{5328149F-3F1C-4230-85F4-CE5052AD7E13}">
      <formula1>"1,2,3,4,5"</formula1>
    </dataValidation>
    <dataValidation type="list" allowBlank="1" showInputMessage="1" showErrorMessage="1" sqref="C70:C71 E32 H54:J60 C64:C66 G23:G27" xr:uid="{3743B600-B2C7-4E16-92AE-52222B4EB2DD}">
      <formula1>"1,2,3,4,5,6,7,8,9,10"</formula1>
    </dataValidation>
    <dataValidation type="whole" allowBlank="1" showInputMessage="1" showErrorMessage="1" sqref="D32 D39:D47" xr:uid="{9D68526B-4976-49F8-9D3A-8045E8E154EC}">
      <formula1>1</formula1>
      <formula2>100</formula2>
    </dataValidation>
    <dataValidation type="custom" allowBlank="1" showInputMessage="1" showErrorMessage="1" sqref="H30:J32" xr:uid="{8BD1B429-50DC-4CFE-9F94-B9181AFDB81D}">
      <formula1>AND(COUNTA($H$30:$J$32)&lt;=5,COUNTIF($H$30:$J$32,1)&lt;=1,COUNTIF($H$30:$J$32,2)&lt;=1,COUNTIF($H$30:$J$32,3)&lt;=1,COUNTIF($H$30:$J$32,4)&lt;=1,COUNTIF($H$30:$J$32,5)&lt;=1)</formula1>
    </dataValidation>
    <dataValidation type="list" allowBlank="1" showInputMessage="1" showErrorMessage="1" sqref="B11" xr:uid="{91A11830-032B-4F14-850F-E71CB4CE3879}">
      <formula1>"Yellow,Red,Blue,White"</formula1>
    </dataValidation>
    <dataValidation type="list" allowBlank="1" showInputMessage="1" showErrorMessage="1" sqref="E11:E12 AD21 P38" xr:uid="{95E07AA9-0A34-47CC-AAAF-FDBCE1FE9B61}">
      <formula1>"TRUE,FALSE"</formula1>
    </dataValidation>
    <dataValidation type="list" allowBlank="1" showInputMessage="1" showErrorMessage="1" sqref="B10" xr:uid="{262497FC-5EB0-426A-909B-ACC7DD53C62B}">
      <formula1>"Day,Night"</formula1>
    </dataValidation>
    <dataValidation type="whole" allowBlank="1" showInputMessage="1" showErrorMessage="1" sqref="B12" xr:uid="{89D84C23-43E3-4925-A864-E606989CC5F3}">
      <formula1>1</formula1>
      <formula2>99</formula2>
    </dataValidation>
    <dataValidation type="whole" operator="greaterThan" allowBlank="1" showInputMessage="1" showErrorMessage="1" sqref="E9:E10" xr:uid="{5B8D6E76-6639-4597-BC16-91FF3408AE4E}">
      <formula1>0</formula1>
    </dataValidation>
    <dataValidation type="whole" operator="greaterThanOrEqual" allowBlank="1" showInputMessage="1" showErrorMessage="1" sqref="D54:G60 Z23:AD27" xr:uid="{7A4D5620-C6F3-48FA-8ED0-C1233ED4B5C1}">
      <formula1>0</formula1>
    </dataValidation>
    <dataValidation type="list" allowBlank="1" showInputMessage="1" showErrorMessage="1" sqref="B18" xr:uid="{8C81AB56-5941-466C-9037-6BA75B574054}">
      <formula1>ListOfPresets</formula1>
    </dataValidation>
    <dataValidation type="list" allowBlank="1" showInputMessage="1" showErrorMessage="1" sqref="D23:D27" xr:uid="{2CC08B4A-F11E-4FA0-8BB6-22F81C93073A}">
      <formula1>DollNames</formula1>
    </dataValidation>
    <dataValidation type="whole" allowBlank="1" showInputMessage="1" showErrorMessage="1" sqref="E23:E27" xr:uid="{1EF8C677-0158-4239-BFCC-96A923E7D05A}">
      <formula1>1</formula1>
      <formula2>120</formula2>
    </dataValidation>
    <dataValidation type="list" allowBlank="1" showInputMessage="1" showErrorMessage="1" sqref="I23:I27 F39:F47" xr:uid="{049FE36A-53B0-413F-BA95-A3F6789DE467}">
      <formula1>"0,1,2,3,4"</formula1>
    </dataValidation>
    <dataValidation type="whole" allowBlank="1" showInputMessage="1" showErrorMessage="1" sqref="J23:J27" xr:uid="{A99AA4F8-A263-447E-AD61-93C6E1841468}">
      <formula1>0</formula1>
      <formula2>200</formula2>
    </dataValidation>
    <dataValidation type="list" allowBlank="1" showInputMessage="1" showErrorMessage="1" sqref="M23:M27 Q23:Q27 U23:U27" xr:uid="{C1664AEA-435E-4C99-9C25-6713DDE97E3A}">
      <formula1>DollEq</formula1>
    </dataValidation>
    <dataValidation type="list" allowBlank="1" showInputMessage="1" showErrorMessage="1" sqref="H23:H27 N23:N27 R23:R27 V23:V27" xr:uid="{DFE258E1-D46B-49A8-8EB7-D0B3A09483F5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9:E47" xr:uid="{FD2F746D-6D54-429C-9CC7-097DD6AC596E}">
      <formula1>AND(OR(E39=1,E39=2,E39=3,E39=4,E39=5),E39&gt;=B39)</formula1>
    </dataValidation>
    <dataValidation type="list" allowBlank="1" showInputMessage="1" showErrorMessage="1" sqref="G39:G47" xr:uid="{DDD6A9B3-B414-45AF-BF02-7C981129F3F9}">
      <formula1>"XS,S,M,L,XL"</formula1>
    </dataValidation>
    <dataValidation type="list" allowBlank="1" showInputMessage="1" showErrorMessage="1" sqref="B14" xr:uid="{25EE1E47-31E6-45D3-BD37-8EB3E73EF5D4}">
      <formula1>"G&amp;K,SF"</formula1>
    </dataValidation>
    <dataValidation type="custom" allowBlank="1" showInputMessage="1" showErrorMessage="1" sqref="H39:H47" xr:uid="{759D06A7-720E-46F3-AB72-0A6BFCD7623A}">
      <formula1>IF($B39&lt;3,AND(H39&gt;=0,H39&lt;=100,H39=INT(H39)),AND(H39&gt;=0,H39&lt;=150,H39=INT(H39)))</formula1>
    </dataValidation>
    <dataValidation type="custom" allowBlank="1" showInputMessage="1" showErrorMessage="1" sqref="R40:T42" xr:uid="{97661026-2A6B-4039-81C5-78994972A3BE}">
      <formula1>AND(R40&gt;=1,R40&lt;=9,R40=INT(R40),COUNTIF($R$40:$T$42,R40)&lt;=1)</formula1>
    </dataValidation>
    <dataValidation type="custom" allowBlank="1" showInputMessage="1" showErrorMessage="1" sqref="A70:A71" xr:uid="{62DB8755-2FC7-45C4-9297-956FD36B9999}">
      <formula1>AND(A70="X",COUNTA($A$70:$A$71)&lt;=1)</formula1>
    </dataValidation>
    <dataValidation type="custom" allowBlank="1" showInputMessage="1" showErrorMessage="1" sqref="A54:A60" xr:uid="{A6222C3D-394E-4C36-9801-0D06E0CC29DE}">
      <formula1>A54="X"</formula1>
    </dataValidation>
    <dataValidation type="custom" allowBlank="1" showInputMessage="1" showErrorMessage="1" sqref="I39:J47" xr:uid="{F5C1ECC4-7FDC-46BB-BF34-CCC194EE5F43}">
      <formula1>IF($B39=3,AND(I39&gt;=1,I39&lt;=10,I39=INT(I39)),AND(I39&gt;=1,I39&lt;=5,I39=INT(I39)))</formula1>
    </dataValidation>
    <dataValidation type="custom" allowBlank="1" showInputMessage="1" showErrorMessage="1" sqref="K39:L47" xr:uid="{01C0C6EE-112E-48B4-819E-B8F022509EA8}">
      <formula1>AND(K39&gt;=1,K39&lt;=5,K39=INT(K39))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</hyperlinks>
  <pageMargins left="0.7" right="0.7" top="0.75" bottom="0.75" header="0.3" footer="0.3"/>
  <pageSetup orientation="portrait" horizontalDpi="0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16</xdr:row>
                    <xdr:rowOff>133350</xdr:rowOff>
                  </from>
                  <to>
                    <xdr:col>4</xdr:col>
                    <xdr:colOff>123825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16</xdr:row>
                    <xdr:rowOff>133350</xdr:rowOff>
                  </from>
                  <to>
                    <xdr:col>5</xdr:col>
                    <xdr:colOff>428625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16</xdr:row>
                    <xdr:rowOff>133350</xdr:rowOff>
                  </from>
                  <to>
                    <xdr:col>7</xdr:col>
                    <xdr:colOff>47625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B4CB0A3-00B8-475A-92A0-1BA9CEC52A7B}">
          <x14:formula1>
            <xm:f>'Fairy Data'!$B$2:$B$100</xm:f>
          </x14:formula1>
          <xm:sqref>B32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F32</xm:sqref>
        </x14:dataValidation>
        <x14:dataValidation type="list" allowBlank="1" showInputMessage="1" showErrorMessage="1" xr:uid="{06958826-BBF5-42AA-8A78-E17E90DFB84E}">
          <x14:formula1>
            <xm:f>'Strat Buff Data'!$A$2:$A$1048576</xm:f>
          </x14:formula1>
          <xm:sqref>B64:B66</xm:sqref>
        </x14:dataValidation>
        <x14:dataValidation type="list" allowBlank="1" showInputMessage="1" showErrorMessage="1" xr:uid="{882D39E4-0DFD-474E-BCD7-89A0C10A1772}">
          <x14:formula1>
            <xm:f>Dropdowns!$B$2:$B$7</xm:f>
          </x14:formula1>
          <xm:sqref>C23:C27</xm:sqref>
        </x14:dataValidation>
        <x14:dataValidation type="list" allowBlank="1" showInputMessage="1" showErrorMessage="1" xr:uid="{505E3F99-36D1-4FBA-8505-68FFE338A732}">
          <x14:formula1>
            <xm:f>Dropdowns!$A$2:$A$6</xm:f>
          </x14:formula1>
          <xm:sqref>B23:B27</xm:sqref>
        </x14:dataValidation>
        <x14:dataValidation type="list" allowBlank="1" showInputMessage="1" showErrorMessage="1" xr:uid="{E488F357-3D9A-486E-AEDB-293B92DC63E7}">
          <x14:formula1>
            <xm:f>Dropdowns!$AH$1:$AV$1</xm:f>
          </x14:formula1>
          <xm:sqref>L23:L27 P23:P27 T23:T27</xm:sqref>
        </x14:dataValidation>
        <x14:dataValidation type="list" allowBlank="1" showInputMessage="1" showErrorMessage="1" xr:uid="{0F19E189-C5E9-4A1E-8506-C4F1BAA74258}">
          <x14:formula1>
            <xm:f>'SF Data'!$B$2:$B$1048576</xm:f>
          </x14:formula1>
          <xm:sqref>C39:C47</xm:sqref>
        </x14:dataValidation>
        <x14:dataValidation type="list" allowBlank="1" showInputMessage="1" showErrorMessage="1" xr:uid="{0BFAE09D-8ABD-4532-B293-F19B6F4D521B}">
          <x14:formula1>
            <xm:f>'SF Chip Data'!$B$2:$B$1048576</xm:f>
          </x14:formula1>
          <xm:sqref>M39:N47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48"/>
  <sheetViews>
    <sheetView workbookViewId="0">
      <selection activeCell="D19" sqref="D19:L23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233" t="s">
        <v>682</v>
      </c>
      <c r="E2" s="234"/>
      <c r="F2" s="234"/>
      <c r="G2" s="234"/>
      <c r="H2" s="234"/>
      <c r="I2" s="234"/>
      <c r="J2" s="234"/>
      <c r="K2" s="234"/>
      <c r="L2" s="235"/>
      <c r="M2" s="60"/>
      <c r="N2" s="233" t="s">
        <v>814</v>
      </c>
      <c r="O2" s="234"/>
      <c r="P2" s="234"/>
      <c r="Q2" s="235"/>
      <c r="R2" s="234" t="s">
        <v>815</v>
      </c>
      <c r="S2" s="234"/>
      <c r="T2" s="234"/>
      <c r="U2" s="235"/>
      <c r="V2" s="234" t="s">
        <v>816</v>
      </c>
      <c r="W2" s="234"/>
      <c r="X2" s="234"/>
      <c r="Y2" s="235"/>
    </row>
    <row r="3" spans="1:25" x14ac:dyDescent="0.25">
      <c r="A3" s="10" t="s">
        <v>1150</v>
      </c>
      <c r="D3" s="62" t="s">
        <v>385</v>
      </c>
      <c r="E3" s="63" t="s">
        <v>1</v>
      </c>
      <c r="F3" s="63" t="s">
        <v>8</v>
      </c>
      <c r="G3" s="63" t="s">
        <v>18</v>
      </c>
      <c r="H3" s="63" t="s">
        <v>384</v>
      </c>
      <c r="I3" s="63" t="s">
        <v>58</v>
      </c>
      <c r="J3" s="63" t="s">
        <v>59</v>
      </c>
      <c r="K3" s="63" t="s">
        <v>371</v>
      </c>
      <c r="L3" s="64" t="s">
        <v>60</v>
      </c>
      <c r="M3" s="60"/>
      <c r="N3" s="62" t="s">
        <v>812</v>
      </c>
      <c r="O3" s="63" t="s">
        <v>8</v>
      </c>
      <c r="P3" s="63" t="s">
        <v>18</v>
      </c>
      <c r="Q3" s="64" t="s">
        <v>813</v>
      </c>
      <c r="R3" s="63" t="s">
        <v>812</v>
      </c>
      <c r="S3" s="63" t="s">
        <v>8</v>
      </c>
      <c r="T3" s="63" t="s">
        <v>18</v>
      </c>
      <c r="U3" s="64" t="s">
        <v>813</v>
      </c>
      <c r="V3" s="63" t="s">
        <v>812</v>
      </c>
      <c r="W3" s="63" t="s">
        <v>8</v>
      </c>
      <c r="X3" s="63" t="s">
        <v>18</v>
      </c>
      <c r="Y3" s="64" t="s">
        <v>813</v>
      </c>
    </row>
    <row r="4" spans="1:25" x14ac:dyDescent="0.25">
      <c r="A4" t="s">
        <v>1143</v>
      </c>
      <c r="C4" t="s">
        <v>1140</v>
      </c>
      <c r="D4" s="106">
        <v>5</v>
      </c>
      <c r="E4" s="107" t="s">
        <v>6</v>
      </c>
      <c r="F4" s="108" t="s">
        <v>368</v>
      </c>
      <c r="G4" s="107">
        <v>115</v>
      </c>
      <c r="H4" s="107">
        <v>5</v>
      </c>
      <c r="I4" s="107">
        <v>10</v>
      </c>
      <c r="J4" s="107">
        <v>10</v>
      </c>
      <c r="K4" s="107">
        <v>3</v>
      </c>
      <c r="L4" s="108">
        <v>100</v>
      </c>
      <c r="M4" s="61"/>
      <c r="N4" s="52" t="s">
        <v>825</v>
      </c>
      <c r="O4" s="44" t="s">
        <v>628</v>
      </c>
      <c r="P4" s="44">
        <v>10</v>
      </c>
      <c r="Q4" s="54">
        <v>1</v>
      </c>
      <c r="R4" s="52" t="s">
        <v>811</v>
      </c>
      <c r="S4" s="44" t="s">
        <v>368</v>
      </c>
      <c r="T4" s="44">
        <v>10</v>
      </c>
      <c r="U4" s="54">
        <v>1</v>
      </c>
      <c r="V4" s="52" t="s">
        <v>861</v>
      </c>
      <c r="W4" s="44" t="s">
        <v>681</v>
      </c>
      <c r="X4" s="44">
        <v>10</v>
      </c>
      <c r="Y4" s="54">
        <v>1</v>
      </c>
    </row>
    <row r="5" spans="1:25" x14ac:dyDescent="0.25">
      <c r="A5" t="s">
        <v>1144</v>
      </c>
      <c r="D5" s="52">
        <v>4</v>
      </c>
      <c r="E5" s="44" t="s">
        <v>6</v>
      </c>
      <c r="F5" s="45" t="s">
        <v>991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811</v>
      </c>
      <c r="O5" s="44" t="s">
        <v>991</v>
      </c>
      <c r="P5" s="44">
        <v>10</v>
      </c>
      <c r="Q5" s="54">
        <v>1</v>
      </c>
      <c r="R5" s="52" t="s">
        <v>835</v>
      </c>
      <c r="S5" s="44" t="s">
        <v>644</v>
      </c>
      <c r="T5" s="44">
        <v>10</v>
      </c>
      <c r="U5" s="54">
        <v>1</v>
      </c>
      <c r="V5" s="52" t="s">
        <v>861</v>
      </c>
      <c r="W5" s="44" t="s">
        <v>681</v>
      </c>
      <c r="X5" s="44">
        <v>10</v>
      </c>
      <c r="Y5" s="54">
        <v>1</v>
      </c>
    </row>
    <row r="6" spans="1:25" x14ac:dyDescent="0.25">
      <c r="A6" t="s">
        <v>1145</v>
      </c>
      <c r="D6" s="52">
        <v>6</v>
      </c>
      <c r="E6" s="44" t="s">
        <v>3</v>
      </c>
      <c r="F6" s="45" t="s">
        <v>365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875</v>
      </c>
      <c r="O6" s="44" t="s">
        <v>663</v>
      </c>
      <c r="P6" s="44">
        <v>10</v>
      </c>
      <c r="Q6" s="54">
        <v>1</v>
      </c>
      <c r="R6" s="52" t="s">
        <v>9</v>
      </c>
      <c r="S6" s="44" t="s">
        <v>669</v>
      </c>
      <c r="T6" s="44">
        <v>10</v>
      </c>
      <c r="U6" s="54">
        <v>1</v>
      </c>
      <c r="V6" s="52" t="s">
        <v>850</v>
      </c>
      <c r="W6" s="44" t="s">
        <v>652</v>
      </c>
      <c r="X6" s="44">
        <v>10</v>
      </c>
      <c r="Y6" s="54">
        <v>1</v>
      </c>
    </row>
    <row r="7" spans="1:25" x14ac:dyDescent="0.25">
      <c r="A7" t="s">
        <v>1164</v>
      </c>
      <c r="D7" s="52">
        <v>5</v>
      </c>
      <c r="E7" s="44" t="s">
        <v>3</v>
      </c>
      <c r="F7" s="45" t="s">
        <v>923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875</v>
      </c>
      <c r="O7" s="44" t="s">
        <v>663</v>
      </c>
      <c r="P7" s="44">
        <v>10</v>
      </c>
      <c r="Q7" s="54">
        <v>1</v>
      </c>
      <c r="R7" s="52" t="s">
        <v>9</v>
      </c>
      <c r="S7" s="44" t="s">
        <v>669</v>
      </c>
      <c r="T7" s="44">
        <v>10</v>
      </c>
      <c r="U7" s="54">
        <v>1</v>
      </c>
      <c r="V7" s="52" t="s">
        <v>850</v>
      </c>
      <c r="W7" s="44" t="s">
        <v>652</v>
      </c>
      <c r="X7" s="44">
        <v>10</v>
      </c>
      <c r="Y7" s="54">
        <v>1</v>
      </c>
    </row>
    <row r="8" spans="1:25" x14ac:dyDescent="0.25">
      <c r="A8" t="s">
        <v>1142</v>
      </c>
      <c r="D8" s="53">
        <v>5</v>
      </c>
      <c r="E8" s="46" t="s">
        <v>3</v>
      </c>
      <c r="F8" s="47" t="s">
        <v>142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875</v>
      </c>
      <c r="O8" s="46" t="s">
        <v>663</v>
      </c>
      <c r="P8" s="46">
        <v>10</v>
      </c>
      <c r="Q8" s="55">
        <v>1</v>
      </c>
      <c r="R8" s="53" t="s">
        <v>9</v>
      </c>
      <c r="S8" s="46" t="s">
        <v>669</v>
      </c>
      <c r="T8" s="46">
        <v>10</v>
      </c>
      <c r="U8" s="55">
        <v>1</v>
      </c>
      <c r="V8" s="53" t="s">
        <v>850</v>
      </c>
      <c r="W8" s="46" t="s">
        <v>652</v>
      </c>
      <c r="X8" s="46">
        <v>10</v>
      </c>
      <c r="Y8" s="55">
        <v>1</v>
      </c>
    </row>
    <row r="9" spans="1:25" x14ac:dyDescent="0.25">
      <c r="A9" t="s">
        <v>1163</v>
      </c>
      <c r="C9" t="s">
        <v>1143</v>
      </c>
      <c r="D9" s="106">
        <v>5</v>
      </c>
      <c r="E9" s="107" t="s">
        <v>4</v>
      </c>
      <c r="F9" s="108" t="s">
        <v>286</v>
      </c>
      <c r="G9" s="107">
        <v>100</v>
      </c>
      <c r="H9" s="107">
        <v>5</v>
      </c>
      <c r="I9" s="107">
        <v>10</v>
      </c>
      <c r="J9" s="107">
        <v>0</v>
      </c>
      <c r="K9" s="107">
        <v>0</v>
      </c>
      <c r="L9" s="108">
        <v>100</v>
      </c>
      <c r="M9" s="61"/>
      <c r="N9" s="52" t="s">
        <v>825</v>
      </c>
      <c r="O9" s="44" t="s">
        <v>628</v>
      </c>
      <c r="P9" s="44">
        <v>10</v>
      </c>
      <c r="Q9" s="54">
        <v>1</v>
      </c>
      <c r="R9" s="52" t="s">
        <v>835</v>
      </c>
      <c r="S9" s="44" t="s">
        <v>644</v>
      </c>
      <c r="T9" s="44">
        <v>10</v>
      </c>
      <c r="U9" s="54">
        <v>1</v>
      </c>
      <c r="V9" s="52" t="s">
        <v>860</v>
      </c>
      <c r="W9" s="44" t="s">
        <v>665</v>
      </c>
      <c r="X9" s="44">
        <v>10</v>
      </c>
      <c r="Y9" s="54">
        <v>1</v>
      </c>
    </row>
    <row r="10" spans="1:25" x14ac:dyDescent="0.25">
      <c r="A10" t="s">
        <v>1141</v>
      </c>
      <c r="D10" s="52">
        <v>4</v>
      </c>
      <c r="E10" s="44" t="s">
        <v>4</v>
      </c>
      <c r="F10" s="45" t="s">
        <v>984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825</v>
      </c>
      <c r="O10" s="44" t="s">
        <v>628</v>
      </c>
      <c r="P10" s="44">
        <v>10</v>
      </c>
      <c r="Q10" s="54">
        <v>1</v>
      </c>
      <c r="R10" s="52" t="s">
        <v>835</v>
      </c>
      <c r="S10" s="44" t="s">
        <v>644</v>
      </c>
      <c r="T10" s="44">
        <v>10</v>
      </c>
      <c r="U10" s="54">
        <v>1</v>
      </c>
      <c r="V10" s="52" t="s">
        <v>860</v>
      </c>
      <c r="W10" s="44" t="s">
        <v>665</v>
      </c>
      <c r="X10" s="44">
        <v>10</v>
      </c>
      <c r="Y10" s="54">
        <v>1</v>
      </c>
    </row>
    <row r="11" spans="1:25" x14ac:dyDescent="0.25">
      <c r="A11" t="s">
        <v>1146</v>
      </c>
      <c r="D11" s="52">
        <v>5</v>
      </c>
      <c r="E11" s="44" t="s">
        <v>3</v>
      </c>
      <c r="F11" s="45" t="s">
        <v>336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811</v>
      </c>
      <c r="O11" s="44" t="s">
        <v>877</v>
      </c>
      <c r="P11" s="44">
        <v>10</v>
      </c>
      <c r="Q11" s="54">
        <v>1</v>
      </c>
      <c r="R11" s="52" t="s">
        <v>811</v>
      </c>
      <c r="S11" s="44" t="s">
        <v>880</v>
      </c>
      <c r="T11" s="44">
        <v>10</v>
      </c>
      <c r="U11" s="54">
        <v>1</v>
      </c>
      <c r="V11" s="52" t="s">
        <v>811</v>
      </c>
      <c r="W11" s="44" t="s">
        <v>883</v>
      </c>
      <c r="X11" s="44">
        <v>10</v>
      </c>
      <c r="Y11" s="54">
        <v>1</v>
      </c>
    </row>
    <row r="12" spans="1:25" x14ac:dyDescent="0.25">
      <c r="A12" t="s">
        <v>1140</v>
      </c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875</v>
      </c>
      <c r="O12" s="44" t="s">
        <v>663</v>
      </c>
      <c r="P12" s="44">
        <v>10</v>
      </c>
      <c r="Q12" s="54">
        <v>1</v>
      </c>
      <c r="R12" s="52" t="s">
        <v>9</v>
      </c>
      <c r="S12" s="44" t="s">
        <v>669</v>
      </c>
      <c r="T12" s="44">
        <v>10</v>
      </c>
      <c r="U12" s="54">
        <v>1</v>
      </c>
      <c r="V12" s="52" t="s">
        <v>850</v>
      </c>
      <c r="W12" s="44" t="s">
        <v>659</v>
      </c>
      <c r="X12" s="44">
        <v>10</v>
      </c>
      <c r="Y12" s="54">
        <v>1</v>
      </c>
    </row>
    <row r="13" spans="1:25" x14ac:dyDescent="0.25">
      <c r="D13" s="53">
        <v>5</v>
      </c>
      <c r="E13" s="46" t="s">
        <v>3</v>
      </c>
      <c r="F13" s="47" t="s">
        <v>266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875</v>
      </c>
      <c r="O13" s="46" t="s">
        <v>663</v>
      </c>
      <c r="P13" s="46">
        <v>10</v>
      </c>
      <c r="Q13" s="55">
        <v>1</v>
      </c>
      <c r="R13" s="53" t="s">
        <v>9</v>
      </c>
      <c r="S13" s="46" t="s">
        <v>669</v>
      </c>
      <c r="T13" s="46">
        <v>10</v>
      </c>
      <c r="U13" s="55">
        <v>1</v>
      </c>
      <c r="V13" s="53" t="s">
        <v>850</v>
      </c>
      <c r="W13" s="46" t="s">
        <v>652</v>
      </c>
      <c r="X13" s="46">
        <v>10</v>
      </c>
      <c r="Y13" s="55">
        <v>1</v>
      </c>
    </row>
    <row r="14" spans="1:25" x14ac:dyDescent="0.25">
      <c r="C14" t="s">
        <v>1144</v>
      </c>
      <c r="D14" s="106">
        <v>5</v>
      </c>
      <c r="E14" s="107" t="s">
        <v>4</v>
      </c>
      <c r="F14" s="108" t="s">
        <v>286</v>
      </c>
      <c r="G14" s="107">
        <v>100</v>
      </c>
      <c r="H14" s="107">
        <v>5</v>
      </c>
      <c r="I14" s="107">
        <v>10</v>
      </c>
      <c r="J14" s="107">
        <v>0</v>
      </c>
      <c r="K14" s="107">
        <v>0</v>
      </c>
      <c r="L14" s="108">
        <v>100</v>
      </c>
      <c r="M14" s="61"/>
      <c r="N14" s="52" t="s">
        <v>825</v>
      </c>
      <c r="O14" s="44" t="s">
        <v>628</v>
      </c>
      <c r="P14" s="44">
        <v>10</v>
      </c>
      <c r="Q14" s="54">
        <v>1</v>
      </c>
      <c r="R14" s="52" t="s">
        <v>835</v>
      </c>
      <c r="S14" s="44" t="s">
        <v>644</v>
      </c>
      <c r="T14" s="44">
        <v>10</v>
      </c>
      <c r="U14" s="54">
        <v>1</v>
      </c>
      <c r="V14" s="52" t="s">
        <v>860</v>
      </c>
      <c r="W14" s="44" t="s">
        <v>665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984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825</v>
      </c>
      <c r="O15" s="44" t="s">
        <v>628</v>
      </c>
      <c r="P15" s="44">
        <v>10</v>
      </c>
      <c r="Q15" s="54">
        <v>1</v>
      </c>
      <c r="R15" s="52" t="s">
        <v>835</v>
      </c>
      <c r="S15" s="44" t="s">
        <v>644</v>
      </c>
      <c r="T15" s="44">
        <v>10</v>
      </c>
      <c r="U15" s="54">
        <v>1</v>
      </c>
      <c r="V15" s="52" t="s">
        <v>860</v>
      </c>
      <c r="W15" s="44" t="s">
        <v>665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207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825</v>
      </c>
      <c r="O16" s="44" t="s">
        <v>628</v>
      </c>
      <c r="P16" s="44">
        <v>10</v>
      </c>
      <c r="Q16" s="54">
        <v>1</v>
      </c>
      <c r="R16" s="52" t="s">
        <v>835</v>
      </c>
      <c r="S16" s="44" t="s">
        <v>644</v>
      </c>
      <c r="T16" s="44">
        <v>10</v>
      </c>
      <c r="U16" s="54">
        <v>1</v>
      </c>
      <c r="V16" s="52" t="s">
        <v>860</v>
      </c>
      <c r="W16" s="44" t="s">
        <v>665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875</v>
      </c>
      <c r="O17" s="44" t="s">
        <v>663</v>
      </c>
      <c r="P17" s="44">
        <v>10</v>
      </c>
      <c r="Q17" s="54">
        <v>1</v>
      </c>
      <c r="R17" s="52" t="s">
        <v>9</v>
      </c>
      <c r="S17" s="44" t="s">
        <v>669</v>
      </c>
      <c r="T17" s="44">
        <v>10</v>
      </c>
      <c r="U17" s="54">
        <v>1</v>
      </c>
      <c r="V17" s="52" t="s">
        <v>850</v>
      </c>
      <c r="W17" s="44" t="s">
        <v>659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266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875</v>
      </c>
      <c r="O18" s="46" t="s">
        <v>663</v>
      </c>
      <c r="P18" s="46">
        <v>10</v>
      </c>
      <c r="Q18" s="55">
        <v>1</v>
      </c>
      <c r="R18" s="53" t="s">
        <v>9</v>
      </c>
      <c r="S18" s="46" t="s">
        <v>669</v>
      </c>
      <c r="T18" s="46">
        <v>10</v>
      </c>
      <c r="U18" s="55">
        <v>1</v>
      </c>
      <c r="V18" s="53" t="s">
        <v>850</v>
      </c>
      <c r="W18" s="46" t="s">
        <v>652</v>
      </c>
      <c r="X18" s="46">
        <v>10</v>
      </c>
      <c r="Y18" s="55">
        <v>1</v>
      </c>
    </row>
    <row r="19" spans="3:25" x14ac:dyDescent="0.25">
      <c r="C19" t="s">
        <v>1141</v>
      </c>
      <c r="D19" s="106">
        <v>5</v>
      </c>
      <c r="E19" s="107" t="s">
        <v>6</v>
      </c>
      <c r="F19" s="108" t="s">
        <v>368</v>
      </c>
      <c r="G19" s="107">
        <v>115</v>
      </c>
      <c r="H19" s="107">
        <v>5</v>
      </c>
      <c r="I19" s="107">
        <v>10</v>
      </c>
      <c r="J19" s="107">
        <v>10</v>
      </c>
      <c r="K19" s="107">
        <v>3</v>
      </c>
      <c r="L19" s="108">
        <v>100</v>
      </c>
      <c r="M19" s="61"/>
      <c r="N19" s="52" t="s">
        <v>825</v>
      </c>
      <c r="O19" s="44" t="s">
        <v>628</v>
      </c>
      <c r="P19" s="44">
        <v>10</v>
      </c>
      <c r="Q19" s="54">
        <v>1</v>
      </c>
      <c r="R19" s="52" t="s">
        <v>811</v>
      </c>
      <c r="S19" s="44" t="s">
        <v>368</v>
      </c>
      <c r="T19" s="44">
        <v>10</v>
      </c>
      <c r="U19" s="54">
        <v>1</v>
      </c>
      <c r="V19" s="52" t="s">
        <v>861</v>
      </c>
      <c r="W19" s="44" t="s">
        <v>681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944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825</v>
      </c>
      <c r="O20" s="44" t="s">
        <v>628</v>
      </c>
      <c r="P20" s="44">
        <v>10</v>
      </c>
      <c r="Q20" s="54">
        <v>1</v>
      </c>
      <c r="R20" s="52" t="s">
        <v>835</v>
      </c>
      <c r="S20" s="44" t="s">
        <v>644</v>
      </c>
      <c r="T20" s="44">
        <v>10</v>
      </c>
      <c r="U20" s="54">
        <v>1</v>
      </c>
      <c r="V20" s="52" t="s">
        <v>861</v>
      </c>
      <c r="W20" s="44" t="s">
        <v>681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365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875</v>
      </c>
      <c r="O21" s="44" t="s">
        <v>663</v>
      </c>
      <c r="P21" s="44">
        <v>10</v>
      </c>
      <c r="Q21" s="54">
        <v>1</v>
      </c>
      <c r="R21" s="52" t="s">
        <v>9</v>
      </c>
      <c r="S21" s="44" t="s">
        <v>669</v>
      </c>
      <c r="T21" s="44">
        <v>10</v>
      </c>
      <c r="U21" s="54">
        <v>1</v>
      </c>
      <c r="V21" s="52" t="s">
        <v>850</v>
      </c>
      <c r="W21" s="44" t="s">
        <v>652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363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875</v>
      </c>
      <c r="O22" s="44" t="s">
        <v>663</v>
      </c>
      <c r="P22" s="44">
        <v>10</v>
      </c>
      <c r="Q22" s="54">
        <v>1</v>
      </c>
      <c r="R22" s="52" t="s">
        <v>9</v>
      </c>
      <c r="S22" s="44" t="s">
        <v>669</v>
      </c>
      <c r="T22" s="44">
        <v>10</v>
      </c>
      <c r="U22" s="54">
        <v>1</v>
      </c>
      <c r="V22" s="52" t="s">
        <v>850</v>
      </c>
      <c r="W22" s="44" t="s">
        <v>652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970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875</v>
      </c>
      <c r="O23" s="46" t="s">
        <v>663</v>
      </c>
      <c r="P23" s="46">
        <v>10</v>
      </c>
      <c r="Q23" s="55">
        <v>1</v>
      </c>
      <c r="R23" s="53" t="s">
        <v>9</v>
      </c>
      <c r="S23" s="46" t="s">
        <v>669</v>
      </c>
      <c r="T23" s="46">
        <v>10</v>
      </c>
      <c r="U23" s="55">
        <v>1</v>
      </c>
      <c r="V23" s="53" t="s">
        <v>850</v>
      </c>
      <c r="W23" s="46" t="s">
        <v>652</v>
      </c>
      <c r="X23" s="46">
        <v>10</v>
      </c>
      <c r="Y23" s="55">
        <v>1</v>
      </c>
    </row>
    <row r="24" spans="3:25" x14ac:dyDescent="0.25">
      <c r="C24" t="s">
        <v>1142</v>
      </c>
      <c r="D24" s="106">
        <v>6</v>
      </c>
      <c r="E24" s="107" t="s">
        <v>2</v>
      </c>
      <c r="F24" s="108" t="s">
        <v>360</v>
      </c>
      <c r="G24" s="107">
        <v>120</v>
      </c>
      <c r="H24" s="107">
        <v>5</v>
      </c>
      <c r="I24" s="107">
        <v>10</v>
      </c>
      <c r="J24" s="107">
        <v>10</v>
      </c>
      <c r="K24" s="107">
        <v>3</v>
      </c>
      <c r="L24" s="108">
        <v>100</v>
      </c>
      <c r="M24" s="61"/>
      <c r="N24" s="52" t="s">
        <v>811</v>
      </c>
      <c r="O24" s="44" t="s">
        <v>301</v>
      </c>
      <c r="P24" s="44">
        <v>10</v>
      </c>
      <c r="Q24" s="54">
        <v>1</v>
      </c>
      <c r="R24" s="52" t="s">
        <v>845</v>
      </c>
      <c r="S24" s="44" t="s">
        <v>648</v>
      </c>
      <c r="T24" s="44">
        <v>10</v>
      </c>
      <c r="U24" s="54">
        <v>1</v>
      </c>
      <c r="V24" s="52" t="s">
        <v>811</v>
      </c>
      <c r="W24" s="44" t="s">
        <v>360</v>
      </c>
      <c r="X24" s="44">
        <v>10</v>
      </c>
      <c r="Y24" s="54">
        <v>1</v>
      </c>
    </row>
    <row r="25" spans="3:25" x14ac:dyDescent="0.25">
      <c r="D25" s="52">
        <v>5</v>
      </c>
      <c r="E25" s="44" t="s">
        <v>3</v>
      </c>
      <c r="F25" s="45" t="s">
        <v>369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875</v>
      </c>
      <c r="O25" s="44" t="s">
        <v>663</v>
      </c>
      <c r="P25" s="44">
        <v>10</v>
      </c>
      <c r="Q25" s="54">
        <v>1</v>
      </c>
      <c r="R25" s="52" t="s">
        <v>9</v>
      </c>
      <c r="S25" s="44" t="s">
        <v>669</v>
      </c>
      <c r="T25" s="44">
        <v>10</v>
      </c>
      <c r="U25" s="54">
        <v>1</v>
      </c>
      <c r="V25" s="52" t="s">
        <v>850</v>
      </c>
      <c r="W25" s="44" t="s">
        <v>652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355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825</v>
      </c>
      <c r="O26" s="44" t="s">
        <v>628</v>
      </c>
      <c r="P26" s="44">
        <v>10</v>
      </c>
      <c r="Q26" s="54">
        <v>1</v>
      </c>
      <c r="R26" s="52" t="s">
        <v>811</v>
      </c>
      <c r="S26" s="44" t="s">
        <v>355</v>
      </c>
      <c r="T26" s="44">
        <v>10</v>
      </c>
      <c r="U26" s="54">
        <v>1</v>
      </c>
      <c r="V26" s="52" t="s">
        <v>861</v>
      </c>
      <c r="W26" s="44" t="s">
        <v>681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148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875</v>
      </c>
      <c r="O27" s="44" t="s">
        <v>663</v>
      </c>
      <c r="P27" s="44">
        <v>10</v>
      </c>
      <c r="Q27" s="54">
        <v>1</v>
      </c>
      <c r="R27" s="52" t="s">
        <v>9</v>
      </c>
      <c r="S27" s="44" t="s">
        <v>669</v>
      </c>
      <c r="T27" s="44">
        <v>10</v>
      </c>
      <c r="U27" s="54">
        <v>1</v>
      </c>
      <c r="V27" s="52" t="s">
        <v>850</v>
      </c>
      <c r="W27" s="44" t="s">
        <v>652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266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875</v>
      </c>
      <c r="O28" s="46" t="s">
        <v>663</v>
      </c>
      <c r="P28" s="46">
        <v>10</v>
      </c>
      <c r="Q28" s="55">
        <v>1</v>
      </c>
      <c r="R28" s="53" t="s">
        <v>9</v>
      </c>
      <c r="S28" s="46" t="s">
        <v>669</v>
      </c>
      <c r="T28" s="46">
        <v>10</v>
      </c>
      <c r="U28" s="55">
        <v>1</v>
      </c>
      <c r="V28" s="53" t="s">
        <v>850</v>
      </c>
      <c r="W28" s="46" t="s">
        <v>652</v>
      </c>
      <c r="X28" s="46">
        <v>10</v>
      </c>
      <c r="Y28" s="55">
        <v>1</v>
      </c>
    </row>
    <row r="29" spans="3:25" x14ac:dyDescent="0.25">
      <c r="C29" t="s">
        <v>1146</v>
      </c>
      <c r="D29" s="106">
        <v>5</v>
      </c>
      <c r="E29" s="107" t="s">
        <v>2</v>
      </c>
      <c r="F29" s="108" t="s">
        <v>356</v>
      </c>
      <c r="G29" s="107">
        <v>115</v>
      </c>
      <c r="H29" s="107">
        <v>5</v>
      </c>
      <c r="I29" s="107">
        <v>10</v>
      </c>
      <c r="J29" s="107">
        <v>10</v>
      </c>
      <c r="K29" s="107">
        <v>3</v>
      </c>
      <c r="L29" s="108">
        <v>100</v>
      </c>
      <c r="M29" s="61"/>
      <c r="N29" s="52" t="s">
        <v>825</v>
      </c>
      <c r="O29" s="44" t="s">
        <v>628</v>
      </c>
      <c r="P29" s="44">
        <v>10</v>
      </c>
      <c r="Q29" s="54">
        <v>1</v>
      </c>
      <c r="R29" s="52" t="s">
        <v>845</v>
      </c>
      <c r="S29" s="44" t="s">
        <v>648</v>
      </c>
      <c r="T29" s="44">
        <v>10</v>
      </c>
      <c r="U29" s="54">
        <v>1</v>
      </c>
      <c r="V29" s="52" t="s">
        <v>811</v>
      </c>
      <c r="W29" s="44" t="s">
        <v>356</v>
      </c>
      <c r="X29" s="44">
        <v>10</v>
      </c>
      <c r="Y29" s="54">
        <v>1</v>
      </c>
    </row>
    <row r="30" spans="3:25" x14ac:dyDescent="0.25">
      <c r="D30" s="52">
        <v>5</v>
      </c>
      <c r="E30" s="44" t="s">
        <v>6</v>
      </c>
      <c r="F30" s="45" t="s">
        <v>228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825</v>
      </c>
      <c r="O30" s="44" t="s">
        <v>628</v>
      </c>
      <c r="P30" s="44">
        <v>10</v>
      </c>
      <c r="Q30" s="54">
        <v>1</v>
      </c>
      <c r="R30" s="52" t="s">
        <v>835</v>
      </c>
      <c r="S30" s="44" t="s">
        <v>644</v>
      </c>
      <c r="T30" s="44">
        <v>10</v>
      </c>
      <c r="U30" s="54">
        <v>1</v>
      </c>
      <c r="V30" s="52" t="s">
        <v>861</v>
      </c>
      <c r="W30" s="44" t="s">
        <v>681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365</v>
      </c>
      <c r="G31" s="44">
        <v>110</v>
      </c>
      <c r="H31" s="44">
        <v>5</v>
      </c>
      <c r="I31" s="44">
        <v>10</v>
      </c>
      <c r="J31" s="44">
        <v>0</v>
      </c>
      <c r="K31" s="44">
        <v>2</v>
      </c>
      <c r="L31" s="45">
        <v>100</v>
      </c>
      <c r="M31" s="61"/>
      <c r="N31" s="52" t="s">
        <v>875</v>
      </c>
      <c r="O31" s="44" t="s">
        <v>663</v>
      </c>
      <c r="P31" s="44">
        <v>10</v>
      </c>
      <c r="Q31" s="54">
        <v>1</v>
      </c>
      <c r="R31" s="52" t="s">
        <v>9</v>
      </c>
      <c r="S31" s="44" t="s">
        <v>669</v>
      </c>
      <c r="T31" s="44">
        <v>10</v>
      </c>
      <c r="U31" s="54">
        <v>1</v>
      </c>
      <c r="V31" s="52" t="s">
        <v>850</v>
      </c>
      <c r="W31" s="44" t="s">
        <v>652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266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875</v>
      </c>
      <c r="O32" s="44" t="s">
        <v>663</v>
      </c>
      <c r="P32" s="44">
        <v>10</v>
      </c>
      <c r="Q32" s="54">
        <v>1</v>
      </c>
      <c r="R32" s="52" t="s">
        <v>9</v>
      </c>
      <c r="S32" s="44" t="s">
        <v>669</v>
      </c>
      <c r="T32" s="44">
        <v>10</v>
      </c>
      <c r="U32" s="54">
        <v>1</v>
      </c>
      <c r="V32" s="52" t="s">
        <v>850</v>
      </c>
      <c r="W32" s="44" t="s">
        <v>652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858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811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669</v>
      </c>
      <c r="T33" s="46">
        <v>10</v>
      </c>
      <c r="U33" s="55">
        <v>1</v>
      </c>
      <c r="V33" s="53" t="s">
        <v>850</v>
      </c>
      <c r="W33" s="46" t="s">
        <v>652</v>
      </c>
      <c r="X33" s="46">
        <v>10</v>
      </c>
      <c r="Y33" s="55">
        <v>1</v>
      </c>
    </row>
    <row r="34" spans="3:25" x14ac:dyDescent="0.25">
      <c r="C34" t="s">
        <v>1145</v>
      </c>
      <c r="D34" s="106">
        <v>5</v>
      </c>
      <c r="E34" s="107" t="s">
        <v>3</v>
      </c>
      <c r="F34" s="108" t="s">
        <v>328</v>
      </c>
      <c r="G34" s="107">
        <v>100</v>
      </c>
      <c r="H34" s="107">
        <v>5</v>
      </c>
      <c r="I34" s="107">
        <v>10</v>
      </c>
      <c r="J34" s="107">
        <v>0</v>
      </c>
      <c r="K34" s="107">
        <v>0</v>
      </c>
      <c r="L34" s="108">
        <v>100</v>
      </c>
      <c r="M34" s="61"/>
      <c r="N34" s="52" t="s">
        <v>875</v>
      </c>
      <c r="O34" s="44" t="s">
        <v>663</v>
      </c>
      <c r="P34" s="44">
        <v>10</v>
      </c>
      <c r="Q34" s="54">
        <v>1</v>
      </c>
      <c r="R34" s="52" t="s">
        <v>9</v>
      </c>
      <c r="S34" s="44" t="s">
        <v>669</v>
      </c>
      <c r="T34" s="44">
        <v>10</v>
      </c>
      <c r="U34" s="54">
        <v>1</v>
      </c>
      <c r="V34" s="52" t="s">
        <v>850</v>
      </c>
      <c r="W34" s="44" t="s">
        <v>659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875</v>
      </c>
      <c r="O35" s="44" t="s">
        <v>663</v>
      </c>
      <c r="P35" s="44">
        <v>10</v>
      </c>
      <c r="Q35" s="54">
        <v>1</v>
      </c>
      <c r="R35" s="52" t="s">
        <v>9</v>
      </c>
      <c r="S35" s="44" t="s">
        <v>669</v>
      </c>
      <c r="T35" s="44">
        <v>10</v>
      </c>
      <c r="U35" s="54">
        <v>1</v>
      </c>
      <c r="V35" s="52" t="s">
        <v>850</v>
      </c>
      <c r="W35" s="44" t="s">
        <v>659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365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875</v>
      </c>
      <c r="O36" s="44" t="s">
        <v>663</v>
      </c>
      <c r="P36" s="44">
        <v>10</v>
      </c>
      <c r="Q36" s="54">
        <v>1</v>
      </c>
      <c r="R36" s="52" t="s">
        <v>9</v>
      </c>
      <c r="S36" s="44" t="s">
        <v>669</v>
      </c>
      <c r="T36" s="44">
        <v>10</v>
      </c>
      <c r="U36" s="54">
        <v>1</v>
      </c>
      <c r="V36" s="52" t="s">
        <v>850</v>
      </c>
      <c r="W36" s="44" t="s">
        <v>652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252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875</v>
      </c>
      <c r="O37" s="44" t="s">
        <v>663</v>
      </c>
      <c r="P37" s="44">
        <v>10</v>
      </c>
      <c r="Q37" s="54">
        <v>1</v>
      </c>
      <c r="R37" s="52" t="s">
        <v>9</v>
      </c>
      <c r="S37" s="44" t="s">
        <v>669</v>
      </c>
      <c r="T37" s="44">
        <v>10</v>
      </c>
      <c r="U37" s="54">
        <v>1</v>
      </c>
      <c r="V37" s="52" t="s">
        <v>850</v>
      </c>
      <c r="W37" s="44" t="s">
        <v>652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266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875</v>
      </c>
      <c r="O38" s="46" t="s">
        <v>663</v>
      </c>
      <c r="P38" s="46">
        <v>10</v>
      </c>
      <c r="Q38" s="55">
        <v>1</v>
      </c>
      <c r="R38" s="53" t="s">
        <v>9</v>
      </c>
      <c r="S38" s="46" t="s">
        <v>669</v>
      </c>
      <c r="T38" s="46">
        <v>10</v>
      </c>
      <c r="U38" s="55">
        <v>1</v>
      </c>
      <c r="V38" s="53" t="s">
        <v>850</v>
      </c>
      <c r="W38" s="46" t="s">
        <v>652</v>
      </c>
      <c r="X38" s="46">
        <v>10</v>
      </c>
      <c r="Y38" s="55">
        <v>1</v>
      </c>
    </row>
    <row r="39" spans="3:25" x14ac:dyDescent="0.25">
      <c r="C39" t="s">
        <v>1163</v>
      </c>
      <c r="D39" s="106">
        <v>5</v>
      </c>
      <c r="E39" s="107" t="s">
        <v>4</v>
      </c>
      <c r="F39" s="108" t="s">
        <v>286</v>
      </c>
      <c r="G39" s="107">
        <v>100</v>
      </c>
      <c r="H39" s="107">
        <v>5</v>
      </c>
      <c r="I39" s="107">
        <v>10</v>
      </c>
      <c r="J39" s="107">
        <v>0</v>
      </c>
      <c r="K39" s="107">
        <v>0</v>
      </c>
      <c r="L39" s="108">
        <v>100</v>
      </c>
      <c r="M39" s="61"/>
      <c r="N39" s="52" t="s">
        <v>825</v>
      </c>
      <c r="O39" s="44" t="s">
        <v>628</v>
      </c>
      <c r="P39" s="44">
        <v>10</v>
      </c>
      <c r="Q39" s="54">
        <v>1</v>
      </c>
      <c r="R39" s="52" t="s">
        <v>835</v>
      </c>
      <c r="S39" s="44" t="s">
        <v>644</v>
      </c>
      <c r="T39" s="44">
        <v>10</v>
      </c>
      <c r="U39" s="54">
        <v>1</v>
      </c>
      <c r="V39" s="52" t="s">
        <v>835</v>
      </c>
      <c r="W39" s="44" t="s">
        <v>644</v>
      </c>
      <c r="X39" s="44">
        <v>10</v>
      </c>
      <c r="Y39" s="54">
        <v>1</v>
      </c>
    </row>
    <row r="40" spans="3:25" x14ac:dyDescent="0.25">
      <c r="D40" s="52">
        <v>5</v>
      </c>
      <c r="E40" s="44" t="s">
        <v>4</v>
      </c>
      <c r="F40" s="45" t="s">
        <v>921</v>
      </c>
      <c r="G40" s="44">
        <v>100</v>
      </c>
      <c r="H40" s="44">
        <v>5</v>
      </c>
      <c r="I40" s="44">
        <v>10</v>
      </c>
      <c r="J40" s="44">
        <v>0</v>
      </c>
      <c r="K40" s="44">
        <v>0</v>
      </c>
      <c r="L40" s="45">
        <v>100</v>
      </c>
      <c r="M40" s="61"/>
      <c r="N40" s="52" t="s">
        <v>825</v>
      </c>
      <c r="O40" s="44" t="s">
        <v>628</v>
      </c>
      <c r="P40" s="44">
        <v>10</v>
      </c>
      <c r="Q40" s="54">
        <v>1</v>
      </c>
      <c r="R40" s="52" t="s">
        <v>835</v>
      </c>
      <c r="S40" s="44" t="s">
        <v>644</v>
      </c>
      <c r="T40" s="44">
        <v>10</v>
      </c>
      <c r="U40" s="54">
        <v>1</v>
      </c>
      <c r="V40" s="52" t="s">
        <v>835</v>
      </c>
      <c r="W40" s="44" t="s">
        <v>644</v>
      </c>
      <c r="X40" s="44">
        <v>10</v>
      </c>
      <c r="Y40" s="54">
        <v>1</v>
      </c>
    </row>
    <row r="41" spans="3:25" x14ac:dyDescent="0.25">
      <c r="D41" s="52">
        <v>5</v>
      </c>
      <c r="E41" s="44" t="s">
        <v>4</v>
      </c>
      <c r="F41" s="45" t="s">
        <v>156</v>
      </c>
      <c r="G41" s="44">
        <v>100</v>
      </c>
      <c r="H41" s="44">
        <v>5</v>
      </c>
      <c r="I41" s="44">
        <v>10</v>
      </c>
      <c r="J41" s="44">
        <v>0</v>
      </c>
      <c r="K41" s="44">
        <v>0</v>
      </c>
      <c r="L41" s="45">
        <v>100</v>
      </c>
      <c r="M41" s="61"/>
      <c r="N41" s="52" t="s">
        <v>825</v>
      </c>
      <c r="O41" s="44" t="s">
        <v>628</v>
      </c>
      <c r="P41" s="44">
        <v>10</v>
      </c>
      <c r="Q41" s="54">
        <v>1</v>
      </c>
      <c r="R41" s="52" t="s">
        <v>835</v>
      </c>
      <c r="S41" s="44" t="s">
        <v>644</v>
      </c>
      <c r="T41" s="44">
        <v>10</v>
      </c>
      <c r="U41" s="54">
        <v>1</v>
      </c>
      <c r="V41" s="52" t="s">
        <v>835</v>
      </c>
      <c r="W41" s="44" t="s">
        <v>644</v>
      </c>
      <c r="X41" s="44">
        <v>10</v>
      </c>
      <c r="Y41" s="54">
        <v>1</v>
      </c>
    </row>
    <row r="42" spans="3:25" x14ac:dyDescent="0.25">
      <c r="D42" s="52">
        <v>5</v>
      </c>
      <c r="E42" s="44" t="s">
        <v>5</v>
      </c>
      <c r="F42" s="45" t="s">
        <v>195</v>
      </c>
      <c r="G42" s="44">
        <v>100</v>
      </c>
      <c r="H42" s="44">
        <v>5</v>
      </c>
      <c r="I42" s="44">
        <v>10</v>
      </c>
      <c r="J42" s="44">
        <v>0</v>
      </c>
      <c r="K42" s="44">
        <v>0</v>
      </c>
      <c r="L42" s="45">
        <v>100</v>
      </c>
      <c r="M42" s="61"/>
      <c r="N42" s="52" t="s">
        <v>828</v>
      </c>
      <c r="O42" s="44" t="s">
        <v>636</v>
      </c>
      <c r="P42" s="44">
        <v>10</v>
      </c>
      <c r="Q42" s="54">
        <v>1</v>
      </c>
      <c r="R42" s="52" t="s">
        <v>874</v>
      </c>
      <c r="S42" s="44" t="s">
        <v>673</v>
      </c>
      <c r="T42" s="44">
        <v>10</v>
      </c>
      <c r="U42" s="54">
        <v>1</v>
      </c>
      <c r="V42" s="52" t="s">
        <v>747</v>
      </c>
      <c r="W42" s="44" t="s">
        <v>655</v>
      </c>
      <c r="X42" s="44">
        <v>10</v>
      </c>
      <c r="Y42" s="54">
        <v>1</v>
      </c>
    </row>
    <row r="43" spans="3:25" x14ac:dyDescent="0.25">
      <c r="D43" s="53">
        <v>5</v>
      </c>
      <c r="E43" s="46" t="s">
        <v>3</v>
      </c>
      <c r="F43" s="47" t="s">
        <v>266</v>
      </c>
      <c r="G43" s="46">
        <v>100</v>
      </c>
      <c r="H43" s="46">
        <v>5</v>
      </c>
      <c r="I43" s="46">
        <v>10</v>
      </c>
      <c r="J43" s="46">
        <v>0</v>
      </c>
      <c r="K43" s="46">
        <v>0</v>
      </c>
      <c r="L43" s="47">
        <v>100</v>
      </c>
      <c r="M43" s="61"/>
      <c r="N43" s="53" t="s">
        <v>875</v>
      </c>
      <c r="O43" s="46" t="s">
        <v>663</v>
      </c>
      <c r="P43" s="46">
        <v>10</v>
      </c>
      <c r="Q43" s="55">
        <v>1</v>
      </c>
      <c r="R43" s="53" t="s">
        <v>9</v>
      </c>
      <c r="S43" s="46" t="s">
        <v>669</v>
      </c>
      <c r="T43" s="46">
        <v>10</v>
      </c>
      <c r="U43" s="55">
        <v>1</v>
      </c>
      <c r="V43" s="53" t="s">
        <v>850</v>
      </c>
      <c r="W43" s="46" t="s">
        <v>652</v>
      </c>
      <c r="X43" s="46">
        <v>10</v>
      </c>
      <c r="Y43" s="55">
        <v>1</v>
      </c>
    </row>
    <row r="44" spans="3:25" x14ac:dyDescent="0.25">
      <c r="C44" t="s">
        <v>1164</v>
      </c>
      <c r="D44" s="106">
        <v>6</v>
      </c>
      <c r="E44" s="107" t="s">
        <v>2</v>
      </c>
      <c r="F44" s="108" t="s">
        <v>360</v>
      </c>
      <c r="G44" s="107">
        <v>120</v>
      </c>
      <c r="H44" s="107">
        <v>5</v>
      </c>
      <c r="I44" s="107">
        <v>10</v>
      </c>
      <c r="J44" s="107">
        <v>10</v>
      </c>
      <c r="K44" s="107">
        <v>3</v>
      </c>
      <c r="L44" s="108">
        <v>100</v>
      </c>
      <c r="M44" s="61"/>
      <c r="N44" s="52" t="s">
        <v>811</v>
      </c>
      <c r="O44" s="44" t="s">
        <v>301</v>
      </c>
      <c r="P44" s="44">
        <v>10</v>
      </c>
      <c r="Q44" s="54">
        <v>1</v>
      </c>
      <c r="R44" s="52" t="s">
        <v>845</v>
      </c>
      <c r="S44" s="44" t="s">
        <v>648</v>
      </c>
      <c r="T44" s="44">
        <v>10</v>
      </c>
      <c r="U44" s="54">
        <v>1</v>
      </c>
      <c r="V44" s="52"/>
      <c r="W44" s="44"/>
      <c r="X44" s="44"/>
      <c r="Y44" s="54"/>
    </row>
    <row r="45" spans="3:25" x14ac:dyDescent="0.25">
      <c r="D45" s="52">
        <v>5</v>
      </c>
      <c r="E45" s="44" t="s">
        <v>4</v>
      </c>
      <c r="F45" s="45" t="s">
        <v>286</v>
      </c>
      <c r="G45" s="44">
        <v>100</v>
      </c>
      <c r="H45" s="44">
        <v>5</v>
      </c>
      <c r="I45" s="44">
        <v>10</v>
      </c>
      <c r="J45" s="44">
        <v>0</v>
      </c>
      <c r="K45" s="44">
        <v>0</v>
      </c>
      <c r="L45" s="45">
        <v>100</v>
      </c>
      <c r="M45" s="61"/>
      <c r="N45" s="52" t="s">
        <v>825</v>
      </c>
      <c r="O45" s="44" t="s">
        <v>628</v>
      </c>
      <c r="P45" s="44">
        <v>10</v>
      </c>
      <c r="Q45" s="54">
        <v>1</v>
      </c>
      <c r="R45" s="52" t="s">
        <v>835</v>
      </c>
      <c r="S45" s="44" t="s">
        <v>644</v>
      </c>
      <c r="T45" s="44">
        <v>10</v>
      </c>
      <c r="U45" s="54">
        <v>1</v>
      </c>
      <c r="V45" s="52" t="s">
        <v>860</v>
      </c>
      <c r="W45" s="44" t="s">
        <v>665</v>
      </c>
      <c r="X45" s="44">
        <v>10</v>
      </c>
      <c r="Y45" s="54">
        <v>1</v>
      </c>
    </row>
    <row r="46" spans="3:25" x14ac:dyDescent="0.25">
      <c r="D46" s="52">
        <v>5</v>
      </c>
      <c r="E46" s="44" t="s">
        <v>6</v>
      </c>
      <c r="F46" s="45" t="s">
        <v>228</v>
      </c>
      <c r="G46" s="44">
        <v>100</v>
      </c>
      <c r="H46" s="44">
        <v>5</v>
      </c>
      <c r="I46" s="44">
        <v>10</v>
      </c>
      <c r="J46" s="44">
        <v>0</v>
      </c>
      <c r="K46" s="44">
        <v>0</v>
      </c>
      <c r="L46" s="45">
        <v>100</v>
      </c>
      <c r="M46" s="61"/>
      <c r="N46" s="52" t="s">
        <v>825</v>
      </c>
      <c r="O46" s="44" t="s">
        <v>628</v>
      </c>
      <c r="P46" s="44">
        <v>10</v>
      </c>
      <c r="Q46" s="54">
        <v>1</v>
      </c>
      <c r="R46" s="52" t="s">
        <v>835</v>
      </c>
      <c r="S46" s="44" t="s">
        <v>644</v>
      </c>
      <c r="T46" s="44">
        <v>10</v>
      </c>
      <c r="U46" s="54">
        <v>1</v>
      </c>
      <c r="V46" s="52" t="s">
        <v>861</v>
      </c>
      <c r="W46" s="44" t="s">
        <v>681</v>
      </c>
      <c r="X46" s="44">
        <v>10</v>
      </c>
      <c r="Y46" s="54">
        <v>1</v>
      </c>
    </row>
    <row r="47" spans="3:25" x14ac:dyDescent="0.25">
      <c r="D47" s="52">
        <v>4</v>
      </c>
      <c r="E47" s="44" t="s">
        <v>3</v>
      </c>
      <c r="F47" s="45" t="s">
        <v>145</v>
      </c>
      <c r="G47" s="44">
        <v>100</v>
      </c>
      <c r="H47" s="44">
        <v>5</v>
      </c>
      <c r="I47" s="44">
        <v>10</v>
      </c>
      <c r="J47" s="44">
        <v>0</v>
      </c>
      <c r="K47" s="44">
        <v>0</v>
      </c>
      <c r="L47" s="45">
        <v>100</v>
      </c>
      <c r="M47" s="61"/>
      <c r="N47" s="52" t="s">
        <v>875</v>
      </c>
      <c r="O47" s="44" t="s">
        <v>663</v>
      </c>
      <c r="P47" s="44">
        <v>10</v>
      </c>
      <c r="Q47" s="54">
        <v>1</v>
      </c>
      <c r="R47" s="52" t="s">
        <v>9</v>
      </c>
      <c r="S47" s="44" t="s">
        <v>669</v>
      </c>
      <c r="T47" s="44">
        <v>10</v>
      </c>
      <c r="U47" s="54">
        <v>1</v>
      </c>
      <c r="V47" s="52" t="s">
        <v>850</v>
      </c>
      <c r="W47" s="44" t="s">
        <v>652</v>
      </c>
      <c r="X47" s="44">
        <v>10</v>
      </c>
      <c r="Y47" s="54">
        <v>1</v>
      </c>
    </row>
    <row r="48" spans="3:25" x14ac:dyDescent="0.25">
      <c r="D48" s="53">
        <v>5</v>
      </c>
      <c r="E48" s="46" t="s">
        <v>3</v>
      </c>
      <c r="F48" s="47" t="s">
        <v>266</v>
      </c>
      <c r="G48" s="46">
        <v>100</v>
      </c>
      <c r="H48" s="46">
        <v>5</v>
      </c>
      <c r="I48" s="46">
        <v>10</v>
      </c>
      <c r="J48" s="46">
        <v>0</v>
      </c>
      <c r="K48" s="46">
        <v>0</v>
      </c>
      <c r="L48" s="47">
        <v>100</v>
      </c>
      <c r="M48" s="61"/>
      <c r="N48" s="53" t="s">
        <v>875</v>
      </c>
      <c r="O48" s="46" t="s">
        <v>663</v>
      </c>
      <c r="P48" s="46">
        <v>10</v>
      </c>
      <c r="Q48" s="55">
        <v>1</v>
      </c>
      <c r="R48" s="53" t="s">
        <v>9</v>
      </c>
      <c r="S48" s="46" t="s">
        <v>669</v>
      </c>
      <c r="T48" s="46">
        <v>10</v>
      </c>
      <c r="U48" s="55">
        <v>1</v>
      </c>
      <c r="V48" s="53" t="s">
        <v>850</v>
      </c>
      <c r="W48" s="46" t="s">
        <v>652</v>
      </c>
      <c r="X48" s="46">
        <v>10</v>
      </c>
      <c r="Y48" s="55">
        <v>1</v>
      </c>
    </row>
  </sheetData>
  <sortState ref="A4:A48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4:J28 P24:P28 T24:T28 X24:X28 J39:J48 P39:P48 T39:T48 X39:X48" xr:uid="{B22891FB-9754-4FD6-8D2A-45B78D32A93E}">
      <formula1>"0,1,2,3,4,5,6,7,8,9,10"</formula1>
    </dataValidation>
    <dataValidation type="list" allowBlank="1" showInputMessage="1" showErrorMessage="1" sqref="O24:O28 S24:S28 W24:W28 O39:O48 S39:S48 W39:W48" xr:uid="{6D9FE268-71E4-48E8-A12F-B3FE8DD99E08}">
      <formula1>DollEq</formula1>
    </dataValidation>
    <dataValidation type="whole" allowBlank="1" showInputMessage="1" showErrorMessage="1" sqref="L24:L28 L39:L48" xr:uid="{2B807D8E-746A-460E-A7EA-1402E240A8D1}">
      <formula1>0</formula1>
      <formula2>200</formula2>
    </dataValidation>
    <dataValidation type="list" allowBlank="1" showInputMessage="1" showErrorMessage="1" sqref="K24:K28 K39:K48" xr:uid="{A1EECA0F-7CEE-427A-8704-616884A297ED}">
      <formula1>"0,1,2,3,4"</formula1>
    </dataValidation>
    <dataValidation type="list" allowBlank="1" showInputMessage="1" showErrorMessage="1" sqref="I24:I28 I39:I48" xr:uid="{00481E2F-F616-4F14-9392-A126A25B7814}">
      <formula1>"1,2,3,4,5,6,7,8,9,10"</formula1>
    </dataValidation>
    <dataValidation type="list" allowBlank="1" showInputMessage="1" showErrorMessage="1" sqref="H24:H28 H39:H48" xr:uid="{F8922C03-8B3E-40B6-B5E3-3EF0FBB27CF7}">
      <formula1>"1,2,3,4,5"</formula1>
    </dataValidation>
    <dataValidation type="whole" allowBlank="1" showInputMessage="1" showErrorMessage="1" sqref="G24:G28 G39:G48" xr:uid="{F298FFBB-208C-48F1-A2AE-EC7483436BD7}">
      <formula1>1</formula1>
      <formula2>120</formula2>
    </dataValidation>
    <dataValidation type="list" allowBlank="1" showInputMessage="1" showErrorMessage="1" sqref="F24:F28 F39:F4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N24:N28 R24:R28 V24:V28 N39:N48 R39:R48 V39:V48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D24:D28 D39:D48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E24:E28 E39:E48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27</v>
      </c>
      <c r="D1" s="103" t="s">
        <v>28</v>
      </c>
      <c r="E1" s="103" t="s">
        <v>29</v>
      </c>
      <c r="F1" s="103" t="s">
        <v>30</v>
      </c>
      <c r="G1" s="103" t="s">
        <v>31</v>
      </c>
      <c r="H1" s="103" t="s">
        <v>32</v>
      </c>
      <c r="I1" s="103" t="s">
        <v>33</v>
      </c>
      <c r="J1" s="103" t="s">
        <v>34</v>
      </c>
      <c r="K1" s="103" t="s">
        <v>35</v>
      </c>
      <c r="L1" s="103" t="s">
        <v>36</v>
      </c>
      <c r="M1" s="103" t="s">
        <v>37</v>
      </c>
      <c r="N1" s="103" t="s">
        <v>38</v>
      </c>
      <c r="O1" s="103" t="s">
        <v>39</v>
      </c>
      <c r="P1" s="103" t="s">
        <v>40</v>
      </c>
      <c r="Q1" s="103" t="s">
        <v>41</v>
      </c>
      <c r="R1" s="103" t="s">
        <v>42</v>
      </c>
      <c r="S1" s="103" t="s">
        <v>43</v>
      </c>
      <c r="T1" s="103" t="s">
        <v>44</v>
      </c>
      <c r="U1" s="103" t="s">
        <v>45</v>
      </c>
      <c r="V1" s="103" t="s">
        <v>46</v>
      </c>
      <c r="W1" s="103" t="s">
        <v>47</v>
      </c>
      <c r="X1" s="103" t="s">
        <v>48</v>
      </c>
      <c r="Y1" s="103" t="s">
        <v>49</v>
      </c>
      <c r="Z1" s="103" t="s">
        <v>50</v>
      </c>
      <c r="AA1" s="103" t="s">
        <v>51</v>
      </c>
      <c r="AB1" s="103" t="s">
        <v>52</v>
      </c>
      <c r="AC1" s="103" t="s">
        <v>53</v>
      </c>
      <c r="AD1" s="103" t="s">
        <v>54</v>
      </c>
      <c r="AE1" s="103" t="s">
        <v>55</v>
      </c>
      <c r="AF1" s="103" t="s">
        <v>56</v>
      </c>
      <c r="AG1" s="103" t="s">
        <v>57</v>
      </c>
    </row>
    <row r="2" spans="1:33" x14ac:dyDescent="0.25">
      <c r="A2" s="1">
        <f>IF(Main!$B23="","",Main!A23)</f>
        <v>1</v>
      </c>
      <c r="B2" s="1">
        <f>Main!$B$9</f>
        <v>562858</v>
      </c>
      <c r="C2" s="1">
        <f>INDEX('Doll Data'!$A:$A,MATCH(Main!D23,'Doll Data'!$B:$B,0))</f>
        <v>20065</v>
      </c>
      <c r="D2" s="1">
        <f>VLOOKUP(Main!E23,'Exp Tables'!$A$3:$C$122,3,FALSE)</f>
        <v>30283300</v>
      </c>
      <c r="E2" s="1">
        <f>Main!E23</f>
        <v>120</v>
      </c>
      <c r="F2" s="1">
        <f>IF(EchType="SF",0,1)</f>
        <v>1</v>
      </c>
      <c r="G2" s="1">
        <f>Main!I23</f>
        <v>3</v>
      </c>
      <c r="H2" s="1">
        <f>Main!A23</f>
        <v>1</v>
      </c>
      <c r="I2" s="1">
        <f t="array" ref="I2">SUMPRODUCT((Main!$H$30:$J$32=H2)*'Misc Inputs'!$B$3:$D$5)</f>
        <v>9</v>
      </c>
      <c r="J2" s="1">
        <f>'G&amp;K Stat Calc'!AA3*Main!$F23</f>
        <v>620</v>
      </c>
      <c r="K2" s="1">
        <v>5</v>
      </c>
      <c r="L2" s="1">
        <v>10</v>
      </c>
      <c r="M2" s="39">
        <f>'G&amp;K Stat Calc'!AB17</f>
        <v>36</v>
      </c>
      <c r="N2" s="39">
        <f>'G&amp;K Stat Calc'!AD17</f>
        <v>45</v>
      </c>
      <c r="O2" s="39">
        <f>'G&amp;K Stat Calc'!AE17</f>
        <v>41</v>
      </c>
      <c r="P2" s="39">
        <f>'G&amp;K Stat Calc'!AC17</f>
        <v>26</v>
      </c>
      <c r="Q2" s="1">
        <f>Main!G23</f>
        <v>10</v>
      </c>
      <c r="R2" s="1">
        <f>Main!H23</f>
        <v>10</v>
      </c>
      <c r="S2" s="1">
        <v>0</v>
      </c>
      <c r="T2" s="1">
        <v>1</v>
      </c>
      <c r="U2" s="1">
        <f>Main!F23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Main!J23*10000</f>
        <v>1000000</v>
      </c>
      <c r="AA2" s="1">
        <f>IF(AND(Main!I23=0,Main!J23&lt;=100),1000000,IF(AND(Main!I23=0,Main!J23&gt;=100),1500000,2000000))</f>
        <v>2000000</v>
      </c>
      <c r="AB2" s="1">
        <f>AA2</f>
        <v>2000000</v>
      </c>
      <c r="AC2" s="1">
        <f>IF(Main!J23&gt;100,1,0)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IF(Main!$B24="","",Main!A24)</f>
        <v>2</v>
      </c>
      <c r="B3" s="1">
        <f>Main!$B$9</f>
        <v>562858</v>
      </c>
      <c r="C3" s="1">
        <f>INDEX('Doll Data'!$A:$A,MATCH(Main!D24,'Doll Data'!$B:$B,0))</f>
        <v>276</v>
      </c>
      <c r="D3" s="1">
        <f>VLOOKUP(Main!E24,'Exp Tables'!$A$3:$C$122,3,FALSE)</f>
        <v>3263300</v>
      </c>
      <c r="E3" s="1">
        <f>Main!E24</f>
        <v>100</v>
      </c>
      <c r="F3" s="1">
        <f>IF(EchType="SF",0,1)</f>
        <v>1</v>
      </c>
      <c r="G3" s="1">
        <f>Main!I24</f>
        <v>0</v>
      </c>
      <c r="H3" s="1">
        <f>Main!A24</f>
        <v>2</v>
      </c>
      <c r="I3" s="1">
        <f t="array" ref="I3">SUMPRODUCT((Main!$H$30:$J$32=H3)*'Misc Inputs'!$B$3:$D$5)</f>
        <v>8</v>
      </c>
      <c r="J3" s="1">
        <f>'G&amp;K Stat Calc'!AA4*Main!$F24</f>
        <v>990</v>
      </c>
      <c r="K3" s="1">
        <v>5</v>
      </c>
      <c r="L3" s="1">
        <v>10</v>
      </c>
      <c r="M3" s="39">
        <f>'G&amp;K Stat Calc'!AB18</f>
        <v>68</v>
      </c>
      <c r="N3" s="39">
        <f>'G&amp;K Stat Calc'!AD18</f>
        <v>19</v>
      </c>
      <c r="O3" s="39">
        <f>'G&amp;K Stat Calc'!AE18</f>
        <v>18</v>
      </c>
      <c r="P3" s="39">
        <f>'G&amp;K Stat Calc'!AC18</f>
        <v>34</v>
      </c>
      <c r="Q3" s="1">
        <f>Main!G24</f>
        <v>10</v>
      </c>
      <c r="R3" s="1">
        <f>Main!H24</f>
        <v>0</v>
      </c>
      <c r="S3" s="1">
        <v>0</v>
      </c>
      <c r="T3" s="1">
        <v>1</v>
      </c>
      <c r="U3" s="1">
        <f>Main!F24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Main!J24*10000</f>
        <v>1000000</v>
      </c>
      <c r="AA3" s="1">
        <f>IF(AND(Main!I24=0,Main!J24&lt;=100),1000000,IF(AND(Main!I24=0,Main!J24&gt;=100),1500000,2000000))</f>
        <v>1000000</v>
      </c>
      <c r="AB3" s="1">
        <f>AA3</f>
        <v>1000000</v>
      </c>
      <c r="AC3" s="1">
        <f>IF(Main!J24&gt;100,1,0)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IF(Main!$B25="","",Main!A25)</f>
        <v>3</v>
      </c>
      <c r="B4" s="1">
        <f>Main!$B$9</f>
        <v>562858</v>
      </c>
      <c r="C4" s="1">
        <f>INDEX('Doll Data'!$A:$A,MATCH(Main!D25,'Doll Data'!$B:$B,0))</f>
        <v>198</v>
      </c>
      <c r="D4" s="1">
        <f>VLOOKUP(Main!E25,'Exp Tables'!$A$3:$C$122,3,FALSE)</f>
        <v>3263300</v>
      </c>
      <c r="E4" s="1">
        <f>Main!E25</f>
        <v>100</v>
      </c>
      <c r="F4" s="1">
        <f>IF(EchType="SF",0,1)</f>
        <v>1</v>
      </c>
      <c r="G4" s="1">
        <f>Main!I25</f>
        <v>0</v>
      </c>
      <c r="H4" s="1">
        <f>Main!A25</f>
        <v>3</v>
      </c>
      <c r="I4" s="1">
        <f t="array" ref="I4">SUMPRODUCT((Main!$H$30:$J$32=H4)*'Misc Inputs'!$B$3:$D$5)</f>
        <v>7</v>
      </c>
      <c r="J4" s="1">
        <f>'G&amp;K Stat Calc'!AA5*Main!$F25</f>
        <v>365</v>
      </c>
      <c r="K4" s="1">
        <v>5</v>
      </c>
      <c r="L4" s="1">
        <v>10</v>
      </c>
      <c r="M4" s="39">
        <f>'G&amp;K Stat Calc'!AB19</f>
        <v>99</v>
      </c>
      <c r="N4" s="39">
        <f>'G&amp;K Stat Calc'!AD19</f>
        <v>80</v>
      </c>
      <c r="O4" s="39">
        <f>'G&amp;K Stat Calc'!AE19</f>
        <v>39</v>
      </c>
      <c r="P4" s="39">
        <f>'G&amp;K Stat Calc'!AC19</f>
        <v>12</v>
      </c>
      <c r="Q4" s="1">
        <f>Main!G25</f>
        <v>10</v>
      </c>
      <c r="R4" s="1">
        <f>Main!H25</f>
        <v>0</v>
      </c>
      <c r="S4" s="1">
        <v>0</v>
      </c>
      <c r="T4" s="1">
        <v>1</v>
      </c>
      <c r="U4" s="1">
        <f>Main!F25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Main!J25*10000</f>
        <v>1000000</v>
      </c>
      <c r="AA4" s="1">
        <f>IF(AND(Main!I25=0,Main!J25&lt;=100),1000000,IF(AND(Main!I25=0,Main!J25&gt;=100),1500000,2000000))</f>
        <v>1000000</v>
      </c>
      <c r="AB4" s="1">
        <f>AA4</f>
        <v>1000000</v>
      </c>
      <c r="AC4" s="1">
        <f>IF(Main!J25&gt;100,1,0)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IF(Main!$B26="","",Main!A26)</f>
        <v>4</v>
      </c>
      <c r="B5" s="1">
        <f>Main!$B$9</f>
        <v>562858</v>
      </c>
      <c r="C5" s="1">
        <f>INDEX('Doll Data'!$A:$A,MATCH(Main!D26,'Doll Data'!$B:$B,0))</f>
        <v>99</v>
      </c>
      <c r="D5" s="1">
        <f>VLOOKUP(Main!E26,'Exp Tables'!$A$3:$C$122,3,FALSE)</f>
        <v>3263300</v>
      </c>
      <c r="E5" s="1">
        <f>Main!E26</f>
        <v>100</v>
      </c>
      <c r="F5" s="1">
        <f>IF(EchType="SF",0,1)</f>
        <v>1</v>
      </c>
      <c r="G5" s="1">
        <f>Main!I26</f>
        <v>0</v>
      </c>
      <c r="H5" s="1">
        <f>Main!A26</f>
        <v>4</v>
      </c>
      <c r="I5" s="1">
        <f t="array" ref="I5">SUMPRODUCT((Main!$H$30:$J$32=H5)*'Misc Inputs'!$B$3:$D$5)</f>
        <v>13</v>
      </c>
      <c r="J5" s="1">
        <f>'G&amp;K Stat Calc'!AA6*Main!$F26</f>
        <v>400</v>
      </c>
      <c r="K5" s="1">
        <v>5</v>
      </c>
      <c r="L5" s="1">
        <v>10</v>
      </c>
      <c r="M5" s="39">
        <f>'G&amp;K Stat Calc'!AB20</f>
        <v>18</v>
      </c>
      <c r="N5" s="39">
        <f>'G&amp;K Stat Calc'!AD20</f>
        <v>46</v>
      </c>
      <c r="O5" s="39">
        <f>'G&amp;K Stat Calc'!AE20</f>
        <v>57</v>
      </c>
      <c r="P5" s="39">
        <f>'G&amp;K Stat Calc'!AC20</f>
        <v>19</v>
      </c>
      <c r="Q5" s="1">
        <f>Main!G26</f>
        <v>10</v>
      </c>
      <c r="R5" s="1">
        <f>Main!H26</f>
        <v>0</v>
      </c>
      <c r="S5" s="1">
        <v>0</v>
      </c>
      <c r="T5" s="1">
        <v>1</v>
      </c>
      <c r="U5" s="1">
        <f>Main!F26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Main!J26*10000</f>
        <v>1000000</v>
      </c>
      <c r="AA5" s="1">
        <f>IF(AND(Main!I26=0,Main!J26&lt;=100),1000000,IF(AND(Main!I26=0,Main!J26&gt;=100),1500000,2000000))</f>
        <v>1000000</v>
      </c>
      <c r="AB5" s="1">
        <f>AA5</f>
        <v>1000000</v>
      </c>
      <c r="AC5" s="1">
        <f>IF(Main!J26&gt;100,1,0)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IF(Main!$B27="","",Main!A27)</f>
        <v>5</v>
      </c>
      <c r="B6" s="1">
        <f>Main!$B$9</f>
        <v>562858</v>
      </c>
      <c r="C6" s="1">
        <f>INDEX('Doll Data'!$A:$A,MATCH(Main!D27,'Doll Data'!$B:$B,0))</f>
        <v>242</v>
      </c>
      <c r="D6" s="1">
        <f>VLOOKUP(Main!E27,'Exp Tables'!$A$3:$C$122,3,FALSE)</f>
        <v>3263300</v>
      </c>
      <c r="E6" s="1">
        <f>Main!E27</f>
        <v>100</v>
      </c>
      <c r="F6" s="1">
        <f>IF(EchType="SF",0,1)</f>
        <v>1</v>
      </c>
      <c r="G6" s="1">
        <f>Main!I27</f>
        <v>0</v>
      </c>
      <c r="H6" s="1">
        <f>Main!A27</f>
        <v>5</v>
      </c>
      <c r="I6" s="1">
        <f t="array" ref="I6">SUMPRODUCT((Main!$H$30:$J$32=H6)*'Misc Inputs'!$B$3:$D$5)</f>
        <v>12</v>
      </c>
      <c r="J6" s="1">
        <f>'G&amp;K Stat Calc'!AA7*Main!$F27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Main!G27</f>
        <v>10</v>
      </c>
      <c r="R6" s="1">
        <f>Main!H27</f>
        <v>0</v>
      </c>
      <c r="S6" s="1">
        <v>0</v>
      </c>
      <c r="T6" s="1">
        <v>1</v>
      </c>
      <c r="U6" s="1">
        <f>Main!F27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Main!J27*10000</f>
        <v>1000000</v>
      </c>
      <c r="AA6" s="1">
        <f>IF(AND(Main!I27=0,Main!J27&lt;=100),1000000,IF(AND(Main!I27=0,Main!J27&gt;=100),1500000,2000000))</f>
        <v>1000000</v>
      </c>
      <c r="AB6" s="1">
        <f>AA6</f>
        <v>1000000</v>
      </c>
      <c r="AC6" s="1">
        <f>IF(Main!J27&gt;100,1,0)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683</v>
      </c>
      <c r="D1" s="103" t="s">
        <v>684</v>
      </c>
      <c r="E1" s="103" t="s">
        <v>685</v>
      </c>
      <c r="F1" s="103" t="s">
        <v>686</v>
      </c>
      <c r="G1" s="103" t="s">
        <v>37</v>
      </c>
      <c r="H1" s="103" t="s">
        <v>38</v>
      </c>
      <c r="I1" s="103" t="s">
        <v>39</v>
      </c>
      <c r="J1" s="103" t="s">
        <v>416</v>
      </c>
      <c r="K1" s="103" t="s">
        <v>40</v>
      </c>
      <c r="L1" s="103" t="s">
        <v>417</v>
      </c>
      <c r="M1" s="103" t="s">
        <v>418</v>
      </c>
      <c r="N1" s="103" t="s">
        <v>298</v>
      </c>
      <c r="O1" s="103" t="s">
        <v>381</v>
      </c>
      <c r="P1" s="103" t="s">
        <v>419</v>
      </c>
      <c r="Q1" s="103" t="s">
        <v>420</v>
      </c>
      <c r="R1" s="103" t="s">
        <v>421</v>
      </c>
      <c r="S1" s="103" t="s">
        <v>422</v>
      </c>
      <c r="T1" s="103" t="s">
        <v>423</v>
      </c>
      <c r="U1" s="103" t="s">
        <v>687</v>
      </c>
      <c r="V1" s="103" t="s">
        <v>44</v>
      </c>
      <c r="W1" s="103" t="s">
        <v>688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IF(OR(Main!M23="",EchType="SF"),"",ROW()-1)</f>
        <v>1</v>
      </c>
      <c r="B2" s="56">
        <f>Main!$B$9</f>
        <v>562858</v>
      </c>
      <c r="C2" s="56">
        <f>Doll!C2</f>
        <v>20065</v>
      </c>
      <c r="D2" s="56">
        <f>INDEX('Equip Data'!$A:$A,MATCH(Main!M23,'Equip Data'!$B:$B,0))</f>
        <v>106</v>
      </c>
      <c r="E2" s="56">
        <f>INDEX('Exp Tables'!$R$3:$V$13,MATCH(F2,'Exp Tables'!$Q$3:$Q$13,0),MATCH(INDEX('Equip Data'!$C:$C,MATCH(Main!M23,'Equip Data'!$B:$B,0)),'Exp Tables'!$R$2:$V$2,0))</f>
        <v>30000</v>
      </c>
      <c r="F2" s="56">
        <f>Main!N23</f>
        <v>10</v>
      </c>
      <c r="G2" s="56">
        <f>IF(INDEX('Equip Data'!F:F,MATCH($D2,'Equip Data'!$A:$A,0))="",0,Main!$O23*10000)</f>
        <v>10000</v>
      </c>
      <c r="H2" s="56">
        <f>IF(INDEX('Equip Data'!G:G,MATCH($D2,'Equip Data'!$A:$A,0))="",0,Main!$O23*10000)</f>
        <v>10000</v>
      </c>
      <c r="I2" s="56">
        <f>IF(INDEX('Equip Data'!H:H,MATCH($D2,'Equip Data'!$A:$A,0))="",0,Main!$O23*10000)</f>
        <v>0</v>
      </c>
      <c r="J2" s="56">
        <f>IF(INDEX('Equip Data'!I:I,MATCH($D2,'Equip Data'!$A:$A,0))="",0,Main!$O23*10000)</f>
        <v>0</v>
      </c>
      <c r="K2" s="56">
        <f>IF(INDEX('Equip Data'!J:J,MATCH($D2,'Equip Data'!$A:$A,0))="",0,Main!$O23*10000)</f>
        <v>0</v>
      </c>
      <c r="L2" s="56">
        <f>IF(INDEX('Equip Data'!K:K,MATCH($D2,'Equip Data'!$A:$A,0))="",0,Main!$O23*10000)</f>
        <v>0</v>
      </c>
      <c r="M2" s="56">
        <f>IF(INDEX('Equip Data'!L:L,MATCH($D2,'Equip Data'!$A:$A,0))="",0,Main!$O23*10000)</f>
        <v>10000</v>
      </c>
      <c r="N2" s="56">
        <f>IF(INDEX('Equip Data'!M:M,MATCH($D2,'Equip Data'!$A:$A,0))="",0,Main!$O23*10000)</f>
        <v>0</v>
      </c>
      <c r="O2" s="56">
        <f>IF(INDEX('Equip Data'!N:N,MATCH($D2,'Equip Data'!$A:$A,0))="",0,Main!$O23*10000)</f>
        <v>0</v>
      </c>
      <c r="P2" s="56">
        <f>IF(INDEX('Equip Data'!O:O,MATCH($D2,'Equip Data'!$A:$A,0))="",0,Main!$O23*10000)</f>
        <v>0</v>
      </c>
      <c r="Q2" s="56">
        <f>IF(INDEX('Equip Data'!P:P,MATCH($D2,'Equip Data'!$A:$A,0))="",0,Main!$O23*10000)</f>
        <v>0</v>
      </c>
      <c r="R2" s="56">
        <f>IF(INDEX('Equip Data'!Q:Q,MATCH($D2,'Equip Data'!$A:$A,0))="",0,Main!$O23*10000)</f>
        <v>0</v>
      </c>
      <c r="S2" s="56">
        <f>IF(INDEX('Equip Data'!R:R,MATCH($D2,'Equip Data'!$A:$A,0))="",0,Main!$O23*10000)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6">
        <f>IF(OR(Main!M24="",EchType="SF"),"",ROW()-1)</f>
        <v>2</v>
      </c>
      <c r="B3" s="56">
        <f>Main!$B$9</f>
        <v>562858</v>
      </c>
      <c r="C3" s="56">
        <f>Doll!C3</f>
        <v>276</v>
      </c>
      <c r="D3" s="56">
        <f>INDEX('Equip Data'!$A:$A,MATCH(Main!M24,'Equip Data'!$B:$B,0))</f>
        <v>4</v>
      </c>
      <c r="E3" s="56">
        <f>INDEX('Exp Tables'!$R$3:$V$13,MATCH(F3,'Exp Tables'!$Q$3:$Q$13,0),MATCH(INDEX('Equip Data'!$C:$C,MATCH(Main!M24,'Equip Data'!$B:$B,0)),'Exp Tables'!$R$2:$V$2,0))</f>
        <v>10000</v>
      </c>
      <c r="F3" s="56">
        <f>Main!N24</f>
        <v>10</v>
      </c>
      <c r="G3" s="56">
        <f>IF(INDEX('Equip Data'!F:F,MATCH($D3,'Equip Data'!$A:$A,0))="",0,Main!$O24*10000)</f>
        <v>0</v>
      </c>
      <c r="H3" s="56">
        <f>IF(INDEX('Equip Data'!G:G,MATCH($D3,'Equip Data'!$A:$A,0))="",0,Main!$O24*10000)</f>
        <v>0</v>
      </c>
      <c r="I3" s="56">
        <f>IF(INDEX('Equip Data'!H:H,MATCH($D3,'Equip Data'!$A:$A,0))="",0,Main!$O24*10000)</f>
        <v>0</v>
      </c>
      <c r="J3" s="56">
        <f>IF(INDEX('Equip Data'!I:I,MATCH($D3,'Equip Data'!$A:$A,0))="",0,Main!$O24*10000)</f>
        <v>0</v>
      </c>
      <c r="K3" s="56">
        <f>IF(INDEX('Equip Data'!J:J,MATCH($D3,'Equip Data'!$A:$A,0))="",0,Main!$O24*10000)</f>
        <v>0</v>
      </c>
      <c r="L3" s="56">
        <f>IF(INDEX('Equip Data'!K:K,MATCH($D3,'Equip Data'!$A:$A,0))="",0,Main!$O24*10000)</f>
        <v>0</v>
      </c>
      <c r="M3" s="56">
        <f>IF(INDEX('Equip Data'!L:L,MATCH($D3,'Equip Data'!$A:$A,0))="",0,Main!$O24*10000)</f>
        <v>10000</v>
      </c>
      <c r="N3" s="56">
        <f>IF(INDEX('Equip Data'!M:M,MATCH($D3,'Equip Data'!$A:$A,0))="",0,Main!$O24*10000)</f>
        <v>0</v>
      </c>
      <c r="O3" s="56">
        <f>IF(INDEX('Equip Data'!N:N,MATCH($D3,'Equip Data'!$A:$A,0))="",0,Main!$O24*10000)</f>
        <v>0</v>
      </c>
      <c r="P3" s="56">
        <f>IF(INDEX('Equip Data'!O:O,MATCH($D3,'Equip Data'!$A:$A,0))="",0,Main!$O24*10000)</f>
        <v>0</v>
      </c>
      <c r="Q3" s="56">
        <f>IF(INDEX('Equip Data'!P:P,MATCH($D3,'Equip Data'!$A:$A,0))="",0,Main!$O24*10000)</f>
        <v>0</v>
      </c>
      <c r="R3" s="56">
        <f>IF(INDEX('Equip Data'!Q:Q,MATCH($D3,'Equip Data'!$A:$A,0))="",0,Main!$O24*10000)</f>
        <v>0</v>
      </c>
      <c r="S3" s="56">
        <f>IF(INDEX('Equip Data'!R:R,MATCH($D3,'Equip Data'!$A:$A,0))="",0,Main!$O24*10000)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6">
        <f>IF(OR(Main!M25="",EchType="SF"),"",ROW()-1)</f>
        <v>3</v>
      </c>
      <c r="B4" s="56">
        <f>Main!$B$9</f>
        <v>562858</v>
      </c>
      <c r="C4" s="56">
        <f>Doll!C4</f>
        <v>198</v>
      </c>
      <c r="D4" s="56">
        <f>INDEX('Equip Data'!$A:$A,MATCH(Main!M25,'Equip Data'!$B:$B,0))</f>
        <v>4</v>
      </c>
      <c r="E4" s="56">
        <f>INDEX('Exp Tables'!$R$3:$V$13,MATCH(F4,'Exp Tables'!$Q$3:$Q$13,0),MATCH(INDEX('Equip Data'!$C:$C,MATCH(Main!M25,'Equip Data'!$B:$B,0)),'Exp Tables'!$R$2:$V$2,0))</f>
        <v>10000</v>
      </c>
      <c r="F4" s="56">
        <f>Main!N25</f>
        <v>10</v>
      </c>
      <c r="G4" s="56">
        <f>IF(INDEX('Equip Data'!F:F,MATCH($D4,'Equip Data'!$A:$A,0))="",0,Main!$O25*10000)</f>
        <v>0</v>
      </c>
      <c r="H4" s="56">
        <f>IF(INDEX('Equip Data'!G:G,MATCH($D4,'Equip Data'!$A:$A,0))="",0,Main!$O25*10000)</f>
        <v>0</v>
      </c>
      <c r="I4" s="56">
        <f>IF(INDEX('Equip Data'!H:H,MATCH($D4,'Equip Data'!$A:$A,0))="",0,Main!$O25*10000)</f>
        <v>0</v>
      </c>
      <c r="J4" s="56">
        <f>IF(INDEX('Equip Data'!I:I,MATCH($D4,'Equip Data'!$A:$A,0))="",0,Main!$O25*10000)</f>
        <v>0</v>
      </c>
      <c r="K4" s="56">
        <f>IF(INDEX('Equip Data'!J:J,MATCH($D4,'Equip Data'!$A:$A,0))="",0,Main!$O25*10000)</f>
        <v>0</v>
      </c>
      <c r="L4" s="56">
        <f>IF(INDEX('Equip Data'!K:K,MATCH($D4,'Equip Data'!$A:$A,0))="",0,Main!$O25*10000)</f>
        <v>0</v>
      </c>
      <c r="M4" s="56">
        <f>IF(INDEX('Equip Data'!L:L,MATCH($D4,'Equip Data'!$A:$A,0))="",0,Main!$O25*10000)</f>
        <v>10000</v>
      </c>
      <c r="N4" s="56">
        <f>IF(INDEX('Equip Data'!M:M,MATCH($D4,'Equip Data'!$A:$A,0))="",0,Main!$O25*10000)</f>
        <v>0</v>
      </c>
      <c r="O4" s="56">
        <f>IF(INDEX('Equip Data'!N:N,MATCH($D4,'Equip Data'!$A:$A,0))="",0,Main!$O25*10000)</f>
        <v>0</v>
      </c>
      <c r="P4" s="56">
        <f>IF(INDEX('Equip Data'!O:O,MATCH($D4,'Equip Data'!$A:$A,0))="",0,Main!$O25*10000)</f>
        <v>0</v>
      </c>
      <c r="Q4" s="56">
        <f>IF(INDEX('Equip Data'!P:P,MATCH($D4,'Equip Data'!$A:$A,0))="",0,Main!$O25*10000)</f>
        <v>0</v>
      </c>
      <c r="R4" s="56">
        <f>IF(INDEX('Equip Data'!Q:Q,MATCH($D4,'Equip Data'!$A:$A,0))="",0,Main!$O25*10000)</f>
        <v>0</v>
      </c>
      <c r="S4" s="56">
        <f>IF(INDEX('Equip Data'!R:R,MATCH($D4,'Equip Data'!$A:$A,0))="",0,Main!$O25*10000)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6">
        <f>IF(OR(Main!M26="",EchType="SF"),"",ROW()-1)</f>
        <v>4</v>
      </c>
      <c r="B5" s="56">
        <f>Main!$B$9</f>
        <v>562858</v>
      </c>
      <c r="C5" s="56">
        <f>Doll!C5</f>
        <v>99</v>
      </c>
      <c r="D5" s="56">
        <f>INDEX('Equip Data'!$A:$A,MATCH(Main!M26,'Equip Data'!$B:$B,0))</f>
        <v>66</v>
      </c>
      <c r="E5" s="56">
        <f>INDEX('Exp Tables'!$R$3:$V$13,MATCH(F5,'Exp Tables'!$Q$3:$Q$13,0),MATCH(INDEX('Equip Data'!$C:$C,MATCH(Main!M26,'Equip Data'!$B:$B,0)),'Exp Tables'!$R$2:$V$2,0))</f>
        <v>10000</v>
      </c>
      <c r="F5" s="56">
        <f>Main!N26</f>
        <v>10</v>
      </c>
      <c r="G5" s="56">
        <f>IF(INDEX('Equip Data'!F:F,MATCH($D5,'Equip Data'!$A:$A,0))="",0,Main!$O26*10000)</f>
        <v>0</v>
      </c>
      <c r="H5" s="56">
        <f>IF(INDEX('Equip Data'!G:G,MATCH($D5,'Equip Data'!$A:$A,0))="",0,Main!$O26*10000)</f>
        <v>0</v>
      </c>
      <c r="I5" s="56">
        <f>IF(INDEX('Equip Data'!H:H,MATCH($D5,'Equip Data'!$A:$A,0))="",0,Main!$O26*10000)</f>
        <v>10000</v>
      </c>
      <c r="J5" s="56">
        <f>IF(INDEX('Equip Data'!I:I,MATCH($D5,'Equip Data'!$A:$A,0))="",0,Main!$O26*10000)</f>
        <v>0</v>
      </c>
      <c r="K5" s="56">
        <f>IF(INDEX('Equip Data'!J:J,MATCH($D5,'Equip Data'!$A:$A,0))="",0,Main!$O26*10000)</f>
        <v>0</v>
      </c>
      <c r="L5" s="56">
        <f>IF(INDEX('Equip Data'!K:K,MATCH($D5,'Equip Data'!$A:$A,0))="",0,Main!$O26*10000)</f>
        <v>0</v>
      </c>
      <c r="M5" s="56">
        <f>IF(INDEX('Equip Data'!L:L,MATCH($D5,'Equip Data'!$A:$A,0))="",0,Main!$O26*10000)</f>
        <v>10000</v>
      </c>
      <c r="N5" s="56">
        <f>IF(INDEX('Equip Data'!M:M,MATCH($D5,'Equip Data'!$A:$A,0))="",0,Main!$O26*10000)</f>
        <v>0</v>
      </c>
      <c r="O5" s="56">
        <f>IF(INDEX('Equip Data'!N:N,MATCH($D5,'Equip Data'!$A:$A,0))="",0,Main!$O26*10000)</f>
        <v>0</v>
      </c>
      <c r="P5" s="56">
        <f>IF(INDEX('Equip Data'!O:O,MATCH($D5,'Equip Data'!$A:$A,0))="",0,Main!$O26*10000)</f>
        <v>0</v>
      </c>
      <c r="Q5" s="56">
        <f>IF(INDEX('Equip Data'!P:P,MATCH($D5,'Equip Data'!$A:$A,0))="",0,Main!$O26*10000)</f>
        <v>0</v>
      </c>
      <c r="R5" s="56">
        <f>IF(INDEX('Equip Data'!Q:Q,MATCH($D5,'Equip Data'!$A:$A,0))="",0,Main!$O26*10000)</f>
        <v>0</v>
      </c>
      <c r="S5" s="56">
        <f>IF(INDEX('Equip Data'!R:R,MATCH($D5,'Equip Data'!$A:$A,0))="",0,Main!$O26*10000)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7">
        <f>IF(OR(Main!M27="",EchType="SF"),"",ROW()-1)</f>
        <v>5</v>
      </c>
      <c r="B6" s="57">
        <f>Main!$B$9</f>
        <v>562858</v>
      </c>
      <c r="C6" s="57">
        <f>Doll!C6</f>
        <v>242</v>
      </c>
      <c r="D6" s="57">
        <f>INDEX('Equip Data'!$A:$A,MATCH(Main!M27,'Equip Data'!$B:$B,0))</f>
        <v>66</v>
      </c>
      <c r="E6" s="57">
        <f>INDEX('Exp Tables'!$R$3:$V$13,MATCH(F6,'Exp Tables'!$Q$3:$Q$13,0),MATCH(INDEX('Equip Data'!$C:$C,MATCH(Main!M27,'Equip Data'!$B:$B,0)),'Exp Tables'!$R$2:$V$2,0))</f>
        <v>10000</v>
      </c>
      <c r="F6" s="57">
        <f>Main!N27</f>
        <v>10</v>
      </c>
      <c r="G6" s="57">
        <f>IF(INDEX('Equip Data'!F:F,MATCH($D6,'Equip Data'!$A:$A,0))="",0,Main!$O27*10000)</f>
        <v>0</v>
      </c>
      <c r="H6" s="57">
        <f>IF(INDEX('Equip Data'!G:G,MATCH($D6,'Equip Data'!$A:$A,0))="",0,Main!$O27*10000)</f>
        <v>0</v>
      </c>
      <c r="I6" s="57">
        <f>IF(INDEX('Equip Data'!H:H,MATCH($D6,'Equip Data'!$A:$A,0))="",0,Main!$O27*10000)</f>
        <v>10000</v>
      </c>
      <c r="J6" s="57">
        <f>IF(INDEX('Equip Data'!I:I,MATCH($D6,'Equip Data'!$A:$A,0))="",0,Main!$O27*10000)</f>
        <v>0</v>
      </c>
      <c r="K6" s="57">
        <f>IF(INDEX('Equip Data'!J:J,MATCH($D6,'Equip Data'!$A:$A,0))="",0,Main!$O27*10000)</f>
        <v>0</v>
      </c>
      <c r="L6" s="57">
        <f>IF(INDEX('Equip Data'!K:K,MATCH($D6,'Equip Data'!$A:$A,0))="",0,Main!$O27*10000)</f>
        <v>0</v>
      </c>
      <c r="M6" s="57">
        <f>IF(INDEX('Equip Data'!L:L,MATCH($D6,'Equip Data'!$A:$A,0))="",0,Main!$O27*10000)</f>
        <v>10000</v>
      </c>
      <c r="N6" s="57">
        <f>IF(INDEX('Equip Data'!M:M,MATCH($D6,'Equip Data'!$A:$A,0))="",0,Main!$O27*10000)</f>
        <v>0</v>
      </c>
      <c r="O6" s="57">
        <f>IF(INDEX('Equip Data'!N:N,MATCH($D6,'Equip Data'!$A:$A,0))="",0,Main!$O27*10000)</f>
        <v>0</v>
      </c>
      <c r="P6" s="57">
        <f>IF(INDEX('Equip Data'!O:O,MATCH($D6,'Equip Data'!$A:$A,0))="",0,Main!$O27*10000)</f>
        <v>0</v>
      </c>
      <c r="Q6" s="57">
        <f>IF(INDEX('Equip Data'!P:P,MATCH($D6,'Equip Data'!$A:$A,0))="",0,Main!$O27*10000)</f>
        <v>0</v>
      </c>
      <c r="R6" s="57">
        <f>IF(INDEX('Equip Data'!Q:Q,MATCH($D6,'Equip Data'!$A:$A,0))="",0,Main!$O27*10000)</f>
        <v>0</v>
      </c>
      <c r="S6" s="57">
        <f>IF(INDEX('Equip Data'!R:R,MATCH($D6,'Equip Data'!$A:$A,0))="",0,Main!$O27*10000)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6">
        <f>IF(OR(Main!Q23="",EchType="SF"),"",ROW()-1)</f>
        <v>6</v>
      </c>
      <c r="B7" s="56">
        <f>Main!$B$9</f>
        <v>562858</v>
      </c>
      <c r="C7" s="58">
        <f>C2</f>
        <v>20065</v>
      </c>
      <c r="D7" s="56">
        <f>INDEX('Equip Data'!$A:$A,MATCH(Main!Q23,'Equip Data'!$B:$B,0))</f>
        <v>32</v>
      </c>
      <c r="E7" s="56">
        <f>INDEX('Exp Tables'!$R$3:$V$13,MATCH(F7,'Exp Tables'!$Q$3:$Q$13,0),MATCH(INDEX('Equip Data'!$C:$C,MATCH(Main!Q23,'Equip Data'!$B:$B,0)),'Exp Tables'!$R$2:$V$2,0))</f>
        <v>10000</v>
      </c>
      <c r="F7" s="56">
        <f>Main!R23</f>
        <v>10</v>
      </c>
      <c r="G7" s="56">
        <f>IF(INDEX('Equip Data'!F:F,MATCH($D7,'Equip Data'!$A:$A,0))="",0,Main!$S23*10000)</f>
        <v>10000</v>
      </c>
      <c r="H7" s="56">
        <f>IF(INDEX('Equip Data'!G:G,MATCH($D7,'Equip Data'!$A:$A,0))="",0,Main!$S23*10000)</f>
        <v>0</v>
      </c>
      <c r="I7" s="56">
        <f>IF(INDEX('Equip Data'!H:H,MATCH($D7,'Equip Data'!$A:$A,0))="",0,Main!$S23*10000)</f>
        <v>0</v>
      </c>
      <c r="J7" s="56">
        <f>IF(INDEX('Equip Data'!I:I,MATCH($D7,'Equip Data'!$A:$A,0))="",0,Main!$S23*10000)</f>
        <v>0</v>
      </c>
      <c r="K7" s="56">
        <f>IF(INDEX('Equip Data'!J:J,MATCH($D7,'Equip Data'!$A:$A,0))="",0,Main!$S23*10000)</f>
        <v>0</v>
      </c>
      <c r="L7" s="56">
        <f>IF(INDEX('Equip Data'!K:K,MATCH($D7,'Equip Data'!$A:$A,0))="",0,Main!$S23*10000)</f>
        <v>0</v>
      </c>
      <c r="M7" s="56">
        <f>IF(INDEX('Equip Data'!L:L,MATCH($D7,'Equip Data'!$A:$A,0))="",0,Main!$S23*10000)</f>
        <v>0</v>
      </c>
      <c r="N7" s="56">
        <f>IF(INDEX('Equip Data'!M:M,MATCH($D7,'Equip Data'!$A:$A,0))="",0,Main!$S23*10000)</f>
        <v>0</v>
      </c>
      <c r="O7" s="56">
        <f>IF(INDEX('Equip Data'!N:N,MATCH($D7,'Equip Data'!$A:$A,0))="",0,Main!$S23*10000)</f>
        <v>0</v>
      </c>
      <c r="P7" s="56">
        <f>IF(INDEX('Equip Data'!O:O,MATCH($D7,'Equip Data'!$A:$A,0))="",0,Main!$S23*10000)</f>
        <v>0</v>
      </c>
      <c r="Q7" s="56">
        <f>IF(INDEX('Equip Data'!P:P,MATCH($D7,'Equip Data'!$A:$A,0))="",0,Main!$S23*10000)</f>
        <v>0</v>
      </c>
      <c r="R7" s="56">
        <f>IF(INDEX('Equip Data'!Q:Q,MATCH($D7,'Equip Data'!$A:$A,0))="",0,Main!$S23*10000)</f>
        <v>0</v>
      </c>
      <c r="S7" s="56">
        <f>IF(INDEX('Equip Data'!R:R,MATCH($D7,'Equip Data'!$A:$A,0))="",0,Main!$S23*10000)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IF(OR(Main!Q24="",EchType="SF"),"",ROW()-1)</f>
        <v>7</v>
      </c>
      <c r="B8" s="56">
        <f>Main!$B$9</f>
        <v>562858</v>
      </c>
      <c r="C8" s="58">
        <f t="shared" ref="C8:C16" si="0">C3</f>
        <v>276</v>
      </c>
      <c r="D8" s="56">
        <f>INDEX('Equip Data'!$A:$A,MATCH(Main!Q24,'Equip Data'!$B:$B,0))</f>
        <v>20</v>
      </c>
      <c r="E8" s="56">
        <f>INDEX('Exp Tables'!$R$3:$V$13,MATCH(F8,'Exp Tables'!$Q$3:$Q$13,0),MATCH(INDEX('Equip Data'!$C:$C,MATCH(Main!Q24,'Equip Data'!$B:$B,0)),'Exp Tables'!$R$2:$V$2,0))</f>
        <v>10000</v>
      </c>
      <c r="F8" s="56">
        <f>Main!R24</f>
        <v>10</v>
      </c>
      <c r="G8" s="56">
        <f>IF(INDEX('Equip Data'!F:F,MATCH($D8,'Equip Data'!$A:$A,0))="",0,Main!$S24*10000)</f>
        <v>0</v>
      </c>
      <c r="H8" s="56">
        <f>IF(INDEX('Equip Data'!G:G,MATCH($D8,'Equip Data'!$A:$A,0))="",0,Main!$S24*10000)</f>
        <v>0</v>
      </c>
      <c r="I8" s="56">
        <f>IF(INDEX('Equip Data'!H:H,MATCH($D8,'Equip Data'!$A:$A,0))="",0,Main!$S24*10000)</f>
        <v>0</v>
      </c>
      <c r="J8" s="56">
        <f>IF(INDEX('Equip Data'!I:I,MATCH($D8,'Equip Data'!$A:$A,0))="",0,Main!$S24*10000)</f>
        <v>0</v>
      </c>
      <c r="K8" s="56">
        <f>IF(INDEX('Equip Data'!J:J,MATCH($D8,'Equip Data'!$A:$A,0))="",0,Main!$S24*10000)</f>
        <v>0</v>
      </c>
      <c r="L8" s="56">
        <f>IF(INDEX('Equip Data'!K:K,MATCH($D8,'Equip Data'!$A:$A,0))="",0,Main!$S24*10000)</f>
        <v>0</v>
      </c>
      <c r="M8" s="56">
        <f>IF(INDEX('Equip Data'!L:L,MATCH($D8,'Equip Data'!$A:$A,0))="",0,Main!$S24*10000)</f>
        <v>0</v>
      </c>
      <c r="N8" s="56">
        <f>IF(INDEX('Equip Data'!M:M,MATCH($D8,'Equip Data'!$A:$A,0))="",0,Main!$S24*10000)</f>
        <v>10000</v>
      </c>
      <c r="O8" s="56">
        <f>IF(INDEX('Equip Data'!N:N,MATCH($D8,'Equip Data'!$A:$A,0))="",0,Main!$S24*10000)</f>
        <v>0</v>
      </c>
      <c r="P8" s="56">
        <f>IF(INDEX('Equip Data'!O:O,MATCH($D8,'Equip Data'!$A:$A,0))="",0,Main!$S24*10000)</f>
        <v>0</v>
      </c>
      <c r="Q8" s="56">
        <f>IF(INDEX('Equip Data'!P:P,MATCH($D8,'Equip Data'!$A:$A,0))="",0,Main!$S24*10000)</f>
        <v>0</v>
      </c>
      <c r="R8" s="56">
        <f>IF(INDEX('Equip Data'!Q:Q,MATCH($D8,'Equip Data'!$A:$A,0))="",0,Main!$S24*10000)</f>
        <v>0</v>
      </c>
      <c r="S8" s="56">
        <f>IF(INDEX('Equip Data'!R:R,MATCH($D8,'Equip Data'!$A:$A,0))="",0,Main!$S24*10000)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IF(OR(Main!Q25="",EchType="SF"),"",ROW()-1)</f>
        <v>8</v>
      </c>
      <c r="B9" s="56">
        <f>Main!$B$9</f>
        <v>562858</v>
      </c>
      <c r="C9" s="58">
        <f t="shared" si="0"/>
        <v>198</v>
      </c>
      <c r="D9" s="56">
        <f>INDEX('Equip Data'!$A:$A,MATCH(Main!Q25,'Equip Data'!$B:$B,0))</f>
        <v>20</v>
      </c>
      <c r="E9" s="56">
        <f>INDEX('Exp Tables'!$R$3:$V$13,MATCH(F9,'Exp Tables'!$Q$3:$Q$13,0),MATCH(INDEX('Equip Data'!$C:$C,MATCH(Main!Q25,'Equip Data'!$B:$B,0)),'Exp Tables'!$R$2:$V$2,0))</f>
        <v>10000</v>
      </c>
      <c r="F9" s="56">
        <f>Main!R25</f>
        <v>10</v>
      </c>
      <c r="G9" s="56">
        <f>IF(INDEX('Equip Data'!F:F,MATCH($D9,'Equip Data'!$A:$A,0))="",0,Main!$S25*10000)</f>
        <v>0</v>
      </c>
      <c r="H9" s="56">
        <f>IF(INDEX('Equip Data'!G:G,MATCH($D9,'Equip Data'!$A:$A,0))="",0,Main!$S25*10000)</f>
        <v>0</v>
      </c>
      <c r="I9" s="56">
        <f>IF(INDEX('Equip Data'!H:H,MATCH($D9,'Equip Data'!$A:$A,0))="",0,Main!$S25*10000)</f>
        <v>0</v>
      </c>
      <c r="J9" s="56">
        <f>IF(INDEX('Equip Data'!I:I,MATCH($D9,'Equip Data'!$A:$A,0))="",0,Main!$S25*10000)</f>
        <v>0</v>
      </c>
      <c r="K9" s="56">
        <f>IF(INDEX('Equip Data'!J:J,MATCH($D9,'Equip Data'!$A:$A,0))="",0,Main!$S25*10000)</f>
        <v>0</v>
      </c>
      <c r="L9" s="56">
        <f>IF(INDEX('Equip Data'!K:K,MATCH($D9,'Equip Data'!$A:$A,0))="",0,Main!$S25*10000)</f>
        <v>0</v>
      </c>
      <c r="M9" s="56">
        <f>IF(INDEX('Equip Data'!L:L,MATCH($D9,'Equip Data'!$A:$A,0))="",0,Main!$S25*10000)</f>
        <v>0</v>
      </c>
      <c r="N9" s="56">
        <f>IF(INDEX('Equip Data'!M:M,MATCH($D9,'Equip Data'!$A:$A,0))="",0,Main!$S25*10000)</f>
        <v>10000</v>
      </c>
      <c r="O9" s="56">
        <f>IF(INDEX('Equip Data'!N:N,MATCH($D9,'Equip Data'!$A:$A,0))="",0,Main!$S25*10000)</f>
        <v>0</v>
      </c>
      <c r="P9" s="56">
        <f>IF(INDEX('Equip Data'!O:O,MATCH($D9,'Equip Data'!$A:$A,0))="",0,Main!$S25*10000)</f>
        <v>0</v>
      </c>
      <c r="Q9" s="56">
        <f>IF(INDEX('Equip Data'!P:P,MATCH($D9,'Equip Data'!$A:$A,0))="",0,Main!$S25*10000)</f>
        <v>0</v>
      </c>
      <c r="R9" s="56">
        <f>IF(INDEX('Equip Data'!Q:Q,MATCH($D9,'Equip Data'!$A:$A,0))="",0,Main!$S25*10000)</f>
        <v>0</v>
      </c>
      <c r="S9" s="56">
        <f>IF(INDEX('Equip Data'!R:R,MATCH($D9,'Equip Data'!$A:$A,0))="",0,Main!$S25*10000)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IF(OR(Main!Q26="",EchType="SF"),"",ROW()-1)</f>
        <v>9</v>
      </c>
      <c r="B10" s="56">
        <f>Main!$B$9</f>
        <v>562858</v>
      </c>
      <c r="C10" s="58">
        <f t="shared" si="0"/>
        <v>99</v>
      </c>
      <c r="D10" s="56">
        <f>INDEX('Equip Data'!$A:$A,MATCH(Main!Q26,'Equip Data'!$B:$B,0))</f>
        <v>72</v>
      </c>
      <c r="E10" s="56">
        <f>INDEX('Exp Tables'!$R$3:$V$13,MATCH(F10,'Exp Tables'!$Q$3:$Q$13,0),MATCH(INDEX('Equip Data'!$C:$C,MATCH(Main!Q26,'Equip Data'!$B:$B,0)),'Exp Tables'!$R$2:$V$2,0))</f>
        <v>10000</v>
      </c>
      <c r="F10" s="56">
        <f>Main!R26</f>
        <v>10</v>
      </c>
      <c r="G10" s="56">
        <f>IF(INDEX('Equip Data'!F:F,MATCH($D10,'Equip Data'!$A:$A,0))="",0,Main!$S26*10000)</f>
        <v>10000</v>
      </c>
      <c r="H10" s="56">
        <f>IF(INDEX('Equip Data'!G:G,MATCH($D10,'Equip Data'!$A:$A,0))="",0,Main!$S26*10000)</f>
        <v>0</v>
      </c>
      <c r="I10" s="56">
        <f>IF(INDEX('Equip Data'!H:H,MATCH($D10,'Equip Data'!$A:$A,0))="",0,Main!$S26*10000)</f>
        <v>0</v>
      </c>
      <c r="J10" s="56">
        <f>IF(INDEX('Equip Data'!I:I,MATCH($D10,'Equip Data'!$A:$A,0))="",0,Main!$S26*10000)</f>
        <v>0</v>
      </c>
      <c r="K10" s="56">
        <f>IF(INDEX('Equip Data'!J:J,MATCH($D10,'Equip Data'!$A:$A,0))="",0,Main!$S26*10000)</f>
        <v>0</v>
      </c>
      <c r="L10" s="56">
        <f>IF(INDEX('Equip Data'!K:K,MATCH($D10,'Equip Data'!$A:$A,0))="",0,Main!$S26*10000)</f>
        <v>0</v>
      </c>
      <c r="M10" s="56">
        <f>IF(INDEX('Equip Data'!L:L,MATCH($D10,'Equip Data'!$A:$A,0))="",0,Main!$S26*10000)</f>
        <v>0</v>
      </c>
      <c r="N10" s="56">
        <f>IF(INDEX('Equip Data'!M:M,MATCH($D10,'Equip Data'!$A:$A,0))="",0,Main!$S26*10000)</f>
        <v>10000</v>
      </c>
      <c r="O10" s="56">
        <f>IF(INDEX('Equip Data'!N:N,MATCH($D10,'Equip Data'!$A:$A,0))="",0,Main!$S26*10000)</f>
        <v>0</v>
      </c>
      <c r="P10" s="56">
        <f>IF(INDEX('Equip Data'!O:O,MATCH($D10,'Equip Data'!$A:$A,0))="",0,Main!$S26*10000)</f>
        <v>0</v>
      </c>
      <c r="Q10" s="56">
        <f>IF(INDEX('Equip Data'!P:P,MATCH($D10,'Equip Data'!$A:$A,0))="",0,Main!$S26*10000)</f>
        <v>0</v>
      </c>
      <c r="R10" s="56">
        <f>IF(INDEX('Equip Data'!Q:Q,MATCH($D10,'Equip Data'!$A:$A,0))="",0,Main!$S26*10000)</f>
        <v>0</v>
      </c>
      <c r="S10" s="56">
        <f>IF(INDEX('Equip Data'!R:R,MATCH($D10,'Equip Data'!$A:$A,0))="",0,Main!$S26*10000)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IF(OR(Main!Q27="",EchType="SF"),"",ROW()-1)</f>
        <v>10</v>
      </c>
      <c r="B11" s="57">
        <f>Main!$B$9</f>
        <v>562858</v>
      </c>
      <c r="C11" s="59">
        <f t="shared" si="0"/>
        <v>242</v>
      </c>
      <c r="D11" s="57">
        <f>INDEX('Equip Data'!$A:$A,MATCH(Main!Q27,'Equip Data'!$B:$B,0))</f>
        <v>72</v>
      </c>
      <c r="E11" s="57">
        <f>INDEX('Exp Tables'!$R$3:$V$13,MATCH(F11,'Exp Tables'!$Q$3:$Q$13,0),MATCH(INDEX('Equip Data'!$C:$C,MATCH(Main!Q27,'Equip Data'!$B:$B,0)),'Exp Tables'!$R$2:$V$2,0))</f>
        <v>10000</v>
      </c>
      <c r="F11" s="57">
        <f>Main!R27</f>
        <v>10</v>
      </c>
      <c r="G11" s="57">
        <f>IF(INDEX('Equip Data'!F:F,MATCH($D11,'Equip Data'!$A:$A,0))="",0,Main!$S27*10000)</f>
        <v>10000</v>
      </c>
      <c r="H11" s="57">
        <f>IF(INDEX('Equip Data'!G:G,MATCH($D11,'Equip Data'!$A:$A,0))="",0,Main!$S27*10000)</f>
        <v>0</v>
      </c>
      <c r="I11" s="57">
        <f>IF(INDEX('Equip Data'!H:H,MATCH($D11,'Equip Data'!$A:$A,0))="",0,Main!$S27*10000)</f>
        <v>0</v>
      </c>
      <c r="J11" s="57">
        <f>IF(INDEX('Equip Data'!I:I,MATCH($D11,'Equip Data'!$A:$A,0))="",0,Main!$S27*10000)</f>
        <v>0</v>
      </c>
      <c r="K11" s="57">
        <f>IF(INDEX('Equip Data'!J:J,MATCH($D11,'Equip Data'!$A:$A,0))="",0,Main!$S27*10000)</f>
        <v>0</v>
      </c>
      <c r="L11" s="57">
        <f>IF(INDEX('Equip Data'!K:K,MATCH($D11,'Equip Data'!$A:$A,0))="",0,Main!$S27*10000)</f>
        <v>0</v>
      </c>
      <c r="M11" s="57">
        <f>IF(INDEX('Equip Data'!L:L,MATCH($D11,'Equip Data'!$A:$A,0))="",0,Main!$S27*10000)</f>
        <v>0</v>
      </c>
      <c r="N11" s="57">
        <f>IF(INDEX('Equip Data'!M:M,MATCH($D11,'Equip Data'!$A:$A,0))="",0,Main!$S27*10000)</f>
        <v>10000</v>
      </c>
      <c r="O11" s="57">
        <f>IF(INDEX('Equip Data'!N:N,MATCH($D11,'Equip Data'!$A:$A,0))="",0,Main!$S27*10000)</f>
        <v>0</v>
      </c>
      <c r="P11" s="57">
        <f>IF(INDEX('Equip Data'!O:O,MATCH($D11,'Equip Data'!$A:$A,0))="",0,Main!$S27*10000)</f>
        <v>0</v>
      </c>
      <c r="Q11" s="57">
        <f>IF(INDEX('Equip Data'!P:P,MATCH($D11,'Equip Data'!$A:$A,0))="",0,Main!$S27*10000)</f>
        <v>0</v>
      </c>
      <c r="R11" s="57">
        <f>IF(INDEX('Equip Data'!Q:Q,MATCH($D11,'Equip Data'!$A:$A,0))="",0,Main!$S27*10000)</f>
        <v>0</v>
      </c>
      <c r="S11" s="57">
        <f>IF(INDEX('Equip Data'!R:R,MATCH($D11,'Equip Data'!$A:$A,0))="",0,Main!$S27*10000)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 t="str">
        <f>IF(OR(Main!U23="",EchType="SF"),"",ROW()-1)</f>
        <v/>
      </c>
      <c r="B12" s="56">
        <f>Main!$B$9</f>
        <v>562858</v>
      </c>
      <c r="C12" s="58">
        <f t="shared" si="0"/>
        <v>20065</v>
      </c>
      <c r="D12" s="56" t="e">
        <f>INDEX('Equip Data'!$A:$A,MATCH(Main!U23,'Equip Data'!$B:$B,0))</f>
        <v>#N/A</v>
      </c>
      <c r="E12" s="56" t="e">
        <f>INDEX('Exp Tables'!$R$3:$V$13,MATCH(F12,'Exp Tables'!$Q$3:$Q$13,0),MATCH(INDEX('Equip Data'!$C:$C,MATCH(Main!U23,'Equip Data'!$B:$B,0)),'Exp Tables'!$R$2:$V$2,0))</f>
        <v>#N/A</v>
      </c>
      <c r="F12" s="56">
        <f>Main!V23</f>
        <v>0</v>
      </c>
      <c r="G12" s="56" t="e">
        <f>IF(INDEX('Equip Data'!F:F,MATCH($D12,'Equip Data'!$A:$A,0))="",0,Main!$W23*10000)</f>
        <v>#N/A</v>
      </c>
      <c r="H12" s="56" t="e">
        <f>IF(INDEX('Equip Data'!G:G,MATCH($D12,'Equip Data'!$A:$A,0))="",0,Main!$W23*10000)</f>
        <v>#N/A</v>
      </c>
      <c r="I12" s="56" t="e">
        <f>IF(INDEX('Equip Data'!H:H,MATCH($D12,'Equip Data'!$A:$A,0))="",0,Main!$W23*10000)</f>
        <v>#N/A</v>
      </c>
      <c r="J12" s="56" t="e">
        <f>IF(INDEX('Equip Data'!I:I,MATCH($D12,'Equip Data'!$A:$A,0))="",0,Main!$W23*10000)</f>
        <v>#N/A</v>
      </c>
      <c r="K12" s="56" t="e">
        <f>IF(INDEX('Equip Data'!J:J,MATCH($D12,'Equip Data'!$A:$A,0))="",0,Main!$W23*10000)</f>
        <v>#N/A</v>
      </c>
      <c r="L12" s="56" t="e">
        <f>IF(INDEX('Equip Data'!K:K,MATCH($D12,'Equip Data'!$A:$A,0))="",0,Main!$W23*10000)</f>
        <v>#N/A</v>
      </c>
      <c r="M12" s="56" t="e">
        <f>IF(INDEX('Equip Data'!L:L,MATCH($D12,'Equip Data'!$A:$A,0))="",0,Main!$W23*10000)</f>
        <v>#N/A</v>
      </c>
      <c r="N12" s="56" t="e">
        <f>IF(INDEX('Equip Data'!M:M,MATCH($D12,'Equip Data'!$A:$A,0))="",0,Main!$W23*10000)</f>
        <v>#N/A</v>
      </c>
      <c r="O12" s="56" t="e">
        <f>IF(INDEX('Equip Data'!N:N,MATCH($D12,'Equip Data'!$A:$A,0))="",0,Main!$W23*10000)</f>
        <v>#N/A</v>
      </c>
      <c r="P12" s="56" t="e">
        <f>IF(INDEX('Equip Data'!O:O,MATCH($D12,'Equip Data'!$A:$A,0))="",0,Main!$W23*10000)</f>
        <v>#N/A</v>
      </c>
      <c r="Q12" s="56" t="e">
        <f>IF(INDEX('Equip Data'!P:P,MATCH($D12,'Equip Data'!$A:$A,0))="",0,Main!$W23*10000)</f>
        <v>#N/A</v>
      </c>
      <c r="R12" s="56" t="e">
        <f>IF(INDEX('Equip Data'!Q:Q,MATCH($D12,'Equip Data'!$A:$A,0))="",0,Main!$W23*10000)</f>
        <v>#N/A</v>
      </c>
      <c r="S12" s="56" t="e">
        <f>IF(INDEX('Equip Data'!R:R,MATCH($D12,'Equip Data'!$A:$A,0))="",0,Main!$W23*10000)</f>
        <v>#N/A</v>
      </c>
      <c r="T12" s="56" t="e">
        <f>IF(INDEX('Equip Data'!S:S,MATCH($D12,'Equip Data'!$A:$A,0))="",0,10000)</f>
        <v>#N/A</v>
      </c>
      <c r="U12" s="56">
        <v>0</v>
      </c>
      <c r="V12" s="56">
        <v>1</v>
      </c>
      <c r="W12" s="56">
        <v>0</v>
      </c>
    </row>
    <row r="13" spans="1:33" x14ac:dyDescent="0.25">
      <c r="A13" s="56">
        <f>IF(OR(Main!U24="",EchType="SF"),"",ROW()-1)</f>
        <v>12</v>
      </c>
      <c r="B13" s="56">
        <f>Main!$B$9</f>
        <v>562858</v>
      </c>
      <c r="C13" s="58">
        <f t="shared" si="0"/>
        <v>276</v>
      </c>
      <c r="D13" s="56">
        <f>INDEX('Equip Data'!$A:$A,MATCH(Main!U24,'Equip Data'!$B:$B,0))</f>
        <v>68</v>
      </c>
      <c r="E13" s="56">
        <f>INDEX('Exp Tables'!$R$3:$V$13,MATCH(F13,'Exp Tables'!$Q$3:$Q$13,0),MATCH(INDEX('Equip Data'!$C:$C,MATCH(Main!U24,'Equip Data'!$B:$B,0)),'Exp Tables'!$R$2:$V$2,0))</f>
        <v>10000</v>
      </c>
      <c r="F13" s="56">
        <f>Main!V24</f>
        <v>10</v>
      </c>
      <c r="G13" s="56">
        <f>IF(INDEX('Equip Data'!F:F,MATCH($D13,'Equip Data'!$A:$A,0))="",0,Main!$W24*10000)</f>
        <v>0</v>
      </c>
      <c r="H13" s="56">
        <f>IF(INDEX('Equip Data'!G:G,MATCH($D13,'Equip Data'!$A:$A,0))="",0,Main!$W24*10000)</f>
        <v>0</v>
      </c>
      <c r="I13" s="56">
        <f>IF(INDEX('Equip Data'!H:H,MATCH($D13,'Equip Data'!$A:$A,0))="",0,Main!$W24*10000)</f>
        <v>10000</v>
      </c>
      <c r="J13" s="56">
        <f>IF(INDEX('Equip Data'!I:I,MATCH($D13,'Equip Data'!$A:$A,0))="",0,Main!$W24*10000)</f>
        <v>0</v>
      </c>
      <c r="K13" s="56">
        <f>IF(INDEX('Equip Data'!J:J,MATCH($D13,'Equip Data'!$A:$A,0))="",0,Main!$W24*10000)</f>
        <v>0</v>
      </c>
      <c r="L13" s="56">
        <f>IF(INDEX('Equip Data'!K:K,MATCH($D13,'Equip Data'!$A:$A,0))="",0,Main!$W24*10000)</f>
        <v>0</v>
      </c>
      <c r="M13" s="56">
        <f>IF(INDEX('Equip Data'!L:L,MATCH($D13,'Equip Data'!$A:$A,0))="",0,Main!$W24*10000)</f>
        <v>0</v>
      </c>
      <c r="N13" s="56">
        <f>IF(INDEX('Equip Data'!M:M,MATCH($D13,'Equip Data'!$A:$A,0))="",0,Main!$W24*10000)</f>
        <v>0</v>
      </c>
      <c r="O13" s="56">
        <f>IF(INDEX('Equip Data'!N:N,MATCH($D13,'Equip Data'!$A:$A,0))="",0,Main!$W24*10000)</f>
        <v>0</v>
      </c>
      <c r="P13" s="56">
        <f>IF(INDEX('Equip Data'!O:O,MATCH($D13,'Equip Data'!$A:$A,0))="",0,Main!$W24*10000)</f>
        <v>0</v>
      </c>
      <c r="Q13" s="56">
        <f>IF(INDEX('Equip Data'!P:P,MATCH($D13,'Equip Data'!$A:$A,0))="",0,Main!$W24*10000)</f>
        <v>0</v>
      </c>
      <c r="R13" s="56">
        <f>IF(INDEX('Equip Data'!Q:Q,MATCH($D13,'Equip Data'!$A:$A,0))="",0,Main!$W24*10000)</f>
        <v>0</v>
      </c>
      <c r="S13" s="56">
        <f>IF(INDEX('Equip Data'!R:R,MATCH($D13,'Equip Data'!$A:$A,0))="",0,Main!$W24*10000)</f>
        <v>0</v>
      </c>
      <c r="T13" s="56">
        <f>IF(INDEX('Equip Data'!S:S,MATCH($D13,'Equip Data'!$A:$A,0))="",0,10000)</f>
        <v>10000</v>
      </c>
      <c r="U13" s="56">
        <v>0</v>
      </c>
      <c r="V13" s="56">
        <v>1</v>
      </c>
      <c r="W13" s="56">
        <v>0</v>
      </c>
    </row>
    <row r="14" spans="1:33" x14ac:dyDescent="0.25">
      <c r="A14" s="56">
        <f>IF(OR(Main!U25="",EchType="SF"),"",ROW()-1)</f>
        <v>13</v>
      </c>
      <c r="B14" s="56">
        <f>Main!$B$9</f>
        <v>562858</v>
      </c>
      <c r="C14" s="58">
        <f t="shared" si="0"/>
        <v>198</v>
      </c>
      <c r="D14" s="56">
        <f>INDEX('Equip Data'!$A:$A,MATCH(Main!U25,'Equip Data'!$B:$B,0))</f>
        <v>90</v>
      </c>
      <c r="E14" s="56">
        <f>INDEX('Exp Tables'!$R$3:$V$13,MATCH(F14,'Exp Tables'!$Q$3:$Q$13,0),MATCH(INDEX('Equip Data'!$C:$C,MATCH(Main!U25,'Equip Data'!$B:$B,0)),'Exp Tables'!$R$2:$V$2,0))</f>
        <v>10000</v>
      </c>
      <c r="F14" s="56">
        <f>Main!V25</f>
        <v>10</v>
      </c>
      <c r="G14" s="56">
        <f>IF(INDEX('Equip Data'!F:F,MATCH($D14,'Equip Data'!$A:$A,0))="",0,Main!$W25*10000)</f>
        <v>0</v>
      </c>
      <c r="H14" s="56">
        <f>IF(INDEX('Equip Data'!G:G,MATCH($D14,'Equip Data'!$A:$A,0))="",0,Main!$W25*10000)</f>
        <v>0</v>
      </c>
      <c r="I14" s="56">
        <f>IF(INDEX('Equip Data'!H:H,MATCH($D14,'Equip Data'!$A:$A,0))="",0,Main!$W25*10000)</f>
        <v>0</v>
      </c>
      <c r="J14" s="56">
        <f>IF(INDEX('Equip Data'!I:I,MATCH($D14,'Equip Data'!$A:$A,0))="",0,Main!$W25*10000)</f>
        <v>10000</v>
      </c>
      <c r="K14" s="56">
        <f>IF(INDEX('Equip Data'!J:J,MATCH($D14,'Equip Data'!$A:$A,0))="",0,Main!$W25*10000)</f>
        <v>0</v>
      </c>
      <c r="L14" s="56">
        <f>IF(INDEX('Equip Data'!K:K,MATCH($D14,'Equip Data'!$A:$A,0))="",0,Main!$W25*10000)</f>
        <v>10000</v>
      </c>
      <c r="M14" s="56">
        <f>IF(INDEX('Equip Data'!L:L,MATCH($D14,'Equip Data'!$A:$A,0))="",0,Main!$W25*10000)</f>
        <v>0</v>
      </c>
      <c r="N14" s="56">
        <f>IF(INDEX('Equip Data'!M:M,MATCH($D14,'Equip Data'!$A:$A,0))="",0,Main!$W25*10000)</f>
        <v>0</v>
      </c>
      <c r="O14" s="56">
        <f>IF(INDEX('Equip Data'!N:N,MATCH($D14,'Equip Data'!$A:$A,0))="",0,Main!$W25*10000)</f>
        <v>0</v>
      </c>
      <c r="P14" s="56">
        <f>IF(INDEX('Equip Data'!O:O,MATCH($D14,'Equip Data'!$A:$A,0))="",0,Main!$W25*10000)</f>
        <v>0</v>
      </c>
      <c r="Q14" s="56">
        <f>IF(INDEX('Equip Data'!P:P,MATCH($D14,'Equip Data'!$A:$A,0))="",0,Main!$W25*10000)</f>
        <v>0</v>
      </c>
      <c r="R14" s="56">
        <f>IF(INDEX('Equip Data'!Q:Q,MATCH($D14,'Equip Data'!$A:$A,0))="",0,Main!$W25*10000)</f>
        <v>0</v>
      </c>
      <c r="S14" s="56">
        <f>IF(INDEX('Equip Data'!R:R,MATCH($D14,'Equip Data'!$A:$A,0))="",0,Main!$W25*10000)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IF(OR(Main!U26="",EchType="SF"),"",ROW()-1)</f>
        <v>14</v>
      </c>
      <c r="B15" s="56">
        <f>Main!$B$9</f>
        <v>562858</v>
      </c>
      <c r="C15" s="58">
        <f t="shared" si="0"/>
        <v>99</v>
      </c>
      <c r="D15" s="56">
        <f>INDEX('Equip Data'!$A:$A,MATCH(Main!U26,'Equip Data'!$B:$B,0))</f>
        <v>40</v>
      </c>
      <c r="E15" s="56">
        <f>INDEX('Exp Tables'!$R$3:$V$13,MATCH(F15,'Exp Tables'!$Q$3:$Q$13,0),MATCH(INDEX('Equip Data'!$C:$C,MATCH(Main!U26,'Equip Data'!$B:$B,0)),'Exp Tables'!$R$2:$V$2,0))</f>
        <v>10000</v>
      </c>
      <c r="F15" s="56">
        <f>Main!V26</f>
        <v>10</v>
      </c>
      <c r="G15" s="56">
        <f>IF(INDEX('Equip Data'!F:F,MATCH($D15,'Equip Data'!$A:$A,0))="",0,Main!$W26*10000)</f>
        <v>10000</v>
      </c>
      <c r="H15" s="56">
        <f>IF(INDEX('Equip Data'!G:G,MATCH($D15,'Equip Data'!$A:$A,0))="",0,Main!$W26*10000)</f>
        <v>0</v>
      </c>
      <c r="I15" s="56">
        <f>IF(INDEX('Equip Data'!H:H,MATCH($D15,'Equip Data'!$A:$A,0))="",0,Main!$W26*10000)</f>
        <v>10000</v>
      </c>
      <c r="J15" s="56">
        <f>IF(INDEX('Equip Data'!I:I,MATCH($D15,'Equip Data'!$A:$A,0))="",0,Main!$W26*10000)</f>
        <v>0</v>
      </c>
      <c r="K15" s="56">
        <f>IF(INDEX('Equip Data'!J:J,MATCH($D15,'Equip Data'!$A:$A,0))="",0,Main!$W26*10000)</f>
        <v>0</v>
      </c>
      <c r="L15" s="56">
        <f>IF(INDEX('Equip Data'!K:K,MATCH($D15,'Equip Data'!$A:$A,0))="",0,Main!$W26*10000)</f>
        <v>0</v>
      </c>
      <c r="M15" s="56">
        <f>IF(INDEX('Equip Data'!L:L,MATCH($D15,'Equip Data'!$A:$A,0))="",0,Main!$W26*10000)</f>
        <v>0</v>
      </c>
      <c r="N15" s="56">
        <f>IF(INDEX('Equip Data'!M:M,MATCH($D15,'Equip Data'!$A:$A,0))="",0,Main!$W26*10000)</f>
        <v>0</v>
      </c>
      <c r="O15" s="56">
        <f>IF(INDEX('Equip Data'!N:N,MATCH($D15,'Equip Data'!$A:$A,0))="",0,Main!$W26*10000)</f>
        <v>0</v>
      </c>
      <c r="P15" s="56">
        <f>IF(INDEX('Equip Data'!O:O,MATCH($D15,'Equip Data'!$A:$A,0))="",0,Main!$W26*10000)</f>
        <v>0</v>
      </c>
      <c r="Q15" s="56">
        <f>IF(INDEX('Equip Data'!P:P,MATCH($D15,'Equip Data'!$A:$A,0))="",0,Main!$W26*10000)</f>
        <v>0</v>
      </c>
      <c r="R15" s="56">
        <f>IF(INDEX('Equip Data'!Q:Q,MATCH($D15,'Equip Data'!$A:$A,0))="",0,Main!$W26*10000)</f>
        <v>0</v>
      </c>
      <c r="S15" s="56">
        <f>IF(INDEX('Equip Data'!R:R,MATCH($D15,'Equip Data'!$A:$A,0))="",0,Main!$W26*10000)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IF(OR(Main!U27="",EchType="SF"),"",ROW()-1)</f>
        <v>15</v>
      </c>
      <c r="B16" s="57">
        <f>Main!$B$9</f>
        <v>562858</v>
      </c>
      <c r="C16" s="59">
        <f t="shared" si="0"/>
        <v>242</v>
      </c>
      <c r="D16" s="57">
        <f>INDEX('Equip Data'!$A:$A,MATCH(Main!U27,'Equip Data'!$B:$B,0))</f>
        <v>40</v>
      </c>
      <c r="E16" s="57">
        <f>INDEX('Exp Tables'!$R$3:$V$13,MATCH(F16,'Exp Tables'!$Q$3:$Q$13,0),MATCH(INDEX('Equip Data'!$C:$C,MATCH(Main!U27,'Equip Data'!$B:$B,0)),'Exp Tables'!$R$2:$V$2,0))</f>
        <v>10000</v>
      </c>
      <c r="F16" s="57">
        <f>Main!V27</f>
        <v>10</v>
      </c>
      <c r="G16" s="57">
        <f>IF(INDEX('Equip Data'!F:F,MATCH($D16,'Equip Data'!$A:$A,0))="",0,Main!$W27*10000)</f>
        <v>10000</v>
      </c>
      <c r="H16" s="57">
        <f>IF(INDEX('Equip Data'!G:G,MATCH($D16,'Equip Data'!$A:$A,0))="",0,Main!$W27*10000)</f>
        <v>0</v>
      </c>
      <c r="I16" s="57">
        <f>IF(INDEX('Equip Data'!H:H,MATCH($D16,'Equip Data'!$A:$A,0))="",0,Main!$W27*10000)</f>
        <v>10000</v>
      </c>
      <c r="J16" s="57">
        <f>IF(INDEX('Equip Data'!I:I,MATCH($D16,'Equip Data'!$A:$A,0))="",0,Main!$W27*10000)</f>
        <v>0</v>
      </c>
      <c r="K16" s="57">
        <f>IF(INDEX('Equip Data'!J:J,MATCH($D16,'Equip Data'!$A:$A,0))="",0,Main!$W27*10000)</f>
        <v>0</v>
      </c>
      <c r="L16" s="57">
        <f>IF(INDEX('Equip Data'!K:K,MATCH($D16,'Equip Data'!$A:$A,0))="",0,Main!$W27*10000)</f>
        <v>0</v>
      </c>
      <c r="M16" s="57">
        <f>IF(INDEX('Equip Data'!L:L,MATCH($D16,'Equip Data'!$A:$A,0))="",0,Main!$W27*10000)</f>
        <v>0</v>
      </c>
      <c r="N16" s="57">
        <f>IF(INDEX('Equip Data'!M:M,MATCH($D16,'Equip Data'!$A:$A,0))="",0,Main!$W27*10000)</f>
        <v>0</v>
      </c>
      <c r="O16" s="57">
        <f>IF(INDEX('Equip Data'!N:N,MATCH($D16,'Equip Data'!$A:$A,0))="",0,Main!$W27*10000)</f>
        <v>0</v>
      </c>
      <c r="P16" s="57">
        <f>IF(INDEX('Equip Data'!O:O,MATCH($D16,'Equip Data'!$A:$A,0))="",0,Main!$W27*10000)</f>
        <v>0</v>
      </c>
      <c r="Q16" s="57">
        <f>IF(INDEX('Equip Data'!P:P,MATCH($D16,'Equip Data'!$A:$A,0))="",0,Main!$W27*10000)</f>
        <v>0</v>
      </c>
      <c r="R16" s="57">
        <f>IF(INDEX('Equip Data'!Q:Q,MATCH($D16,'Equip Data'!$A:$A,0))="",0,Main!$W27*10000)</f>
        <v>0</v>
      </c>
      <c r="S16" s="57">
        <f>IF(INDEX('Equip Data'!R:R,MATCH($D16,'Equip Data'!$A:$A,0))="",0,Main!$W27*10000)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03" t="s">
        <v>25</v>
      </c>
      <c r="B1" s="103" t="s">
        <v>26</v>
      </c>
      <c r="C1" s="103" t="s">
        <v>734</v>
      </c>
      <c r="D1" s="103" t="s">
        <v>30</v>
      </c>
      <c r="E1" s="103" t="s">
        <v>735</v>
      </c>
      <c r="F1" s="103" t="s">
        <v>736</v>
      </c>
      <c r="G1" s="103" t="s">
        <v>737</v>
      </c>
      <c r="H1" s="103" t="s">
        <v>691</v>
      </c>
      <c r="I1" s="103" t="s">
        <v>738</v>
      </c>
      <c r="J1" s="103" t="s">
        <v>739</v>
      </c>
      <c r="K1" s="103" t="s">
        <v>44</v>
      </c>
      <c r="L1" s="103" t="s">
        <v>684</v>
      </c>
      <c r="M1" s="103" t="s">
        <v>687</v>
      </c>
      <c r="N1" s="103" t="s">
        <v>688</v>
      </c>
      <c r="O1" s="103" t="s">
        <v>740</v>
      </c>
      <c r="P1" s="103" t="s">
        <v>54</v>
      </c>
    </row>
    <row r="2" spans="1:16" x14ac:dyDescent="0.25">
      <c r="A2" s="1">
        <f>IF(OR(Main!B32="",EchType="SF"),"",1)</f>
        <v>1</v>
      </c>
      <c r="B2" s="1">
        <f>Main!B9</f>
        <v>562858</v>
      </c>
      <c r="C2" s="1">
        <f>INDEX('Fairy Data'!$A:$A,MATCH(Main!B32,'Fairy Data'!$B:$B,0))</f>
        <v>22</v>
      </c>
      <c r="D2" s="1">
        <v>1</v>
      </c>
      <c r="E2" s="1">
        <f>Main!D32</f>
        <v>100</v>
      </c>
      <c r="F2" s="1">
        <f>VLOOKUP(E2,'Exp Tables'!$E$3:$G$102,3,FALSE)</f>
        <v>9999000</v>
      </c>
      <c r="G2" s="1">
        <f>Main!C32</f>
        <v>5</v>
      </c>
      <c r="H2" s="1">
        <f>INDEX('Fairy Data'!$E$2:$I$100,MATCH(A2,'Fairy Data'!$A$2:$A$100,0),MATCH("exp"&amp;G2,'Fairy Data'!$E$1:$I$1,0))</f>
        <v>3000</v>
      </c>
      <c r="I2" s="1">
        <f>Main!E32</f>
        <v>10</v>
      </c>
      <c r="J2" s="1">
        <f>VLOOKUP(Main!F32,'Talent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1028</v>
      </c>
      <c r="C1" s="103" t="s">
        <v>1029</v>
      </c>
      <c r="D1" s="103" t="s">
        <v>1030</v>
      </c>
      <c r="E1" s="103" t="s">
        <v>297</v>
      </c>
      <c r="F1" s="103" t="s">
        <v>1031</v>
      </c>
      <c r="G1" s="103" t="s">
        <v>34</v>
      </c>
      <c r="H1" s="103" t="s">
        <v>1032</v>
      </c>
      <c r="I1" s="103" t="s">
        <v>35</v>
      </c>
      <c r="J1" s="103" t="s">
        <v>36</v>
      </c>
      <c r="K1" s="103" t="s">
        <v>1033</v>
      </c>
      <c r="L1" s="103" t="s">
        <v>1034</v>
      </c>
      <c r="M1" s="103" t="s">
        <v>1035</v>
      </c>
      <c r="N1" s="103" t="s">
        <v>1036</v>
      </c>
      <c r="O1" s="103" t="s">
        <v>1037</v>
      </c>
      <c r="P1" s="103" t="s">
        <v>1038</v>
      </c>
      <c r="Q1" s="103" t="s">
        <v>38</v>
      </c>
      <c r="R1" s="103" t="s">
        <v>1039</v>
      </c>
      <c r="S1" s="103" t="s">
        <v>41</v>
      </c>
      <c r="T1" s="103" t="s">
        <v>42</v>
      </c>
      <c r="U1" s="103" t="s">
        <v>1040</v>
      </c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</row>
    <row r="2" spans="1:33" x14ac:dyDescent="0.25">
      <c r="A2" s="1" t="str">
        <f>IF(Main!A54="","",1000&amp;Main!B54)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Main!D54-'G&amp;K Stat Calc'!AI3</f>
        <v>410</v>
      </c>
      <c r="L2" s="39">
        <f>Main!G54-'G&amp;K Stat Calc'!AJ3</f>
        <v>105</v>
      </c>
      <c r="M2" s="39">
        <f>Main!F54-'G&amp;K Stat Calc'!AK3</f>
        <v>450</v>
      </c>
      <c r="N2" s="39">
        <f>Main!E54-'G&amp;K 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Main!H54</f>
        <v>10</v>
      </c>
      <c r="T2" s="1">
        <f>Main!I54</f>
        <v>10</v>
      </c>
      <c r="U2" s="1">
        <f>Main!J54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IF(Main!A55="","",1000&amp;Main!B55)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Main!D55-'G&amp;K Stat Calc'!AI4</f>
        <v>257</v>
      </c>
      <c r="L3" s="39">
        <f>Main!G55-'G&amp;K Stat Calc'!AJ4</f>
        <v>596</v>
      </c>
      <c r="M3" s="39">
        <f>Main!F55-'G&amp;K Stat Calc'!AK4</f>
        <v>314</v>
      </c>
      <c r="N3" s="39">
        <f>Main!E55-'G&amp;K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Main!H55</f>
        <v>10</v>
      </c>
      <c r="T3" s="1">
        <f>Main!I55</f>
        <v>10</v>
      </c>
      <c r="U3" s="1">
        <f>Main!J55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IF(Main!A56="","",1000&amp;Main!B56)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Main!D56-'G&amp;K Stat Calc'!AI5</f>
        <v>569</v>
      </c>
      <c r="L4" s="39">
        <f>Main!G56-'G&amp;K Stat Calc'!AJ5</f>
        <v>252</v>
      </c>
      <c r="M4" s="39">
        <f>Main!F56-'G&amp;K Stat Calc'!AK5</f>
        <v>230</v>
      </c>
      <c r="N4" s="39">
        <f>Main!E56-'G&amp;K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Main!H56</f>
        <v>10</v>
      </c>
      <c r="T4" s="1">
        <f>Main!I56</f>
        <v>10</v>
      </c>
      <c r="U4" s="1">
        <f>Main!J56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IF(Main!A57="","",1000&amp;Main!B57)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Main!D57-'G&amp;K Stat Calc'!AI6</f>
        <v>481</v>
      </c>
      <c r="L5" s="39">
        <f>Main!G57-'G&amp;K Stat Calc'!AJ6</f>
        <v>340</v>
      </c>
      <c r="M5" s="39">
        <f>Main!F57-'G&amp;K Stat Calc'!AK6</f>
        <v>226</v>
      </c>
      <c r="N5" s="39">
        <f>Main!E57-'G&amp;K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Main!H57</f>
        <v>10</v>
      </c>
      <c r="T5" s="1">
        <f>Main!I57</f>
        <v>10</v>
      </c>
      <c r="U5" s="1">
        <f>Main!J57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IF(Main!A58="","",1000&amp;Main!B58)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Main!D58-'G&amp;K Stat Calc'!AI7</f>
        <v>385</v>
      </c>
      <c r="L6" s="39">
        <f>Main!G58-'G&amp;K Stat Calc'!AJ7</f>
        <v>204</v>
      </c>
      <c r="M6" s="39">
        <f>Main!F58-'G&amp;K Stat Calc'!AK7</f>
        <v>437</v>
      </c>
      <c r="N6" s="39">
        <f>Main!E58-'G&amp;K 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Main!H58</f>
        <v>10</v>
      </c>
      <c r="T6" s="1">
        <f>Main!I58</f>
        <v>10</v>
      </c>
      <c r="U6" s="1">
        <f>Main!J58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IF(Main!A59="","",1000&amp;Main!B59)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Main!D59-'G&amp;K Stat Calc'!AI8</f>
        <v>51</v>
      </c>
      <c r="L7" s="39">
        <f>Main!G59-'G&amp;K Stat Calc'!AJ8</f>
        <v>219</v>
      </c>
      <c r="M7" s="39">
        <f>Main!F59-'G&amp;K Stat Calc'!AK8</f>
        <v>125</v>
      </c>
      <c r="N7" s="39">
        <f>Main!E59-'G&amp;K 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Main!H59</f>
        <v>10</v>
      </c>
      <c r="T7" s="1">
        <f>Main!I59</f>
        <v>10</v>
      </c>
      <c r="U7" s="1">
        <f>Main!J59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IF(Main!A60="","",1000&amp;Main!B60)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Main!D60-'G&amp;K Stat Calc'!AI9</f>
        <v>378</v>
      </c>
      <c r="L8" s="39">
        <f>Main!G60-'G&amp;K Stat Calc'!AJ9</f>
        <v>178</v>
      </c>
      <c r="M8" s="39">
        <f>Main!F60-'G&amp;K Stat Calc'!AK9</f>
        <v>380</v>
      </c>
      <c r="N8" s="39">
        <f>Main!E60-'G&amp;K 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Main!H60</f>
        <v>10</v>
      </c>
      <c r="T8" s="1">
        <f>Main!I60</f>
        <v>10</v>
      </c>
      <c r="U8" s="1">
        <f>Main!J60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0"/>
  <sheetViews>
    <sheetView workbookViewId="0"/>
  </sheetViews>
  <sheetFormatPr defaultRowHeight="15" x14ac:dyDescent="0.25"/>
  <sheetData>
    <row r="1" spans="1:27" x14ac:dyDescent="0.25">
      <c r="A1" s="103" t="s">
        <v>25</v>
      </c>
      <c r="B1" s="103" t="s">
        <v>26</v>
      </c>
      <c r="C1" s="103" t="s">
        <v>1222</v>
      </c>
      <c r="D1" s="103" t="s">
        <v>1223</v>
      </c>
      <c r="E1" s="103" t="s">
        <v>1224</v>
      </c>
      <c r="F1" s="103" t="s">
        <v>1225</v>
      </c>
      <c r="G1" s="103" t="s">
        <v>1226</v>
      </c>
      <c r="H1" s="103" t="s">
        <v>1227</v>
      </c>
      <c r="I1" s="103" t="s">
        <v>1228</v>
      </c>
      <c r="J1" s="103" t="s">
        <v>1229</v>
      </c>
      <c r="K1" s="103" t="s">
        <v>41</v>
      </c>
      <c r="L1" s="103" t="s">
        <v>42</v>
      </c>
      <c r="M1" s="103" t="s">
        <v>1040</v>
      </c>
      <c r="N1" s="103" t="s">
        <v>1170</v>
      </c>
      <c r="O1" s="103" t="s">
        <v>1230</v>
      </c>
      <c r="P1" s="103" t="s">
        <v>1231</v>
      </c>
      <c r="Q1" s="103" t="s">
        <v>55</v>
      </c>
      <c r="R1" s="103" t="s">
        <v>50</v>
      </c>
      <c r="S1" s="103" t="s">
        <v>52</v>
      </c>
      <c r="T1" s="103" t="s">
        <v>51</v>
      </c>
      <c r="U1" s="103" t="s">
        <v>34</v>
      </c>
      <c r="V1" s="103" t="s">
        <v>1232</v>
      </c>
      <c r="W1" s="103" t="s">
        <v>53</v>
      </c>
      <c r="X1" s="103" t="s">
        <v>56</v>
      </c>
      <c r="Y1" s="103" t="s">
        <v>54</v>
      </c>
      <c r="Z1" s="103" t="s">
        <v>57</v>
      </c>
      <c r="AA1" s="103" t="s">
        <v>44</v>
      </c>
    </row>
    <row r="2" spans="1:27" x14ac:dyDescent="0.25">
      <c r="A2" s="1" t="str">
        <f>IF(OR(Main!C39="",EchType="G&amp;K"),"",1&amp;ROW()-1)</f>
        <v/>
      </c>
      <c r="B2" s="1">
        <f t="shared" ref="B2:B10" si="0">UserID</f>
        <v>562858</v>
      </c>
      <c r="C2" s="1">
        <f>INDEX('SF Data'!$A:$A,MATCH(Main!C39,'SF Data'!$B:$B,0))</f>
        <v>1008</v>
      </c>
      <c r="D2" s="1">
        <f>VLOOKUP(E2,'Exp Tables'!$M$3:$O$102,3,FALSE)</f>
        <v>3255500</v>
      </c>
      <c r="E2" s="1">
        <f>Main!D39</f>
        <v>100</v>
      </c>
      <c r="F2" s="1">
        <f>MAX(Main!B39,Main!E39)</f>
        <v>5</v>
      </c>
      <c r="G2" s="1">
        <f>Main!F39</f>
        <v>4</v>
      </c>
      <c r="H2" s="1">
        <v>100</v>
      </c>
      <c r="I2" s="1">
        <f>IF(Main!G39="XL",5,IF(Main!G39="L",4,IF(Main!G39="M",3,IF(Main!G39="S",2,IF(Main!G39="XS",1,0)))))</f>
        <v>0</v>
      </c>
      <c r="J2" s="1">
        <v>1</v>
      </c>
      <c r="K2" s="1">
        <f>IF(Main!B39=3,Main!I39,0)</f>
        <v>10</v>
      </c>
      <c r="L2" s="1">
        <f>IF(Main!B39=3,Main!J39,0)</f>
        <v>10</v>
      </c>
      <c r="M2" s="1">
        <f>IF(Main!B39=2,Main!I39,IF(Main!B39=3,Main!K39,0))</f>
        <v>5</v>
      </c>
      <c r="N2" s="1">
        <f>IF(AND(Main!B39=1,Main!E39&gt;=4),Main!I39,IF(AND(Main!B39=2,Main!E39&gt;=4),Main!J39,IF(AND(Main!B39=3,Main!E39&gt;=4),Main!L39,0)))</f>
        <v>5</v>
      </c>
      <c r="O2" s="1">
        <f>IF(Main!B39&lt;3,0,INDEX('SF Chip Data'!$A:$A,MATCH(Main!M39,'SF Chip Data'!$B:$B,0)))</f>
        <v>1001</v>
      </c>
      <c r="P2" s="1">
        <f>IF(AND(Main!B39=3,Main!F39=4),INDEX('SF Chip Data'!$A:$A,MATCH(Main!N39,'SF Chip Data'!$B:$B,0)),0)</f>
        <v>1002</v>
      </c>
      <c r="Q2" s="1">
        <v>0</v>
      </c>
      <c r="R2" s="1">
        <f>Main!H39*10000</f>
        <v>1000000</v>
      </c>
      <c r="S2" s="1">
        <f>IF(Main!H39&lt;=100,1000000,1500000)</f>
        <v>1000000</v>
      </c>
      <c r="T2" s="1">
        <f>S2</f>
        <v>1000000</v>
      </c>
      <c r="U2" s="1">
        <f>IF(AND(UseSFCustomHP=TRUE,Main!P39&lt;&gt;0),Main!P39,'SF Stat Calc'!X3)</f>
        <v>1205</v>
      </c>
      <c r="V2" s="1">
        <v>0</v>
      </c>
      <c r="W2" s="1">
        <f>IF(Main!H39&gt;100,1,0)</f>
        <v>0</v>
      </c>
      <c r="X2" s="1">
        <v>0</v>
      </c>
      <c r="Y2" s="1">
        <f>IF(AND(F2=5,Main!B39=3),1,0)</f>
        <v>1</v>
      </c>
      <c r="Z2" s="1">
        <v>0</v>
      </c>
      <c r="AA2" s="1">
        <v>1</v>
      </c>
    </row>
    <row r="3" spans="1:27" x14ac:dyDescent="0.25">
      <c r="A3" s="1" t="str">
        <f>IF(OR(Main!C40="",EchType="G&amp;K"),"",1&amp;ROW()-1)</f>
        <v/>
      </c>
      <c r="B3" s="1">
        <f t="shared" si="0"/>
        <v>562858</v>
      </c>
      <c r="C3" s="1">
        <f>INDEX('SF Data'!$A:$A,MATCH(Main!C40,'SF Data'!$B:$B,0))</f>
        <v>2006</v>
      </c>
      <c r="D3" s="1">
        <f>VLOOKUP(E3,'Exp Tables'!$M$3:$O$102,3,FALSE)</f>
        <v>3255500</v>
      </c>
      <c r="E3" s="1">
        <f>Main!D40</f>
        <v>100</v>
      </c>
      <c r="F3" s="1">
        <f>MAX(Main!B40,Main!E40)</f>
        <v>5</v>
      </c>
      <c r="G3" s="1">
        <f>Main!F40</f>
        <v>4</v>
      </c>
      <c r="H3" s="1">
        <v>100</v>
      </c>
      <c r="I3" s="1">
        <f>IF(Main!G40="XL",5,IF(Main!G40="L",4,IF(Main!G40="M",3,IF(Main!G40="S",2,IF(Main!G40="XS",1,0)))))</f>
        <v>5</v>
      </c>
      <c r="J3" s="1">
        <v>1</v>
      </c>
      <c r="K3" s="1">
        <f>IF(Main!B40=3,Main!I40,0)</f>
        <v>0</v>
      </c>
      <c r="L3" s="1">
        <f>IF(Main!B40=3,Main!J40,0)</f>
        <v>0</v>
      </c>
      <c r="M3" s="1">
        <f>IF(Main!B40=2,Main!I40,IF(Main!B40=3,Main!K40,0))</f>
        <v>5</v>
      </c>
      <c r="N3" s="1">
        <f>IF(AND(Main!B40=1,Main!E40&gt;=4),Main!I40,IF(AND(Main!B40=2,Main!E40&gt;=4),Main!J40,IF(AND(Main!B40=3,Main!E40&gt;=4),Main!L40,0)))</f>
        <v>5</v>
      </c>
      <c r="O3" s="1">
        <f>IF(Main!B40&lt;3,0,INDEX('SF Chip Data'!$A:$A,MATCH(Main!M40,'SF Chip Data'!$B:$B,0)))</f>
        <v>0</v>
      </c>
      <c r="P3" s="1">
        <f>IF(AND(Main!B40=3,Main!F40=4),INDEX('SF Chip Data'!$A:$A,MATCH(Main!N40,'SF Chip Data'!$B:$B,0)),0)</f>
        <v>0</v>
      </c>
      <c r="Q3" s="1">
        <v>0</v>
      </c>
      <c r="R3" s="1">
        <f>Main!H40*10000</f>
        <v>1000000</v>
      </c>
      <c r="S3" s="1">
        <f>IF(Main!H40&lt;=100,1000000,1500000)</f>
        <v>1000000</v>
      </c>
      <c r="T3" s="1">
        <f t="shared" ref="T3:T10" si="1">S3</f>
        <v>1000000</v>
      </c>
      <c r="U3" s="1">
        <f>IF(AND(UseSFCustomHP=TRUE,Main!P40&lt;&gt;0),Main!P40,'SF Stat Calc'!X4)</f>
        <v>1604</v>
      </c>
      <c r="V3" s="1">
        <v>0</v>
      </c>
      <c r="W3" s="1">
        <f>IF(Main!H40&gt;100,1,0)</f>
        <v>0</v>
      </c>
      <c r="X3" s="1">
        <v>0</v>
      </c>
      <c r="Y3" s="1">
        <f>IF(AND(F3=5,Main!B40=3),1,0)</f>
        <v>0</v>
      </c>
      <c r="Z3" s="1">
        <v>0</v>
      </c>
      <c r="AA3" s="1">
        <v>1</v>
      </c>
    </row>
    <row r="4" spans="1:27" x14ac:dyDescent="0.25">
      <c r="A4" s="1" t="str">
        <f>IF(OR(Main!C41="",EchType="G&amp;K"),"",1&amp;ROW()-1)</f>
        <v/>
      </c>
      <c r="B4" s="1">
        <f t="shared" si="0"/>
        <v>562858</v>
      </c>
      <c r="C4" s="1">
        <f>INDEX('SF Data'!$A:$A,MATCH(Main!C41,'SF Data'!$B:$B,0))</f>
        <v>2006</v>
      </c>
      <c r="D4" s="1">
        <f>VLOOKUP(E4,'Exp Tables'!$M$3:$O$102,3,FALSE)</f>
        <v>3255500</v>
      </c>
      <c r="E4" s="1">
        <f>Main!D41</f>
        <v>100</v>
      </c>
      <c r="F4" s="1">
        <f>MAX(Main!B41,Main!E41)</f>
        <v>5</v>
      </c>
      <c r="G4" s="1">
        <f>Main!F41</f>
        <v>4</v>
      </c>
      <c r="H4" s="1">
        <v>100</v>
      </c>
      <c r="I4" s="1">
        <f>IF(Main!G41="XL",5,IF(Main!G41="L",4,IF(Main!G41="M",3,IF(Main!G41="S",2,IF(Main!G41="XS",1,0)))))</f>
        <v>5</v>
      </c>
      <c r="J4" s="1">
        <v>1</v>
      </c>
      <c r="K4" s="1">
        <f>IF(Main!B41=3,Main!I41,0)</f>
        <v>0</v>
      </c>
      <c r="L4" s="1">
        <f>IF(Main!B41=3,Main!J41,0)</f>
        <v>0</v>
      </c>
      <c r="M4" s="1">
        <f>IF(Main!B41=2,Main!I41,IF(Main!B41=3,Main!K41,0))</f>
        <v>5</v>
      </c>
      <c r="N4" s="1">
        <f>IF(AND(Main!B41=1,Main!E41&gt;=4),Main!I41,IF(AND(Main!B41=2,Main!E41&gt;=4),Main!J41,IF(AND(Main!B41=3,Main!E41&gt;=4),Main!L41,0)))</f>
        <v>5</v>
      </c>
      <c r="O4" s="1">
        <f>IF(Main!B41&lt;3,0,INDEX('SF Chip Data'!$A:$A,MATCH(Main!M41,'SF Chip Data'!$B:$B,0)))</f>
        <v>0</v>
      </c>
      <c r="P4" s="1">
        <f>IF(AND(Main!B41=3,Main!F41=4),INDEX('SF Chip Data'!$A:$A,MATCH(Main!N41,'SF Chip Data'!$B:$B,0)),0)</f>
        <v>0</v>
      </c>
      <c r="Q4" s="1">
        <v>0</v>
      </c>
      <c r="R4" s="1">
        <f>Main!H41*10000</f>
        <v>1000000</v>
      </c>
      <c r="S4" s="1">
        <f>IF(Main!H41&lt;=100,1000000,1500000)</f>
        <v>1000000</v>
      </c>
      <c r="T4" s="1">
        <f t="shared" si="1"/>
        <v>1000000</v>
      </c>
      <c r="U4" s="1">
        <f>IF(AND(UseSFCustomHP=TRUE,Main!P41&lt;&gt;0),Main!P41,'SF Stat Calc'!X5)</f>
        <v>1604</v>
      </c>
      <c r="V4" s="1">
        <v>0</v>
      </c>
      <c r="W4" s="1">
        <f>IF(Main!H41&gt;100,1,0)</f>
        <v>0</v>
      </c>
      <c r="X4" s="1">
        <v>0</v>
      </c>
      <c r="Y4" s="1">
        <f>IF(AND(F4=5,Main!B41=3),1,0)</f>
        <v>0</v>
      </c>
      <c r="Z4" s="1">
        <v>0</v>
      </c>
      <c r="AA4" s="1">
        <v>1</v>
      </c>
    </row>
    <row r="5" spans="1:27" x14ac:dyDescent="0.25">
      <c r="A5" s="1" t="str">
        <f>IF(OR(Main!C42="",EchType="G&amp;K"),"",1&amp;ROW()-1)</f>
        <v/>
      </c>
      <c r="B5" s="1">
        <f t="shared" si="0"/>
        <v>562858</v>
      </c>
      <c r="C5" s="1">
        <f>INDEX('SF Data'!$A:$A,MATCH(Main!C42,'SF Data'!$B:$B,0))</f>
        <v>2006</v>
      </c>
      <c r="D5" s="1">
        <f>VLOOKUP(E5,'Exp Tables'!$M$3:$O$102,3,FALSE)</f>
        <v>3255500</v>
      </c>
      <c r="E5" s="1">
        <f>Main!D42</f>
        <v>100</v>
      </c>
      <c r="F5" s="1">
        <f>MAX(Main!B42,Main!E42)</f>
        <v>5</v>
      </c>
      <c r="G5" s="1">
        <f>Main!F42</f>
        <v>4</v>
      </c>
      <c r="H5" s="1">
        <v>100</v>
      </c>
      <c r="I5" s="1">
        <f>IF(Main!G42="XL",5,IF(Main!G42="L",4,IF(Main!G42="M",3,IF(Main!G42="S",2,IF(Main!G42="XS",1,0)))))</f>
        <v>5</v>
      </c>
      <c r="J5" s="1">
        <v>1</v>
      </c>
      <c r="K5" s="1">
        <f>IF(Main!B42=3,Main!I42,0)</f>
        <v>0</v>
      </c>
      <c r="L5" s="1">
        <f>IF(Main!B42=3,Main!J42,0)</f>
        <v>0</v>
      </c>
      <c r="M5" s="1">
        <f>IF(Main!B42=2,Main!I42,IF(Main!B42=3,Main!K42,0))</f>
        <v>5</v>
      </c>
      <c r="N5" s="1">
        <f>IF(AND(Main!B42=1,Main!E42&gt;=4),Main!I42,IF(AND(Main!B42=2,Main!E42&gt;=4),Main!J42,IF(AND(Main!B42=3,Main!E42&gt;=4),Main!L42,0)))</f>
        <v>5</v>
      </c>
      <c r="O5" s="1">
        <f>IF(Main!B42&lt;3,0,INDEX('SF Chip Data'!$A:$A,MATCH(Main!M42,'SF Chip Data'!$B:$B,0)))</f>
        <v>0</v>
      </c>
      <c r="P5" s="1">
        <f>IF(AND(Main!B42=3,Main!F42=4),INDEX('SF Chip Data'!$A:$A,MATCH(Main!N42,'SF Chip Data'!$B:$B,0)),0)</f>
        <v>0</v>
      </c>
      <c r="Q5" s="1">
        <v>0</v>
      </c>
      <c r="R5" s="1">
        <f>Main!H42*10000</f>
        <v>1000000</v>
      </c>
      <c r="S5" s="1">
        <f>IF(Main!H42&lt;=100,1000000,1500000)</f>
        <v>1000000</v>
      </c>
      <c r="T5" s="1">
        <f t="shared" si="1"/>
        <v>1000000</v>
      </c>
      <c r="U5" s="1">
        <f>IF(AND(UseSFCustomHP=TRUE,Main!P42&lt;&gt;0),Main!P42,'SF Stat Calc'!X6)</f>
        <v>1604</v>
      </c>
      <c r="V5" s="1">
        <v>0</v>
      </c>
      <c r="W5" s="1">
        <f>IF(Main!H42&gt;100,1,0)</f>
        <v>0</v>
      </c>
      <c r="X5" s="1">
        <v>0</v>
      </c>
      <c r="Y5" s="1">
        <f>IF(AND(F5=5,Main!B42=3),1,0)</f>
        <v>0</v>
      </c>
      <c r="Z5" s="1">
        <v>0</v>
      </c>
      <c r="AA5" s="1">
        <v>1</v>
      </c>
    </row>
    <row r="6" spans="1:27" x14ac:dyDescent="0.25">
      <c r="A6" s="1" t="str">
        <f>IF(OR(Main!C43="",EchType="G&amp;K"),"",1&amp;ROW()-1)</f>
        <v/>
      </c>
      <c r="B6" s="1">
        <f t="shared" si="0"/>
        <v>562858</v>
      </c>
      <c r="C6" s="1">
        <f>INDEX('SF Data'!$A:$A,MATCH(Main!C43,'SF Data'!$B:$B,0))</f>
        <v>2006</v>
      </c>
      <c r="D6" s="1">
        <f>VLOOKUP(E6,'Exp Tables'!$M$3:$O$102,3,FALSE)</f>
        <v>3255500</v>
      </c>
      <c r="E6" s="1">
        <f>Main!D43</f>
        <v>100</v>
      </c>
      <c r="F6" s="1">
        <f>MAX(Main!B43,Main!E43)</f>
        <v>5</v>
      </c>
      <c r="G6" s="1">
        <f>Main!F43</f>
        <v>4</v>
      </c>
      <c r="H6" s="1">
        <v>100</v>
      </c>
      <c r="I6" s="1">
        <f>IF(Main!G43="XL",5,IF(Main!G43="L",4,IF(Main!G43="M",3,IF(Main!G43="S",2,IF(Main!G43="XS",1,0)))))</f>
        <v>5</v>
      </c>
      <c r="J6" s="1">
        <v>1</v>
      </c>
      <c r="K6" s="1">
        <f>IF(Main!B43=3,Main!I43,0)</f>
        <v>0</v>
      </c>
      <c r="L6" s="1">
        <f>IF(Main!B43=3,Main!J43,0)</f>
        <v>0</v>
      </c>
      <c r="M6" s="1">
        <f>IF(Main!B43=2,Main!I43,IF(Main!B43=3,Main!K43,0))</f>
        <v>5</v>
      </c>
      <c r="N6" s="1">
        <f>IF(AND(Main!B43=1,Main!E43&gt;=4),Main!I43,IF(AND(Main!B43=2,Main!E43&gt;=4),Main!J43,IF(AND(Main!B43=3,Main!E43&gt;=4),Main!L43,0)))</f>
        <v>5</v>
      </c>
      <c r="O6" s="1">
        <f>IF(Main!B43&lt;3,0,INDEX('SF Chip Data'!$A:$A,MATCH(Main!M43,'SF Chip Data'!$B:$B,0)))</f>
        <v>0</v>
      </c>
      <c r="P6" s="1">
        <f>IF(AND(Main!B43=3,Main!F43=4),INDEX('SF Chip Data'!$A:$A,MATCH(Main!N43,'SF Chip Data'!$B:$B,0)),0)</f>
        <v>0</v>
      </c>
      <c r="Q6" s="1">
        <v>0</v>
      </c>
      <c r="R6" s="1">
        <f>Main!H43*10000</f>
        <v>1000000</v>
      </c>
      <c r="S6" s="1">
        <f>IF(Main!H43&lt;=100,1000000,1500000)</f>
        <v>1000000</v>
      </c>
      <c r="T6" s="1">
        <f t="shared" si="1"/>
        <v>1000000</v>
      </c>
      <c r="U6" s="1">
        <f>IF(AND(UseSFCustomHP=TRUE,Main!P43&lt;&gt;0),Main!P43,'SF Stat Calc'!X7)</f>
        <v>1604</v>
      </c>
      <c r="V6" s="1">
        <v>0</v>
      </c>
      <c r="W6" s="1">
        <f>IF(Main!H43&gt;100,1,0)</f>
        <v>0</v>
      </c>
      <c r="X6" s="1">
        <v>0</v>
      </c>
      <c r="Y6" s="1">
        <f>IF(AND(F6=5,Main!B43=3),1,0)</f>
        <v>0</v>
      </c>
      <c r="Z6" s="1">
        <v>0</v>
      </c>
      <c r="AA6" s="1">
        <v>1</v>
      </c>
    </row>
    <row r="7" spans="1:27" x14ac:dyDescent="0.25">
      <c r="A7" s="1" t="str">
        <f>IF(OR(Main!C44="",EchType="G&amp;K"),"",1&amp;ROW()-1)</f>
        <v/>
      </c>
      <c r="B7" s="1">
        <f t="shared" si="0"/>
        <v>562858</v>
      </c>
      <c r="C7" s="1">
        <f>INDEX('SF Data'!$A:$A,MATCH(Main!C44,'SF Data'!$B:$B,0))</f>
        <v>2006</v>
      </c>
      <c r="D7" s="1">
        <f>VLOOKUP(E7,'Exp Tables'!$M$3:$O$102,3,FALSE)</f>
        <v>3255500</v>
      </c>
      <c r="E7" s="1">
        <f>Main!D44</f>
        <v>100</v>
      </c>
      <c r="F7" s="1">
        <f>MAX(Main!B44,Main!E44)</f>
        <v>5</v>
      </c>
      <c r="G7" s="1">
        <f>Main!F44</f>
        <v>4</v>
      </c>
      <c r="H7" s="1">
        <v>100</v>
      </c>
      <c r="I7" s="1">
        <f>IF(Main!G44="XL",5,IF(Main!G44="L",4,IF(Main!G44="M",3,IF(Main!G44="S",2,IF(Main!G44="XS",1,0)))))</f>
        <v>5</v>
      </c>
      <c r="J7" s="1">
        <v>1</v>
      </c>
      <c r="K7" s="1">
        <f>IF(Main!B44=3,Main!I44,0)</f>
        <v>0</v>
      </c>
      <c r="L7" s="1">
        <f>IF(Main!B44=3,Main!J44,0)</f>
        <v>0</v>
      </c>
      <c r="M7" s="1">
        <f>IF(Main!B44=2,Main!I44,IF(Main!B44=3,Main!K44,0))</f>
        <v>5</v>
      </c>
      <c r="N7" s="1">
        <f>IF(AND(Main!B44=1,Main!E44&gt;=4),Main!I44,IF(AND(Main!B44=2,Main!E44&gt;=4),Main!J44,IF(AND(Main!B44=3,Main!E44&gt;=4),Main!L44,0)))</f>
        <v>5</v>
      </c>
      <c r="O7" s="1">
        <f>IF(Main!B44&lt;3,0,INDEX('SF Chip Data'!$A:$A,MATCH(Main!M44,'SF Chip Data'!$B:$B,0)))</f>
        <v>0</v>
      </c>
      <c r="P7" s="1">
        <f>IF(AND(Main!B44=3,Main!F44=4),INDEX('SF Chip Data'!$A:$A,MATCH(Main!N44,'SF Chip Data'!$B:$B,0)),0)</f>
        <v>0</v>
      </c>
      <c r="Q7" s="1">
        <v>0</v>
      </c>
      <c r="R7" s="1">
        <f>Main!H44*10000</f>
        <v>1000000</v>
      </c>
      <c r="S7" s="1">
        <f>IF(Main!H44&lt;=100,1000000,1500000)</f>
        <v>1000000</v>
      </c>
      <c r="T7" s="1">
        <f t="shared" si="1"/>
        <v>1000000</v>
      </c>
      <c r="U7" s="1">
        <f>IF(AND(UseSFCustomHP=TRUE,Main!P44&lt;&gt;0),Main!P44,'SF Stat Calc'!X8)</f>
        <v>1604</v>
      </c>
      <c r="V7" s="1">
        <v>0</v>
      </c>
      <c r="W7" s="1">
        <f>IF(Main!H44&gt;100,1,0)</f>
        <v>0</v>
      </c>
      <c r="X7" s="1">
        <v>0</v>
      </c>
      <c r="Y7" s="1">
        <f>IF(AND(F7=5,Main!B44=3),1,0)</f>
        <v>0</v>
      </c>
      <c r="Z7" s="1">
        <v>0</v>
      </c>
      <c r="AA7" s="1">
        <v>1</v>
      </c>
    </row>
    <row r="8" spans="1:27" x14ac:dyDescent="0.25">
      <c r="A8" s="1" t="str">
        <f>IF(OR(Main!C45="",EchType="G&amp;K"),"",1&amp;ROW()-1)</f>
        <v/>
      </c>
      <c r="B8" s="1">
        <f t="shared" si="0"/>
        <v>562858</v>
      </c>
      <c r="C8" s="1">
        <f>INDEX('SF Data'!$A:$A,MATCH(Main!C45,'SF Data'!$B:$B,0))</f>
        <v>2006</v>
      </c>
      <c r="D8" s="1">
        <f>VLOOKUP(E8,'Exp Tables'!$M$3:$O$102,3,FALSE)</f>
        <v>3255500</v>
      </c>
      <c r="E8" s="1">
        <f>Main!D45</f>
        <v>100</v>
      </c>
      <c r="F8" s="1">
        <f>MAX(Main!B45,Main!E45)</f>
        <v>5</v>
      </c>
      <c r="G8" s="1">
        <f>Main!F45</f>
        <v>4</v>
      </c>
      <c r="H8" s="1">
        <v>100</v>
      </c>
      <c r="I8" s="1">
        <f>IF(Main!G45="XL",5,IF(Main!G45="L",4,IF(Main!G45="M",3,IF(Main!G45="S",2,IF(Main!G45="XS",1,0)))))</f>
        <v>5</v>
      </c>
      <c r="J8" s="1">
        <v>1</v>
      </c>
      <c r="K8" s="1">
        <f>IF(Main!B45=3,Main!I45,0)</f>
        <v>0</v>
      </c>
      <c r="L8" s="1">
        <f>IF(Main!B45=3,Main!J45,0)</f>
        <v>0</v>
      </c>
      <c r="M8" s="1">
        <f>IF(Main!B45=2,Main!I45,IF(Main!B45=3,Main!K45,0))</f>
        <v>5</v>
      </c>
      <c r="N8" s="1">
        <f>IF(AND(Main!B45=1,Main!E45&gt;=4),Main!I45,IF(AND(Main!B45=2,Main!E45&gt;=4),Main!J45,IF(AND(Main!B45=3,Main!E45&gt;=4),Main!L45,0)))</f>
        <v>5</v>
      </c>
      <c r="O8" s="1">
        <f>IF(Main!B45&lt;3,0,INDEX('SF Chip Data'!$A:$A,MATCH(Main!M45,'SF Chip Data'!$B:$B,0)))</f>
        <v>0</v>
      </c>
      <c r="P8" s="1">
        <f>IF(AND(Main!B45=3,Main!F45=4),INDEX('SF Chip Data'!$A:$A,MATCH(Main!N45,'SF Chip Data'!$B:$B,0)),0)</f>
        <v>0</v>
      </c>
      <c r="Q8" s="1">
        <v>0</v>
      </c>
      <c r="R8" s="1">
        <f>Main!H45*10000</f>
        <v>1000000</v>
      </c>
      <c r="S8" s="1">
        <f>IF(Main!H45&lt;=100,1000000,1500000)</f>
        <v>1000000</v>
      </c>
      <c r="T8" s="1">
        <f t="shared" si="1"/>
        <v>1000000</v>
      </c>
      <c r="U8" s="1">
        <f>IF(AND(UseSFCustomHP=TRUE,Main!P45&lt;&gt;0),Main!P45,'SF Stat Calc'!X9)</f>
        <v>1604</v>
      </c>
      <c r="V8" s="1">
        <v>0</v>
      </c>
      <c r="W8" s="1">
        <f>IF(Main!H45&gt;100,1,0)</f>
        <v>0</v>
      </c>
      <c r="X8" s="1">
        <v>0</v>
      </c>
      <c r="Y8" s="1">
        <f>IF(AND(F8=5,Main!B45=3),1,0)</f>
        <v>0</v>
      </c>
      <c r="Z8" s="1">
        <v>0</v>
      </c>
      <c r="AA8" s="1">
        <v>1</v>
      </c>
    </row>
    <row r="9" spans="1:27" x14ac:dyDescent="0.25">
      <c r="A9" s="1" t="str">
        <f>IF(OR(Main!C46="",EchType="G&amp;K"),"",1&amp;ROW()-1)</f>
        <v/>
      </c>
      <c r="B9" s="1">
        <f t="shared" si="0"/>
        <v>562858</v>
      </c>
      <c r="C9" s="1">
        <f>INDEX('SF Data'!$A:$A,MATCH(Main!C46,'SF Data'!$B:$B,0))</f>
        <v>2006</v>
      </c>
      <c r="D9" s="1">
        <f>VLOOKUP(E9,'Exp Tables'!$M$3:$O$102,3,FALSE)</f>
        <v>3255500</v>
      </c>
      <c r="E9" s="1">
        <f>Main!D46</f>
        <v>100</v>
      </c>
      <c r="F9" s="1">
        <f>MAX(Main!B46,Main!E46)</f>
        <v>5</v>
      </c>
      <c r="G9" s="1">
        <f>Main!F46</f>
        <v>4</v>
      </c>
      <c r="H9" s="1">
        <v>100</v>
      </c>
      <c r="I9" s="1">
        <f>IF(Main!G46="XL",5,IF(Main!G46="L",4,IF(Main!G46="M",3,IF(Main!G46="S",2,IF(Main!G46="XS",1,0)))))</f>
        <v>5</v>
      </c>
      <c r="J9" s="1">
        <v>1</v>
      </c>
      <c r="K9" s="1">
        <f>IF(Main!B46=3,Main!I46,0)</f>
        <v>0</v>
      </c>
      <c r="L9" s="1">
        <f>IF(Main!B46=3,Main!J46,0)</f>
        <v>0</v>
      </c>
      <c r="M9" s="1">
        <f>IF(Main!B46=2,Main!I46,IF(Main!B46=3,Main!K46,0))</f>
        <v>5</v>
      </c>
      <c r="N9" s="1">
        <f>IF(AND(Main!B46=1,Main!E46&gt;=4),Main!I46,IF(AND(Main!B46=2,Main!E46&gt;=4),Main!J46,IF(AND(Main!B46=3,Main!E46&gt;=4),Main!L46,0)))</f>
        <v>5</v>
      </c>
      <c r="O9" s="1">
        <f>IF(Main!B46&lt;3,0,INDEX('SF Chip Data'!$A:$A,MATCH(Main!M46,'SF Chip Data'!$B:$B,0)))</f>
        <v>0</v>
      </c>
      <c r="P9" s="1">
        <f>IF(AND(Main!B46=3,Main!F46=4),INDEX('SF Chip Data'!$A:$A,MATCH(Main!N46,'SF Chip Data'!$B:$B,0)),0)</f>
        <v>0</v>
      </c>
      <c r="Q9" s="1">
        <v>0</v>
      </c>
      <c r="R9" s="1">
        <f>Main!H46*10000</f>
        <v>1000000</v>
      </c>
      <c r="S9" s="1">
        <f>IF(Main!H46&lt;=100,1000000,1500000)</f>
        <v>1000000</v>
      </c>
      <c r="T9" s="1">
        <f t="shared" si="1"/>
        <v>1000000</v>
      </c>
      <c r="U9" s="1">
        <f>IF(AND(UseSFCustomHP=TRUE,Main!P46&lt;&gt;0),Main!P46,'SF Stat Calc'!X10)</f>
        <v>1604</v>
      </c>
      <c r="V9" s="1">
        <v>0</v>
      </c>
      <c r="W9" s="1">
        <f>IF(Main!H46&gt;100,1,0)</f>
        <v>0</v>
      </c>
      <c r="X9" s="1">
        <v>0</v>
      </c>
      <c r="Y9" s="1">
        <f>IF(AND(F9=5,Main!B46=3),1,0)</f>
        <v>0</v>
      </c>
      <c r="Z9" s="1">
        <v>0</v>
      </c>
      <c r="AA9" s="1">
        <v>1</v>
      </c>
    </row>
    <row r="10" spans="1:27" x14ac:dyDescent="0.25">
      <c r="A10" s="1" t="str">
        <f>IF(OR(Main!C47="",EchType="G&amp;K"),"",1&amp;ROW()-1)</f>
        <v/>
      </c>
      <c r="B10" s="1">
        <f t="shared" si="0"/>
        <v>562858</v>
      </c>
      <c r="C10" s="1">
        <f>INDEX('SF Data'!$A:$A,MATCH(Main!C47,'SF Data'!$B:$B,0))</f>
        <v>2006</v>
      </c>
      <c r="D10" s="1">
        <f>VLOOKUP(E10,'Exp Tables'!$M$3:$O$102,3,FALSE)</f>
        <v>3255500</v>
      </c>
      <c r="E10" s="1">
        <f>Main!D47</f>
        <v>100</v>
      </c>
      <c r="F10" s="1">
        <f>MAX(Main!B47,Main!E47)</f>
        <v>5</v>
      </c>
      <c r="G10" s="1">
        <f>Main!F47</f>
        <v>4</v>
      </c>
      <c r="H10" s="1">
        <v>100</v>
      </c>
      <c r="I10" s="1">
        <f>IF(Main!G47="XL",5,IF(Main!G47="L",4,IF(Main!G47="M",3,IF(Main!G47="S",2,IF(Main!G47="XS",1,0)))))</f>
        <v>5</v>
      </c>
      <c r="J10" s="1">
        <v>1</v>
      </c>
      <c r="K10" s="1">
        <f>IF(Main!B47=3,Main!I47,0)</f>
        <v>0</v>
      </c>
      <c r="L10" s="1">
        <f>IF(Main!B47=3,Main!J47,0)</f>
        <v>0</v>
      </c>
      <c r="M10" s="1">
        <f>IF(Main!B47=2,Main!I47,IF(Main!B47=3,Main!K47,0))</f>
        <v>5</v>
      </c>
      <c r="N10" s="1">
        <f>IF(AND(Main!B47=1,Main!E47&gt;=4),Main!I47,IF(AND(Main!B47=2,Main!E47&gt;=4),Main!J47,IF(AND(Main!B47=3,Main!E47&gt;=4),Main!L47,0)))</f>
        <v>5</v>
      </c>
      <c r="O10" s="1">
        <f>IF(Main!B47&lt;3,0,INDEX('SF Chip Data'!$A:$A,MATCH(Main!M47,'SF Chip Data'!$B:$B,0)))</f>
        <v>0</v>
      </c>
      <c r="P10" s="1">
        <f>IF(AND(Main!B47=3,Main!F47=4),INDEX('SF Chip Data'!$A:$A,MATCH(Main!N47,'SF Chip Data'!$B:$B,0)),0)</f>
        <v>0</v>
      </c>
      <c r="Q10" s="1">
        <v>0</v>
      </c>
      <c r="R10" s="1">
        <f>Main!H47*10000</f>
        <v>1000000</v>
      </c>
      <c r="S10" s="1">
        <f>IF(Main!H47&lt;=100,1000000,1500000)</f>
        <v>1000000</v>
      </c>
      <c r="T10" s="1">
        <f t="shared" si="1"/>
        <v>1000000</v>
      </c>
      <c r="U10" s="1">
        <f>IF(AND(UseSFCustomHP=TRUE,Main!P47&lt;&gt;0),Main!P47,'SF Stat Calc'!X11)</f>
        <v>1604</v>
      </c>
      <c r="V10" s="1">
        <v>0</v>
      </c>
      <c r="W10" s="1">
        <f>IF(Main!H47&gt;100,1,0)</f>
        <v>0</v>
      </c>
      <c r="X10" s="1">
        <v>0</v>
      </c>
      <c r="Y10" s="1">
        <f>IF(AND(F10=5,Main!B47=3),1,0)</f>
        <v>0</v>
      </c>
      <c r="Z10" s="1">
        <v>0</v>
      </c>
      <c r="AA10" s="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19"/>
  <sheetViews>
    <sheetView workbookViewId="0"/>
  </sheetViews>
  <sheetFormatPr defaultRowHeight="15" x14ac:dyDescent="0.25"/>
  <sheetData>
    <row r="1" spans="1:5" x14ac:dyDescent="0.25">
      <c r="A1" s="103" t="s">
        <v>26</v>
      </c>
      <c r="B1" s="103" t="s">
        <v>1314</v>
      </c>
      <c r="C1" s="103" t="s">
        <v>1217</v>
      </c>
      <c r="D1" s="103" t="s">
        <v>1315</v>
      </c>
      <c r="E1" s="103" t="s">
        <v>1316</v>
      </c>
    </row>
    <row r="2" spans="1:5" x14ac:dyDescent="0.25">
      <c r="A2" s="56" t="str">
        <f t="shared" ref="A2:A19" si="0">IF(OR(B2="",EchType="G&amp;K"),"",UserID)</f>
        <v/>
      </c>
      <c r="B2" s="56">
        <f>IFERROR(INDEX('SF Chip Data'!A:A,MATCH(Main!M39,'SF Chip Data'!B:B,0)),"")</f>
        <v>1001</v>
      </c>
      <c r="C2" s="56">
        <v>0</v>
      </c>
      <c r="D2" s="56" t="str">
        <f>SF!A2</f>
        <v/>
      </c>
      <c r="E2" s="56">
        <v>1</v>
      </c>
    </row>
    <row r="3" spans="1:5" x14ac:dyDescent="0.25">
      <c r="A3" s="56" t="str">
        <f t="shared" si="0"/>
        <v/>
      </c>
      <c r="B3" s="56" t="str">
        <f>IFERROR(INDEX('SF Chip Data'!A:A,MATCH(Main!M40,'SF Chip Data'!B:B,0)),"")</f>
        <v/>
      </c>
      <c r="C3" s="56">
        <v>0</v>
      </c>
      <c r="D3" s="56" t="str">
        <f>SF!A3</f>
        <v/>
      </c>
      <c r="E3" s="56">
        <v>1</v>
      </c>
    </row>
    <row r="4" spans="1:5" x14ac:dyDescent="0.25">
      <c r="A4" s="56" t="str">
        <f t="shared" si="0"/>
        <v/>
      </c>
      <c r="B4" s="56" t="str">
        <f>IFERROR(INDEX('SF Chip Data'!A:A,MATCH(Main!M41,'SF Chip Data'!B:B,0)),"")</f>
        <v/>
      </c>
      <c r="C4" s="56">
        <v>0</v>
      </c>
      <c r="D4" s="56" t="str">
        <f>SF!A4</f>
        <v/>
      </c>
      <c r="E4" s="56">
        <v>1</v>
      </c>
    </row>
    <row r="5" spans="1:5" x14ac:dyDescent="0.25">
      <c r="A5" s="56" t="str">
        <f t="shared" si="0"/>
        <v/>
      </c>
      <c r="B5" s="56" t="str">
        <f>IFERROR(INDEX('SF Chip Data'!A:A,MATCH(Main!M42,'SF Chip Data'!B:B,0)),"")</f>
        <v/>
      </c>
      <c r="C5" s="56">
        <v>0</v>
      </c>
      <c r="D5" s="56" t="str">
        <f>SF!A5</f>
        <v/>
      </c>
      <c r="E5" s="56">
        <v>1</v>
      </c>
    </row>
    <row r="6" spans="1:5" x14ac:dyDescent="0.25">
      <c r="A6" s="56" t="str">
        <f t="shared" si="0"/>
        <v/>
      </c>
      <c r="B6" s="56" t="str">
        <f>IFERROR(INDEX('SF Chip Data'!A:A,MATCH(Main!M43,'SF Chip Data'!B:B,0)),"")</f>
        <v/>
      </c>
      <c r="C6" s="56">
        <v>0</v>
      </c>
      <c r="D6" s="56" t="str">
        <f>SF!A6</f>
        <v/>
      </c>
      <c r="E6" s="56">
        <v>1</v>
      </c>
    </row>
    <row r="7" spans="1:5" x14ac:dyDescent="0.25">
      <c r="A7" s="56" t="str">
        <f t="shared" si="0"/>
        <v/>
      </c>
      <c r="B7" s="56" t="str">
        <f>IFERROR(INDEX('SF Chip Data'!A:A,MATCH(Main!M44,'SF Chip Data'!B:B,0)),"")</f>
        <v/>
      </c>
      <c r="C7" s="56">
        <v>0</v>
      </c>
      <c r="D7" s="56" t="str">
        <f>SF!A7</f>
        <v/>
      </c>
      <c r="E7" s="56">
        <v>1</v>
      </c>
    </row>
    <row r="8" spans="1:5" x14ac:dyDescent="0.25">
      <c r="A8" s="56" t="str">
        <f t="shared" si="0"/>
        <v/>
      </c>
      <c r="B8" s="56" t="str">
        <f>IFERROR(INDEX('SF Chip Data'!A:A,MATCH(Main!M45,'SF Chip Data'!B:B,0)),"")</f>
        <v/>
      </c>
      <c r="C8" s="56">
        <v>0</v>
      </c>
      <c r="D8" s="56" t="str">
        <f>SF!A8</f>
        <v/>
      </c>
      <c r="E8" s="56">
        <v>1</v>
      </c>
    </row>
    <row r="9" spans="1:5" x14ac:dyDescent="0.25">
      <c r="A9" s="56" t="str">
        <f t="shared" si="0"/>
        <v/>
      </c>
      <c r="B9" s="56" t="str">
        <f>IFERROR(INDEX('SF Chip Data'!A:A,MATCH(Main!M46,'SF Chip Data'!B:B,0)),"")</f>
        <v/>
      </c>
      <c r="C9" s="56">
        <v>0</v>
      </c>
      <c r="D9" s="56" t="str">
        <f>SF!A9</f>
        <v/>
      </c>
      <c r="E9" s="56">
        <v>1</v>
      </c>
    </row>
    <row r="10" spans="1:5" x14ac:dyDescent="0.25">
      <c r="A10" s="57" t="str">
        <f t="shared" si="0"/>
        <v/>
      </c>
      <c r="B10" s="57" t="str">
        <f>IFERROR(INDEX('SF Chip Data'!A:A,MATCH(Main!M47,'SF Chip Data'!B:B,0)),"")</f>
        <v/>
      </c>
      <c r="C10" s="57">
        <v>0</v>
      </c>
      <c r="D10" s="57" t="str">
        <f>SF!A10</f>
        <v/>
      </c>
      <c r="E10" s="57">
        <v>1</v>
      </c>
    </row>
    <row r="11" spans="1:5" x14ac:dyDescent="0.25">
      <c r="A11" s="1" t="str">
        <f t="shared" si="0"/>
        <v/>
      </c>
      <c r="B11" s="1">
        <f>IFERROR(INDEX('SF Chip Data'!A:A,MATCH(Main!N39,'SF Chip Data'!B:B,0)),"")</f>
        <v>1002</v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Data'!A:A,MATCH(Main!N40,'SF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Data'!A:A,MATCH(Main!N41,'SF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Data'!A:A,MATCH(Main!N42,'SF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Data'!A:A,MATCH(Main!N43,'SF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Data'!A:A,MATCH(Main!N44,'SF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Data'!A:A,MATCH(Main!N45,'SF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Data'!A:A,MATCH(Main!N46,'SF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1" t="str">
        <f t="shared" si="0"/>
        <v/>
      </c>
      <c r="B19" s="1" t="str">
        <f>IFERROR(INDEX('SF Chip Data'!A:A,MATCH(Main!N47,'SF Chip Data'!B:B,0)),"")</f>
        <v/>
      </c>
      <c r="C19" s="1">
        <v>0</v>
      </c>
      <c r="D19" s="1" t="str">
        <f t="shared" si="1"/>
        <v/>
      </c>
      <c r="E19" s="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103" t="s">
        <v>25</v>
      </c>
      <c r="B1" s="103" t="s">
        <v>26</v>
      </c>
      <c r="C1" s="103" t="s">
        <v>1233</v>
      </c>
      <c r="D1" s="103" t="s">
        <v>30</v>
      </c>
      <c r="E1" s="103" t="s">
        <v>35</v>
      </c>
      <c r="F1" s="103" t="s">
        <v>36</v>
      </c>
      <c r="G1" s="103" t="s">
        <v>1234</v>
      </c>
      <c r="J1" s="160" t="s">
        <v>1315</v>
      </c>
      <c r="K1" s="160" t="s">
        <v>33</v>
      </c>
    </row>
    <row r="2" spans="1:11" x14ac:dyDescent="0.25">
      <c r="A2" s="56" t="str">
        <f>IF(EchType="G&amp;K","",1)</f>
        <v/>
      </c>
      <c r="B2" s="56">
        <f>UserID</f>
        <v>562858</v>
      </c>
      <c r="C2" s="56">
        <v>0</v>
      </c>
      <c r="D2" s="56">
        <v>1</v>
      </c>
      <c r="E2" s="56">
        <v>10</v>
      </c>
      <c r="F2" s="56">
        <v>10</v>
      </c>
      <c r="G2" s="56" t="s">
        <v>1317</v>
      </c>
      <c r="J2" s="1">
        <f>IF(SF!A2="",0,1&amp;ROW()-1)</f>
        <v>0</v>
      </c>
      <c r="K2" s="1">
        <f t="array" ref="K2">IF(J2=0,0,SUMPRODUCT((Main!$R$40:$T$42=RIGHT(J2,1)*1)*'Misc Inputs'!$B$3:$D$5))</f>
        <v>0</v>
      </c>
    </row>
    <row r="3" spans="1:11" x14ac:dyDescent="0.25">
      <c r="A3" s="56"/>
      <c r="B3" s="56"/>
      <c r="C3" s="56"/>
      <c r="D3" s="56"/>
      <c r="E3" s="56"/>
      <c r="F3" s="56"/>
      <c r="G3" s="56"/>
      <c r="J3" s="1">
        <f>IF(SF!A3="",0,1&amp;ROW()-1)</f>
        <v>0</v>
      </c>
      <c r="K3" s="1">
        <f t="array" ref="K3">IF(J3=0,0,SUMPRODUCT((Main!$R$40:$T$42=RIGHT(J3,1)*1)*'Misc Inputs'!$B$3:$D$5))</f>
        <v>0</v>
      </c>
    </row>
    <row r="4" spans="1:11" x14ac:dyDescent="0.25">
      <c r="A4" s="56"/>
      <c r="B4" s="56"/>
      <c r="C4" s="56"/>
      <c r="D4" s="56"/>
      <c r="E4" s="56"/>
      <c r="F4" s="56"/>
      <c r="G4" s="56"/>
      <c r="J4" s="1">
        <f>IF(SF!A4="",0,1&amp;ROW()-1)</f>
        <v>0</v>
      </c>
      <c r="K4" s="1">
        <f t="array" ref="K4">IF(J4=0,0,SUMPRODUCT((Main!$R$40:$T$42=RIGHT(J4,1)*1)*'Misc Inputs'!$B$3:$D$5))</f>
        <v>0</v>
      </c>
    </row>
    <row r="5" spans="1:11" x14ac:dyDescent="0.25">
      <c r="A5" s="56"/>
      <c r="B5" s="56"/>
      <c r="C5" s="56"/>
      <c r="D5" s="56"/>
      <c r="E5" s="56"/>
      <c r="F5" s="56"/>
      <c r="G5" s="56"/>
      <c r="J5" s="1">
        <f>IF(SF!A5="",0,1&amp;ROW()-1)</f>
        <v>0</v>
      </c>
      <c r="K5" s="1">
        <f t="array" ref="K5">IF(J5=0,0,SUMPRODUCT((Main!$R$40:$T$42=RIGHT(J5,1)*1)*'Misc Inputs'!$B$3:$D$5))</f>
        <v>0</v>
      </c>
    </row>
    <row r="6" spans="1:11" x14ac:dyDescent="0.25">
      <c r="A6" s="56"/>
      <c r="B6" s="56"/>
      <c r="C6" s="56"/>
      <c r="D6" s="56"/>
      <c r="E6" s="56"/>
      <c r="F6" s="56"/>
      <c r="G6" s="56"/>
      <c r="J6" s="1">
        <f>IF(SF!A6="",0,1&amp;ROW()-1)</f>
        <v>0</v>
      </c>
      <c r="K6" s="1">
        <f t="array" ref="K6">IF(J6=0,0,SUMPRODUCT((Main!$R$40:$T$42=RIGHT(J6,1)*1)*'Misc Inputs'!$B$3:$D$5))</f>
        <v>0</v>
      </c>
    </row>
    <row r="7" spans="1:11" x14ac:dyDescent="0.25">
      <c r="A7" s="56"/>
      <c r="B7" s="56"/>
      <c r="C7" s="56"/>
      <c r="D7" s="56"/>
      <c r="E7" s="56"/>
      <c r="F7" s="56"/>
      <c r="G7" s="56"/>
      <c r="J7" s="1">
        <f>IF(SF!A7="",0,1&amp;ROW()-1)</f>
        <v>0</v>
      </c>
      <c r="K7" s="1">
        <f t="array" ref="K7">IF(J7=0,0,SUMPRODUCT((Main!$R$40:$T$42=RIGHT(J7,1)*1)*'Misc Inputs'!$B$3:$D$5))</f>
        <v>0</v>
      </c>
    </row>
    <row r="8" spans="1:11" x14ac:dyDescent="0.25">
      <c r="A8" s="56"/>
      <c r="B8" s="56"/>
      <c r="C8" s="56"/>
      <c r="D8" s="56"/>
      <c r="E8" s="56"/>
      <c r="F8" s="56"/>
      <c r="G8" s="56"/>
      <c r="J8" s="1">
        <f>IF(SF!A8="",0,1&amp;ROW()-1)</f>
        <v>0</v>
      </c>
      <c r="K8" s="1">
        <f t="array" ref="K8">IF(J8=0,0,SUMPRODUCT((Main!$R$40:$T$42=RIGHT(J8,1)*1)*'Misc Inputs'!$B$3:$D$5))</f>
        <v>0</v>
      </c>
    </row>
    <row r="9" spans="1:11" x14ac:dyDescent="0.25">
      <c r="A9" s="56"/>
      <c r="B9" s="56"/>
      <c r="C9" s="56"/>
      <c r="D9" s="56"/>
      <c r="E9" s="56"/>
      <c r="F9" s="56"/>
      <c r="G9" s="56"/>
      <c r="J9" s="1">
        <f>IF(SF!A9="",0,1&amp;ROW()-1)</f>
        <v>0</v>
      </c>
      <c r="K9" s="1">
        <f t="array" ref="K9">IF(J9=0,0,SUMPRODUCT((Main!$R$40:$T$42=RIGHT(J9,1)*1)*'Misc Inputs'!$B$3:$D$5))</f>
        <v>0</v>
      </c>
    </row>
    <row r="10" spans="1:11" x14ac:dyDescent="0.25">
      <c r="A10" s="56"/>
      <c r="B10" s="56"/>
      <c r="C10" s="56"/>
      <c r="D10" s="56"/>
      <c r="E10" s="56"/>
      <c r="F10" s="56"/>
      <c r="G10" s="56"/>
      <c r="J10" s="1">
        <f>IF(SF!A10="",0,1&amp;ROW()-1)</f>
        <v>0</v>
      </c>
      <c r="K10" s="1">
        <f t="array" ref="K10">IF(J10=0,0,SUMPRODUCT((Main!$R$40:$T$42=RIGHT(J10,1)*1)*'Misc Inputs'!$B$3:$D$5))</f>
        <v>0</v>
      </c>
    </row>
    <row r="11" spans="1:11" x14ac:dyDescent="0.25">
      <c r="A11" s="56"/>
      <c r="B11" s="56"/>
      <c r="C11" s="56"/>
      <c r="D11" s="56"/>
      <c r="E11" s="56"/>
      <c r="F11" s="56"/>
      <c r="G11" s="56"/>
    </row>
    <row r="12" spans="1:11" x14ac:dyDescent="0.25">
      <c r="A12" s="56"/>
      <c r="B12" s="56"/>
      <c r="C12" s="56"/>
      <c r="D12" s="56"/>
      <c r="E12" s="56"/>
      <c r="F12" s="56"/>
      <c r="G12" s="56"/>
    </row>
    <row r="13" spans="1:11" x14ac:dyDescent="0.25">
      <c r="A13" s="56"/>
      <c r="B13" s="56"/>
      <c r="C13" s="56"/>
      <c r="D13" s="56"/>
      <c r="E13" s="56"/>
      <c r="F13" s="56"/>
      <c r="G13" s="56"/>
    </row>
    <row r="14" spans="1:11" x14ac:dyDescent="0.25">
      <c r="A14" s="56"/>
      <c r="B14" s="56"/>
      <c r="C14" s="56"/>
      <c r="D14" s="56"/>
      <c r="E14" s="56"/>
      <c r="F14" s="56"/>
      <c r="G14" s="56"/>
    </row>
    <row r="15" spans="1:11" x14ac:dyDescent="0.25">
      <c r="A15" s="56"/>
      <c r="B15" s="56"/>
      <c r="C15" s="56"/>
      <c r="D15" s="56"/>
      <c r="E15" s="56"/>
      <c r="F15" s="56"/>
      <c r="G15" s="56"/>
    </row>
    <row r="16" spans="1:11" x14ac:dyDescent="0.25">
      <c r="A16" s="56"/>
      <c r="B16" s="56"/>
      <c r="C16" s="56"/>
      <c r="D16" s="56"/>
      <c r="E16" s="56"/>
      <c r="F16" s="56"/>
      <c r="G16" s="56"/>
    </row>
    <row r="17" spans="1:7" x14ac:dyDescent="0.25">
      <c r="A17" s="56"/>
      <c r="B17" s="56"/>
      <c r="C17" s="56"/>
      <c r="D17" s="56"/>
      <c r="E17" s="56"/>
      <c r="F17" s="56"/>
      <c r="G17" s="56"/>
    </row>
    <row r="18" spans="1:7" x14ac:dyDescent="0.25">
      <c r="A18" s="56"/>
      <c r="B18" s="56"/>
      <c r="C18" s="56"/>
      <c r="D18" s="56"/>
      <c r="E18" s="56"/>
      <c r="F18" s="56"/>
      <c r="G18" s="56"/>
    </row>
    <row r="19" spans="1:7" x14ac:dyDescent="0.25">
      <c r="A19" s="56"/>
      <c r="B19" s="56"/>
      <c r="C19" s="56"/>
      <c r="D19" s="56"/>
      <c r="E19" s="56"/>
      <c r="F19" s="56"/>
      <c r="G19" s="56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903</v>
      </c>
      <c r="B1" s="43" t="s">
        <v>899</v>
      </c>
      <c r="C1" s="43" t="s">
        <v>904</v>
      </c>
    </row>
    <row r="2" spans="1:3" x14ac:dyDescent="0.25">
      <c r="A2" t="s">
        <v>901</v>
      </c>
      <c r="B2" s="1">
        <f>IF(DayNight="Day",25,25)</f>
        <v>25</v>
      </c>
      <c r="C2" s="9" t="str">
        <f>IF(Main!A70="X",'Misc Inputs'!$C$22,IF(Main!A71="X",'Misc Inputs'!$C$28,'Misc Inputs'!$C$20))</f>
        <v>"fairy_skill_on_enemy": "[]",</v>
      </c>
    </row>
    <row r="3" spans="1:3" x14ac:dyDescent="0.25">
      <c r="A3" t="s">
        <v>900</v>
      </c>
      <c r="B3" s="1">
        <f>IF(DayNight="Day",29,33)</f>
        <v>29</v>
      </c>
      <c r="C3" s="9" t="str">
        <f>'Misc Inputs'!C17</f>
        <v>"fairy_skill_on_team": "[]",</v>
      </c>
    </row>
    <row r="4" spans="1:3" x14ac:dyDescent="0.25">
      <c r="A4" t="s">
        <v>902</v>
      </c>
      <c r="B4" s="1">
        <f>IF(DayNight="Day",64,77)</f>
        <v>64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903</v>
      </c>
      <c r="B1" s="43" t="s">
        <v>899</v>
      </c>
      <c r="C1" s="43" t="s">
        <v>904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997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995</v>
      </c>
      <c r="B4" s="1">
        <v>7</v>
      </c>
      <c r="C4" s="9" t="str">
        <f>CHAR(34)&amp;A4&amp;CHAR(34)&amp;": "&amp;EnemyID&amp;","</f>
        <v>"enemy_team_id": 9411321,</v>
      </c>
    </row>
    <row r="5" spans="1:3" x14ac:dyDescent="0.25">
      <c r="A5" t="s">
        <v>996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998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999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H1" workbookViewId="0">
      <selection activeCell="V4" sqref="V4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376</v>
      </c>
      <c r="I1" s="10" t="s">
        <v>1004</v>
      </c>
      <c r="Q1" s="10" t="s">
        <v>1005</v>
      </c>
      <c r="Y1" s="10" t="s">
        <v>1006</v>
      </c>
      <c r="Z1" s="10"/>
      <c r="AH1" s="10" t="s">
        <v>1041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382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11" t="s">
        <v>8</v>
      </c>
      <c r="AI2" s="112" t="s">
        <v>1025</v>
      </c>
      <c r="AJ2" s="112" t="s">
        <v>1027</v>
      </c>
      <c r="AK2" s="112" t="s">
        <v>1026</v>
      </c>
      <c r="AL2" s="113" t="s">
        <v>1024</v>
      </c>
    </row>
    <row r="3" spans="1:38" x14ac:dyDescent="0.25">
      <c r="A3" s="67" t="s">
        <v>3</v>
      </c>
      <c r="B3" s="124">
        <v>0.6</v>
      </c>
      <c r="C3" s="125">
        <v>0.6</v>
      </c>
      <c r="D3" s="125">
        <v>0.8</v>
      </c>
      <c r="E3" s="125">
        <v>1.2</v>
      </c>
      <c r="F3" s="125">
        <v>1.8</v>
      </c>
      <c r="G3" s="126">
        <v>0</v>
      </c>
      <c r="I3" s="66">
        <v>1</v>
      </c>
      <c r="J3" s="72">
        <f>INDEX($B$3:$G$8,MATCH(Main!$C23,$A$3:$A$8,0),MATCH(J$2,$B$2:$G$2,0))</f>
        <v>1</v>
      </c>
      <c r="K3" s="73">
        <f>INDEX($B$3:$G$8,MATCH(Main!$C23,$A$3:$A$8,0),MATCH(K$2,$B$2:$G$2,0))</f>
        <v>1</v>
      </c>
      <c r="L3" s="73">
        <f>INDEX($B$3:$G$8,MATCH(Main!$C23,$A$3:$A$8,0),MATCH(L$2,$B$2:$G$2,0))</f>
        <v>1</v>
      </c>
      <c r="M3" s="73">
        <f>INDEX($B$3:$G$8,MATCH(Main!$C23,$A$3:$A$8,0),MATCH(M$2,$B$2:$G$2,0))</f>
        <v>1</v>
      </c>
      <c r="N3" s="73">
        <f>INDEX($B$3:$G$8,MATCH(Main!$C23,$A$3:$A$8,0),MATCH(N$2,$B$2:$G$2,0))</f>
        <v>1</v>
      </c>
      <c r="O3" s="74">
        <f>INDEX($B$3:$G$8,MATCH(Main!$C23,$A$3:$A$8,0),MATCH(O$2,$B$2:$G$2,0))</f>
        <v>0</v>
      </c>
      <c r="Q3" s="66">
        <v>1</v>
      </c>
      <c r="R3" s="72">
        <f t="shared" ref="R3:W3" si="0">J3</f>
        <v>1</v>
      </c>
      <c r="S3" s="73">
        <f t="shared" si="0"/>
        <v>1</v>
      </c>
      <c r="T3" s="73">
        <f t="shared" si="0"/>
        <v>1</v>
      </c>
      <c r="U3" s="73">
        <f t="shared" si="0"/>
        <v>1</v>
      </c>
      <c r="V3" s="73">
        <f t="shared" si="0"/>
        <v>1</v>
      </c>
      <c r="W3" s="74">
        <f t="shared" si="0"/>
        <v>0</v>
      </c>
      <c r="Y3" s="66">
        <v>1</v>
      </c>
      <c r="Z3" s="75">
        <f>Main!E23</f>
        <v>120</v>
      </c>
      <c r="AA3" s="141">
        <f>IF(AND(UseCustomStats,Main!Z23&lt;&gt;0),Main!Z23,_xlfn.CEILING.MATH((J10+($Z3-1)*J17)*J3*J38/100))</f>
        <v>124</v>
      </c>
      <c r="AB3" s="141">
        <f>IF(AND(UseCustomStats,Main!AA23&lt;&gt;0),Main!AA23,_xlfn.CEILING.MATH(K10*K3*K38/100)+_xlfn.CEILING.MATH((K31+($Z3-1)*K24)*K3*K38*$P38/100/100))</f>
        <v>55</v>
      </c>
      <c r="AC3" s="141">
        <f>IF(AND(UseCustomStats,Main!AB23&lt;&gt;0),Main!AB23,_xlfn.CEILING.MATH(L10*L3*L38/100)+_xlfn.CEILING.MATH((L31+($Z3-1)*L24)*L3*L38*$P38/100/100))</f>
        <v>79</v>
      </c>
      <c r="AD3" s="76">
        <f>IF(AND(UseCustomStats,Main!AC23&lt;&gt;0),Main!AC23,_xlfn.CEILING.MATH(M10*M3*M38/100)+_xlfn.CEILING.MATH((M31+($Z3-1)*M24)*M3*M38*$P38/100/100))</f>
        <v>51</v>
      </c>
      <c r="AE3" s="76">
        <f>IF(AND(UseCustomStats,Main!AD23&lt;&gt;0),Main!AD23,_xlfn.CEILING.MATH(N10*N3*N38/100)+_xlfn.CEILING.MATH((N31+($Z3-1)*N24)*N3*N38*$P38/100/100))</f>
        <v>47</v>
      </c>
      <c r="AF3" s="77">
        <f>_xlfn.CEILING.MATH((O10+($Z3-1)*O17)*O3*O38/100)</f>
        <v>0</v>
      </c>
      <c r="AH3" s="49" t="s">
        <v>1016</v>
      </c>
      <c r="AI3" s="115">
        <v>52</v>
      </c>
      <c r="AJ3" s="116">
        <v>28</v>
      </c>
      <c r="AK3" s="116">
        <v>118</v>
      </c>
      <c r="AL3" s="117">
        <v>135</v>
      </c>
    </row>
    <row r="4" spans="1:38" x14ac:dyDescent="0.25">
      <c r="A4" s="68" t="s">
        <v>7</v>
      </c>
      <c r="B4" s="127">
        <v>1.6</v>
      </c>
      <c r="C4" s="128">
        <v>0.6</v>
      </c>
      <c r="D4" s="128">
        <v>1.2</v>
      </c>
      <c r="E4" s="128">
        <v>0.3</v>
      </c>
      <c r="F4" s="128">
        <v>1.6</v>
      </c>
      <c r="G4" s="129">
        <v>0</v>
      </c>
      <c r="I4" s="78">
        <v>2</v>
      </c>
      <c r="J4" s="79">
        <f>INDEX($B$3:$G$8,MATCH(Main!$C24,$A$3:$A$8,0),MATCH(J$2,$B$2:$G$2,0))</f>
        <v>1.5</v>
      </c>
      <c r="K4" s="80">
        <f>INDEX($B$3:$G$8,MATCH(Main!$C24,$A$3:$A$8,0),MATCH(K$2,$B$2:$G$2,0))</f>
        <v>1.8</v>
      </c>
      <c r="L4" s="80">
        <f>INDEX($B$3:$G$8,MATCH(Main!$C24,$A$3:$A$8,0),MATCH(L$2,$B$2:$G$2,0))</f>
        <v>1.6</v>
      </c>
      <c r="M4" s="80">
        <f>INDEX($B$3:$G$8,MATCH(Main!$C24,$A$3:$A$8,0),MATCH(M$2,$B$2:$G$2,0))</f>
        <v>0.6</v>
      </c>
      <c r="N4" s="80">
        <f>INDEX($B$3:$G$8,MATCH(Main!$C24,$A$3:$A$8,0),MATCH(N$2,$B$2:$G$2,0))</f>
        <v>0.6</v>
      </c>
      <c r="O4" s="81">
        <f>INDEX($B$3:$G$8,MATCH(Main!$C24,$A$3:$A$8,0),MATCH(O$2,$B$2:$G$2,0))</f>
        <v>0</v>
      </c>
      <c r="Q4" s="78">
        <v>2</v>
      </c>
      <c r="R4" s="79">
        <f t="shared" ref="R4:R7" si="1">J4</f>
        <v>1.5</v>
      </c>
      <c r="S4" s="80">
        <f t="shared" ref="S4:S7" si="2">K4</f>
        <v>1.8</v>
      </c>
      <c r="T4" s="80">
        <f t="shared" ref="T4:T7" si="3">L4</f>
        <v>1.6</v>
      </c>
      <c r="U4" s="80">
        <f t="shared" ref="U4:U7" si="4">M4</f>
        <v>0.6</v>
      </c>
      <c r="V4" s="80">
        <f t="shared" ref="V4:V7" si="5">N4</f>
        <v>0.6</v>
      </c>
      <c r="W4" s="81">
        <f t="shared" ref="W4:W7" si="6">O4</f>
        <v>0</v>
      </c>
      <c r="Y4" s="78">
        <v>2</v>
      </c>
      <c r="Z4" s="82">
        <f>Main!E24</f>
        <v>100</v>
      </c>
      <c r="AA4" s="83">
        <f>IF(AND(UseCustomStats,Main!Z24&lt;&gt;0),Main!Z24,_xlfn.CEILING.MATH((J11+($Z4-1)*J18)*J4*J39/100))</f>
        <v>198</v>
      </c>
      <c r="AB4" s="83">
        <f>IF(AND(UseCustomStats,Main!AA24&lt;&gt;0),Main!AA24,_xlfn.CEILING.MATH(K11*K4*K39/100)+_xlfn.CEILING.MATH((K32+($Z4-1)*K25)*K4*K39*$P39/100/100))</f>
        <v>109</v>
      </c>
      <c r="AC4" s="83">
        <f>IF(AND(UseCustomStats,Main!AB24&lt;&gt;0),Main!AB24,_xlfn.CEILING.MATH(L11*L4*L39/100)+_xlfn.CEILING.MATH((L32+($Z4-1)*L25)*L4*L39*$P39/100/100))</f>
        <v>110</v>
      </c>
      <c r="AD4" s="83">
        <f>IF(AND(UseCustomStats,Main!AC24&lt;&gt;0),Main!AC24,_xlfn.CEILING.MATH(M11*M4*M39/100)+_xlfn.CEILING.MATH((M32+($Z4-1)*M25)*M4*M39*$P39/100/100))</f>
        <v>22</v>
      </c>
      <c r="AE4" s="83">
        <f>IF(AND(UseCustomStats,Main!AD24&lt;&gt;0),Main!AD24,_xlfn.CEILING.MATH(N11*N4*N39/100)+_xlfn.CEILING.MATH((N32+($Z4-1)*N25)*N4*N39*$P39/100/100))</f>
        <v>21</v>
      </c>
      <c r="AF4" s="84">
        <f t="shared" ref="AF4:AF7" si="7">_xlfn.CEILING.MATH((O11+($Z4-1)*O18)*O4*O39/100)</f>
        <v>0</v>
      </c>
      <c r="AH4" s="49" t="s">
        <v>1017</v>
      </c>
      <c r="AI4" s="118">
        <v>27</v>
      </c>
      <c r="AJ4" s="119">
        <v>130</v>
      </c>
      <c r="AK4" s="119">
        <v>67</v>
      </c>
      <c r="AL4" s="120">
        <v>49</v>
      </c>
    </row>
    <row r="5" spans="1:38" x14ac:dyDescent="0.25">
      <c r="A5" s="68" t="s">
        <v>6</v>
      </c>
      <c r="B5" s="127">
        <v>0.8</v>
      </c>
      <c r="C5" s="128">
        <v>2.4</v>
      </c>
      <c r="D5" s="128">
        <v>0.5</v>
      </c>
      <c r="E5" s="128">
        <v>1.6</v>
      </c>
      <c r="F5" s="128">
        <v>0.8</v>
      </c>
      <c r="G5" s="129">
        <v>0</v>
      </c>
      <c r="I5" s="78">
        <v>3</v>
      </c>
      <c r="J5" s="79">
        <f>INDEX($B$3:$G$8,MATCH(Main!$C25,$A$3:$A$8,0),MATCH(J$2,$B$2:$G$2,0))</f>
        <v>0.8</v>
      </c>
      <c r="K5" s="80">
        <f>INDEX($B$3:$G$8,MATCH(Main!$C25,$A$3:$A$8,0),MATCH(K$2,$B$2:$G$2,0))</f>
        <v>2.4</v>
      </c>
      <c r="L5" s="80">
        <f>INDEX($B$3:$G$8,MATCH(Main!$C25,$A$3:$A$8,0),MATCH(L$2,$B$2:$G$2,0))</f>
        <v>0.5</v>
      </c>
      <c r="M5" s="80">
        <f>INDEX($B$3:$G$8,MATCH(Main!$C25,$A$3:$A$8,0),MATCH(M$2,$B$2:$G$2,0))</f>
        <v>1.6</v>
      </c>
      <c r="N5" s="80">
        <f>INDEX($B$3:$G$8,MATCH(Main!$C25,$A$3:$A$8,0),MATCH(N$2,$B$2:$G$2,0))</f>
        <v>0.8</v>
      </c>
      <c r="O5" s="81">
        <f>INDEX($B$3:$G$8,MATCH(Main!$C25,$A$3:$A$8,0),MATCH(O$2,$B$2:$G$2,0))</f>
        <v>0</v>
      </c>
      <c r="Q5" s="78">
        <v>7</v>
      </c>
      <c r="R5" s="79">
        <f t="shared" si="1"/>
        <v>0.8</v>
      </c>
      <c r="S5" s="80">
        <f t="shared" si="2"/>
        <v>2.4</v>
      </c>
      <c r="T5" s="80">
        <f t="shared" si="3"/>
        <v>0.5</v>
      </c>
      <c r="U5" s="80">
        <f t="shared" si="4"/>
        <v>1.6</v>
      </c>
      <c r="V5" s="80">
        <f t="shared" si="5"/>
        <v>0.8</v>
      </c>
      <c r="W5" s="81">
        <f t="shared" si="6"/>
        <v>0</v>
      </c>
      <c r="Y5" s="78">
        <v>3</v>
      </c>
      <c r="Z5" s="82">
        <f>Main!E25</f>
        <v>100</v>
      </c>
      <c r="AA5" s="83">
        <f>IF(AND(UseCustomStats,Main!Z25&lt;&gt;0),Main!Z25,_xlfn.CEILING.MATH((J12+($Z5-1)*J19)*J5*J40/100))</f>
        <v>73</v>
      </c>
      <c r="AB5" s="83">
        <f>IF(AND(UseCustomStats,Main!AA25&lt;&gt;0),Main!AA25,_xlfn.CEILING.MATH(K12*K5*K40/100)+_xlfn.CEILING.MATH((K33+($Z5-1)*K26)*K5*K40*$P40/100/100))</f>
        <v>146</v>
      </c>
      <c r="AC5" s="83">
        <f>IF(AND(UseCustomStats,Main!AB25&lt;&gt;0),Main!AB25,_xlfn.CEILING.MATH(L12*L5*L40/100)+_xlfn.CEILING.MATH((L33+($Z5-1)*L26)*L5*L40*$P40/100/100))</f>
        <v>34</v>
      </c>
      <c r="AD5" s="83">
        <f>IF(AND(UseCustomStats,Main!AC25&lt;&gt;0),Main!AC25,_xlfn.CEILING.MATH(M12*M5*M40/100)+_xlfn.CEILING.MATH((M33+($Z5-1)*M26)*M5*M40*$P40/100/100))</f>
        <v>90</v>
      </c>
      <c r="AE5" s="83">
        <f>IF(AND(UseCustomStats,Main!AD25&lt;&gt;0),Main!AD25,_xlfn.CEILING.MATH(N12*N5*N40/100)+_xlfn.CEILING.MATH((N33+($Z5-1)*N26)*N5*N40*$P40/100/100))</f>
        <v>44</v>
      </c>
      <c r="AF5" s="84">
        <f t="shared" si="7"/>
        <v>0</v>
      </c>
      <c r="AH5" s="49" t="s">
        <v>1018</v>
      </c>
      <c r="AI5" s="118">
        <v>51</v>
      </c>
      <c r="AJ5" s="119">
        <v>54</v>
      </c>
      <c r="AK5" s="119">
        <v>46</v>
      </c>
      <c r="AL5" s="120">
        <v>20</v>
      </c>
    </row>
    <row r="6" spans="1:38" x14ac:dyDescent="0.25">
      <c r="A6" s="68" t="s">
        <v>2</v>
      </c>
      <c r="B6" s="127">
        <v>1</v>
      </c>
      <c r="C6" s="128">
        <v>1</v>
      </c>
      <c r="D6" s="128">
        <v>1</v>
      </c>
      <c r="E6" s="128">
        <v>1</v>
      </c>
      <c r="F6" s="128">
        <v>1</v>
      </c>
      <c r="G6" s="129">
        <v>0</v>
      </c>
      <c r="I6" s="78">
        <v>4</v>
      </c>
      <c r="J6" s="79">
        <f>INDEX($B$3:$G$8,MATCH(Main!$C26,$A$3:$A$8,0),MATCH(J$2,$B$2:$G$2,0))</f>
        <v>0.6</v>
      </c>
      <c r="K6" s="80">
        <f>INDEX($B$3:$G$8,MATCH(Main!$C26,$A$3:$A$8,0),MATCH(K$2,$B$2:$G$2,0))</f>
        <v>0.6</v>
      </c>
      <c r="L6" s="80">
        <f>INDEX($B$3:$G$8,MATCH(Main!$C26,$A$3:$A$8,0),MATCH(L$2,$B$2:$G$2,0))</f>
        <v>0.8</v>
      </c>
      <c r="M6" s="80">
        <f>INDEX($B$3:$G$8,MATCH(Main!$C26,$A$3:$A$8,0),MATCH(M$2,$B$2:$G$2,0))</f>
        <v>1.2</v>
      </c>
      <c r="N6" s="80">
        <f>INDEX($B$3:$G$8,MATCH(Main!$C26,$A$3:$A$8,0),MATCH(N$2,$B$2:$G$2,0))</f>
        <v>1.8</v>
      </c>
      <c r="O6" s="81">
        <f>INDEX($B$3:$G$8,MATCH(Main!$C26,$A$3:$A$8,0),MATCH(O$2,$B$2:$G$2,0))</f>
        <v>0</v>
      </c>
      <c r="Q6" s="78">
        <v>8</v>
      </c>
      <c r="R6" s="79">
        <f t="shared" si="1"/>
        <v>0.6</v>
      </c>
      <c r="S6" s="80">
        <f t="shared" si="2"/>
        <v>0.6</v>
      </c>
      <c r="T6" s="80">
        <f t="shared" si="3"/>
        <v>0.8</v>
      </c>
      <c r="U6" s="80">
        <f t="shared" si="4"/>
        <v>1.2</v>
      </c>
      <c r="V6" s="80">
        <f t="shared" si="5"/>
        <v>1.8</v>
      </c>
      <c r="W6" s="81">
        <f t="shared" si="6"/>
        <v>0</v>
      </c>
      <c r="Y6" s="78">
        <v>4</v>
      </c>
      <c r="Z6" s="82">
        <f>Main!E26</f>
        <v>100</v>
      </c>
      <c r="AA6" s="83">
        <f>IF(AND(UseCustomStats,Main!Z26&lt;&gt;0),Main!Z26,_xlfn.CEILING.MATH((J13+($Z6-1)*J20)*J6*J41/100))</f>
        <v>80</v>
      </c>
      <c r="AB6" s="83">
        <f>IF(AND(UseCustomStats,Main!AA26&lt;&gt;0),Main!AA26,_xlfn.CEILING.MATH(K13*K6*K41/100)+_xlfn.CEILING.MATH((K34+($Z6-1)*K27)*K6*K41*$P41/100/100))</f>
        <v>29</v>
      </c>
      <c r="AC6" s="83">
        <f>IF(AND(UseCustomStats,Main!AB26&lt;&gt;0),Main!AB26,_xlfn.CEILING.MATH(L13*L6*L41/100)+_xlfn.CEILING.MATH((L34+($Z6-1)*L27)*L6*L41*$P41/100/100))</f>
        <v>63</v>
      </c>
      <c r="AD6" s="83">
        <f>IF(AND(UseCustomStats,Main!AC26&lt;&gt;0),Main!AC26,_xlfn.CEILING.MATH(M13*M6*M41/100)+_xlfn.CEILING.MATH((M34+($Z6-1)*M27)*M6*M41*$P41/100/100))</f>
        <v>53</v>
      </c>
      <c r="AE6" s="83">
        <f>IF(AND(UseCustomStats,Main!AD26&lt;&gt;0),Main!AD26,_xlfn.CEILING.MATH(N13*N6*N41/100)+_xlfn.CEILING.MATH((N34+($Z6-1)*N27)*N6*N41*$P41/100/100))</f>
        <v>66</v>
      </c>
      <c r="AF6" s="84">
        <f t="shared" si="7"/>
        <v>0</v>
      </c>
      <c r="AH6" s="49" t="s">
        <v>1019</v>
      </c>
      <c r="AI6" s="118">
        <v>38</v>
      </c>
      <c r="AJ6" s="119">
        <v>61</v>
      </c>
      <c r="AK6" s="119">
        <v>40</v>
      </c>
      <c r="AL6" s="120">
        <v>17</v>
      </c>
    </row>
    <row r="7" spans="1:38" x14ac:dyDescent="0.25">
      <c r="A7" s="68" t="s">
        <v>4</v>
      </c>
      <c r="B7" s="127">
        <v>1.5</v>
      </c>
      <c r="C7" s="128">
        <v>1.8</v>
      </c>
      <c r="D7" s="128">
        <v>1.6</v>
      </c>
      <c r="E7" s="128">
        <v>0.6</v>
      </c>
      <c r="F7" s="128">
        <v>0.6</v>
      </c>
      <c r="G7" s="129">
        <v>0</v>
      </c>
      <c r="I7" s="85">
        <v>5</v>
      </c>
      <c r="J7" s="86">
        <f>INDEX($B$3:$G$8,MATCH(Main!$C27,$A$3:$A$8,0),MATCH(J$2,$B$2:$G$2,0))</f>
        <v>0.6</v>
      </c>
      <c r="K7" s="87">
        <f>INDEX($B$3:$G$8,MATCH(Main!$C27,$A$3:$A$8,0),MATCH(K$2,$B$2:$G$2,0))</f>
        <v>0.6</v>
      </c>
      <c r="L7" s="87">
        <f>INDEX($B$3:$G$8,MATCH(Main!$C27,$A$3:$A$8,0),MATCH(L$2,$B$2:$G$2,0))</f>
        <v>0.8</v>
      </c>
      <c r="M7" s="87">
        <f>INDEX($B$3:$G$8,MATCH(Main!$C27,$A$3:$A$8,0),MATCH(M$2,$B$2:$G$2,0))</f>
        <v>1.2</v>
      </c>
      <c r="N7" s="87">
        <f>INDEX($B$3:$G$8,MATCH(Main!$C27,$A$3:$A$8,0),MATCH(N$2,$B$2:$G$2,0))</f>
        <v>1.8</v>
      </c>
      <c r="O7" s="88">
        <f>INDEX($B$3:$G$8,MATCH(Main!$C27,$A$3:$A$8,0),MATCH(O$2,$B$2:$G$2,0))</f>
        <v>0</v>
      </c>
      <c r="Q7" s="85">
        <v>9</v>
      </c>
      <c r="R7" s="86">
        <f t="shared" si="1"/>
        <v>0.6</v>
      </c>
      <c r="S7" s="87">
        <f t="shared" si="2"/>
        <v>0.6</v>
      </c>
      <c r="T7" s="87">
        <f t="shared" si="3"/>
        <v>0.8</v>
      </c>
      <c r="U7" s="87">
        <f t="shared" si="4"/>
        <v>1.2</v>
      </c>
      <c r="V7" s="87">
        <f t="shared" si="5"/>
        <v>1.8</v>
      </c>
      <c r="W7" s="88">
        <f t="shared" si="6"/>
        <v>0</v>
      </c>
      <c r="Y7" s="85">
        <v>5</v>
      </c>
      <c r="Z7" s="89">
        <f>Main!E27</f>
        <v>100</v>
      </c>
      <c r="AA7" s="90">
        <f>IF(AND(UseCustomStats,Main!Z27&lt;&gt;0),Main!Z27,_xlfn.CEILING.MATH((J14+($Z7-1)*J21)*J7*J42/100))</f>
        <v>70</v>
      </c>
      <c r="AB7" s="90">
        <f>IF(AND(UseCustomStats,Main!AA27&lt;&gt;0),Main!AA27,_xlfn.CEILING.MATH(K14*K7*K42/100)+_xlfn.CEILING.MATH((K35+($Z7-1)*K28)*K7*K42*$P42/100/100))</f>
        <v>28</v>
      </c>
      <c r="AC7" s="90">
        <f>IF(AND(UseCustomStats,Main!AB27&lt;&gt;0),Main!AB27,_xlfn.CEILING.MATH(L14*L7*L42/100)+_xlfn.CEILING.MATH((L35+($Z7-1)*L28)*L7*L42*$P42/100/100))</f>
        <v>62</v>
      </c>
      <c r="AD7" s="90">
        <f>IF(AND(UseCustomStats,Main!AC27&lt;&gt;0),Main!AC27,_xlfn.CEILING.MATH(M14*M7*M42/100)+_xlfn.CEILING.MATH((M35+($Z7-1)*M28)*M7*M42*$P42/100/100))</f>
        <v>66</v>
      </c>
      <c r="AE7" s="90">
        <f>IF(AND(UseCustomStats,Main!AD27&lt;&gt;0),Main!AD27,_xlfn.CEILING.MATH(N14*N7*N42/100)+_xlfn.CEILING.MATH((N35+($Z7-1)*N28)*N7*N42*$P42/100/100))</f>
        <v>110</v>
      </c>
      <c r="AF7" s="91">
        <f t="shared" si="7"/>
        <v>0</v>
      </c>
      <c r="AH7" s="49" t="s">
        <v>1020</v>
      </c>
      <c r="AI7" s="118">
        <v>38</v>
      </c>
      <c r="AJ7" s="119">
        <v>45</v>
      </c>
      <c r="AK7" s="119">
        <v>96</v>
      </c>
      <c r="AL7" s="120">
        <v>88</v>
      </c>
    </row>
    <row r="8" spans="1:38" x14ac:dyDescent="0.25">
      <c r="A8" s="69" t="s">
        <v>5</v>
      </c>
      <c r="B8" s="130">
        <v>2</v>
      </c>
      <c r="C8" s="131">
        <v>0.7</v>
      </c>
      <c r="D8" s="131">
        <v>0.4</v>
      </c>
      <c r="E8" s="131">
        <v>0.3</v>
      </c>
      <c r="F8" s="131">
        <v>0.3</v>
      </c>
      <c r="G8" s="132">
        <v>1</v>
      </c>
      <c r="AA8" s="19"/>
      <c r="AB8" s="11"/>
      <c r="AE8" s="1"/>
      <c r="AF8" s="29"/>
      <c r="AH8" s="49" t="s">
        <v>1021</v>
      </c>
      <c r="AI8" s="118">
        <v>26</v>
      </c>
      <c r="AJ8" s="119">
        <v>112</v>
      </c>
      <c r="AK8" s="119">
        <v>63</v>
      </c>
      <c r="AL8" s="120">
        <v>46</v>
      </c>
    </row>
    <row r="9" spans="1:38" x14ac:dyDescent="0.25">
      <c r="I9" s="66" t="s">
        <v>372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372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383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1022</v>
      </c>
      <c r="AI9" s="121">
        <v>36</v>
      </c>
      <c r="AJ9" s="122">
        <v>36</v>
      </c>
      <c r="AK9" s="122">
        <v>79</v>
      </c>
      <c r="AL9" s="123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IF(Main!$I23&gt;0,B$11,B$19)</f>
        <v>96.283000000000001</v>
      </c>
      <c r="K10" s="93">
        <f>IF(Main!$I23&gt;0,C$11,C$19)</f>
        <v>16</v>
      </c>
      <c r="L10" s="93">
        <f>IF(Main!$I23&gt;0,D$11,D$19)</f>
        <v>45</v>
      </c>
      <c r="M10" s="93">
        <f>IF(Main!$I23&gt;0,E$11,E$19)</f>
        <v>5</v>
      </c>
      <c r="N10" s="93">
        <f>IF(Main!$I23&gt;0,F$11,F$19)</f>
        <v>5</v>
      </c>
      <c r="O10" s="94">
        <f>IF(Main!$I23&gt;0,G$11,G$19)</f>
        <v>13.978999999999999</v>
      </c>
      <c r="Q10" s="66">
        <v>1</v>
      </c>
      <c r="R10" s="92">
        <f t="shared" ref="R10:W10" si="8">B$19</f>
        <v>55</v>
      </c>
      <c r="S10" s="93">
        <f t="shared" si="8"/>
        <v>16</v>
      </c>
      <c r="T10" s="93">
        <f t="shared" si="8"/>
        <v>45</v>
      </c>
      <c r="U10" s="93">
        <f t="shared" si="8"/>
        <v>5</v>
      </c>
      <c r="V10" s="93">
        <f t="shared" si="8"/>
        <v>5</v>
      </c>
      <c r="W10" s="94">
        <f t="shared" si="8"/>
        <v>2</v>
      </c>
      <c r="Y10" s="66">
        <v>1</v>
      </c>
      <c r="Z10" s="75">
        <v>1</v>
      </c>
      <c r="AA10" s="76">
        <f>_xlfn.CEILING.MATH((R10+($Z10-1)*R17)*R3*J38/100)</f>
        <v>61</v>
      </c>
      <c r="AB10" s="76">
        <f>_xlfn.CEILING.MATH(S10*S3*K38/100)+_xlfn.CEILING.MATH((S31+($Z10-1)*S24)*S3*K38*$P38/100/100)</f>
        <v>19</v>
      </c>
      <c r="AC10" s="76">
        <f>_xlfn.CEILING.MATH(T10*T3*L38/100)+_xlfn.CEILING.MATH((T31+($Z10-1)*T24)*T3*L38*$P38/100/100)</f>
        <v>53</v>
      </c>
      <c r="AD10" s="76">
        <f>_xlfn.CEILING.MATH(U10*U3*M38/100)+_xlfn.CEILING.MATH((U31+($Z10-1)*U24)*U3*M38*$P38/100/100)</f>
        <v>6</v>
      </c>
      <c r="AE10" s="76">
        <f>_xlfn.CEILING.MATH(V10*V3*N38/100)+_xlfn.CEILING.MATH((V31+($Z10-1)*V24)*V3*N38*$P38/100/100)</f>
        <v>6</v>
      </c>
      <c r="AF10" s="77">
        <f>_xlfn.CEILING.MATH((W10+($Z10-1)*W17)*W3*O38/100)</f>
        <v>0</v>
      </c>
    </row>
    <row r="11" spans="1:38" x14ac:dyDescent="0.25">
      <c r="A11" s="67">
        <v>1</v>
      </c>
      <c r="B11" s="133">
        <v>96.283000000000001</v>
      </c>
      <c r="C11" s="134">
        <v>16</v>
      </c>
      <c r="D11" s="134">
        <v>45</v>
      </c>
      <c r="E11" s="134">
        <v>5</v>
      </c>
      <c r="F11" s="134">
        <v>5</v>
      </c>
      <c r="G11" s="135">
        <v>13.978999999999999</v>
      </c>
      <c r="I11" s="78">
        <v>2</v>
      </c>
      <c r="J11" s="95">
        <f>IF(Main!$I24&gt;0,B$11,B$19)</f>
        <v>55</v>
      </c>
      <c r="K11" s="96">
        <f>IF(Main!$I24&gt;0,C$11,C$19)</f>
        <v>16</v>
      </c>
      <c r="L11" s="96">
        <f>IF(Main!$I24&gt;0,D$11,D$19)</f>
        <v>45</v>
      </c>
      <c r="M11" s="96">
        <f>IF(Main!$I24&gt;0,E$11,E$19)</f>
        <v>5</v>
      </c>
      <c r="N11" s="96">
        <f>IF(Main!$I24&gt;0,F$11,F$19)</f>
        <v>5</v>
      </c>
      <c r="O11" s="97">
        <f>IF(Main!$I24&gt;0,G$11,G$19)</f>
        <v>2</v>
      </c>
      <c r="Q11" s="78">
        <v>2</v>
      </c>
      <c r="R11" s="95">
        <f t="shared" ref="R11:R14" si="9">B$19</f>
        <v>55</v>
      </c>
      <c r="S11" s="96">
        <f t="shared" ref="S11:S14" si="10">C$19</f>
        <v>16</v>
      </c>
      <c r="T11" s="96">
        <f t="shared" ref="T11:T14" si="11">D$19</f>
        <v>45</v>
      </c>
      <c r="U11" s="96">
        <f t="shared" ref="U11:U14" si="12">E$19</f>
        <v>5</v>
      </c>
      <c r="V11" s="96">
        <f t="shared" ref="V11:V14" si="13">F$19</f>
        <v>5</v>
      </c>
      <c r="W11" s="97">
        <f t="shared" ref="W11:W14" si="14">G$19</f>
        <v>2</v>
      </c>
      <c r="Y11" s="78">
        <v>2</v>
      </c>
      <c r="Z11" s="82">
        <v>1</v>
      </c>
      <c r="AA11" s="83">
        <f t="shared" ref="AA11:AA14" si="15">_xlfn.CEILING.MATH((R11+($Z11-1)*R18)*R4*J39/100)</f>
        <v>99</v>
      </c>
      <c r="AB11" s="83">
        <f t="shared" ref="AB11:AE11" si="16">_xlfn.CEILING.MATH(S11*S4*K39/100)+_xlfn.CEILING.MATH((S32+($Z11-1)*S25)*S4*K39*$P39/100/100)</f>
        <v>41</v>
      </c>
      <c r="AC11" s="83">
        <f t="shared" si="16"/>
        <v>76</v>
      </c>
      <c r="AD11" s="83">
        <f t="shared" si="16"/>
        <v>3</v>
      </c>
      <c r="AE11" s="83">
        <f t="shared" si="16"/>
        <v>3</v>
      </c>
      <c r="AF11" s="84">
        <f t="shared" ref="AF11:AF14" si="17">_xlfn.CEILING.MATH((W11+($Z11-1)*W18)*W4*O39/100)</f>
        <v>0</v>
      </c>
    </row>
    <row r="12" spans="1:38" x14ac:dyDescent="0.25">
      <c r="A12" s="69">
        <v>2</v>
      </c>
      <c r="B12" s="136">
        <v>0.13800000000000001</v>
      </c>
      <c r="C12" s="137">
        <v>16</v>
      </c>
      <c r="D12" s="137">
        <v>45</v>
      </c>
      <c r="E12" s="137">
        <v>5</v>
      </c>
      <c r="F12" s="137">
        <v>5</v>
      </c>
      <c r="G12" s="138">
        <v>0.04</v>
      </c>
      <c r="I12" s="78">
        <v>3</v>
      </c>
      <c r="J12" s="95">
        <f>IF(Main!$I25&gt;0,B$11,B$19)</f>
        <v>55</v>
      </c>
      <c r="K12" s="96">
        <f>IF(Main!$I25&gt;0,C$11,C$19)</f>
        <v>16</v>
      </c>
      <c r="L12" s="96">
        <f>IF(Main!$I25&gt;0,D$11,D$19)</f>
        <v>45</v>
      </c>
      <c r="M12" s="96">
        <f>IF(Main!$I25&gt;0,E$11,E$19)</f>
        <v>5</v>
      </c>
      <c r="N12" s="96">
        <f>IF(Main!$I25&gt;0,F$11,F$19)</f>
        <v>5</v>
      </c>
      <c r="O12" s="97">
        <f>IF(Main!$I25&gt;0,G$11,G$19)</f>
        <v>2</v>
      </c>
      <c r="Q12" s="78">
        <v>3</v>
      </c>
      <c r="R12" s="95">
        <f t="shared" si="9"/>
        <v>55</v>
      </c>
      <c r="S12" s="96">
        <f t="shared" si="10"/>
        <v>16</v>
      </c>
      <c r="T12" s="96">
        <f t="shared" si="11"/>
        <v>45</v>
      </c>
      <c r="U12" s="96">
        <f t="shared" si="12"/>
        <v>5</v>
      </c>
      <c r="V12" s="96">
        <f t="shared" si="13"/>
        <v>5</v>
      </c>
      <c r="W12" s="97">
        <f t="shared" si="14"/>
        <v>2</v>
      </c>
      <c r="Y12" s="78">
        <v>3</v>
      </c>
      <c r="Z12" s="82">
        <v>1</v>
      </c>
      <c r="AA12" s="83">
        <f t="shared" si="15"/>
        <v>37</v>
      </c>
      <c r="AB12" s="83">
        <f t="shared" ref="AB12:AE12" si="18">_xlfn.CEILING.MATH(S12*S5*K40/100)+_xlfn.CEILING.MATH((S33+($Z12-1)*S26)*S5*K40*$P40/100/100)</f>
        <v>47</v>
      </c>
      <c r="AC12" s="83">
        <f t="shared" si="18"/>
        <v>22</v>
      </c>
      <c r="AD12" s="83">
        <f t="shared" si="18"/>
        <v>10</v>
      </c>
      <c r="AE12" s="83">
        <f t="shared" si="18"/>
        <v>5</v>
      </c>
      <c r="AF12" s="84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IF(Main!$I26&gt;0,B$11,B$19)</f>
        <v>55</v>
      </c>
      <c r="K13" s="96">
        <f>IF(Main!$I26&gt;0,C$11,C$19)</f>
        <v>16</v>
      </c>
      <c r="L13" s="96">
        <f>IF(Main!$I26&gt;0,D$11,D$19)</f>
        <v>45</v>
      </c>
      <c r="M13" s="96">
        <f>IF(Main!$I26&gt;0,E$11,E$19)</f>
        <v>5</v>
      </c>
      <c r="N13" s="96">
        <f>IF(Main!$I26&gt;0,F$11,F$19)</f>
        <v>5</v>
      </c>
      <c r="O13" s="97">
        <f>IF(Main!$I26&gt;0,G$11,G$19)</f>
        <v>2</v>
      </c>
      <c r="Q13" s="78">
        <v>4</v>
      </c>
      <c r="R13" s="95">
        <f t="shared" si="9"/>
        <v>55</v>
      </c>
      <c r="S13" s="96">
        <f t="shared" si="10"/>
        <v>16</v>
      </c>
      <c r="T13" s="96">
        <f t="shared" si="11"/>
        <v>45</v>
      </c>
      <c r="U13" s="96">
        <f t="shared" si="12"/>
        <v>5</v>
      </c>
      <c r="V13" s="96">
        <f t="shared" si="13"/>
        <v>5</v>
      </c>
      <c r="W13" s="97">
        <f t="shared" si="14"/>
        <v>2</v>
      </c>
      <c r="Y13" s="78">
        <v>4</v>
      </c>
      <c r="Z13" s="82">
        <v>1</v>
      </c>
      <c r="AA13" s="83">
        <f t="shared" si="15"/>
        <v>40</v>
      </c>
      <c r="AB13" s="83">
        <f t="shared" ref="AB13:AE13" si="19">_xlfn.CEILING.MATH(S13*S6*K41/100)+_xlfn.CEILING.MATH((S34+($Z13-1)*S27)*S6*K41*$P41/100/100)</f>
        <v>11</v>
      </c>
      <c r="AC13" s="83">
        <f t="shared" si="19"/>
        <v>44</v>
      </c>
      <c r="AD13" s="83">
        <f t="shared" si="19"/>
        <v>7</v>
      </c>
      <c r="AE13" s="83">
        <f t="shared" si="19"/>
        <v>9</v>
      </c>
      <c r="AF13" s="84">
        <f t="shared" si="17"/>
        <v>0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IF(Main!$I27&gt;0,B$11,B$19)</f>
        <v>55</v>
      </c>
      <c r="K14" s="99">
        <f>IF(Main!$I27&gt;0,C$11,C$19)</f>
        <v>16</v>
      </c>
      <c r="L14" s="99">
        <f>IF(Main!$I27&gt;0,D$11,D$19)</f>
        <v>45</v>
      </c>
      <c r="M14" s="99">
        <f>IF(Main!$I27&gt;0,E$11,E$19)</f>
        <v>5</v>
      </c>
      <c r="N14" s="99">
        <f>IF(Main!$I27&gt;0,F$11,F$19)</f>
        <v>5</v>
      </c>
      <c r="O14" s="100">
        <f>IF(Main!$I27&gt;0,G$11,G$19)</f>
        <v>2</v>
      </c>
      <c r="Q14" s="85">
        <v>5</v>
      </c>
      <c r="R14" s="98">
        <f t="shared" si="9"/>
        <v>55</v>
      </c>
      <c r="S14" s="99">
        <f t="shared" si="10"/>
        <v>16</v>
      </c>
      <c r="T14" s="99">
        <f t="shared" si="11"/>
        <v>45</v>
      </c>
      <c r="U14" s="99">
        <f t="shared" si="12"/>
        <v>5</v>
      </c>
      <c r="V14" s="99">
        <f t="shared" si="13"/>
        <v>5</v>
      </c>
      <c r="W14" s="100">
        <f t="shared" si="14"/>
        <v>2</v>
      </c>
      <c r="Y14" s="85">
        <v>5</v>
      </c>
      <c r="Z14" s="89">
        <v>1</v>
      </c>
      <c r="AA14" s="90">
        <f t="shared" si="15"/>
        <v>35</v>
      </c>
      <c r="AB14" s="90">
        <f t="shared" ref="AB14:AE14" si="20">_xlfn.CEILING.MATH(S14*S7*K42/100)+_xlfn.CEILING.MATH((S35+($Z14-1)*S28)*S7*K42*$P42/100/100)</f>
        <v>10</v>
      </c>
      <c r="AC14" s="90">
        <f t="shared" si="20"/>
        <v>41</v>
      </c>
      <c r="AD14" s="90">
        <f t="shared" si="20"/>
        <v>8</v>
      </c>
      <c r="AE14" s="90">
        <f t="shared" si="20"/>
        <v>13</v>
      </c>
      <c r="AF14" s="91">
        <f t="shared" si="17"/>
        <v>0</v>
      </c>
    </row>
    <row r="15" spans="1:38" x14ac:dyDescent="0.25">
      <c r="A15" s="67">
        <v>1</v>
      </c>
      <c r="B15" s="133"/>
      <c r="C15" s="134">
        <v>0.06</v>
      </c>
      <c r="D15" s="134">
        <v>2.1999999999999999E-2</v>
      </c>
      <c r="E15" s="134">
        <v>7.4999999999999997E-2</v>
      </c>
      <c r="F15" s="134">
        <v>7.4999999999999997E-2</v>
      </c>
      <c r="G15" s="13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36"/>
      <c r="C16" s="137">
        <v>18.018000000000001</v>
      </c>
      <c r="D16" s="137">
        <v>15.741</v>
      </c>
      <c r="E16" s="137">
        <v>22.571999999999999</v>
      </c>
      <c r="F16" s="137">
        <v>22.571999999999999</v>
      </c>
      <c r="G16" s="138"/>
      <c r="I16" s="66" t="s">
        <v>373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373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885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IF(Main!$I23&gt;0,B$12,B$20)</f>
        <v>0.13800000000000001</v>
      </c>
      <c r="K17" s="93">
        <f>IF(Main!$I23&gt;0,C$12,C$20)</f>
        <v>16</v>
      </c>
      <c r="L17" s="93">
        <f>IF(Main!$I23&gt;0,D$12,D$20)</f>
        <v>45</v>
      </c>
      <c r="M17" s="93">
        <f>IF(Main!$I23&gt;0,E$12,E$20)</f>
        <v>5</v>
      </c>
      <c r="N17" s="93">
        <f>IF(Main!$I23&gt;0,F$12,F$20)</f>
        <v>5</v>
      </c>
      <c r="O17" s="94">
        <f>IF(Main!$I23&gt;0,G$12,G$20)</f>
        <v>0.04</v>
      </c>
      <c r="Q17" s="66">
        <v>1</v>
      </c>
      <c r="R17" s="92">
        <f t="shared" ref="R17:W17" si="21">B$20</f>
        <v>0.55500000000000005</v>
      </c>
      <c r="S17" s="93">
        <f t="shared" si="21"/>
        <v>16</v>
      </c>
      <c r="T17" s="93">
        <f t="shared" si="21"/>
        <v>45</v>
      </c>
      <c r="U17" s="93">
        <f t="shared" si="21"/>
        <v>5</v>
      </c>
      <c r="V17" s="93">
        <f t="shared" si="21"/>
        <v>5</v>
      </c>
      <c r="W17" s="94">
        <f t="shared" si="21"/>
        <v>0.161</v>
      </c>
      <c r="Y17" s="66">
        <v>1</v>
      </c>
      <c r="Z17" s="30"/>
      <c r="AA17" s="31"/>
      <c r="AB17" s="76">
        <f>AB3-AB10</f>
        <v>36</v>
      </c>
      <c r="AC17" s="76">
        <f>AC3-AC10</f>
        <v>26</v>
      </c>
      <c r="AD17" s="76">
        <f>AD3-AD10</f>
        <v>45</v>
      </c>
      <c r="AE17" s="76">
        <f>AE3-AE10</f>
        <v>41</v>
      </c>
      <c r="AF17" s="36"/>
    </row>
    <row r="18" spans="1:32" x14ac:dyDescent="0.25">
      <c r="A18" s="66" t="s">
        <v>377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IF(Main!$I24&gt;0,B$12,B$20)</f>
        <v>0.55500000000000005</v>
      </c>
      <c r="K18" s="96">
        <f>IF(Main!$I24&gt;0,C$12,C$20)</f>
        <v>16</v>
      </c>
      <c r="L18" s="96">
        <f>IF(Main!$I24&gt;0,D$12,D$20)</f>
        <v>45</v>
      </c>
      <c r="M18" s="96">
        <f>IF(Main!$I24&gt;0,E$12,E$20)</f>
        <v>5</v>
      </c>
      <c r="N18" s="96">
        <f>IF(Main!$I24&gt;0,F$12,F$20)</f>
        <v>5</v>
      </c>
      <c r="O18" s="97">
        <f>IF(Main!$I24&gt;0,G$12,G$20)</f>
        <v>0.161</v>
      </c>
      <c r="Q18" s="78">
        <v>2</v>
      </c>
      <c r="R18" s="95">
        <f t="shared" ref="R18:R21" si="22">B$20</f>
        <v>0.55500000000000005</v>
      </c>
      <c r="S18" s="96">
        <f t="shared" ref="S18:S21" si="23">C$20</f>
        <v>16</v>
      </c>
      <c r="T18" s="96">
        <f t="shared" ref="T18:T21" si="24">D$20</f>
        <v>45</v>
      </c>
      <c r="U18" s="96">
        <f t="shared" ref="U18:U21" si="25">E$20</f>
        <v>5</v>
      </c>
      <c r="V18" s="96">
        <f t="shared" ref="V18:V21" si="26">F$20</f>
        <v>5</v>
      </c>
      <c r="W18" s="97">
        <f t="shared" ref="W18:W21" si="27">G$20</f>
        <v>0.161</v>
      </c>
      <c r="Y18" s="78">
        <v>2</v>
      </c>
      <c r="Z18" s="32"/>
      <c r="AA18" s="33"/>
      <c r="AB18" s="83">
        <f t="shared" ref="AB18:AE18" si="28">AB4-AB11</f>
        <v>68</v>
      </c>
      <c r="AC18" s="83">
        <f t="shared" si="28"/>
        <v>34</v>
      </c>
      <c r="AD18" s="83">
        <f t="shared" si="28"/>
        <v>19</v>
      </c>
      <c r="AE18" s="83">
        <f t="shared" si="28"/>
        <v>18</v>
      </c>
      <c r="AF18" s="37"/>
    </row>
    <row r="19" spans="1:32" x14ac:dyDescent="0.25">
      <c r="A19" s="67">
        <v>1</v>
      </c>
      <c r="B19" s="133">
        <v>55</v>
      </c>
      <c r="C19" s="134">
        <v>16</v>
      </c>
      <c r="D19" s="134">
        <v>45</v>
      </c>
      <c r="E19" s="134">
        <v>5</v>
      </c>
      <c r="F19" s="134">
        <v>5</v>
      </c>
      <c r="G19" s="135">
        <v>2</v>
      </c>
      <c r="I19" s="78">
        <v>3</v>
      </c>
      <c r="J19" s="95">
        <f>IF(Main!$I25&gt;0,B$12,B$20)</f>
        <v>0.55500000000000005</v>
      </c>
      <c r="K19" s="96">
        <f>IF(Main!$I25&gt;0,C$12,C$20)</f>
        <v>16</v>
      </c>
      <c r="L19" s="96">
        <f>IF(Main!$I25&gt;0,D$12,D$20)</f>
        <v>45</v>
      </c>
      <c r="M19" s="96">
        <f>IF(Main!$I25&gt;0,E$12,E$20)</f>
        <v>5</v>
      </c>
      <c r="N19" s="96">
        <f>IF(Main!$I25&gt;0,F$12,F$20)</f>
        <v>5</v>
      </c>
      <c r="O19" s="97">
        <f>IF(Main!$I25&gt;0,G$12,G$20)</f>
        <v>0.161</v>
      </c>
      <c r="Q19" s="78">
        <v>3</v>
      </c>
      <c r="R19" s="95">
        <f t="shared" si="22"/>
        <v>0.55500000000000005</v>
      </c>
      <c r="S19" s="96">
        <f t="shared" si="23"/>
        <v>16</v>
      </c>
      <c r="T19" s="96">
        <f t="shared" si="24"/>
        <v>45</v>
      </c>
      <c r="U19" s="96">
        <f t="shared" si="25"/>
        <v>5</v>
      </c>
      <c r="V19" s="96">
        <f t="shared" si="26"/>
        <v>5</v>
      </c>
      <c r="W19" s="97">
        <f t="shared" si="27"/>
        <v>0.161</v>
      </c>
      <c r="Y19" s="78">
        <v>3</v>
      </c>
      <c r="Z19" s="32"/>
      <c r="AA19" s="33"/>
      <c r="AB19" s="83">
        <f t="shared" ref="AB19:AE19" si="29">AB5-AB12</f>
        <v>99</v>
      </c>
      <c r="AC19" s="83">
        <f t="shared" si="29"/>
        <v>12</v>
      </c>
      <c r="AD19" s="83">
        <f t="shared" si="29"/>
        <v>80</v>
      </c>
      <c r="AE19" s="83">
        <f t="shared" si="29"/>
        <v>39</v>
      </c>
      <c r="AF19" s="37"/>
    </row>
    <row r="20" spans="1:32" x14ac:dyDescent="0.25">
      <c r="A20" s="69">
        <v>2</v>
      </c>
      <c r="B20" s="136">
        <v>0.55500000000000005</v>
      </c>
      <c r="C20" s="137">
        <v>16</v>
      </c>
      <c r="D20" s="137">
        <v>45</v>
      </c>
      <c r="E20" s="137">
        <v>5</v>
      </c>
      <c r="F20" s="137">
        <v>5</v>
      </c>
      <c r="G20" s="138">
        <v>0.161</v>
      </c>
      <c r="I20" s="78">
        <v>4</v>
      </c>
      <c r="J20" s="95">
        <f>IF(Main!$I26&gt;0,B$12,B$20)</f>
        <v>0.55500000000000005</v>
      </c>
      <c r="K20" s="96">
        <f>IF(Main!$I26&gt;0,C$12,C$20)</f>
        <v>16</v>
      </c>
      <c r="L20" s="96">
        <f>IF(Main!$I26&gt;0,D$12,D$20)</f>
        <v>45</v>
      </c>
      <c r="M20" s="96">
        <f>IF(Main!$I26&gt;0,E$12,E$20)</f>
        <v>5</v>
      </c>
      <c r="N20" s="96">
        <f>IF(Main!$I26&gt;0,F$12,F$20)</f>
        <v>5</v>
      </c>
      <c r="O20" s="97">
        <f>IF(Main!$I26&gt;0,G$12,G$20)</f>
        <v>0.161</v>
      </c>
      <c r="Q20" s="78">
        <v>4</v>
      </c>
      <c r="R20" s="95">
        <f t="shared" si="22"/>
        <v>0.55500000000000005</v>
      </c>
      <c r="S20" s="96">
        <f t="shared" si="23"/>
        <v>16</v>
      </c>
      <c r="T20" s="96">
        <f t="shared" si="24"/>
        <v>45</v>
      </c>
      <c r="U20" s="96">
        <f t="shared" si="25"/>
        <v>5</v>
      </c>
      <c r="V20" s="96">
        <f t="shared" si="26"/>
        <v>5</v>
      </c>
      <c r="W20" s="97">
        <f t="shared" si="27"/>
        <v>0.161</v>
      </c>
      <c r="Y20" s="78">
        <v>4</v>
      </c>
      <c r="Z20" s="32"/>
      <c r="AA20" s="33"/>
      <c r="AB20" s="83">
        <f t="shared" ref="AB20:AE20" si="30">AB6-AB13</f>
        <v>18</v>
      </c>
      <c r="AC20" s="83">
        <f t="shared" si="30"/>
        <v>19</v>
      </c>
      <c r="AD20" s="83">
        <f t="shared" si="30"/>
        <v>46</v>
      </c>
      <c r="AE20" s="83">
        <f t="shared" si="30"/>
        <v>57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IF(Main!$I27&gt;0,B$12,B$20)</f>
        <v>0.55500000000000005</v>
      </c>
      <c r="K21" s="99">
        <f>IF(Main!$I27&gt;0,C$12,C$20)</f>
        <v>16</v>
      </c>
      <c r="L21" s="99">
        <f>IF(Main!$I27&gt;0,D$12,D$20)</f>
        <v>45</v>
      </c>
      <c r="M21" s="99">
        <f>IF(Main!$I27&gt;0,E$12,E$20)</f>
        <v>5</v>
      </c>
      <c r="N21" s="99">
        <f>IF(Main!$I27&gt;0,F$12,F$20)</f>
        <v>5</v>
      </c>
      <c r="O21" s="100">
        <f>IF(Main!$I27&gt;0,G$12,G$20)</f>
        <v>0.161</v>
      </c>
      <c r="Q21" s="85">
        <v>5</v>
      </c>
      <c r="R21" s="98">
        <f t="shared" si="22"/>
        <v>0.55500000000000005</v>
      </c>
      <c r="S21" s="99">
        <f t="shared" si="23"/>
        <v>16</v>
      </c>
      <c r="T21" s="99">
        <f t="shared" si="24"/>
        <v>45</v>
      </c>
      <c r="U21" s="99">
        <f t="shared" si="25"/>
        <v>5</v>
      </c>
      <c r="V21" s="99">
        <f t="shared" si="26"/>
        <v>5</v>
      </c>
      <c r="W21" s="100">
        <f t="shared" si="27"/>
        <v>0.161</v>
      </c>
      <c r="Y21" s="85">
        <v>5</v>
      </c>
      <c r="Z21" s="34"/>
      <c r="AA21" s="35"/>
      <c r="AB21" s="90">
        <f t="shared" ref="AB21:AE21" si="31">AB7-AB14</f>
        <v>18</v>
      </c>
      <c r="AC21" s="90">
        <f t="shared" si="31"/>
        <v>21</v>
      </c>
      <c r="AD21" s="90">
        <f t="shared" si="31"/>
        <v>58</v>
      </c>
      <c r="AE21" s="90">
        <f t="shared" si="31"/>
        <v>97</v>
      </c>
      <c r="AF21" s="38"/>
    </row>
    <row r="22" spans="1:32" x14ac:dyDescent="0.25">
      <c r="A22" s="66" t="s">
        <v>378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33"/>
      <c r="C23" s="134">
        <v>0.24199999999999999</v>
      </c>
      <c r="D23" s="134">
        <v>0.18099999999999999</v>
      </c>
      <c r="E23" s="134">
        <v>0.30299999999999999</v>
      </c>
      <c r="F23" s="134">
        <v>0.30299999999999999</v>
      </c>
      <c r="G23" s="135"/>
      <c r="I23" s="66" t="s">
        <v>374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374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36"/>
      <c r="C24" s="137">
        <v>0</v>
      </c>
      <c r="D24" s="137">
        <v>0</v>
      </c>
      <c r="E24" s="137">
        <v>0</v>
      </c>
      <c r="F24" s="137">
        <v>0</v>
      </c>
      <c r="G24" s="138"/>
      <c r="I24" s="66">
        <v>1</v>
      </c>
      <c r="J24" s="92">
        <f>IF(Main!$I23&gt;0,B$15,B$23)</f>
        <v>0</v>
      </c>
      <c r="K24" s="93">
        <f>IF(Main!$I23&gt;0,C$15,C$23)</f>
        <v>0.06</v>
      </c>
      <c r="L24" s="93">
        <f>IF(Main!$I23&gt;0,D$15,D$23)</f>
        <v>2.1999999999999999E-2</v>
      </c>
      <c r="M24" s="93">
        <f>IF(Main!$I23&gt;0,E$15,E$23)</f>
        <v>7.4999999999999997E-2</v>
      </c>
      <c r="N24" s="93">
        <f>IF(Main!$I23&gt;0,F$15,F$23)</f>
        <v>7.4999999999999997E-2</v>
      </c>
      <c r="O24" s="94">
        <f>IF(Main!$I23&gt;0,G$15,G$23)</f>
        <v>0</v>
      </c>
      <c r="Q24" s="66">
        <v>1</v>
      </c>
      <c r="R24" s="92">
        <f t="shared" ref="R24:W28" si="32">B$23</f>
        <v>0</v>
      </c>
      <c r="S24" s="93">
        <f t="shared" si="32"/>
        <v>0.24199999999999999</v>
      </c>
      <c r="T24" s="93">
        <f t="shared" si="32"/>
        <v>0.18099999999999999</v>
      </c>
      <c r="U24" s="93">
        <f t="shared" si="32"/>
        <v>0.30299999999999999</v>
      </c>
      <c r="V24" s="93">
        <f t="shared" si="32"/>
        <v>0.30299999999999999</v>
      </c>
      <c r="W24" s="94">
        <f t="shared" si="32"/>
        <v>0</v>
      </c>
    </row>
    <row r="25" spans="1:32" x14ac:dyDescent="0.25">
      <c r="I25" s="78">
        <v>2</v>
      </c>
      <c r="J25" s="95">
        <f>IF(Main!$I24&gt;0,B$15,B$23)</f>
        <v>0</v>
      </c>
      <c r="K25" s="96">
        <f>IF(Main!$I24&gt;0,C$15,C$23)</f>
        <v>0.24199999999999999</v>
      </c>
      <c r="L25" s="96">
        <f>IF(Main!$I24&gt;0,D$15,D$23)</f>
        <v>0.18099999999999999</v>
      </c>
      <c r="M25" s="96">
        <f>IF(Main!$I24&gt;0,E$15,E$23)</f>
        <v>0.30299999999999999</v>
      </c>
      <c r="N25" s="96">
        <f>IF(Main!$I24&gt;0,F$15,F$23)</f>
        <v>0.30299999999999999</v>
      </c>
      <c r="O25" s="97">
        <f>IF(Main!$I24&gt;0,G$15,G$23)</f>
        <v>0</v>
      </c>
      <c r="Q25" s="78">
        <v>2</v>
      </c>
      <c r="R25" s="95">
        <f t="shared" si="32"/>
        <v>0</v>
      </c>
      <c r="S25" s="96">
        <f t="shared" si="32"/>
        <v>0.24199999999999999</v>
      </c>
      <c r="T25" s="96">
        <f t="shared" si="32"/>
        <v>0.18099999999999999</v>
      </c>
      <c r="U25" s="96">
        <f t="shared" si="32"/>
        <v>0.30299999999999999</v>
      </c>
      <c r="V25" s="96">
        <f t="shared" si="32"/>
        <v>0.30299999999999999</v>
      </c>
      <c r="W25" s="97">
        <f t="shared" si="32"/>
        <v>0</v>
      </c>
    </row>
    <row r="26" spans="1:32" x14ac:dyDescent="0.25">
      <c r="I26" s="78">
        <v>3</v>
      </c>
      <c r="J26" s="95">
        <f>IF(Main!$I25&gt;0,B$15,B$23)</f>
        <v>0</v>
      </c>
      <c r="K26" s="96">
        <f>IF(Main!$I25&gt;0,C$15,C$23)</f>
        <v>0.24199999999999999</v>
      </c>
      <c r="L26" s="96">
        <f>IF(Main!$I25&gt;0,D$15,D$23)</f>
        <v>0.18099999999999999</v>
      </c>
      <c r="M26" s="96">
        <f>IF(Main!$I25&gt;0,E$15,E$23)</f>
        <v>0.30299999999999999</v>
      </c>
      <c r="N26" s="96">
        <f>IF(Main!$I25&gt;0,F$15,F$23)</f>
        <v>0.30299999999999999</v>
      </c>
      <c r="O26" s="97">
        <f>IF(Main!$I25&gt;0,G$15,G$23)</f>
        <v>0</v>
      </c>
      <c r="Q26" s="78">
        <v>3</v>
      </c>
      <c r="R26" s="95">
        <f t="shared" si="32"/>
        <v>0</v>
      </c>
      <c r="S26" s="96">
        <f t="shared" si="32"/>
        <v>0.24199999999999999</v>
      </c>
      <c r="T26" s="96">
        <f t="shared" si="32"/>
        <v>0.18099999999999999</v>
      </c>
      <c r="U26" s="96">
        <f t="shared" si="32"/>
        <v>0.30299999999999999</v>
      </c>
      <c r="V26" s="96">
        <f t="shared" si="32"/>
        <v>0.30299999999999999</v>
      </c>
      <c r="W26" s="97">
        <f t="shared" si="32"/>
        <v>0</v>
      </c>
    </row>
    <row r="27" spans="1:32" x14ac:dyDescent="0.25">
      <c r="I27" s="78">
        <v>4</v>
      </c>
      <c r="J27" s="95">
        <f>IF(Main!$I26&gt;0,B$15,B$23)</f>
        <v>0</v>
      </c>
      <c r="K27" s="96">
        <f>IF(Main!$I26&gt;0,C$15,C$23)</f>
        <v>0.24199999999999999</v>
      </c>
      <c r="L27" s="96">
        <f>IF(Main!$I26&gt;0,D$15,D$23)</f>
        <v>0.18099999999999999</v>
      </c>
      <c r="M27" s="96">
        <f>IF(Main!$I26&gt;0,E$15,E$23)</f>
        <v>0.30299999999999999</v>
      </c>
      <c r="N27" s="96">
        <f>IF(Main!$I26&gt;0,F$15,F$23)</f>
        <v>0.30299999999999999</v>
      </c>
      <c r="O27" s="97">
        <f>IF(Main!$I26&gt;0,G$15,G$23)</f>
        <v>0</v>
      </c>
      <c r="Q27" s="78">
        <v>4</v>
      </c>
      <c r="R27" s="95">
        <f t="shared" si="32"/>
        <v>0</v>
      </c>
      <c r="S27" s="96">
        <f t="shared" si="32"/>
        <v>0.24199999999999999</v>
      </c>
      <c r="T27" s="96">
        <f t="shared" si="32"/>
        <v>0.18099999999999999</v>
      </c>
      <c r="U27" s="96">
        <f t="shared" si="32"/>
        <v>0.30299999999999999</v>
      </c>
      <c r="V27" s="96">
        <f t="shared" si="32"/>
        <v>0.30299999999999999</v>
      </c>
      <c r="W27" s="97">
        <f t="shared" si="32"/>
        <v>0</v>
      </c>
    </row>
    <row r="28" spans="1:32" x14ac:dyDescent="0.25">
      <c r="I28" s="85">
        <v>5</v>
      </c>
      <c r="J28" s="98">
        <f>IF(Main!$I27&gt;0,B$15,B$23)</f>
        <v>0</v>
      </c>
      <c r="K28" s="99">
        <f>IF(Main!$I27&gt;0,C$15,C$23)</f>
        <v>0.24199999999999999</v>
      </c>
      <c r="L28" s="99">
        <f>IF(Main!$I27&gt;0,D$15,D$23)</f>
        <v>0.18099999999999999</v>
      </c>
      <c r="M28" s="99">
        <f>IF(Main!$I27&gt;0,E$15,E$23)</f>
        <v>0.30299999999999999</v>
      </c>
      <c r="N28" s="99">
        <f>IF(Main!$I27&gt;0,F$15,F$23)</f>
        <v>0.30299999999999999</v>
      </c>
      <c r="O28" s="100">
        <f>IF(Main!$I27&gt;0,G$15,G$23)</f>
        <v>0</v>
      </c>
      <c r="Q28" s="85">
        <v>5</v>
      </c>
      <c r="R28" s="98">
        <f t="shared" si="32"/>
        <v>0</v>
      </c>
      <c r="S28" s="99">
        <f t="shared" si="32"/>
        <v>0.24199999999999999</v>
      </c>
      <c r="T28" s="99">
        <f t="shared" si="32"/>
        <v>0.18099999999999999</v>
      </c>
      <c r="U28" s="99">
        <f t="shared" si="32"/>
        <v>0.30299999999999999</v>
      </c>
      <c r="V28" s="99">
        <f t="shared" si="32"/>
        <v>0.30299999999999999</v>
      </c>
      <c r="W28" s="100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IF(Main!$I23&gt;0,B$16,B$24)</f>
        <v>0</v>
      </c>
      <c r="K31" s="3">
        <f>IF(Main!$I23&gt;0,C$16,C$24)</f>
        <v>18.018000000000001</v>
      </c>
      <c r="L31" s="3">
        <f>IF(Main!$I23&gt;0,D$16,D$24)</f>
        <v>15.741</v>
      </c>
      <c r="M31" s="3">
        <f>IF(Main!$I23&gt;0,E$16,E$24)</f>
        <v>22.571999999999999</v>
      </c>
      <c r="N31" s="3">
        <f>IF(Main!$I23&gt;0,F$16,F$24)</f>
        <v>22.571999999999999</v>
      </c>
      <c r="O31" s="4">
        <f>IF(Main!$I23&gt;0,G$16,G$24)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IF(Main!$I24&gt;0,B$16,B$24)</f>
        <v>0</v>
      </c>
      <c r="K32" s="13">
        <f>IF(Main!$I24&gt;0,C$16,C$24)</f>
        <v>0</v>
      </c>
      <c r="L32" s="13">
        <f>IF(Main!$I24&gt;0,D$16,D$24)</f>
        <v>0</v>
      </c>
      <c r="M32" s="13">
        <f>IF(Main!$I24&gt;0,E$16,E$24)</f>
        <v>0</v>
      </c>
      <c r="N32" s="13">
        <f>IF(Main!$I24&gt;0,F$16,F$24)</f>
        <v>0</v>
      </c>
      <c r="O32" s="14">
        <f>IF(Main!$I24&gt;0,G$16,G$24)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IF(Main!$I25&gt;0,B$16,B$24)</f>
        <v>0</v>
      </c>
      <c r="K33" s="13">
        <f>IF(Main!$I25&gt;0,C$16,C$24)</f>
        <v>0</v>
      </c>
      <c r="L33" s="13">
        <f>IF(Main!$I25&gt;0,D$16,D$24)</f>
        <v>0</v>
      </c>
      <c r="M33" s="13">
        <f>IF(Main!$I25&gt;0,E$16,E$24)</f>
        <v>0</v>
      </c>
      <c r="N33" s="13">
        <f>IF(Main!$I25&gt;0,F$16,F$24)</f>
        <v>0</v>
      </c>
      <c r="O33" s="14">
        <f>IF(Main!$I25&gt;0,G$16,G$24)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IF(Main!$I26&gt;0,B$16,B$24)</f>
        <v>0</v>
      </c>
      <c r="K34" s="13">
        <f>IF(Main!$I26&gt;0,C$16,C$24)</f>
        <v>0</v>
      </c>
      <c r="L34" s="13">
        <f>IF(Main!$I26&gt;0,D$16,D$24)</f>
        <v>0</v>
      </c>
      <c r="M34" s="13">
        <f>IF(Main!$I26&gt;0,E$16,E$24)</f>
        <v>0</v>
      </c>
      <c r="N34" s="13">
        <f>IF(Main!$I26&gt;0,F$16,F$24)</f>
        <v>0</v>
      </c>
      <c r="O34" s="14">
        <f>IF(Main!$I26&gt;0,G$16,G$24)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IF(Main!$I27&gt;0,B$16,B$24)</f>
        <v>0</v>
      </c>
      <c r="K35" s="6">
        <f>IF(Main!$I27&gt;0,C$16,C$24)</f>
        <v>0</v>
      </c>
      <c r="L35" s="6">
        <f>IF(Main!$I27&gt;0,D$16,D$24)</f>
        <v>0</v>
      </c>
      <c r="M35" s="6">
        <f>IF(Main!$I27&gt;0,E$16,E$24)</f>
        <v>0</v>
      </c>
      <c r="N35" s="6">
        <f>IF(Main!$I27&gt;0,F$16,F$24)</f>
        <v>0</v>
      </c>
      <c r="O35" s="7">
        <f>IF(Main!$I27&gt;0,G$16,G$24)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15">
        <v>1</v>
      </c>
      <c r="J38" s="20">
        <f>INDEX('Doll Data'!$E$2:$K$1048576,MATCH(Main!$D23,'Doll Data'!$B$2:$B$1048576,0),MATCH(J$37,'Doll Data'!$E$1:$K$1,0))</f>
        <v>110</v>
      </c>
      <c r="K38" s="21">
        <f>INDEX('Doll Data'!$E$2:$K$1048576,MATCH(Main!$D23,'Doll Data'!$B$2:$B$1048576,0),MATCH(K$37,'Doll Data'!$E$1:$K$1,0))</f>
        <v>118</v>
      </c>
      <c r="L38" s="21">
        <f>INDEX('Doll Data'!$E$2:$K$1048576,MATCH(Main!$D23,'Doll Data'!$B$2:$B$1048576,0),MATCH(L$37,'Doll Data'!$E$1:$K$1,0))</f>
        <v>116</v>
      </c>
      <c r="M38" s="21">
        <f>INDEX('Doll Data'!$E$2:$K$1048576,MATCH(Main!$D23,'Doll Data'!$B$2:$B$1048576,0),MATCH(M$37,'Doll Data'!$E$1:$K$1,0))</f>
        <v>120</v>
      </c>
      <c r="N38" s="21">
        <f>INDEX('Doll Data'!$E$2:$K$1048576,MATCH(Main!$D23,'Doll Data'!$B$2:$B$1048576,0),MATCH(N$37,'Doll Data'!$E$1:$K$1,0))</f>
        <v>110</v>
      </c>
      <c r="O38" s="21">
        <f>INDEX('Doll Data'!$E$2:$K$1048576,MATCH(Main!$D23,'Doll Data'!$B$2:$B$1048576,0),MATCH(O$37,'Doll Data'!$E$1:$K$1,0))</f>
        <v>0</v>
      </c>
      <c r="P38" s="22">
        <f>INDEX('Doll Data'!$E$2:$K$1048576,MATCH(Main!$D23,'Doll Data'!$B$2:$B$1048576,0),MATCH(P$37,'Doll Data'!$E$1:$K$1,0))</f>
        <v>118</v>
      </c>
      <c r="Q38"/>
    </row>
    <row r="39" spans="9:23" x14ac:dyDescent="0.25">
      <c r="I39" s="17">
        <v>2</v>
      </c>
      <c r="J39" s="23">
        <f>INDEX('Doll Data'!$E$2:$K$1048576,MATCH(Main!$D24,'Doll Data'!$B$2:$B$1048576,0),MATCH(J$37,'Doll Data'!$E$1:$K$1,0))</f>
        <v>120</v>
      </c>
      <c r="K39" s="24">
        <f>INDEX('Doll Data'!$E$2:$K$1048576,MATCH(Main!$D24,'Doll Data'!$B$2:$B$1048576,0),MATCH(K$37,'Doll Data'!$E$1:$K$1,0))</f>
        <v>140</v>
      </c>
      <c r="L39" s="24">
        <f>INDEX('Doll Data'!$E$2:$K$1048576,MATCH(Main!$D24,'Doll Data'!$B$2:$B$1048576,0),MATCH(L$37,'Doll Data'!$E$1:$K$1,0))</f>
        <v>105</v>
      </c>
      <c r="M39" s="24">
        <f>INDEX('Doll Data'!$E$2:$K$1048576,MATCH(Main!$D24,'Doll Data'!$B$2:$B$1048576,0),MATCH(M$37,'Doll Data'!$E$1:$K$1,0))</f>
        <v>90</v>
      </c>
      <c r="N39" s="24">
        <f>INDEX('Doll Data'!$E$2:$K$1048576,MATCH(Main!$D24,'Doll Data'!$B$2:$B$1048576,0),MATCH(N$37,'Doll Data'!$E$1:$K$1,0))</f>
        <v>85</v>
      </c>
      <c r="O39" s="24">
        <f>INDEX('Doll Data'!$E$2:$K$1048576,MATCH(Main!$D24,'Doll Data'!$B$2:$B$1048576,0),MATCH(O$37,'Doll Data'!$E$1:$K$1,0))</f>
        <v>0</v>
      </c>
      <c r="P39" s="25">
        <f>INDEX('Doll Data'!$E$2:$K$1048576,MATCH(Main!$D24,'Doll Data'!$B$2:$B$1048576,0),MATCH(P$37,'Doll Data'!$E$1:$K$1,0))</f>
        <v>112</v>
      </c>
      <c r="Q39"/>
    </row>
    <row r="40" spans="9:23" x14ac:dyDescent="0.25">
      <c r="I40" s="17">
        <v>3</v>
      </c>
      <c r="J40" s="23">
        <f>INDEX('Doll Data'!$E$2:$K$1048576,MATCH(Main!$D25,'Doll Data'!$B$2:$B$1048576,0),MATCH(J$37,'Doll Data'!$E$1:$K$1,0))</f>
        <v>82</v>
      </c>
      <c r="K40" s="24">
        <f>INDEX('Doll Data'!$E$2:$K$1048576,MATCH(Main!$D25,'Doll Data'!$B$2:$B$1048576,0),MATCH(K$37,'Doll Data'!$E$1:$K$1,0))</f>
        <v>122</v>
      </c>
      <c r="L40" s="24">
        <f>INDEX('Doll Data'!$E$2:$K$1048576,MATCH(Main!$D25,'Doll Data'!$B$2:$B$1048576,0),MATCH(L$37,'Doll Data'!$E$1:$K$1,0))</f>
        <v>95</v>
      </c>
      <c r="M40" s="24">
        <f>INDEX('Doll Data'!$E$2:$K$1048576,MATCH(Main!$D25,'Doll Data'!$B$2:$B$1048576,0),MATCH(M$37,'Doll Data'!$E$1:$K$1,0))</f>
        <v>118</v>
      </c>
      <c r="N40" s="24">
        <f>INDEX('Doll Data'!$E$2:$K$1048576,MATCH(Main!$D25,'Doll Data'!$B$2:$B$1048576,0),MATCH(N$37,'Doll Data'!$E$1:$K$1,0))</f>
        <v>115</v>
      </c>
      <c r="O40" s="24">
        <f>INDEX('Doll Data'!$E$2:$K$1048576,MATCH(Main!$D25,'Doll Data'!$B$2:$B$1048576,0),MATCH(O$37,'Doll Data'!$E$1:$K$1,0))</f>
        <v>0</v>
      </c>
      <c r="P40" s="25">
        <f>INDEX('Doll Data'!$E$2:$K$1048576,MATCH(Main!$D25,'Doll Data'!$B$2:$B$1048576,0),MATCH(P$37,'Doll Data'!$E$1:$K$1,0))</f>
        <v>140</v>
      </c>
      <c r="Q40"/>
    </row>
    <row r="41" spans="9:23" x14ac:dyDescent="0.25">
      <c r="I41" s="17">
        <v>4</v>
      </c>
      <c r="J41" s="23">
        <f>INDEX('Doll Data'!$E$2:$K$1048576,MATCH(Main!$D26,'Doll Data'!$B$2:$B$1048576,0),MATCH(J$37,'Doll Data'!$E$1:$K$1,0))</f>
        <v>120</v>
      </c>
      <c r="K41" s="24">
        <f>INDEX('Doll Data'!$E$2:$K$1048576,MATCH(Main!$D26,'Doll Data'!$B$2:$B$1048576,0),MATCH(K$37,'Doll Data'!$E$1:$K$1,0))</f>
        <v>110</v>
      </c>
      <c r="L41" s="24">
        <f>INDEX('Doll Data'!$E$2:$K$1048576,MATCH(Main!$D26,'Doll Data'!$B$2:$B$1048576,0),MATCH(L$37,'Doll Data'!$E$1:$K$1,0))</f>
        <v>120</v>
      </c>
      <c r="M41" s="24">
        <f>INDEX('Doll Data'!$E$2:$K$1048576,MATCH(Main!$D26,'Doll Data'!$B$2:$B$1048576,0),MATCH(M$37,'Doll Data'!$E$1:$K$1,0))</f>
        <v>115</v>
      </c>
      <c r="N41" s="24">
        <f>INDEX('Doll Data'!$E$2:$K$1048576,MATCH(Main!$D26,'Doll Data'!$B$2:$B$1048576,0),MATCH(N$37,'Doll Data'!$E$1:$K$1,0))</f>
        <v>95</v>
      </c>
      <c r="O41" s="24">
        <f>INDEX('Doll Data'!$E$2:$K$1048576,MATCH(Main!$D26,'Doll Data'!$B$2:$B$1048576,0),MATCH(O$37,'Doll Data'!$E$1:$K$1,0))</f>
        <v>0</v>
      </c>
      <c r="P41" s="25">
        <f>INDEX('Doll Data'!$E$2:$K$1048576,MATCH(Main!$D26,'Doll Data'!$B$2:$B$1048576,0),MATCH(P$37,'Doll Data'!$E$1:$K$1,0))</f>
        <v>110</v>
      </c>
      <c r="Q41"/>
    </row>
    <row r="42" spans="9:23" x14ac:dyDescent="0.25">
      <c r="I42" s="18">
        <v>5</v>
      </c>
      <c r="J42" s="26">
        <f>INDEX('Doll Data'!$E$2:$K$1048576,MATCH(Main!$D27,'Doll Data'!$B$2:$B$1048576,0),MATCH(J$37,'Doll Data'!$E$1:$K$1,0))</f>
        <v>105</v>
      </c>
      <c r="K42" s="27">
        <f>INDEX('Doll Data'!$E$2:$K$1048576,MATCH(Main!$D27,'Doll Data'!$B$2:$B$1048576,0),MATCH(K$37,'Doll Data'!$E$1:$K$1,0))</f>
        <v>95</v>
      </c>
      <c r="L42" s="27">
        <f>INDEX('Doll Data'!$E$2:$K$1048576,MATCH(Main!$D27,'Doll Data'!$B$2:$B$1048576,0),MATCH(L$37,'Doll Data'!$E$1:$K$1,0))</f>
        <v>112</v>
      </c>
      <c r="M42" s="27">
        <f>INDEX('Doll Data'!$E$2:$K$1048576,MATCH(Main!$D27,'Doll Data'!$B$2:$B$1048576,0),MATCH(M$37,'Doll Data'!$E$1:$K$1,0))</f>
        <v>122</v>
      </c>
      <c r="N42" s="27">
        <f>INDEX('Doll Data'!$E$2:$K$1048576,MATCH(Main!$D27,'Doll Data'!$B$2:$B$1048576,0),MATCH(N$37,'Doll Data'!$E$1:$K$1,0))</f>
        <v>138</v>
      </c>
      <c r="O42" s="27">
        <f>INDEX('Doll Data'!$E$2:$K$1048576,MATCH(Main!$D27,'Doll Data'!$B$2:$B$1048576,0),MATCH(O$37,'Doll Data'!$E$1:$K$1,0))</f>
        <v>0</v>
      </c>
      <c r="P42" s="28">
        <f>INDEX('Doll Data'!$E$2:$K$1048576,MATCH(Main!$D27,'Doll Data'!$B$2:$B$1048576,0),MATCH(P$37,'Doll Data'!$E$1:$K$1,0))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H1" workbookViewId="0">
      <selection activeCell="X4" sqref="X4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1276</v>
      </c>
      <c r="I1" s="10" t="s">
        <v>1270</v>
      </c>
      <c r="J1" s="151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</row>
    <row r="2" spans="1:26" x14ac:dyDescent="0.25">
      <c r="A2" s="66" t="s">
        <v>1269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153" t="s">
        <v>1235</v>
      </c>
      <c r="J2" s="67" t="s">
        <v>18</v>
      </c>
      <c r="K2" s="70" t="s">
        <v>1244</v>
      </c>
      <c r="L2" s="70" t="s">
        <v>1245</v>
      </c>
      <c r="M2" s="70" t="s">
        <v>1238</v>
      </c>
      <c r="N2" s="70" t="s">
        <v>1240</v>
      </c>
      <c r="O2" s="67" t="s">
        <v>1237</v>
      </c>
      <c r="P2" s="70" t="s">
        <v>1240</v>
      </c>
      <c r="Q2" s="70" t="s">
        <v>1272</v>
      </c>
      <c r="R2" s="70" t="s">
        <v>1273</v>
      </c>
      <c r="S2" s="70" t="s">
        <v>1271</v>
      </c>
      <c r="T2" s="70" t="s">
        <v>1305</v>
      </c>
      <c r="U2" s="70" t="s">
        <v>1307</v>
      </c>
      <c r="V2" s="71" t="s">
        <v>1306</v>
      </c>
      <c r="W2" s="152"/>
      <c r="X2" s="111" t="s">
        <v>1308</v>
      </c>
      <c r="Y2" s="152"/>
      <c r="Z2" s="152"/>
    </row>
    <row r="3" spans="1:26" x14ac:dyDescent="0.25">
      <c r="A3" s="67" t="s">
        <v>1251</v>
      </c>
      <c r="B3" s="124">
        <v>3.6</v>
      </c>
      <c r="C3" s="125">
        <v>2.76</v>
      </c>
      <c r="D3" s="125">
        <v>0.42</v>
      </c>
      <c r="E3" s="125">
        <v>0.42</v>
      </c>
      <c r="F3" s="125">
        <v>0.56999999999999995</v>
      </c>
      <c r="G3" s="126">
        <v>0.14000000000000001</v>
      </c>
      <c r="I3" s="153">
        <v>1</v>
      </c>
      <c r="J3" s="75">
        <f>Main!D39</f>
        <v>100</v>
      </c>
      <c r="K3" s="76">
        <f>Main!B39</f>
        <v>3</v>
      </c>
      <c r="L3" s="76">
        <f>Main!E39</f>
        <v>5</v>
      </c>
      <c r="M3" s="76">
        <f>Main!F39</f>
        <v>4</v>
      </c>
      <c r="N3" s="76" t="str">
        <f>IF(Main!B39=3,"BOSS",Main!G39)</f>
        <v>BOSS</v>
      </c>
      <c r="O3" s="75">
        <f>(INDEX('SF Data'!$F:$F,MATCH(Main!C39,'SF Data'!$B:$B,0))&amp;"0"&amp;M3)*1</f>
        <v>10804</v>
      </c>
      <c r="P3" s="76">
        <f>IF(N3="BOSS",100,INDEX($B$8:$G$8,MATCH(N3,$B$7:$G$7,0))*INDEX('SF Data'!P:P,MATCH(Main!C39,'SF Data'!B:B,0))/100)</f>
        <v>100</v>
      </c>
      <c r="Q3" s="76">
        <f>INDEX('SF Data'!J:J,MATCH(Main!C39,'SF Data'!B:B,0))</f>
        <v>105</v>
      </c>
      <c r="R3" s="76">
        <f>INDEX($B$11:$B$15,MATCH(MAX(K3,L3),$A$11:$A$15,0))</f>
        <v>120</v>
      </c>
      <c r="S3" s="76">
        <f>INDEX($B$3:$B$5,Main!$B39)</f>
        <v>4.79</v>
      </c>
      <c r="T3" s="76">
        <f>INDEX('SF Resolution'!E:E,MATCH(O3,'SF Resolution'!A:A,0))</f>
        <v>1</v>
      </c>
      <c r="U3" s="76">
        <f>INDEX('SF Data'!E:E,MATCH(Main!C39,'SF Data'!B:B,0))</f>
        <v>1</v>
      </c>
      <c r="V3" s="77">
        <f>INDEX('SF Resolution'!F:F,MATCH(O3,'SF Resolution'!A:A,0))</f>
        <v>366</v>
      </c>
      <c r="X3" s="149">
        <f t="shared" ref="X3:X11" si="0">_xlfn.CEILING.MATH(P3*Q3*R3*(J3+40-1)*S3*T3/U3/1000000,1)+V3*T3</f>
        <v>1205</v>
      </c>
      <c r="Y3" s="152"/>
      <c r="Z3" s="152"/>
    </row>
    <row r="4" spans="1:26" x14ac:dyDescent="0.25">
      <c r="A4" s="68" t="s">
        <v>1250</v>
      </c>
      <c r="B4" s="127">
        <v>3.84</v>
      </c>
      <c r="C4" s="128">
        <v>2.94</v>
      </c>
      <c r="D4" s="128">
        <v>0.42</v>
      </c>
      <c r="E4" s="128">
        <v>0.44</v>
      </c>
      <c r="F4" s="128">
        <v>0.6</v>
      </c>
      <c r="G4" s="129">
        <v>0.15</v>
      </c>
      <c r="I4" s="154">
        <f>I3+1</f>
        <v>2</v>
      </c>
      <c r="J4" s="82">
        <f>Main!D40</f>
        <v>100</v>
      </c>
      <c r="K4" s="83">
        <f>Main!B40</f>
        <v>2</v>
      </c>
      <c r="L4" s="83">
        <f>Main!E40</f>
        <v>5</v>
      </c>
      <c r="M4" s="83">
        <f>Main!F40</f>
        <v>4</v>
      </c>
      <c r="N4" s="83" t="str">
        <f>IF(Main!B40=3,"BOSS",Main!G40)</f>
        <v>XL</v>
      </c>
      <c r="O4" s="82">
        <f>(INDEX('SF Data'!$F:$F,MATCH(Main!C40,'SF Data'!$B:$B,0))&amp;"0"&amp;M4)*1</f>
        <v>20604</v>
      </c>
      <c r="P4" s="83">
        <f>IF(N4="BOSS",100,INDEX($B$8:$G$8,MATCH(N4,$B$7:$G$7,0))*INDEX('SF Data'!P:P,MATCH(Main!C40,'SF Data'!B:B,0))/100)</f>
        <v>82.500000000000014</v>
      </c>
      <c r="Q4" s="83">
        <f>INDEX('SF Data'!J:J,MATCH(Main!C40,'SF Data'!B:B,0))</f>
        <v>165</v>
      </c>
      <c r="R4" s="83">
        <f>INDEX($B$11:$B$15,MATCH(MAX(K4,L4),$A$11:$A$15,0))</f>
        <v>120</v>
      </c>
      <c r="S4" s="83">
        <f>INDEX($B$3:$B$5,Main!$B40)</f>
        <v>3.84</v>
      </c>
      <c r="T4" s="83">
        <f>INDEX('SF Resolution'!E:E,MATCH(O4,'SF Resolution'!A:A,0))</f>
        <v>1</v>
      </c>
      <c r="U4" s="83">
        <f>INDEX('SF Data'!E:E,MATCH(Main!C40,'SF Data'!B:B,0))</f>
        <v>1</v>
      </c>
      <c r="V4" s="84">
        <f>INDEX('SF Resolution'!F:F,MATCH(O4,'SF Resolution'!A:A,0))</f>
        <v>732</v>
      </c>
      <c r="X4" s="149">
        <f t="shared" si="0"/>
        <v>1604</v>
      </c>
      <c r="Y4" s="152"/>
      <c r="Z4" s="152"/>
    </row>
    <row r="5" spans="1:26" x14ac:dyDescent="0.25">
      <c r="A5" s="69" t="s">
        <v>1249</v>
      </c>
      <c r="B5" s="130">
        <v>4.79</v>
      </c>
      <c r="C5" s="131">
        <v>3.67</v>
      </c>
      <c r="D5" s="131">
        <v>0.46</v>
      </c>
      <c r="E5" s="131">
        <v>0.55000000000000004</v>
      </c>
      <c r="F5" s="131">
        <v>0.75</v>
      </c>
      <c r="G5" s="132">
        <v>0.18</v>
      </c>
      <c r="I5" s="154">
        <f t="shared" ref="I5:I11" si="1">I4+1</f>
        <v>3</v>
      </c>
      <c r="J5" s="82">
        <f>Main!D41</f>
        <v>100</v>
      </c>
      <c r="K5" s="83">
        <f>Main!B41</f>
        <v>2</v>
      </c>
      <c r="L5" s="83">
        <f>Main!E41</f>
        <v>5</v>
      </c>
      <c r="M5" s="83">
        <f>Main!F41</f>
        <v>4</v>
      </c>
      <c r="N5" s="83" t="str">
        <f>IF(Main!B41=3,"BOSS",Main!G41)</f>
        <v>XL</v>
      </c>
      <c r="O5" s="82">
        <f>(INDEX('SF Data'!$F:$F,MATCH(Main!C41,'SF Data'!$B:$B,0))&amp;"0"&amp;M5)*1</f>
        <v>20604</v>
      </c>
      <c r="P5" s="83">
        <f>IF(N5="BOSS",100,INDEX($B$8:$G$8,MATCH(N5,$B$7:$G$7,0))*INDEX('SF Data'!P:P,MATCH(Main!C41,'SF Data'!B:B,0))/100)</f>
        <v>82.500000000000014</v>
      </c>
      <c r="Q5" s="83">
        <f>INDEX('SF Data'!J:J,MATCH(Main!C41,'SF Data'!B:B,0))</f>
        <v>165</v>
      </c>
      <c r="R5" s="83">
        <f t="shared" ref="R5:R11" si="2">INDEX($B$11:$B$15,MATCH(MAX(K5,L5),$A$11:$A$15,0))</f>
        <v>120</v>
      </c>
      <c r="S5" s="83">
        <f>INDEX($B$3:$B$5,Main!$B41)</f>
        <v>3.84</v>
      </c>
      <c r="T5" s="83">
        <f>INDEX('SF Resolution'!E:E,MATCH(O5,'SF Resolution'!A:A,0))</f>
        <v>1</v>
      </c>
      <c r="U5" s="83">
        <f>INDEX('SF Data'!E:E,MATCH(Main!C41,'SF Data'!B:B,0))</f>
        <v>1</v>
      </c>
      <c r="V5" s="84">
        <f>INDEX('SF Resolution'!F:F,MATCH(O5,'SF Resolution'!A:A,0))</f>
        <v>732</v>
      </c>
      <c r="X5" s="149">
        <f t="shared" si="0"/>
        <v>1604</v>
      </c>
      <c r="Y5" s="152"/>
      <c r="Z5" s="152"/>
    </row>
    <row r="6" spans="1:26" x14ac:dyDescent="0.25">
      <c r="I6" s="154">
        <f t="shared" si="1"/>
        <v>4</v>
      </c>
      <c r="J6" s="82">
        <f>Main!D42</f>
        <v>100</v>
      </c>
      <c r="K6" s="83">
        <f>Main!B42</f>
        <v>2</v>
      </c>
      <c r="L6" s="83">
        <f>Main!E42</f>
        <v>5</v>
      </c>
      <c r="M6" s="83">
        <f>Main!F42</f>
        <v>4</v>
      </c>
      <c r="N6" s="83" t="str">
        <f>IF(Main!B42=3,"BOSS",Main!G42)</f>
        <v>XL</v>
      </c>
      <c r="O6" s="82">
        <f>(INDEX('SF Data'!$F:$F,MATCH(Main!C42,'SF Data'!$B:$B,0))&amp;"0"&amp;M6)*1</f>
        <v>20604</v>
      </c>
      <c r="P6" s="83">
        <f>IF(N6="BOSS",100,INDEX($B$8:$G$8,MATCH(N6,$B$7:$G$7,0))*INDEX('SF Data'!P:P,MATCH(Main!C42,'SF Data'!B:B,0))/100)</f>
        <v>82.500000000000014</v>
      </c>
      <c r="Q6" s="83">
        <f>INDEX('SF Data'!J:J,MATCH(Main!C42,'SF Data'!B:B,0))</f>
        <v>165</v>
      </c>
      <c r="R6" s="83">
        <f t="shared" si="2"/>
        <v>120</v>
      </c>
      <c r="S6" s="83">
        <f>INDEX($B$3:$B$5,Main!$B42)</f>
        <v>3.84</v>
      </c>
      <c r="T6" s="83">
        <f>INDEX('SF Resolution'!E:E,MATCH(O6,'SF Resolution'!A:A,0))</f>
        <v>1</v>
      </c>
      <c r="U6" s="83">
        <f>INDEX('SF Data'!E:E,MATCH(Main!C42,'SF Data'!B:B,0))</f>
        <v>1</v>
      </c>
      <c r="V6" s="84">
        <f>INDEX('SF Resolution'!F:F,MATCH(O6,'SF Resolution'!A:A,0))</f>
        <v>732</v>
      </c>
      <c r="X6" s="149">
        <f t="shared" si="0"/>
        <v>1604</v>
      </c>
      <c r="Y6" s="152"/>
      <c r="Z6" s="152"/>
    </row>
    <row r="7" spans="1:26" x14ac:dyDescent="0.25">
      <c r="A7" s="236" t="s">
        <v>1252</v>
      </c>
      <c r="B7" s="67" t="s">
        <v>1275</v>
      </c>
      <c r="C7" s="70" t="s">
        <v>1253</v>
      </c>
      <c r="D7" s="70" t="s">
        <v>1254</v>
      </c>
      <c r="E7" s="70" t="s">
        <v>1255</v>
      </c>
      <c r="F7" s="70" t="s">
        <v>1239</v>
      </c>
      <c r="G7" s="71" t="s">
        <v>1249</v>
      </c>
      <c r="I7" s="154">
        <f t="shared" si="1"/>
        <v>5</v>
      </c>
      <c r="J7" s="82">
        <f>Main!D43</f>
        <v>100</v>
      </c>
      <c r="K7" s="83">
        <f>Main!B43</f>
        <v>2</v>
      </c>
      <c r="L7" s="83">
        <f>Main!E43</f>
        <v>5</v>
      </c>
      <c r="M7" s="83">
        <f>Main!F43</f>
        <v>4</v>
      </c>
      <c r="N7" s="83" t="str">
        <f>IF(Main!B43=3,"BOSS",Main!G43)</f>
        <v>XL</v>
      </c>
      <c r="O7" s="82">
        <f>(INDEX('SF Data'!$F:$F,MATCH(Main!C43,'SF Data'!$B:$B,0))&amp;"0"&amp;M7)*1</f>
        <v>20604</v>
      </c>
      <c r="P7" s="83">
        <f>IF(N7="BOSS",100,INDEX($B$8:$G$8,MATCH(N7,$B$7:$G$7,0))*INDEX('SF Data'!P:P,MATCH(Main!C43,'SF Data'!B:B,0))/100)</f>
        <v>82.500000000000014</v>
      </c>
      <c r="Q7" s="83">
        <f>INDEX('SF Data'!J:J,MATCH(Main!C43,'SF Data'!B:B,0))</f>
        <v>165</v>
      </c>
      <c r="R7" s="83">
        <f t="shared" si="2"/>
        <v>120</v>
      </c>
      <c r="S7" s="83">
        <f>INDEX($B$3:$B$5,Main!$B43)</f>
        <v>3.84</v>
      </c>
      <c r="T7" s="83">
        <f>INDEX('SF Resolution'!E:E,MATCH(O7,'SF Resolution'!A:A,0))</f>
        <v>1</v>
      </c>
      <c r="U7" s="83">
        <f>INDEX('SF Data'!E:E,MATCH(Main!C43,'SF Data'!B:B,0))</f>
        <v>1</v>
      </c>
      <c r="V7" s="84">
        <f>INDEX('SF Resolution'!F:F,MATCH(O7,'SF Resolution'!A:A,0))</f>
        <v>732</v>
      </c>
      <c r="X7" s="149">
        <f t="shared" si="0"/>
        <v>1604</v>
      </c>
      <c r="Y7" s="152"/>
      <c r="Z7" s="152"/>
    </row>
    <row r="8" spans="1:26" x14ac:dyDescent="0.25">
      <c r="A8" s="237"/>
      <c r="B8" s="156">
        <v>100</v>
      </c>
      <c r="C8" s="157">
        <v>102</v>
      </c>
      <c r="D8" s="157">
        <v>105</v>
      </c>
      <c r="E8" s="157">
        <v>108</v>
      </c>
      <c r="F8" s="157">
        <v>110.00000000000001</v>
      </c>
      <c r="G8" s="158">
        <v>100</v>
      </c>
      <c r="I8" s="154">
        <f t="shared" si="1"/>
        <v>6</v>
      </c>
      <c r="J8" s="82">
        <f>Main!D44</f>
        <v>100</v>
      </c>
      <c r="K8" s="83">
        <f>Main!B44</f>
        <v>2</v>
      </c>
      <c r="L8" s="83">
        <f>Main!E44</f>
        <v>5</v>
      </c>
      <c r="M8" s="83">
        <f>Main!F44</f>
        <v>4</v>
      </c>
      <c r="N8" s="83" t="str">
        <f>IF(Main!B44=3,"BOSS",Main!G44)</f>
        <v>XL</v>
      </c>
      <c r="O8" s="82">
        <f>(INDEX('SF Data'!$F:$F,MATCH(Main!C44,'SF Data'!$B:$B,0))&amp;"0"&amp;M8)*1</f>
        <v>20604</v>
      </c>
      <c r="P8" s="83">
        <f>IF(N8="BOSS",100,INDEX($B$8:$G$8,MATCH(N8,$B$7:$G$7,0))*INDEX('SF Data'!P:P,MATCH(Main!C44,'SF Data'!B:B,0))/100)</f>
        <v>82.500000000000014</v>
      </c>
      <c r="Q8" s="83">
        <f>INDEX('SF Data'!J:J,MATCH(Main!C44,'SF Data'!B:B,0))</f>
        <v>165</v>
      </c>
      <c r="R8" s="83">
        <f t="shared" si="2"/>
        <v>120</v>
      </c>
      <c r="S8" s="83">
        <f>INDEX($B$3:$B$5,Main!$B44)</f>
        <v>3.84</v>
      </c>
      <c r="T8" s="83">
        <f>INDEX('SF Resolution'!E:E,MATCH(O8,'SF Resolution'!A:A,0))</f>
        <v>1</v>
      </c>
      <c r="U8" s="83">
        <f>INDEX('SF Data'!E:E,MATCH(Main!C44,'SF Data'!B:B,0))</f>
        <v>1</v>
      </c>
      <c r="V8" s="84">
        <f>INDEX('SF Resolution'!F:F,MATCH(O8,'SF Resolution'!A:A,0))</f>
        <v>732</v>
      </c>
      <c r="X8" s="149">
        <f t="shared" si="0"/>
        <v>1604</v>
      </c>
      <c r="Y8" s="152"/>
      <c r="Z8" s="152"/>
    </row>
    <row r="9" spans="1:26" x14ac:dyDescent="0.25">
      <c r="I9" s="154">
        <f t="shared" si="1"/>
        <v>7</v>
      </c>
      <c r="J9" s="82">
        <f>Main!D45</f>
        <v>100</v>
      </c>
      <c r="K9" s="83">
        <f>Main!B45</f>
        <v>2</v>
      </c>
      <c r="L9" s="83">
        <f>Main!E45</f>
        <v>5</v>
      </c>
      <c r="M9" s="83">
        <f>Main!F45</f>
        <v>4</v>
      </c>
      <c r="N9" s="83" t="str">
        <f>IF(Main!B45=3,"BOSS",Main!G45)</f>
        <v>XL</v>
      </c>
      <c r="O9" s="82">
        <f>(INDEX('SF Data'!$F:$F,MATCH(Main!C45,'SF Data'!$B:$B,0))&amp;"0"&amp;M9)*1</f>
        <v>20604</v>
      </c>
      <c r="P9" s="83">
        <f>IF(N9="BOSS",100,INDEX($B$8:$G$8,MATCH(N9,$B$7:$G$7,0))*INDEX('SF Data'!P:P,MATCH(Main!C45,'SF Data'!B:B,0))/100)</f>
        <v>82.500000000000014</v>
      </c>
      <c r="Q9" s="83">
        <f>INDEX('SF Data'!J:J,MATCH(Main!C45,'SF Data'!B:B,0))</f>
        <v>165</v>
      </c>
      <c r="R9" s="83">
        <f t="shared" si="2"/>
        <v>120</v>
      </c>
      <c r="S9" s="83">
        <f>INDEX($B$3:$B$5,Main!$B45)</f>
        <v>3.84</v>
      </c>
      <c r="T9" s="83">
        <f>INDEX('SF Resolution'!E:E,MATCH(O9,'SF Resolution'!A:A,0))</f>
        <v>1</v>
      </c>
      <c r="U9" s="83">
        <f>INDEX('SF Data'!E:E,MATCH(Main!C45,'SF Data'!B:B,0))</f>
        <v>1</v>
      </c>
      <c r="V9" s="84">
        <f>INDEX('SF Resolution'!F:F,MATCH(O9,'SF Resolution'!A:A,0))</f>
        <v>732</v>
      </c>
      <c r="X9" s="149">
        <f t="shared" si="0"/>
        <v>1604</v>
      </c>
      <c r="Y9" s="152"/>
      <c r="Z9" s="152"/>
    </row>
    <row r="10" spans="1:26" x14ac:dyDescent="0.25">
      <c r="A10" s="66" t="s">
        <v>1274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154">
        <f t="shared" si="1"/>
        <v>8</v>
      </c>
      <c r="J10" s="82">
        <f>Main!D46</f>
        <v>100</v>
      </c>
      <c r="K10" s="83">
        <f>Main!B46</f>
        <v>2</v>
      </c>
      <c r="L10" s="83">
        <f>Main!E46</f>
        <v>5</v>
      </c>
      <c r="M10" s="83">
        <f>Main!F46</f>
        <v>4</v>
      </c>
      <c r="N10" s="83" t="str">
        <f>IF(Main!B46=3,"BOSS",Main!G46)</f>
        <v>XL</v>
      </c>
      <c r="O10" s="82">
        <f>(INDEX('SF Data'!$F:$F,MATCH(Main!C46,'SF Data'!$B:$B,0))&amp;"0"&amp;M10)*1</f>
        <v>20604</v>
      </c>
      <c r="P10" s="83">
        <f>IF(N10="BOSS",100,INDEX($B$8:$G$8,MATCH(N10,$B$7:$G$7,0))*INDEX('SF Data'!P:P,MATCH(Main!C46,'SF Data'!B:B,0))/100)</f>
        <v>82.500000000000014</v>
      </c>
      <c r="Q10" s="83">
        <f>INDEX('SF Data'!J:J,MATCH(Main!C46,'SF Data'!B:B,0))</f>
        <v>165</v>
      </c>
      <c r="R10" s="83">
        <f t="shared" si="2"/>
        <v>120</v>
      </c>
      <c r="S10" s="83">
        <f>INDEX($B$3:$B$5,Main!$B46)</f>
        <v>3.84</v>
      </c>
      <c r="T10" s="83">
        <f>INDEX('SF Resolution'!E:E,MATCH(O10,'SF Resolution'!A:A,0))</f>
        <v>1</v>
      </c>
      <c r="U10" s="83">
        <f>INDEX('SF Data'!E:E,MATCH(Main!C46,'SF Data'!B:B,0))</f>
        <v>1</v>
      </c>
      <c r="V10" s="84">
        <f>INDEX('SF Resolution'!F:F,MATCH(O10,'SF Resolution'!A:A,0))</f>
        <v>732</v>
      </c>
      <c r="X10" s="149">
        <f t="shared" si="0"/>
        <v>1604</v>
      </c>
      <c r="Y10" s="152"/>
      <c r="Z10" s="152"/>
    </row>
    <row r="11" spans="1:26" x14ac:dyDescent="0.25">
      <c r="A11" s="67">
        <v>1</v>
      </c>
      <c r="B11" s="115">
        <v>80</v>
      </c>
      <c r="C11" s="116">
        <v>80</v>
      </c>
      <c r="D11" s="116">
        <v>80</v>
      </c>
      <c r="E11" s="116">
        <v>80</v>
      </c>
      <c r="F11" s="116">
        <v>80</v>
      </c>
      <c r="G11" s="117">
        <v>80</v>
      </c>
      <c r="I11" s="155">
        <f t="shared" si="1"/>
        <v>9</v>
      </c>
      <c r="J11" s="89">
        <f>Main!D47</f>
        <v>100</v>
      </c>
      <c r="K11" s="90">
        <f>Main!B47</f>
        <v>2</v>
      </c>
      <c r="L11" s="90">
        <f>Main!E47</f>
        <v>5</v>
      </c>
      <c r="M11" s="90">
        <f>Main!F47</f>
        <v>4</v>
      </c>
      <c r="N11" s="90" t="str">
        <f>IF(Main!B47=3,"BOSS",Main!G47)</f>
        <v>XL</v>
      </c>
      <c r="O11" s="89">
        <f>(INDEX('SF Data'!$F:$F,MATCH(Main!C47,'SF Data'!$B:$B,0))&amp;"0"&amp;M11)*1</f>
        <v>20604</v>
      </c>
      <c r="P11" s="90">
        <f>IF(N11="BOSS",100,INDEX($B$8:$G$8,MATCH(N11,$B$7:$G$7,0))*INDEX('SF Data'!P:P,MATCH(Main!C47,'SF Data'!B:B,0))/100)</f>
        <v>82.500000000000014</v>
      </c>
      <c r="Q11" s="90">
        <f>INDEX('SF Data'!J:J,MATCH(Main!C47,'SF Data'!B:B,0))</f>
        <v>165</v>
      </c>
      <c r="R11" s="90">
        <f t="shared" si="2"/>
        <v>120</v>
      </c>
      <c r="S11" s="90">
        <f>INDEX($B$3:$B$5,Main!$B47)</f>
        <v>3.84</v>
      </c>
      <c r="T11" s="90">
        <f>INDEX('SF Resolution'!E:E,MATCH(O11,'SF Resolution'!A:A,0))</f>
        <v>1</v>
      </c>
      <c r="U11" s="90">
        <f>INDEX('SF Data'!E:E,MATCH(Main!C47,'SF Data'!B:B,0))</f>
        <v>1</v>
      </c>
      <c r="V11" s="91">
        <f>INDEX('SF Resolution'!F:F,MATCH(O11,'SF Resolution'!A:A,0))</f>
        <v>732</v>
      </c>
      <c r="X11" s="150">
        <f t="shared" si="0"/>
        <v>1604</v>
      </c>
      <c r="Y11" s="152"/>
      <c r="Z11" s="152"/>
    </row>
    <row r="12" spans="1:26" x14ac:dyDescent="0.25">
      <c r="A12" s="68">
        <v>2</v>
      </c>
      <c r="B12" s="118">
        <v>90</v>
      </c>
      <c r="C12" s="119">
        <v>90</v>
      </c>
      <c r="D12" s="119">
        <v>90</v>
      </c>
      <c r="E12" s="119">
        <v>90</v>
      </c>
      <c r="F12" s="119">
        <v>90</v>
      </c>
      <c r="G12" s="120">
        <v>90</v>
      </c>
      <c r="I1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</row>
    <row r="13" spans="1:26" x14ac:dyDescent="0.25">
      <c r="A13" s="68">
        <v>3</v>
      </c>
      <c r="B13" s="118">
        <v>100</v>
      </c>
      <c r="C13" s="119">
        <v>100</v>
      </c>
      <c r="D13" s="119">
        <v>100</v>
      </c>
      <c r="E13" s="119">
        <v>100</v>
      </c>
      <c r="F13" s="119">
        <v>100</v>
      </c>
      <c r="G13" s="120">
        <v>100</v>
      </c>
      <c r="I13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152"/>
    </row>
    <row r="14" spans="1:26" x14ac:dyDescent="0.25">
      <c r="A14" s="68">
        <v>4</v>
      </c>
      <c r="B14" s="118">
        <v>110</v>
      </c>
      <c r="C14" s="119">
        <v>110</v>
      </c>
      <c r="D14" s="119">
        <v>110</v>
      </c>
      <c r="E14" s="119">
        <v>110</v>
      </c>
      <c r="F14" s="119">
        <v>110</v>
      </c>
      <c r="G14" s="120">
        <v>110</v>
      </c>
      <c r="I14" s="148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2"/>
      <c r="V14" s="152"/>
      <c r="W14" s="152"/>
      <c r="X14" s="152"/>
      <c r="Y14" s="152"/>
      <c r="Z14" s="152"/>
    </row>
    <row r="15" spans="1:26" x14ac:dyDescent="0.25">
      <c r="A15" s="69">
        <v>5</v>
      </c>
      <c r="B15" s="121">
        <v>120</v>
      </c>
      <c r="C15" s="122">
        <v>120</v>
      </c>
      <c r="D15" s="122">
        <v>120</v>
      </c>
      <c r="E15" s="122">
        <v>120</v>
      </c>
      <c r="F15" s="122">
        <v>120</v>
      </c>
      <c r="G15" s="123">
        <v>120</v>
      </c>
      <c r="I15"/>
      <c r="T15" s="19"/>
      <c r="U15" s="11"/>
      <c r="X15" s="1"/>
      <c r="Y15" s="29"/>
    </row>
    <row r="16" spans="1:26" x14ac:dyDescent="0.25">
      <c r="I16"/>
      <c r="T16" s="19"/>
      <c r="U16" s="11"/>
      <c r="X16" s="1"/>
      <c r="Y16" s="29"/>
    </row>
    <row r="17" spans="1:25" x14ac:dyDescent="0.25">
      <c r="A17" s="10" t="s">
        <v>1277</v>
      </c>
      <c r="T17" s="19"/>
      <c r="U17" s="11"/>
      <c r="X17" s="1"/>
      <c r="Y17" s="29"/>
    </row>
    <row r="18" spans="1:25" x14ac:dyDescent="0.25">
      <c r="A18" s="159" t="s">
        <v>1278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425</v>
      </c>
      <c r="C1" s="105" t="s">
        <v>61</v>
      </c>
      <c r="D1" s="43" t="s">
        <v>690</v>
      </c>
      <c r="E1" s="105" t="s">
        <v>741</v>
      </c>
      <c r="F1" s="105" t="s">
        <v>742</v>
      </c>
      <c r="G1" s="105" t="s">
        <v>743</v>
      </c>
      <c r="H1" s="105" t="s">
        <v>744</v>
      </c>
      <c r="I1" s="105" t="s">
        <v>745</v>
      </c>
      <c r="J1" s="105" t="s">
        <v>415</v>
      </c>
      <c r="K1" s="105" t="s">
        <v>692</v>
      </c>
    </row>
    <row r="2" spans="1:11" x14ac:dyDescent="0.25">
      <c r="A2" s="1">
        <v>9</v>
      </c>
      <c r="B2" t="s">
        <v>753</v>
      </c>
      <c r="C2" s="1">
        <v>4</v>
      </c>
      <c r="D2" t="s">
        <v>701</v>
      </c>
      <c r="E2" s="109">
        <v>0</v>
      </c>
      <c r="F2" s="109">
        <v>100</v>
      </c>
      <c r="G2" s="109">
        <v>500</v>
      </c>
      <c r="H2" s="109">
        <v>1500</v>
      </c>
      <c r="I2" s="10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732</v>
      </c>
      <c r="C3" s="1">
        <v>2</v>
      </c>
      <c r="D3" t="s">
        <v>733</v>
      </c>
      <c r="E3" s="109">
        <v>0</v>
      </c>
      <c r="F3" s="109">
        <v>100</v>
      </c>
      <c r="G3" s="109">
        <v>200</v>
      </c>
      <c r="H3" s="109">
        <v>350</v>
      </c>
      <c r="I3" s="10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747</v>
      </c>
      <c r="C4" s="1">
        <v>3</v>
      </c>
      <c r="D4" t="s">
        <v>695</v>
      </c>
      <c r="E4" s="109">
        <v>0</v>
      </c>
      <c r="F4" s="109">
        <v>100</v>
      </c>
      <c r="G4" s="109">
        <v>500</v>
      </c>
      <c r="H4" s="109">
        <v>1500</v>
      </c>
      <c r="I4" s="10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752</v>
      </c>
      <c r="C5" s="1">
        <v>4</v>
      </c>
      <c r="D5" t="s">
        <v>700</v>
      </c>
      <c r="E5" s="109">
        <v>0</v>
      </c>
      <c r="F5" s="109">
        <v>100</v>
      </c>
      <c r="G5" s="109">
        <v>500</v>
      </c>
      <c r="H5" s="109">
        <v>1500</v>
      </c>
      <c r="I5" s="10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769</v>
      </c>
      <c r="C6" s="1">
        <v>6</v>
      </c>
      <c r="D6" t="s">
        <v>721</v>
      </c>
      <c r="E6" s="109">
        <v>0</v>
      </c>
      <c r="F6" s="109">
        <v>100</v>
      </c>
      <c r="G6" s="109">
        <v>200</v>
      </c>
      <c r="H6" s="109">
        <v>350</v>
      </c>
      <c r="I6" s="10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1090</v>
      </c>
      <c r="C7" s="1">
        <v>3</v>
      </c>
      <c r="D7" t="s">
        <v>718</v>
      </c>
      <c r="E7" s="109">
        <v>0</v>
      </c>
      <c r="F7" s="109">
        <v>100</v>
      </c>
      <c r="G7" s="109">
        <v>500</v>
      </c>
      <c r="H7" s="109">
        <v>1500</v>
      </c>
      <c r="I7" s="10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765</v>
      </c>
      <c r="C8" s="1">
        <v>6</v>
      </c>
      <c r="D8" t="s">
        <v>716</v>
      </c>
      <c r="E8" s="109">
        <v>0</v>
      </c>
      <c r="F8" s="109">
        <v>100</v>
      </c>
      <c r="G8" s="109">
        <v>200</v>
      </c>
      <c r="H8" s="109">
        <v>350</v>
      </c>
      <c r="I8" s="10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771</v>
      </c>
      <c r="C9" s="1">
        <v>2</v>
      </c>
      <c r="D9" t="s">
        <v>723</v>
      </c>
      <c r="E9" s="109">
        <v>0</v>
      </c>
      <c r="F9" s="109">
        <v>100</v>
      </c>
      <c r="G9" s="109">
        <v>200</v>
      </c>
      <c r="H9" s="109">
        <v>350</v>
      </c>
      <c r="I9" s="10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727</v>
      </c>
      <c r="C10" s="1">
        <v>3</v>
      </c>
      <c r="D10" t="s">
        <v>728</v>
      </c>
      <c r="E10" s="109">
        <v>0</v>
      </c>
      <c r="F10" s="109">
        <v>100</v>
      </c>
      <c r="G10" s="109">
        <v>200</v>
      </c>
      <c r="H10" s="109">
        <v>350</v>
      </c>
      <c r="I10" s="10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766</v>
      </c>
      <c r="C11" s="1">
        <v>6</v>
      </c>
      <c r="D11" t="s">
        <v>717</v>
      </c>
      <c r="E11" s="109">
        <v>0</v>
      </c>
      <c r="F11" s="109">
        <v>100</v>
      </c>
      <c r="G11" s="109">
        <v>500</v>
      </c>
      <c r="H11" s="109">
        <v>1500</v>
      </c>
      <c r="I11" s="10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759</v>
      </c>
      <c r="C12" s="1">
        <v>1</v>
      </c>
      <c r="D12" t="s">
        <v>708</v>
      </c>
      <c r="E12" s="109">
        <v>0</v>
      </c>
      <c r="F12" s="109">
        <v>100</v>
      </c>
      <c r="G12" s="109">
        <v>500</v>
      </c>
      <c r="H12" s="109">
        <v>1500</v>
      </c>
      <c r="I12" s="10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758</v>
      </c>
      <c r="C13" s="1">
        <v>6</v>
      </c>
      <c r="D13" t="s">
        <v>707</v>
      </c>
      <c r="E13" s="109">
        <v>0</v>
      </c>
      <c r="F13" s="109">
        <v>100</v>
      </c>
      <c r="G13" s="109">
        <v>500</v>
      </c>
      <c r="H13" s="109">
        <v>1500</v>
      </c>
      <c r="I13" s="10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763</v>
      </c>
      <c r="C14" s="1">
        <v>2</v>
      </c>
      <c r="D14" t="s">
        <v>712</v>
      </c>
      <c r="E14" s="109">
        <v>0</v>
      </c>
      <c r="F14" s="109">
        <v>100</v>
      </c>
      <c r="G14" s="109">
        <v>200</v>
      </c>
      <c r="H14" s="109">
        <v>350</v>
      </c>
      <c r="I14" s="10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749</v>
      </c>
      <c r="C15" s="1">
        <v>5</v>
      </c>
      <c r="D15" t="s">
        <v>697</v>
      </c>
      <c r="E15" s="109">
        <v>0</v>
      </c>
      <c r="F15" s="109">
        <v>100</v>
      </c>
      <c r="G15" s="109">
        <v>500</v>
      </c>
      <c r="H15" s="109">
        <v>1500</v>
      </c>
      <c r="I15" s="10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770</v>
      </c>
      <c r="C16" s="1">
        <v>6</v>
      </c>
      <c r="D16" t="s">
        <v>722</v>
      </c>
      <c r="E16" s="109">
        <v>0</v>
      </c>
      <c r="F16" s="109">
        <v>100</v>
      </c>
      <c r="G16" s="109">
        <v>200</v>
      </c>
      <c r="H16" s="109">
        <v>350</v>
      </c>
      <c r="I16" s="10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764</v>
      </c>
      <c r="C17" s="1">
        <v>2</v>
      </c>
      <c r="D17" t="s">
        <v>713</v>
      </c>
      <c r="E17" s="109">
        <v>0</v>
      </c>
      <c r="F17" s="109">
        <v>100</v>
      </c>
      <c r="G17" s="109">
        <v>200</v>
      </c>
      <c r="H17" s="109">
        <v>350</v>
      </c>
      <c r="I17" s="10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746</v>
      </c>
      <c r="C18" s="1">
        <v>2</v>
      </c>
      <c r="D18" t="s">
        <v>694</v>
      </c>
      <c r="E18" s="109">
        <v>0</v>
      </c>
      <c r="F18" s="109">
        <v>100</v>
      </c>
      <c r="G18" s="109">
        <v>500</v>
      </c>
      <c r="H18" s="109">
        <v>1500</v>
      </c>
      <c r="I18" s="10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762</v>
      </c>
      <c r="C19" s="1">
        <v>2</v>
      </c>
      <c r="D19" t="s">
        <v>711</v>
      </c>
      <c r="E19" s="109">
        <v>0</v>
      </c>
      <c r="F19" s="109">
        <v>100</v>
      </c>
      <c r="G19" s="109">
        <v>200</v>
      </c>
      <c r="H19" s="109">
        <v>350</v>
      </c>
      <c r="I19" s="10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761</v>
      </c>
      <c r="C20" s="1">
        <v>1</v>
      </c>
      <c r="D20" t="s">
        <v>710</v>
      </c>
      <c r="E20" s="109">
        <v>0</v>
      </c>
      <c r="F20" s="109">
        <v>100</v>
      </c>
      <c r="G20" s="109">
        <v>500</v>
      </c>
      <c r="H20" s="109">
        <v>1500</v>
      </c>
      <c r="I20" s="10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725</v>
      </c>
      <c r="C21" s="1">
        <v>6</v>
      </c>
      <c r="D21" t="s">
        <v>726</v>
      </c>
      <c r="E21" s="109">
        <v>0</v>
      </c>
      <c r="F21" s="109">
        <v>100</v>
      </c>
      <c r="G21" s="109">
        <v>200</v>
      </c>
      <c r="H21" s="109">
        <v>350</v>
      </c>
      <c r="I21" s="109">
        <v>550</v>
      </c>
      <c r="J21" s="1">
        <v>2</v>
      </c>
      <c r="K21" s="1">
        <v>1</v>
      </c>
    </row>
    <row r="22" spans="1:11" x14ac:dyDescent="0.25">
      <c r="A22" s="1">
        <v>12</v>
      </c>
      <c r="B22" t="s">
        <v>704</v>
      </c>
      <c r="C22" s="1">
        <v>6</v>
      </c>
      <c r="D22" t="s">
        <v>705</v>
      </c>
      <c r="E22" s="109">
        <v>0</v>
      </c>
      <c r="F22" s="109">
        <v>100</v>
      </c>
      <c r="G22" s="109">
        <v>500</v>
      </c>
      <c r="H22" s="109">
        <v>1500</v>
      </c>
      <c r="I22" s="109">
        <v>3000</v>
      </c>
      <c r="J22" s="1">
        <v>2</v>
      </c>
      <c r="K22" s="1">
        <v>0</v>
      </c>
    </row>
    <row r="23" spans="1:11" x14ac:dyDescent="0.25">
      <c r="A23" s="1">
        <v>21</v>
      </c>
      <c r="B23" t="s">
        <v>714</v>
      </c>
      <c r="C23" s="1">
        <v>6</v>
      </c>
      <c r="D23" t="s">
        <v>715</v>
      </c>
      <c r="E23" s="109">
        <v>0</v>
      </c>
      <c r="F23" s="109">
        <v>100</v>
      </c>
      <c r="G23" s="109">
        <v>200</v>
      </c>
      <c r="H23" s="109">
        <v>350</v>
      </c>
      <c r="I23" s="109">
        <v>550</v>
      </c>
      <c r="J23" s="1">
        <v>1</v>
      </c>
      <c r="K23" s="1">
        <v>0</v>
      </c>
    </row>
    <row r="24" spans="1:11" x14ac:dyDescent="0.25">
      <c r="A24" s="1">
        <v>11</v>
      </c>
      <c r="B24" t="s">
        <v>755</v>
      </c>
      <c r="C24" s="1">
        <v>5</v>
      </c>
      <c r="D24" t="s">
        <v>703</v>
      </c>
      <c r="E24" s="109">
        <v>0</v>
      </c>
      <c r="F24" s="109">
        <v>100</v>
      </c>
      <c r="G24" s="109">
        <v>500</v>
      </c>
      <c r="H24" s="109">
        <v>1500</v>
      </c>
      <c r="I24" s="109">
        <v>3000</v>
      </c>
      <c r="J24" s="1">
        <v>2</v>
      </c>
      <c r="K24" s="1">
        <v>0</v>
      </c>
    </row>
    <row r="25" spans="1:11" x14ac:dyDescent="0.25">
      <c r="A25" s="1">
        <v>1006</v>
      </c>
      <c r="B25" t="s">
        <v>773</v>
      </c>
      <c r="C25" s="1">
        <v>2</v>
      </c>
      <c r="D25" t="s">
        <v>731</v>
      </c>
      <c r="E25" s="109">
        <v>0</v>
      </c>
      <c r="F25" s="109">
        <v>100</v>
      </c>
      <c r="G25" s="109">
        <v>200</v>
      </c>
      <c r="H25" s="109">
        <v>350</v>
      </c>
      <c r="I25" s="109">
        <v>550</v>
      </c>
      <c r="J25" s="1">
        <v>1</v>
      </c>
      <c r="K25" s="1">
        <v>1</v>
      </c>
    </row>
    <row r="26" spans="1:11" x14ac:dyDescent="0.25">
      <c r="A26" s="1">
        <v>26</v>
      </c>
      <c r="B26" t="s">
        <v>768</v>
      </c>
      <c r="C26" s="1">
        <v>1</v>
      </c>
      <c r="D26" t="s">
        <v>720</v>
      </c>
      <c r="E26" s="109">
        <v>0</v>
      </c>
      <c r="F26" s="109">
        <v>100</v>
      </c>
      <c r="G26" s="109">
        <v>500</v>
      </c>
      <c r="H26" s="109">
        <v>1500</v>
      </c>
      <c r="I26" s="109">
        <v>3000</v>
      </c>
      <c r="J26" s="1">
        <v>1</v>
      </c>
      <c r="K26" s="1">
        <v>0</v>
      </c>
    </row>
    <row r="27" spans="1:11" x14ac:dyDescent="0.25">
      <c r="A27" s="1">
        <v>10</v>
      </c>
      <c r="B27" t="s">
        <v>754</v>
      </c>
      <c r="C27" s="1">
        <v>5</v>
      </c>
      <c r="D27" t="s">
        <v>702</v>
      </c>
      <c r="E27" s="109">
        <v>0</v>
      </c>
      <c r="F27" s="109">
        <v>100</v>
      </c>
      <c r="G27" s="109">
        <v>500</v>
      </c>
      <c r="H27" s="109">
        <v>1500</v>
      </c>
      <c r="I27" s="109">
        <v>3000</v>
      </c>
      <c r="J27" s="1">
        <v>2</v>
      </c>
      <c r="K27" s="1">
        <v>0</v>
      </c>
    </row>
    <row r="28" spans="1:11" x14ac:dyDescent="0.25">
      <c r="A28" s="1">
        <v>16</v>
      </c>
      <c r="B28" t="s">
        <v>760</v>
      </c>
      <c r="C28" s="1">
        <v>1</v>
      </c>
      <c r="D28" t="s">
        <v>709</v>
      </c>
      <c r="E28" s="109">
        <v>0</v>
      </c>
      <c r="F28" s="109">
        <v>100</v>
      </c>
      <c r="G28" s="109">
        <v>500</v>
      </c>
      <c r="H28" s="109">
        <v>1500</v>
      </c>
      <c r="I28" s="109">
        <v>3000</v>
      </c>
      <c r="J28" s="1">
        <v>1</v>
      </c>
      <c r="K28" s="1">
        <v>0</v>
      </c>
    </row>
    <row r="29" spans="1:11" x14ac:dyDescent="0.25">
      <c r="A29" s="1">
        <v>13</v>
      </c>
      <c r="B29" t="s">
        <v>757</v>
      </c>
      <c r="C29" s="1">
        <v>6</v>
      </c>
      <c r="D29" t="s">
        <v>706</v>
      </c>
      <c r="E29" s="109">
        <v>0</v>
      </c>
      <c r="F29" s="109">
        <v>100</v>
      </c>
      <c r="G29" s="109">
        <v>500</v>
      </c>
      <c r="H29" s="109">
        <v>1500</v>
      </c>
      <c r="I29" s="109">
        <v>3000</v>
      </c>
      <c r="J29" s="1">
        <v>2</v>
      </c>
      <c r="K29" s="1">
        <v>0</v>
      </c>
    </row>
    <row r="30" spans="1:11" x14ac:dyDescent="0.25">
      <c r="A30" s="1">
        <v>1001</v>
      </c>
      <c r="B30" t="s">
        <v>320</v>
      </c>
      <c r="C30" s="1">
        <v>4</v>
      </c>
      <c r="D30" t="s">
        <v>724</v>
      </c>
      <c r="E30" s="109">
        <v>0</v>
      </c>
      <c r="F30" s="109">
        <v>100</v>
      </c>
      <c r="G30" s="109">
        <v>200</v>
      </c>
      <c r="H30" s="109">
        <v>350</v>
      </c>
      <c r="I30" s="109">
        <v>550</v>
      </c>
      <c r="J30" s="1">
        <v>1</v>
      </c>
      <c r="K30" s="1">
        <v>1</v>
      </c>
    </row>
    <row r="31" spans="1:11" x14ac:dyDescent="0.25">
      <c r="A31" s="1">
        <v>1005</v>
      </c>
      <c r="B31" t="s">
        <v>774</v>
      </c>
      <c r="C31" s="1">
        <v>2</v>
      </c>
      <c r="D31" t="s">
        <v>730</v>
      </c>
      <c r="E31" s="109">
        <v>0</v>
      </c>
      <c r="F31" s="109">
        <v>100</v>
      </c>
      <c r="G31" s="109">
        <v>200</v>
      </c>
      <c r="H31" s="109">
        <v>350</v>
      </c>
      <c r="I31" s="109">
        <v>550</v>
      </c>
      <c r="J31" s="1">
        <v>1</v>
      </c>
      <c r="K31" s="1">
        <v>1</v>
      </c>
    </row>
    <row r="32" spans="1:11" x14ac:dyDescent="0.25">
      <c r="A32" s="1">
        <v>4</v>
      </c>
      <c r="B32" t="s">
        <v>748</v>
      </c>
      <c r="C32" s="1">
        <v>3</v>
      </c>
      <c r="D32" t="s">
        <v>696</v>
      </c>
      <c r="E32" s="109">
        <v>0</v>
      </c>
      <c r="F32" s="109">
        <v>100</v>
      </c>
      <c r="G32" s="109">
        <v>500</v>
      </c>
      <c r="H32" s="109">
        <v>1500</v>
      </c>
      <c r="I32" s="109">
        <v>3000</v>
      </c>
      <c r="J32" s="1">
        <v>1</v>
      </c>
      <c r="K32" s="1">
        <v>0</v>
      </c>
    </row>
    <row r="33" spans="1:11" x14ac:dyDescent="0.25">
      <c r="A33" s="1">
        <v>7</v>
      </c>
      <c r="B33" t="s">
        <v>751</v>
      </c>
      <c r="C33" s="1">
        <v>4</v>
      </c>
      <c r="D33" t="s">
        <v>699</v>
      </c>
      <c r="E33" s="109">
        <v>0</v>
      </c>
      <c r="F33" s="109">
        <v>100</v>
      </c>
      <c r="G33" s="109">
        <v>500</v>
      </c>
      <c r="H33" s="109">
        <v>1500</v>
      </c>
      <c r="I33" s="109">
        <v>3000</v>
      </c>
      <c r="J33" s="1">
        <v>1</v>
      </c>
      <c r="K33" s="1">
        <v>0</v>
      </c>
    </row>
    <row r="34" spans="1:11" x14ac:dyDescent="0.25">
      <c r="A34" s="1">
        <v>1004</v>
      </c>
      <c r="B34" t="s">
        <v>772</v>
      </c>
      <c r="C34" s="1">
        <v>6</v>
      </c>
      <c r="D34" t="s">
        <v>729</v>
      </c>
      <c r="E34" s="109">
        <v>0</v>
      </c>
      <c r="F34" s="109">
        <v>100</v>
      </c>
      <c r="G34" s="109">
        <v>200</v>
      </c>
      <c r="H34" s="109">
        <v>350</v>
      </c>
      <c r="I34" s="109">
        <v>550</v>
      </c>
      <c r="J34" s="1">
        <v>2</v>
      </c>
      <c r="K34" s="1">
        <v>1</v>
      </c>
    </row>
    <row r="35" spans="1:11" x14ac:dyDescent="0.25">
      <c r="A35" s="1">
        <v>6</v>
      </c>
      <c r="B35" t="s">
        <v>750</v>
      </c>
      <c r="C35" s="1">
        <v>3</v>
      </c>
      <c r="D35" t="s">
        <v>698</v>
      </c>
      <c r="E35" s="109">
        <v>0</v>
      </c>
      <c r="F35" s="109">
        <v>100</v>
      </c>
      <c r="G35" s="109">
        <v>500</v>
      </c>
      <c r="H35" s="109">
        <v>1500</v>
      </c>
      <c r="I35" s="109">
        <v>3000</v>
      </c>
      <c r="J35" s="1">
        <v>1</v>
      </c>
      <c r="K35" s="1">
        <v>0</v>
      </c>
    </row>
    <row r="36" spans="1:11" x14ac:dyDescent="0.25">
      <c r="A36" s="1">
        <v>25</v>
      </c>
      <c r="B36" t="s">
        <v>767</v>
      </c>
      <c r="C36" s="1">
        <v>3</v>
      </c>
      <c r="D36" t="s">
        <v>719</v>
      </c>
      <c r="E36" s="109">
        <v>0</v>
      </c>
      <c r="F36" s="109">
        <v>100</v>
      </c>
      <c r="G36" s="109">
        <v>500</v>
      </c>
      <c r="H36" s="109">
        <v>1500</v>
      </c>
      <c r="I36" s="109">
        <v>3000</v>
      </c>
      <c r="J36" s="1">
        <v>1</v>
      </c>
      <c r="K36" s="1">
        <v>0</v>
      </c>
    </row>
    <row r="37" spans="1:11" x14ac:dyDescent="0.25">
      <c r="A37" s="1">
        <v>1</v>
      </c>
      <c r="B37" t="s">
        <v>756</v>
      </c>
      <c r="C37" s="1">
        <v>2</v>
      </c>
      <c r="D37" t="s">
        <v>693</v>
      </c>
      <c r="E37" s="109">
        <v>0</v>
      </c>
      <c r="F37" s="109">
        <v>100</v>
      </c>
      <c r="G37" s="109">
        <v>500</v>
      </c>
      <c r="H37" s="109">
        <v>1500</v>
      </c>
      <c r="I37" s="109">
        <v>3000</v>
      </c>
      <c r="J37" s="1">
        <v>1</v>
      </c>
      <c r="K37" s="1">
        <v>0</v>
      </c>
    </row>
  </sheetData>
  <autoFilter ref="A1:K37" xr:uid="{E8DDA3D5-6745-4184-9D68-AAC802051D8B}">
    <sortState ref="A2:K37">
      <sortCondition ref="B1:B37"/>
    </sortState>
  </autoFilter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689</v>
      </c>
      <c r="B1" s="43" t="s">
        <v>809</v>
      </c>
      <c r="C1" s="43" t="s">
        <v>810</v>
      </c>
    </row>
    <row r="2" spans="1:3" x14ac:dyDescent="0.25">
      <c r="A2" t="s">
        <v>779</v>
      </c>
      <c r="B2" s="1">
        <v>910103</v>
      </c>
      <c r="C2" t="s">
        <v>780</v>
      </c>
    </row>
    <row r="3" spans="1:3" x14ac:dyDescent="0.25">
      <c r="A3" t="s">
        <v>781</v>
      </c>
      <c r="B3" s="1">
        <v>910104</v>
      </c>
      <c r="C3" t="s">
        <v>782</v>
      </c>
    </row>
    <row r="4" spans="1:3" x14ac:dyDescent="0.25">
      <c r="A4" t="s">
        <v>799</v>
      </c>
      <c r="B4" s="1">
        <v>910113</v>
      </c>
      <c r="C4" t="s">
        <v>800</v>
      </c>
    </row>
    <row r="5" spans="1:3" x14ac:dyDescent="0.25">
      <c r="A5" t="s">
        <v>787</v>
      </c>
      <c r="B5" s="1">
        <v>910107</v>
      </c>
      <c r="C5" t="s">
        <v>788</v>
      </c>
    </row>
    <row r="6" spans="1:3" x14ac:dyDescent="0.25">
      <c r="A6" t="s">
        <v>789</v>
      </c>
      <c r="B6" s="1">
        <v>910108</v>
      </c>
      <c r="C6" t="s">
        <v>790</v>
      </c>
    </row>
    <row r="7" spans="1:3" x14ac:dyDescent="0.25">
      <c r="A7" t="s">
        <v>797</v>
      </c>
      <c r="B7" s="1">
        <v>910112</v>
      </c>
      <c r="C7" t="s">
        <v>798</v>
      </c>
    </row>
    <row r="8" spans="1:3" x14ac:dyDescent="0.25">
      <c r="A8" t="s">
        <v>795</v>
      </c>
      <c r="B8" s="1">
        <v>910111</v>
      </c>
      <c r="C8" t="s">
        <v>796</v>
      </c>
    </row>
    <row r="9" spans="1:3" x14ac:dyDescent="0.25">
      <c r="A9" t="s">
        <v>791</v>
      </c>
      <c r="B9" s="1">
        <v>910109</v>
      </c>
      <c r="C9" t="s">
        <v>792</v>
      </c>
    </row>
    <row r="10" spans="1:3" x14ac:dyDescent="0.25">
      <c r="A10" t="s">
        <v>793</v>
      </c>
      <c r="B10" s="1">
        <v>910110</v>
      </c>
      <c r="C10" t="s">
        <v>794</v>
      </c>
    </row>
    <row r="11" spans="1:3" x14ac:dyDescent="0.25">
      <c r="A11" t="s">
        <v>775</v>
      </c>
      <c r="B11" s="1">
        <v>910101</v>
      </c>
      <c r="C11" t="s">
        <v>776</v>
      </c>
    </row>
    <row r="12" spans="1:3" x14ac:dyDescent="0.25">
      <c r="A12" t="s">
        <v>777</v>
      </c>
      <c r="B12" s="1">
        <v>910102</v>
      </c>
      <c r="C12" t="s">
        <v>778</v>
      </c>
    </row>
    <row r="13" spans="1:3" x14ac:dyDescent="0.25">
      <c r="A13" t="s">
        <v>783</v>
      </c>
      <c r="B13" s="1">
        <v>910105</v>
      </c>
      <c r="C13" t="s">
        <v>784</v>
      </c>
    </row>
    <row r="14" spans="1:3" x14ac:dyDescent="0.25">
      <c r="A14" t="s">
        <v>785</v>
      </c>
      <c r="B14" s="1">
        <v>910106</v>
      </c>
      <c r="C14" t="s">
        <v>786</v>
      </c>
    </row>
    <row r="15" spans="1:3" x14ac:dyDescent="0.25">
      <c r="A15" t="s">
        <v>807</v>
      </c>
      <c r="B15" s="1">
        <v>910117</v>
      </c>
      <c r="C15" t="s">
        <v>808</v>
      </c>
    </row>
    <row r="16" spans="1:3" x14ac:dyDescent="0.25">
      <c r="A16" t="s">
        <v>805</v>
      </c>
      <c r="B16" s="1">
        <v>910116</v>
      </c>
      <c r="C16" t="s">
        <v>806</v>
      </c>
    </row>
    <row r="17" spans="1:3" x14ac:dyDescent="0.25">
      <c r="A17" t="s">
        <v>801</v>
      </c>
      <c r="B17" s="1">
        <v>910114</v>
      </c>
      <c r="C17" t="s">
        <v>802</v>
      </c>
    </row>
    <row r="18" spans="1:3" x14ac:dyDescent="0.25">
      <c r="A18" t="s">
        <v>803</v>
      </c>
      <c r="B18" s="1">
        <v>910115</v>
      </c>
      <c r="C18" t="s">
        <v>804</v>
      </c>
    </row>
    <row r="19" spans="1:3" x14ac:dyDescent="0.25">
      <c r="A19" t="s">
        <v>769</v>
      </c>
      <c r="B19" s="1" t="s">
        <v>1161</v>
      </c>
      <c r="C19" t="s">
        <v>1162</v>
      </c>
    </row>
    <row r="20" spans="1:3" x14ac:dyDescent="0.25">
      <c r="A20" t="s">
        <v>765</v>
      </c>
      <c r="B20" s="1" t="s">
        <v>1160</v>
      </c>
      <c r="C20" t="s">
        <v>1162</v>
      </c>
    </row>
    <row r="21" spans="1:3" x14ac:dyDescent="0.25">
      <c r="A21" t="s">
        <v>1152</v>
      </c>
      <c r="B21" s="1" t="s">
        <v>1155</v>
      </c>
      <c r="C21" t="s">
        <v>1162</v>
      </c>
    </row>
    <row r="22" spans="1:3" x14ac:dyDescent="0.25">
      <c r="A22" t="s">
        <v>763</v>
      </c>
      <c r="B22" s="1" t="s">
        <v>1157</v>
      </c>
      <c r="C22" t="s">
        <v>1162</v>
      </c>
    </row>
    <row r="23" spans="1:3" x14ac:dyDescent="0.25">
      <c r="A23" t="s">
        <v>764</v>
      </c>
      <c r="B23" s="1" t="s">
        <v>1158</v>
      </c>
      <c r="C23" t="s">
        <v>1162</v>
      </c>
    </row>
    <row r="24" spans="1:3" x14ac:dyDescent="0.25">
      <c r="A24" t="s">
        <v>762</v>
      </c>
      <c r="B24" s="1" t="s">
        <v>1156</v>
      </c>
      <c r="C24" t="s">
        <v>1162</v>
      </c>
    </row>
    <row r="25" spans="1:3" x14ac:dyDescent="0.25">
      <c r="A25" t="s">
        <v>1151</v>
      </c>
      <c r="B25" s="1" t="s">
        <v>1154</v>
      </c>
      <c r="C25" t="s">
        <v>1162</v>
      </c>
    </row>
    <row r="26" spans="1:3" x14ac:dyDescent="0.25">
      <c r="A26" t="s">
        <v>1153</v>
      </c>
      <c r="B26" s="1" t="s">
        <v>1159</v>
      </c>
      <c r="C26" t="s">
        <v>1162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0"/>
  <sheetViews>
    <sheetView workbookViewId="0"/>
  </sheetViews>
  <sheetFormatPr defaultRowHeight="15" x14ac:dyDescent="0.25"/>
  <cols>
    <col min="1" max="1" width="12.28515625" bestFit="1" customWidth="1"/>
    <col min="5" max="5" width="12.28515625" bestFit="1" customWidth="1"/>
  </cols>
  <sheetData>
    <row r="1" spans="1:7" x14ac:dyDescent="0.25">
      <c r="A1" s="43" t="s">
        <v>907</v>
      </c>
      <c r="B1" s="43" t="s">
        <v>1107</v>
      </c>
      <c r="C1" s="43" t="s">
        <v>1108</v>
      </c>
      <c r="E1" s="43"/>
      <c r="F1" s="43"/>
      <c r="G1" s="43"/>
    </row>
    <row r="2" spans="1:7" x14ac:dyDescent="0.25">
      <c r="A2" s="9" t="s">
        <v>755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758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772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749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1109</v>
      </c>
      <c r="B6" s="1">
        <v>1701</v>
      </c>
      <c r="C6" s="1">
        <v>17</v>
      </c>
      <c r="E6" s="9"/>
      <c r="F6" s="1"/>
      <c r="G6" s="1"/>
    </row>
    <row r="7" spans="1:7" x14ac:dyDescent="0.25">
      <c r="A7" s="9" t="s">
        <v>1110</v>
      </c>
      <c r="B7" s="1">
        <v>1702</v>
      </c>
      <c r="C7" s="1">
        <v>17</v>
      </c>
      <c r="E7" s="9"/>
      <c r="F7" s="1"/>
      <c r="G7" s="1"/>
    </row>
    <row r="8" spans="1:7" x14ac:dyDescent="0.25">
      <c r="A8" s="9" t="s">
        <v>1111</v>
      </c>
      <c r="B8" s="1">
        <v>1703</v>
      </c>
      <c r="C8" s="1">
        <v>17</v>
      </c>
      <c r="E8" s="9"/>
      <c r="F8" s="1"/>
      <c r="G8" s="1"/>
    </row>
    <row r="9" spans="1:7" x14ac:dyDescent="0.25">
      <c r="A9" s="9" t="s">
        <v>769</v>
      </c>
      <c r="B9" s="1">
        <v>1801</v>
      </c>
      <c r="C9" s="1">
        <v>18</v>
      </c>
    </row>
    <row r="10" spans="1:7" x14ac:dyDescent="0.25">
      <c r="A10" s="9"/>
      <c r="C10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W208"/>
  <sheetViews>
    <sheetView workbookViewId="0">
      <pane ySplit="1" topLeftCell="A186" activePane="bottomLeft" state="frozen"/>
      <selection pane="bottomLeft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2" x14ac:dyDescent="0.25">
      <c r="A1" s="43" t="s">
        <v>25</v>
      </c>
      <c r="B1" s="43" t="s">
        <v>425</v>
      </c>
      <c r="C1" s="43" t="s">
        <v>297</v>
      </c>
      <c r="D1" s="43" t="s">
        <v>415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416</v>
      </c>
      <c r="J1" s="43" t="s">
        <v>40</v>
      </c>
      <c r="K1" s="43" t="s">
        <v>417</v>
      </c>
      <c r="L1" s="43" t="s">
        <v>418</v>
      </c>
      <c r="M1" s="43" t="s">
        <v>298</v>
      </c>
      <c r="N1" s="43" t="s">
        <v>381</v>
      </c>
      <c r="O1" s="43" t="s">
        <v>419</v>
      </c>
      <c r="P1" s="43" t="s">
        <v>420</v>
      </c>
      <c r="Q1" s="43" t="s">
        <v>421</v>
      </c>
      <c r="R1" s="43" t="s">
        <v>422</v>
      </c>
      <c r="S1" s="43" t="s">
        <v>423</v>
      </c>
      <c r="T1" s="43" t="s">
        <v>424</v>
      </c>
      <c r="U1" s="43" t="s">
        <v>426</v>
      </c>
      <c r="V1" s="43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811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842</v>
      </c>
      <c r="C38" s="1" t="s">
        <v>811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876</v>
      </c>
      <c r="C39" s="1" t="s">
        <v>811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847</v>
      </c>
      <c r="C40" s="1" t="s">
        <v>811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817</v>
      </c>
      <c r="C59" s="1" t="s">
        <v>811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818</v>
      </c>
      <c r="C60" s="1" t="s">
        <v>811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819</v>
      </c>
      <c r="C61" s="1" t="s">
        <v>811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846</v>
      </c>
      <c r="C62" s="1" t="s">
        <v>811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851</v>
      </c>
      <c r="C67" s="1" t="s">
        <v>811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848</v>
      </c>
      <c r="C68" s="1" t="s">
        <v>811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830</v>
      </c>
      <c r="C69" s="1" t="s">
        <v>811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811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811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811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811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811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859</v>
      </c>
      <c r="C75" s="1" t="s">
        <v>811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988</v>
      </c>
      <c r="C76" s="1" t="s">
        <v>811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811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811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811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811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987</v>
      </c>
      <c r="C81" s="1" t="s">
        <v>811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811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911</v>
      </c>
      <c r="C83" s="1" t="s">
        <v>811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811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811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831</v>
      </c>
      <c r="C86" s="1" t="s">
        <v>811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832</v>
      </c>
      <c r="C87" s="1" t="s">
        <v>811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820</v>
      </c>
      <c r="C88" s="1" t="s">
        <v>811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811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862</v>
      </c>
      <c r="C90" s="1" t="s">
        <v>811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989</v>
      </c>
      <c r="C91" s="1" t="s">
        <v>811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811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811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853</v>
      </c>
      <c r="C94" s="1" t="s">
        <v>811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973</v>
      </c>
      <c r="C95" s="1" t="s">
        <v>811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811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990</v>
      </c>
      <c r="C97" s="1" t="s">
        <v>811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811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811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811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811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811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975</v>
      </c>
      <c r="C103" s="1" t="s">
        <v>811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878</v>
      </c>
      <c r="C104" s="1" t="s">
        <v>811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879</v>
      </c>
      <c r="C105" s="1" t="s">
        <v>811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881</v>
      </c>
      <c r="C106" s="1" t="s">
        <v>811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882</v>
      </c>
      <c r="C107" s="1" t="s">
        <v>811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994</v>
      </c>
      <c r="C108" s="1" t="s">
        <v>811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877</v>
      </c>
      <c r="C109" s="1" t="s">
        <v>811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880</v>
      </c>
      <c r="C110" s="1" t="s">
        <v>811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883</v>
      </c>
      <c r="C111" s="1" t="s">
        <v>811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854</v>
      </c>
      <c r="C112" s="1" t="s">
        <v>811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836</v>
      </c>
      <c r="C113" s="1" t="s">
        <v>811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849</v>
      </c>
      <c r="C114" s="1" t="s">
        <v>811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855</v>
      </c>
      <c r="C115" s="1" t="s">
        <v>811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856</v>
      </c>
      <c r="C116" s="1" t="s">
        <v>811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811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839</v>
      </c>
      <c r="C118" s="1" t="s">
        <v>811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863</v>
      </c>
      <c r="C119" s="1" t="s">
        <v>811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864</v>
      </c>
      <c r="C120" s="1" t="s">
        <v>811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811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811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811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986</v>
      </c>
      <c r="C124" s="1" t="s">
        <v>811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991</v>
      </c>
      <c r="C125" s="1" t="s">
        <v>811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811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821</v>
      </c>
      <c r="C127" s="1" t="s">
        <v>811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822</v>
      </c>
      <c r="C128" s="1" t="s">
        <v>811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811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865</v>
      </c>
      <c r="C130" s="1" t="s">
        <v>811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811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857</v>
      </c>
      <c r="C132" s="1" t="s">
        <v>811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827</v>
      </c>
      <c r="C133" s="1" t="s">
        <v>811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866</v>
      </c>
      <c r="C134" s="1" t="s">
        <v>811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873</v>
      </c>
      <c r="C135" s="1" t="s">
        <v>811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811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811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858</v>
      </c>
      <c r="C138" s="1" t="s">
        <v>811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811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844</v>
      </c>
      <c r="C140" s="1" t="s">
        <v>811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840</v>
      </c>
      <c r="C141" s="1" t="s">
        <v>811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811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981</v>
      </c>
      <c r="C143" s="1" t="s">
        <v>811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829</v>
      </c>
      <c r="C144" s="1" t="s">
        <v>811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811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811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811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811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837</v>
      </c>
      <c r="C149" s="1" t="s">
        <v>811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811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811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867</v>
      </c>
      <c r="C152" s="1" t="s">
        <v>811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811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811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868</v>
      </c>
      <c r="C155" s="1" t="s">
        <v>811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869</v>
      </c>
      <c r="C156" s="1" t="s">
        <v>811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977</v>
      </c>
      <c r="C157" s="1" t="s">
        <v>811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978</v>
      </c>
      <c r="C158" s="1" t="s">
        <v>811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970</v>
      </c>
      <c r="C159" s="1" t="s">
        <v>811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852</v>
      </c>
      <c r="C160" s="1" t="s">
        <v>811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870</v>
      </c>
      <c r="C161" s="1" t="s">
        <v>811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811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871</v>
      </c>
      <c r="C163" s="1" t="s">
        <v>811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811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811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1083</v>
      </c>
      <c r="C166" s="1" t="s">
        <v>811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1081</v>
      </c>
      <c r="C167" s="1" t="s">
        <v>811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1082</v>
      </c>
      <c r="C168" s="1" t="s">
        <v>811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1084</v>
      </c>
      <c r="C169" s="1" t="s">
        <v>811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1085</v>
      </c>
      <c r="C170" s="1" t="s">
        <v>811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1086</v>
      </c>
      <c r="C171" s="1" t="s">
        <v>811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976</v>
      </c>
      <c r="C172" s="1" t="s">
        <v>811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841</v>
      </c>
      <c r="C173" s="1" t="s">
        <v>811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979</v>
      </c>
      <c r="C174" s="1" t="s">
        <v>811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824</v>
      </c>
      <c r="C175" s="1" t="s">
        <v>811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811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3" x14ac:dyDescent="0.25">
      <c r="A177" s="1">
        <v>210</v>
      </c>
      <c r="B177" t="s">
        <v>872</v>
      </c>
      <c r="C177" s="1" t="s">
        <v>811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39" t="s">
        <v>623</v>
      </c>
    </row>
    <row r="178" spans="1:23" x14ac:dyDescent="0.25">
      <c r="A178" s="1">
        <v>211</v>
      </c>
      <c r="B178" t="s">
        <v>834</v>
      </c>
      <c r="C178" s="1" t="s">
        <v>811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39" t="s">
        <v>624</v>
      </c>
    </row>
    <row r="179" spans="1:23" x14ac:dyDescent="0.25">
      <c r="A179" s="1">
        <v>212</v>
      </c>
      <c r="B179" t="s">
        <v>974</v>
      </c>
      <c r="C179" s="1" t="s">
        <v>811</v>
      </c>
      <c r="D179" s="1">
        <v>2</v>
      </c>
      <c r="E179" s="1">
        <v>5</v>
      </c>
      <c r="F179" s="1" t="s">
        <v>439</v>
      </c>
      <c r="G179" s="1" t="s">
        <v>432</v>
      </c>
      <c r="H179" s="1" t="s">
        <v>432</v>
      </c>
      <c r="I179" s="1" t="s">
        <v>432</v>
      </c>
      <c r="J179" s="1" t="s">
        <v>432</v>
      </c>
      <c r="K179" s="1" t="s">
        <v>432</v>
      </c>
      <c r="L179" s="1" t="s">
        <v>432</v>
      </c>
      <c r="M179" s="1" t="s">
        <v>456</v>
      </c>
      <c r="N179" s="1" t="s">
        <v>432</v>
      </c>
      <c r="O179" s="1" t="s">
        <v>432</v>
      </c>
      <c r="P179" s="1" t="s">
        <v>432</v>
      </c>
      <c r="Q179" s="1" t="s">
        <v>432</v>
      </c>
      <c r="R179" s="1" t="s">
        <v>432</v>
      </c>
      <c r="S179" s="1" t="s">
        <v>432</v>
      </c>
      <c r="T179" s="1">
        <v>0</v>
      </c>
      <c r="U179" s="1">
        <v>3300</v>
      </c>
      <c r="V179" s="139" t="s">
        <v>1046</v>
      </c>
    </row>
    <row r="180" spans="1:23" x14ac:dyDescent="0.25">
      <c r="A180" s="1">
        <v>213</v>
      </c>
      <c r="B180" t="s">
        <v>982</v>
      </c>
      <c r="C180" s="1" t="s">
        <v>811</v>
      </c>
      <c r="D180" s="1">
        <v>3</v>
      </c>
      <c r="E180" s="1">
        <v>10</v>
      </c>
      <c r="F180" s="1" t="s">
        <v>432</v>
      </c>
      <c r="G180" s="1" t="s">
        <v>432</v>
      </c>
      <c r="H180" s="1" t="s">
        <v>489</v>
      </c>
      <c r="I180" s="1" t="s">
        <v>432</v>
      </c>
      <c r="J180" s="1" t="s">
        <v>432</v>
      </c>
      <c r="K180" s="1" t="s">
        <v>432</v>
      </c>
      <c r="L180" s="1" t="s">
        <v>432</v>
      </c>
      <c r="M180" s="1" t="s">
        <v>432</v>
      </c>
      <c r="N180" s="1" t="s">
        <v>439</v>
      </c>
      <c r="O180" s="1" t="s">
        <v>432</v>
      </c>
      <c r="P180" s="1" t="s">
        <v>432</v>
      </c>
      <c r="Q180" s="1" t="s">
        <v>432</v>
      </c>
      <c r="R180" s="1" t="s">
        <v>432</v>
      </c>
      <c r="S180" s="1" t="s">
        <v>432</v>
      </c>
      <c r="T180" s="1">
        <v>0</v>
      </c>
      <c r="U180" s="1">
        <v>3120</v>
      </c>
      <c r="V180" s="139" t="s">
        <v>1047</v>
      </c>
    </row>
    <row r="181" spans="1:23" x14ac:dyDescent="0.25">
      <c r="A181" s="1">
        <v>214</v>
      </c>
      <c r="B181" t="s">
        <v>971</v>
      </c>
      <c r="C181" s="1" t="s">
        <v>811</v>
      </c>
      <c r="D181" s="1">
        <v>3</v>
      </c>
      <c r="E181" s="1">
        <v>9</v>
      </c>
      <c r="F181" s="1" t="s">
        <v>439</v>
      </c>
      <c r="G181" s="1" t="s">
        <v>432</v>
      </c>
      <c r="H181" s="1" t="s">
        <v>467</v>
      </c>
      <c r="I181" s="1" t="s">
        <v>432</v>
      </c>
      <c r="J181" s="1" t="s">
        <v>432</v>
      </c>
      <c r="K181" s="1" t="s">
        <v>432</v>
      </c>
      <c r="L181" s="1" t="s">
        <v>432</v>
      </c>
      <c r="M181" s="1" t="s">
        <v>432</v>
      </c>
      <c r="N181" s="1" t="s">
        <v>432</v>
      </c>
      <c r="O181" s="1" t="s">
        <v>432</v>
      </c>
      <c r="P181" s="1" t="s">
        <v>432</v>
      </c>
      <c r="Q181" s="1" t="s">
        <v>432</v>
      </c>
      <c r="R181" s="1" t="s">
        <v>432</v>
      </c>
      <c r="S181" s="1" t="s">
        <v>432</v>
      </c>
      <c r="T181" s="1">
        <v>0</v>
      </c>
      <c r="U181" s="1">
        <v>3600</v>
      </c>
      <c r="V181" s="139" t="s">
        <v>1048</v>
      </c>
    </row>
    <row r="182" spans="1:23" x14ac:dyDescent="0.25">
      <c r="A182" s="1">
        <v>215</v>
      </c>
      <c r="B182" t="s">
        <v>980</v>
      </c>
      <c r="C182" s="1" t="s">
        <v>811</v>
      </c>
      <c r="D182" s="1">
        <v>2</v>
      </c>
      <c r="E182" s="1">
        <v>5</v>
      </c>
      <c r="F182" s="1" t="s">
        <v>439</v>
      </c>
      <c r="G182" s="1" t="s">
        <v>432</v>
      </c>
      <c r="H182" s="1" t="s">
        <v>432</v>
      </c>
      <c r="I182" s="1" t="s">
        <v>432</v>
      </c>
      <c r="J182" s="1" t="s">
        <v>432</v>
      </c>
      <c r="K182" s="1" t="s">
        <v>432</v>
      </c>
      <c r="L182" s="1" t="s">
        <v>432</v>
      </c>
      <c r="M182" s="1" t="s">
        <v>456</v>
      </c>
      <c r="N182" s="1" t="s">
        <v>432</v>
      </c>
      <c r="O182" s="1" t="s">
        <v>432</v>
      </c>
      <c r="P182" s="1" t="s">
        <v>432</v>
      </c>
      <c r="Q182" s="1" t="s">
        <v>432</v>
      </c>
      <c r="R182" s="1" t="s">
        <v>432</v>
      </c>
      <c r="S182" s="1" t="s">
        <v>432</v>
      </c>
      <c r="T182" s="1">
        <v>0</v>
      </c>
      <c r="U182" s="1">
        <v>3300</v>
      </c>
      <c r="V182" s="139" t="s">
        <v>1049</v>
      </c>
    </row>
    <row r="183" spans="1:23" x14ac:dyDescent="0.25">
      <c r="A183" s="1">
        <v>216</v>
      </c>
      <c r="B183" t="s">
        <v>930</v>
      </c>
      <c r="C183" s="1" t="s">
        <v>811</v>
      </c>
      <c r="D183" s="1">
        <v>2</v>
      </c>
      <c r="E183" s="1">
        <v>7</v>
      </c>
      <c r="F183" s="1" t="s">
        <v>462</v>
      </c>
      <c r="G183" s="1" t="s">
        <v>432</v>
      </c>
      <c r="H183" s="1" t="s">
        <v>432</v>
      </c>
      <c r="I183" s="1" t="s">
        <v>432</v>
      </c>
      <c r="J183" s="1" t="s">
        <v>432</v>
      </c>
      <c r="K183" s="1" t="s">
        <v>432</v>
      </c>
      <c r="L183" s="1" t="s">
        <v>489</v>
      </c>
      <c r="M183" s="1" t="s">
        <v>432</v>
      </c>
      <c r="N183" s="1" t="s">
        <v>432</v>
      </c>
      <c r="O183" s="1" t="s">
        <v>432</v>
      </c>
      <c r="P183" s="1" t="s">
        <v>432</v>
      </c>
      <c r="Q183" s="1" t="s">
        <v>432</v>
      </c>
      <c r="R183" s="1" t="s">
        <v>432</v>
      </c>
      <c r="S183" s="1" t="s">
        <v>432</v>
      </c>
      <c r="T183" s="1">
        <v>0</v>
      </c>
      <c r="U183" s="1">
        <v>3240</v>
      </c>
      <c r="V183" s="139" t="s">
        <v>1050</v>
      </c>
    </row>
    <row r="184" spans="1:23" x14ac:dyDescent="0.25">
      <c r="A184" s="1">
        <v>217</v>
      </c>
      <c r="B184" t="s">
        <v>103</v>
      </c>
      <c r="C184" s="1" t="s">
        <v>811</v>
      </c>
      <c r="D184" s="1">
        <v>1</v>
      </c>
      <c r="E184" s="1">
        <v>1</v>
      </c>
      <c r="F184" s="1" t="s">
        <v>468</v>
      </c>
      <c r="G184" s="1" t="s">
        <v>432</v>
      </c>
      <c r="H184" s="1" t="s">
        <v>432</v>
      </c>
      <c r="I184" s="1" t="s">
        <v>432</v>
      </c>
      <c r="J184" s="1" t="s">
        <v>432</v>
      </c>
      <c r="K184" s="1" t="s">
        <v>432</v>
      </c>
      <c r="L184" s="1" t="s">
        <v>500</v>
      </c>
      <c r="M184" s="1" t="s">
        <v>432</v>
      </c>
      <c r="N184" s="1" t="s">
        <v>432</v>
      </c>
      <c r="O184" s="1" t="s">
        <v>432</v>
      </c>
      <c r="P184" s="1" t="s">
        <v>432</v>
      </c>
      <c r="Q184" s="1" t="s">
        <v>432</v>
      </c>
      <c r="R184" s="1" t="s">
        <v>432</v>
      </c>
      <c r="S184" s="1" t="s">
        <v>432</v>
      </c>
      <c r="T184" s="1">
        <v>0</v>
      </c>
      <c r="U184" s="1">
        <v>3600</v>
      </c>
      <c r="V184" s="139" t="s">
        <v>1045</v>
      </c>
    </row>
    <row r="185" spans="1:23" x14ac:dyDescent="0.25">
      <c r="A185" s="1">
        <v>218</v>
      </c>
      <c r="B185" t="s">
        <v>140</v>
      </c>
      <c r="C185" s="1">
        <v>5</v>
      </c>
      <c r="D185" s="1">
        <v>3</v>
      </c>
      <c r="E185" s="1">
        <v>10</v>
      </c>
      <c r="F185" s="1" t="s">
        <v>432</v>
      </c>
      <c r="G185" s="1" t="s">
        <v>432</v>
      </c>
      <c r="H185" s="1" t="s">
        <v>593</v>
      </c>
      <c r="I185" s="1" t="s">
        <v>432</v>
      </c>
      <c r="J185" s="1" t="s">
        <v>432</v>
      </c>
      <c r="K185" s="1" t="s">
        <v>432</v>
      </c>
      <c r="L185" s="1" t="s">
        <v>432</v>
      </c>
      <c r="M185" s="1" t="s">
        <v>432</v>
      </c>
      <c r="N185" s="1" t="s">
        <v>432</v>
      </c>
      <c r="O185" s="1" t="s">
        <v>432</v>
      </c>
      <c r="P185" s="1" t="s">
        <v>432</v>
      </c>
      <c r="Q185" s="1" t="s">
        <v>432</v>
      </c>
      <c r="R185" s="1" t="s">
        <v>432</v>
      </c>
      <c r="S185" s="1" t="s">
        <v>432</v>
      </c>
      <c r="T185" s="1">
        <v>0</v>
      </c>
      <c r="U185" s="1">
        <v>3120</v>
      </c>
      <c r="V185" s="139" t="s">
        <v>1058</v>
      </c>
      <c r="W185">
        <v>0</v>
      </c>
    </row>
    <row r="186" spans="1:23" x14ac:dyDescent="0.25">
      <c r="A186" s="1">
        <v>219</v>
      </c>
      <c r="B186" t="s">
        <v>1068</v>
      </c>
      <c r="C186" s="1">
        <v>5</v>
      </c>
      <c r="D186" s="1">
        <v>1</v>
      </c>
      <c r="E186" s="1">
        <v>13</v>
      </c>
      <c r="F186" s="1" t="s">
        <v>435</v>
      </c>
      <c r="G186" s="1" t="s">
        <v>432</v>
      </c>
      <c r="H186" s="1" t="s">
        <v>445</v>
      </c>
      <c r="I186" s="1" t="s">
        <v>432</v>
      </c>
      <c r="J186" s="1" t="s">
        <v>432</v>
      </c>
      <c r="K186" s="1" t="s">
        <v>432</v>
      </c>
      <c r="L186" s="1" t="s">
        <v>432</v>
      </c>
      <c r="M186" s="1" t="s">
        <v>432</v>
      </c>
      <c r="N186" s="1" t="s">
        <v>432</v>
      </c>
      <c r="O186" s="1" t="s">
        <v>432</v>
      </c>
      <c r="P186" s="1" t="s">
        <v>432</v>
      </c>
      <c r="Q186" s="1" t="s">
        <v>432</v>
      </c>
      <c r="R186" s="1" t="s">
        <v>432</v>
      </c>
      <c r="S186" s="1" t="s">
        <v>432</v>
      </c>
      <c r="T186" s="1">
        <v>0</v>
      </c>
      <c r="U186" s="1">
        <v>2820</v>
      </c>
      <c r="V186" s="139" t="s">
        <v>1051</v>
      </c>
      <c r="W186">
        <v>0</v>
      </c>
    </row>
    <row r="187" spans="1:23" x14ac:dyDescent="0.25">
      <c r="A187" s="1">
        <v>220</v>
      </c>
      <c r="B187" t="s">
        <v>127</v>
      </c>
      <c r="C187" s="1">
        <v>5</v>
      </c>
      <c r="D187" s="1">
        <v>1</v>
      </c>
      <c r="E187" s="1">
        <v>16</v>
      </c>
      <c r="F187" s="1" t="s">
        <v>432</v>
      </c>
      <c r="G187" s="1" t="s">
        <v>465</v>
      </c>
      <c r="H187" s="1" t="s">
        <v>432</v>
      </c>
      <c r="I187" s="1" t="s">
        <v>432</v>
      </c>
      <c r="J187" s="1" t="s">
        <v>432</v>
      </c>
      <c r="K187" s="1" t="s">
        <v>439</v>
      </c>
      <c r="L187" s="1" t="s">
        <v>432</v>
      </c>
      <c r="M187" s="1" t="s">
        <v>432</v>
      </c>
      <c r="N187" s="1" t="s">
        <v>432</v>
      </c>
      <c r="O187" s="1" t="s">
        <v>432</v>
      </c>
      <c r="P187" s="1" t="s">
        <v>432</v>
      </c>
      <c r="Q187" s="1" t="s">
        <v>432</v>
      </c>
      <c r="R187" s="1" t="s">
        <v>432</v>
      </c>
      <c r="S187" s="1" t="s">
        <v>432</v>
      </c>
      <c r="T187" s="1">
        <v>0</v>
      </c>
      <c r="U187" s="1">
        <v>2820</v>
      </c>
      <c r="V187" s="139" t="s">
        <v>1059</v>
      </c>
      <c r="W187">
        <v>0</v>
      </c>
    </row>
    <row r="188" spans="1:23" x14ac:dyDescent="0.25">
      <c r="A188" s="1">
        <v>222</v>
      </c>
      <c r="B188" t="s">
        <v>1087</v>
      </c>
      <c r="C188" s="1">
        <v>3</v>
      </c>
      <c r="D188" s="1">
        <v>1</v>
      </c>
      <c r="E188" s="1">
        <v>16</v>
      </c>
      <c r="F188" s="1" t="s">
        <v>432</v>
      </c>
      <c r="G188" s="1" t="s">
        <v>439</v>
      </c>
      <c r="H188" s="1" t="s">
        <v>432</v>
      </c>
      <c r="I188" s="1" t="s">
        <v>432</v>
      </c>
      <c r="J188" s="1" t="s">
        <v>432</v>
      </c>
      <c r="K188" s="1" t="s">
        <v>432</v>
      </c>
      <c r="L188" s="1" t="s">
        <v>428</v>
      </c>
      <c r="M188" s="1" t="s">
        <v>432</v>
      </c>
      <c r="N188" s="1" t="s">
        <v>432</v>
      </c>
      <c r="O188" s="1" t="s">
        <v>432</v>
      </c>
      <c r="P188" s="1" t="s">
        <v>432</v>
      </c>
      <c r="Q188" s="1" t="s">
        <v>432</v>
      </c>
      <c r="R188" s="1" t="s">
        <v>432</v>
      </c>
      <c r="S188" s="1" t="s">
        <v>432</v>
      </c>
      <c r="T188" s="1">
        <v>0</v>
      </c>
      <c r="U188" s="1">
        <v>2040</v>
      </c>
      <c r="V188" s="139" t="s">
        <v>432</v>
      </c>
      <c r="W188">
        <v>0</v>
      </c>
    </row>
    <row r="189" spans="1:23" x14ac:dyDescent="0.25">
      <c r="A189" s="1">
        <v>223</v>
      </c>
      <c r="B189" t="s">
        <v>1088</v>
      </c>
      <c r="C189" s="1">
        <v>4</v>
      </c>
      <c r="D189" s="1">
        <v>1</v>
      </c>
      <c r="E189" s="1">
        <v>16</v>
      </c>
      <c r="F189" s="1" t="s">
        <v>432</v>
      </c>
      <c r="G189" s="1" t="s">
        <v>544</v>
      </c>
      <c r="H189" s="1" t="s">
        <v>432</v>
      </c>
      <c r="I189" s="1" t="s">
        <v>432</v>
      </c>
      <c r="J189" s="1" t="s">
        <v>432</v>
      </c>
      <c r="K189" s="1" t="s">
        <v>432</v>
      </c>
      <c r="L189" s="1" t="s">
        <v>429</v>
      </c>
      <c r="M189" s="1" t="s">
        <v>432</v>
      </c>
      <c r="N189" s="1" t="s">
        <v>432</v>
      </c>
      <c r="O189" s="1" t="s">
        <v>432</v>
      </c>
      <c r="P189" s="1" t="s">
        <v>432</v>
      </c>
      <c r="Q189" s="1" t="s">
        <v>432</v>
      </c>
      <c r="R189" s="1" t="s">
        <v>432</v>
      </c>
      <c r="S189" s="1" t="s">
        <v>432</v>
      </c>
      <c r="T189" s="1">
        <v>0</v>
      </c>
      <c r="U189" s="1">
        <v>2940</v>
      </c>
      <c r="V189" s="139" t="s">
        <v>432</v>
      </c>
      <c r="W189">
        <v>0</v>
      </c>
    </row>
    <row r="190" spans="1:23" x14ac:dyDescent="0.25">
      <c r="A190" s="1">
        <v>224</v>
      </c>
      <c r="B190" t="s">
        <v>1089</v>
      </c>
      <c r="C190" s="1">
        <v>5</v>
      </c>
      <c r="D190" s="1">
        <v>1</v>
      </c>
      <c r="E190" s="1">
        <v>16</v>
      </c>
      <c r="F190" s="1" t="s">
        <v>432</v>
      </c>
      <c r="G190" s="1" t="s">
        <v>463</v>
      </c>
      <c r="H190" s="1" t="s">
        <v>432</v>
      </c>
      <c r="I190" s="1" t="s">
        <v>432</v>
      </c>
      <c r="J190" s="1" t="s">
        <v>432</v>
      </c>
      <c r="K190" s="1" t="s">
        <v>432</v>
      </c>
      <c r="L190" s="1" t="s">
        <v>1060</v>
      </c>
      <c r="M190" s="1" t="s">
        <v>432</v>
      </c>
      <c r="N190" s="1" t="s">
        <v>432</v>
      </c>
      <c r="O190" s="1" t="s">
        <v>432</v>
      </c>
      <c r="P190" s="1" t="s">
        <v>432</v>
      </c>
      <c r="Q190" s="1" t="s">
        <v>432</v>
      </c>
      <c r="R190" s="1" t="s">
        <v>432</v>
      </c>
      <c r="S190" s="1" t="s">
        <v>432</v>
      </c>
      <c r="T190" s="1">
        <v>0</v>
      </c>
      <c r="U190" s="1">
        <v>3540</v>
      </c>
      <c r="V190" s="139" t="s">
        <v>432</v>
      </c>
      <c r="W190">
        <v>0</v>
      </c>
    </row>
    <row r="191" spans="1:23" x14ac:dyDescent="0.25">
      <c r="A191" s="1">
        <v>225</v>
      </c>
      <c r="B191" t="s">
        <v>1079</v>
      </c>
      <c r="C191" s="1">
        <v>5</v>
      </c>
      <c r="D191" s="1">
        <v>2</v>
      </c>
      <c r="E191" s="1">
        <v>6</v>
      </c>
      <c r="F191" s="1" t="s">
        <v>432</v>
      </c>
      <c r="G191" s="1" t="s">
        <v>432</v>
      </c>
      <c r="H191" s="1" t="s">
        <v>432</v>
      </c>
      <c r="I191" s="1" t="s">
        <v>432</v>
      </c>
      <c r="J191" s="1" t="s">
        <v>480</v>
      </c>
      <c r="K191" s="1" t="s">
        <v>432</v>
      </c>
      <c r="L191" s="1" t="s">
        <v>432</v>
      </c>
      <c r="M191" s="1" t="s">
        <v>432</v>
      </c>
      <c r="N191" s="1" t="s">
        <v>432</v>
      </c>
      <c r="O191" s="1" t="s">
        <v>432</v>
      </c>
      <c r="P191" s="1" t="s">
        <v>432</v>
      </c>
      <c r="Q191" s="1" t="s">
        <v>432</v>
      </c>
      <c r="R191" s="1" t="s">
        <v>432</v>
      </c>
      <c r="S191" s="1" t="s">
        <v>432</v>
      </c>
      <c r="T191" s="1">
        <v>0</v>
      </c>
      <c r="U191" s="1">
        <v>3420</v>
      </c>
      <c r="V191" s="139" t="s">
        <v>432</v>
      </c>
      <c r="W191">
        <v>0</v>
      </c>
    </row>
    <row r="192" spans="1:23" x14ac:dyDescent="0.25">
      <c r="A192" s="1">
        <v>226</v>
      </c>
      <c r="B192" t="s">
        <v>1078</v>
      </c>
      <c r="C192" s="1">
        <v>4</v>
      </c>
      <c r="D192" s="1">
        <v>2</v>
      </c>
      <c r="E192" s="1">
        <v>5</v>
      </c>
      <c r="F192" s="1" t="s">
        <v>575</v>
      </c>
      <c r="G192" s="1" t="s">
        <v>432</v>
      </c>
      <c r="H192" s="1" t="s">
        <v>432</v>
      </c>
      <c r="I192" s="1" t="s">
        <v>432</v>
      </c>
      <c r="J192" s="1" t="s">
        <v>432</v>
      </c>
      <c r="K192" s="1" t="s">
        <v>432</v>
      </c>
      <c r="L192" s="1" t="s">
        <v>432</v>
      </c>
      <c r="M192" s="1" t="s">
        <v>1061</v>
      </c>
      <c r="N192" s="1" t="s">
        <v>432</v>
      </c>
      <c r="O192" s="1" t="s">
        <v>432</v>
      </c>
      <c r="P192" s="1" t="s">
        <v>432</v>
      </c>
      <c r="Q192" s="1" t="s">
        <v>432</v>
      </c>
      <c r="R192" s="1" t="s">
        <v>432</v>
      </c>
      <c r="S192" s="1" t="s">
        <v>432</v>
      </c>
      <c r="T192" s="1">
        <v>0</v>
      </c>
      <c r="U192" s="1">
        <v>2400</v>
      </c>
      <c r="V192" s="139" t="s">
        <v>432</v>
      </c>
      <c r="W192">
        <v>0</v>
      </c>
    </row>
    <row r="193" spans="1:23" x14ac:dyDescent="0.25">
      <c r="A193" s="1">
        <v>227</v>
      </c>
      <c r="B193" t="s">
        <v>1077</v>
      </c>
      <c r="C193" s="1">
        <v>5</v>
      </c>
      <c r="D193" s="1">
        <v>2</v>
      </c>
      <c r="E193" s="1">
        <v>5</v>
      </c>
      <c r="F193" s="1" t="s">
        <v>462</v>
      </c>
      <c r="G193" s="1" t="s">
        <v>432</v>
      </c>
      <c r="H193" s="1" t="s">
        <v>432</v>
      </c>
      <c r="I193" s="1" t="s">
        <v>432</v>
      </c>
      <c r="J193" s="1" t="s">
        <v>432</v>
      </c>
      <c r="K193" s="1" t="s">
        <v>432</v>
      </c>
      <c r="L193" s="1" t="s">
        <v>432</v>
      </c>
      <c r="M193" s="1" t="s">
        <v>1062</v>
      </c>
      <c r="N193" s="1" t="s">
        <v>432</v>
      </c>
      <c r="O193" s="1" t="s">
        <v>432</v>
      </c>
      <c r="P193" s="1" t="s">
        <v>432</v>
      </c>
      <c r="Q193" s="1" t="s">
        <v>432</v>
      </c>
      <c r="R193" s="1" t="s">
        <v>432</v>
      </c>
      <c r="S193" s="1" t="s">
        <v>432</v>
      </c>
      <c r="T193" s="1">
        <v>0</v>
      </c>
      <c r="U193" s="1">
        <v>3000</v>
      </c>
      <c r="V193" s="139" t="s">
        <v>432</v>
      </c>
      <c r="W193">
        <v>0</v>
      </c>
    </row>
    <row r="194" spans="1:23" x14ac:dyDescent="0.25">
      <c r="A194" s="1">
        <v>228</v>
      </c>
      <c r="B194" t="s">
        <v>1076</v>
      </c>
      <c r="C194" s="1">
        <v>4</v>
      </c>
      <c r="D194" s="1">
        <v>2</v>
      </c>
      <c r="E194" s="1">
        <v>17</v>
      </c>
      <c r="F194" s="1" t="s">
        <v>432</v>
      </c>
      <c r="G194" s="1" t="s">
        <v>432</v>
      </c>
      <c r="H194" s="1" t="s">
        <v>432</v>
      </c>
      <c r="I194" s="1" t="s">
        <v>432</v>
      </c>
      <c r="J194" s="1" t="s">
        <v>1063</v>
      </c>
      <c r="K194" s="1" t="s">
        <v>432</v>
      </c>
      <c r="L194" s="1" t="s">
        <v>432</v>
      </c>
      <c r="M194" s="1" t="s">
        <v>1064</v>
      </c>
      <c r="N194" s="1" t="s">
        <v>432</v>
      </c>
      <c r="O194" s="1" t="s">
        <v>432</v>
      </c>
      <c r="P194" s="1" t="s">
        <v>432</v>
      </c>
      <c r="Q194" s="1" t="s">
        <v>432</v>
      </c>
      <c r="R194" s="1" t="s">
        <v>432</v>
      </c>
      <c r="S194" s="1" t="s">
        <v>432</v>
      </c>
      <c r="T194" s="1">
        <v>0</v>
      </c>
      <c r="U194" s="1">
        <v>2880</v>
      </c>
      <c r="V194" s="139" t="s">
        <v>432</v>
      </c>
      <c r="W194">
        <v>0</v>
      </c>
    </row>
    <row r="195" spans="1:23" x14ac:dyDescent="0.25">
      <c r="A195" s="1">
        <v>229</v>
      </c>
      <c r="B195" t="s">
        <v>1075</v>
      </c>
      <c r="C195" s="1">
        <v>5</v>
      </c>
      <c r="D195" s="1">
        <v>2</v>
      </c>
      <c r="E195" s="1">
        <v>17</v>
      </c>
      <c r="F195" s="1" t="s">
        <v>432</v>
      </c>
      <c r="G195" s="1" t="s">
        <v>432</v>
      </c>
      <c r="H195" s="1" t="s">
        <v>432</v>
      </c>
      <c r="I195" s="1" t="s">
        <v>432</v>
      </c>
      <c r="J195" s="1" t="s">
        <v>1063</v>
      </c>
      <c r="K195" s="1" t="s">
        <v>432</v>
      </c>
      <c r="L195" s="1" t="s">
        <v>432</v>
      </c>
      <c r="M195" s="1" t="s">
        <v>1065</v>
      </c>
      <c r="N195" s="1" t="s">
        <v>432</v>
      </c>
      <c r="O195" s="1" t="s">
        <v>432</v>
      </c>
      <c r="P195" s="1" t="s">
        <v>432</v>
      </c>
      <c r="Q195" s="1" t="s">
        <v>432</v>
      </c>
      <c r="R195" s="1" t="s">
        <v>432</v>
      </c>
      <c r="S195" s="1" t="s">
        <v>432</v>
      </c>
      <c r="T195" s="1">
        <v>0</v>
      </c>
      <c r="U195" s="1">
        <v>3480</v>
      </c>
      <c r="V195" s="139" t="s">
        <v>432</v>
      </c>
      <c r="W195">
        <v>0</v>
      </c>
    </row>
    <row r="196" spans="1:23" x14ac:dyDescent="0.25">
      <c r="A196" s="1">
        <v>230</v>
      </c>
      <c r="B196" t="s">
        <v>1074</v>
      </c>
      <c r="C196" s="1">
        <v>4</v>
      </c>
      <c r="D196" s="1">
        <v>2</v>
      </c>
      <c r="E196" s="1">
        <v>7</v>
      </c>
      <c r="F196" s="1" t="s">
        <v>432</v>
      </c>
      <c r="G196" s="1" t="s">
        <v>432</v>
      </c>
      <c r="H196" s="1" t="s">
        <v>432</v>
      </c>
      <c r="I196" s="1" t="s">
        <v>432</v>
      </c>
      <c r="J196" s="1" t="s">
        <v>458</v>
      </c>
      <c r="K196" s="1" t="s">
        <v>1057</v>
      </c>
      <c r="L196" s="1" t="s">
        <v>432</v>
      </c>
      <c r="M196" s="1" t="s">
        <v>432</v>
      </c>
      <c r="N196" s="1" t="s">
        <v>432</v>
      </c>
      <c r="O196" s="1" t="s">
        <v>432</v>
      </c>
      <c r="P196" s="1" t="s">
        <v>432</v>
      </c>
      <c r="Q196" s="1" t="s">
        <v>432</v>
      </c>
      <c r="R196" s="1" t="s">
        <v>432</v>
      </c>
      <c r="S196" s="1" t="s">
        <v>432</v>
      </c>
      <c r="T196" s="1">
        <v>0</v>
      </c>
      <c r="U196" s="1">
        <v>2700</v>
      </c>
      <c r="V196" s="139" t="s">
        <v>432</v>
      </c>
      <c r="W196">
        <v>0</v>
      </c>
    </row>
    <row r="197" spans="1:23" x14ac:dyDescent="0.25">
      <c r="A197" s="1">
        <v>231</v>
      </c>
      <c r="B197" t="s">
        <v>1073</v>
      </c>
      <c r="C197" s="1">
        <v>5</v>
      </c>
      <c r="D197" s="1">
        <v>2</v>
      </c>
      <c r="E197" s="1">
        <v>7</v>
      </c>
      <c r="F197" s="1" t="s">
        <v>432</v>
      </c>
      <c r="G197" s="1" t="s">
        <v>432</v>
      </c>
      <c r="H197" s="1" t="s">
        <v>432</v>
      </c>
      <c r="I197" s="1" t="s">
        <v>432</v>
      </c>
      <c r="J197" s="1" t="s">
        <v>462</v>
      </c>
      <c r="K197" s="1" t="s">
        <v>1056</v>
      </c>
      <c r="L197" s="1" t="s">
        <v>432</v>
      </c>
      <c r="M197" s="1" t="s">
        <v>432</v>
      </c>
      <c r="N197" s="1" t="s">
        <v>432</v>
      </c>
      <c r="O197" s="1" t="s">
        <v>432</v>
      </c>
      <c r="P197" s="1" t="s">
        <v>432</v>
      </c>
      <c r="Q197" s="1" t="s">
        <v>432</v>
      </c>
      <c r="R197" s="1" t="s">
        <v>432</v>
      </c>
      <c r="S197" s="1" t="s">
        <v>432</v>
      </c>
      <c r="T197" s="1">
        <v>0</v>
      </c>
      <c r="U197" s="1">
        <v>3300</v>
      </c>
      <c r="V197" s="139" t="s">
        <v>432</v>
      </c>
      <c r="W197">
        <v>0</v>
      </c>
    </row>
    <row r="198" spans="1:23" x14ac:dyDescent="0.25">
      <c r="A198" s="1">
        <v>232</v>
      </c>
      <c r="B198" t="s">
        <v>1072</v>
      </c>
      <c r="C198" s="1">
        <v>3</v>
      </c>
      <c r="D198" s="1">
        <v>3</v>
      </c>
      <c r="E198" s="1">
        <v>9</v>
      </c>
      <c r="F198" s="1" t="s">
        <v>575</v>
      </c>
      <c r="G198" s="1" t="s">
        <v>432</v>
      </c>
      <c r="H198" s="1" t="s">
        <v>432</v>
      </c>
      <c r="I198" s="1" t="s">
        <v>432</v>
      </c>
      <c r="J198" s="1" t="s">
        <v>439</v>
      </c>
      <c r="K198" s="1" t="s">
        <v>1066</v>
      </c>
      <c r="L198" s="1" t="s">
        <v>432</v>
      </c>
      <c r="M198" s="1" t="s">
        <v>432</v>
      </c>
      <c r="N198" s="1" t="s">
        <v>432</v>
      </c>
      <c r="O198" s="1" t="s">
        <v>432</v>
      </c>
      <c r="P198" s="1" t="s">
        <v>432</v>
      </c>
      <c r="Q198" s="1" t="s">
        <v>432</v>
      </c>
      <c r="R198" s="1" t="s">
        <v>432</v>
      </c>
      <c r="S198" s="1" t="s">
        <v>432</v>
      </c>
      <c r="T198" s="1">
        <v>0</v>
      </c>
      <c r="U198" s="1">
        <v>1560</v>
      </c>
      <c r="V198" s="139" t="s">
        <v>432</v>
      </c>
      <c r="W198">
        <v>0</v>
      </c>
    </row>
    <row r="199" spans="1:23" x14ac:dyDescent="0.25">
      <c r="A199" s="1">
        <v>233</v>
      </c>
      <c r="B199" t="s">
        <v>1071</v>
      </c>
      <c r="C199" s="1">
        <v>4</v>
      </c>
      <c r="D199" s="1">
        <v>3</v>
      </c>
      <c r="E199" s="1">
        <v>9</v>
      </c>
      <c r="F199" s="1" t="s">
        <v>441</v>
      </c>
      <c r="G199" s="1" t="s">
        <v>432</v>
      </c>
      <c r="H199" s="1" t="s">
        <v>432</v>
      </c>
      <c r="I199" s="1" t="s">
        <v>432</v>
      </c>
      <c r="J199" s="1" t="s">
        <v>506</v>
      </c>
      <c r="K199" s="1" t="s">
        <v>1066</v>
      </c>
      <c r="L199" s="1" t="s">
        <v>432</v>
      </c>
      <c r="M199" s="1" t="s">
        <v>432</v>
      </c>
      <c r="N199" s="1" t="s">
        <v>432</v>
      </c>
      <c r="O199" s="1" t="s">
        <v>432</v>
      </c>
      <c r="P199" s="1" t="s">
        <v>432</v>
      </c>
      <c r="Q199" s="1" t="s">
        <v>432</v>
      </c>
      <c r="R199" s="1" t="s">
        <v>432</v>
      </c>
      <c r="S199" s="1" t="s">
        <v>432</v>
      </c>
      <c r="T199" s="1">
        <v>0</v>
      </c>
      <c r="U199" s="1">
        <v>2460</v>
      </c>
      <c r="V199" s="139" t="s">
        <v>432</v>
      </c>
      <c r="W199">
        <v>0</v>
      </c>
    </row>
    <row r="200" spans="1:23" x14ac:dyDescent="0.25">
      <c r="A200" s="1">
        <v>234</v>
      </c>
      <c r="B200" t="s">
        <v>1070</v>
      </c>
      <c r="C200" s="1">
        <v>5</v>
      </c>
      <c r="D200" s="1">
        <v>3</v>
      </c>
      <c r="E200" s="1">
        <v>9</v>
      </c>
      <c r="F200" s="1" t="s">
        <v>506</v>
      </c>
      <c r="G200" s="1" t="s">
        <v>432</v>
      </c>
      <c r="H200" s="1" t="s">
        <v>432</v>
      </c>
      <c r="I200" s="1" t="s">
        <v>432</v>
      </c>
      <c r="J200" s="1" t="s">
        <v>479</v>
      </c>
      <c r="K200" s="1" t="s">
        <v>1066</v>
      </c>
      <c r="L200" s="1" t="s">
        <v>432</v>
      </c>
      <c r="M200" s="1" t="s">
        <v>432</v>
      </c>
      <c r="N200" s="1" t="s">
        <v>432</v>
      </c>
      <c r="O200" s="1" t="s">
        <v>432</v>
      </c>
      <c r="P200" s="1" t="s">
        <v>432</v>
      </c>
      <c r="Q200" s="1" t="s">
        <v>432</v>
      </c>
      <c r="R200" s="1" t="s">
        <v>432</v>
      </c>
      <c r="S200" s="1" t="s">
        <v>432</v>
      </c>
      <c r="T200" s="1">
        <v>0</v>
      </c>
      <c r="U200" s="1">
        <v>3060</v>
      </c>
      <c r="V200" s="139" t="s">
        <v>432</v>
      </c>
      <c r="W200">
        <v>0</v>
      </c>
    </row>
    <row r="201" spans="1:23" x14ac:dyDescent="0.25">
      <c r="A201" s="1">
        <v>235</v>
      </c>
      <c r="B201" t="s">
        <v>1069</v>
      </c>
      <c r="C201" s="1">
        <v>5</v>
      </c>
      <c r="D201" s="1">
        <v>2</v>
      </c>
      <c r="E201" s="1">
        <v>7</v>
      </c>
      <c r="F201" s="1" t="s">
        <v>432</v>
      </c>
      <c r="G201" s="1" t="s">
        <v>460</v>
      </c>
      <c r="H201" s="1" t="s">
        <v>432</v>
      </c>
      <c r="I201" s="1" t="s">
        <v>432</v>
      </c>
      <c r="J201" s="1" t="s">
        <v>432</v>
      </c>
      <c r="K201" s="1" t="s">
        <v>432</v>
      </c>
      <c r="L201" s="1" t="s">
        <v>432</v>
      </c>
      <c r="M201" s="1" t="s">
        <v>432</v>
      </c>
      <c r="N201" s="1" t="s">
        <v>432</v>
      </c>
      <c r="O201" s="1" t="s">
        <v>432</v>
      </c>
      <c r="P201" s="1" t="s">
        <v>432</v>
      </c>
      <c r="Q201" s="1" t="s">
        <v>432</v>
      </c>
      <c r="R201" s="1" t="s">
        <v>432</v>
      </c>
      <c r="S201" s="1" t="s">
        <v>432</v>
      </c>
      <c r="T201" s="1">
        <v>0</v>
      </c>
      <c r="U201" s="1">
        <v>3420</v>
      </c>
      <c r="V201" s="139" t="s">
        <v>432</v>
      </c>
      <c r="W201">
        <v>0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466</v>
      </c>
      <c r="G202" s="1" t="s">
        <v>432</v>
      </c>
      <c r="H202" s="1" t="s">
        <v>467</v>
      </c>
      <c r="I202" s="1" t="s">
        <v>432</v>
      </c>
      <c r="J202" s="1" t="s">
        <v>432</v>
      </c>
      <c r="K202" s="1" t="s">
        <v>432</v>
      </c>
      <c r="L202" s="1" t="s">
        <v>432</v>
      </c>
      <c r="M202" s="1" t="s">
        <v>432</v>
      </c>
      <c r="N202" s="1" t="s">
        <v>432</v>
      </c>
      <c r="O202" s="1" t="s">
        <v>432</v>
      </c>
      <c r="P202" s="1" t="s">
        <v>432</v>
      </c>
      <c r="Q202" s="1" t="s">
        <v>432</v>
      </c>
      <c r="R202" s="1" t="s">
        <v>432</v>
      </c>
      <c r="S202" s="1" t="s">
        <v>432</v>
      </c>
      <c r="T202" s="1">
        <v>0</v>
      </c>
      <c r="U202" s="1">
        <v>3120</v>
      </c>
      <c r="V202" s="139" t="s">
        <v>1067</v>
      </c>
      <c r="W202">
        <v>0</v>
      </c>
    </row>
    <row r="203" spans="1:23" x14ac:dyDescent="0.25">
      <c r="A203" s="1">
        <v>221</v>
      </c>
      <c r="B203" t="s">
        <v>141</v>
      </c>
      <c r="C203" s="1">
        <v>5</v>
      </c>
      <c r="D203" s="1">
        <v>2</v>
      </c>
      <c r="E203" s="1">
        <v>5</v>
      </c>
      <c r="F203" s="1" t="s">
        <v>438</v>
      </c>
      <c r="G203" s="1" t="s">
        <v>432</v>
      </c>
      <c r="H203" s="1" t="s">
        <v>432</v>
      </c>
      <c r="I203" s="1" t="s">
        <v>432</v>
      </c>
      <c r="J203" s="1" t="s">
        <v>432</v>
      </c>
      <c r="K203" s="1" t="s">
        <v>432</v>
      </c>
      <c r="L203" s="1" t="s">
        <v>432</v>
      </c>
      <c r="M203" s="1" t="s">
        <v>456</v>
      </c>
      <c r="N203" s="1" t="s">
        <v>432</v>
      </c>
      <c r="O203" s="1" t="s">
        <v>432</v>
      </c>
      <c r="P203" s="1" t="s">
        <v>432</v>
      </c>
      <c r="Q203" s="1" t="s">
        <v>432</v>
      </c>
      <c r="R203" s="1" t="s">
        <v>432</v>
      </c>
      <c r="S203" s="1" t="s">
        <v>432</v>
      </c>
      <c r="T203" s="1">
        <v>0</v>
      </c>
      <c r="U203" s="1">
        <v>3300</v>
      </c>
      <c r="V203" s="139" t="s">
        <v>1100</v>
      </c>
      <c r="W203">
        <v>0</v>
      </c>
    </row>
    <row r="204" spans="1:23" x14ac:dyDescent="0.25">
      <c r="A204" s="1">
        <v>237</v>
      </c>
      <c r="B204" t="s">
        <v>142</v>
      </c>
      <c r="C204" s="1">
        <v>5</v>
      </c>
      <c r="D204" s="1">
        <v>3</v>
      </c>
      <c r="E204" s="1">
        <v>10</v>
      </c>
      <c r="F204" s="1" t="s">
        <v>432</v>
      </c>
      <c r="G204" s="1" t="s">
        <v>432</v>
      </c>
      <c r="H204" s="1" t="s">
        <v>1101</v>
      </c>
      <c r="I204" s="1" t="s">
        <v>468</v>
      </c>
      <c r="J204" s="1" t="s">
        <v>432</v>
      </c>
      <c r="K204" s="1" t="s">
        <v>432</v>
      </c>
      <c r="L204" s="1" t="s">
        <v>432</v>
      </c>
      <c r="M204" s="1" t="s">
        <v>432</v>
      </c>
      <c r="N204" s="1" t="s">
        <v>432</v>
      </c>
      <c r="O204" s="1" t="s">
        <v>432</v>
      </c>
      <c r="P204" s="1" t="s">
        <v>432</v>
      </c>
      <c r="Q204" s="1" t="s">
        <v>432</v>
      </c>
      <c r="R204" s="1" t="s">
        <v>432</v>
      </c>
      <c r="S204" s="1" t="s">
        <v>432</v>
      </c>
      <c r="T204" s="1">
        <v>0</v>
      </c>
      <c r="U204" s="1">
        <v>3120</v>
      </c>
      <c r="V204" s="139" t="s">
        <v>1102</v>
      </c>
      <c r="W204">
        <v>0</v>
      </c>
    </row>
    <row r="205" spans="1:23" x14ac:dyDescent="0.25">
      <c r="A205" s="1">
        <v>238</v>
      </c>
      <c r="B205" t="s">
        <v>1106</v>
      </c>
      <c r="C205" s="1">
        <v>5</v>
      </c>
      <c r="D205" s="1">
        <v>2</v>
      </c>
      <c r="E205" s="1">
        <v>6</v>
      </c>
      <c r="F205" s="1" t="s">
        <v>428</v>
      </c>
      <c r="G205" s="1" t="s">
        <v>432</v>
      </c>
      <c r="H205" s="1" t="s">
        <v>432</v>
      </c>
      <c r="I205" s="1" t="s">
        <v>432</v>
      </c>
      <c r="J205" s="1" t="s">
        <v>432</v>
      </c>
      <c r="K205" s="1" t="s">
        <v>432</v>
      </c>
      <c r="L205" s="1" t="s">
        <v>432</v>
      </c>
      <c r="M205" s="1" t="s">
        <v>432</v>
      </c>
      <c r="N205" s="1" t="s">
        <v>432</v>
      </c>
      <c r="O205" s="1" t="s">
        <v>432</v>
      </c>
      <c r="P205" s="1" t="s">
        <v>432</v>
      </c>
      <c r="Q205" s="1" t="s">
        <v>432</v>
      </c>
      <c r="R205" s="1" t="s">
        <v>432</v>
      </c>
      <c r="S205" s="1" t="s">
        <v>432</v>
      </c>
      <c r="T205" s="1">
        <v>0</v>
      </c>
      <c r="U205" s="1">
        <v>3600</v>
      </c>
      <c r="V205" s="139" t="s">
        <v>1099</v>
      </c>
      <c r="W205">
        <v>0</v>
      </c>
    </row>
    <row r="206" spans="1:23" x14ac:dyDescent="0.25">
      <c r="A206" s="1">
        <v>239</v>
      </c>
      <c r="B206" t="s">
        <v>1095</v>
      </c>
      <c r="C206" s="1">
        <v>5</v>
      </c>
      <c r="D206" s="1">
        <v>2</v>
      </c>
      <c r="E206" s="1">
        <v>17</v>
      </c>
      <c r="F206" s="1" t="s">
        <v>480</v>
      </c>
      <c r="G206" s="1" t="s">
        <v>432</v>
      </c>
      <c r="H206" s="1" t="s">
        <v>432</v>
      </c>
      <c r="I206" s="1" t="s">
        <v>432</v>
      </c>
      <c r="J206" s="1" t="s">
        <v>432</v>
      </c>
      <c r="K206" s="1" t="s">
        <v>432</v>
      </c>
      <c r="L206" s="1" t="s">
        <v>432</v>
      </c>
      <c r="M206" s="1" t="s">
        <v>1103</v>
      </c>
      <c r="N206" s="1" t="s">
        <v>432</v>
      </c>
      <c r="O206" s="1" t="s">
        <v>432</v>
      </c>
      <c r="P206" s="1" t="s">
        <v>432</v>
      </c>
      <c r="Q206" s="1" t="s">
        <v>432</v>
      </c>
      <c r="R206" s="1" t="s">
        <v>432</v>
      </c>
      <c r="S206" s="1" t="s">
        <v>432</v>
      </c>
      <c r="T206" s="1">
        <v>0</v>
      </c>
      <c r="U206" s="1">
        <v>3300</v>
      </c>
      <c r="V206" s="139" t="s">
        <v>1098</v>
      </c>
      <c r="W206">
        <v>0</v>
      </c>
    </row>
    <row r="207" spans="1:23" x14ac:dyDescent="0.25">
      <c r="A207" s="1">
        <v>240</v>
      </c>
      <c r="B207" t="s">
        <v>1096</v>
      </c>
      <c r="C207" s="1">
        <v>5</v>
      </c>
      <c r="D207" s="1">
        <v>3</v>
      </c>
      <c r="E207" s="1">
        <v>11</v>
      </c>
      <c r="F207" s="1" t="s">
        <v>432</v>
      </c>
      <c r="G207" s="1" t="s">
        <v>432</v>
      </c>
      <c r="H207" s="1" t="s">
        <v>432</v>
      </c>
      <c r="I207" s="1" t="s">
        <v>468</v>
      </c>
      <c r="J207" s="1" t="s">
        <v>432</v>
      </c>
      <c r="K207" s="1" t="s">
        <v>432</v>
      </c>
      <c r="L207" s="1" t="s">
        <v>432</v>
      </c>
      <c r="M207" s="1" t="s">
        <v>432</v>
      </c>
      <c r="N207" s="1" t="s">
        <v>462</v>
      </c>
      <c r="O207" s="1" t="s">
        <v>432</v>
      </c>
      <c r="P207" s="1" t="s">
        <v>432</v>
      </c>
      <c r="Q207" s="1" t="s">
        <v>432</v>
      </c>
      <c r="R207" s="1" t="s">
        <v>432</v>
      </c>
      <c r="S207" s="1" t="s">
        <v>432</v>
      </c>
      <c r="T207" s="1">
        <v>0</v>
      </c>
      <c r="U207" s="1">
        <v>3060</v>
      </c>
      <c r="V207" s="139" t="s">
        <v>1104</v>
      </c>
      <c r="W207">
        <v>0</v>
      </c>
    </row>
    <row r="208" spans="1:23" x14ac:dyDescent="0.25">
      <c r="A208" s="1">
        <v>241</v>
      </c>
      <c r="B208" t="s">
        <v>1097</v>
      </c>
      <c r="C208" s="1">
        <v>5</v>
      </c>
      <c r="D208" s="1">
        <v>2</v>
      </c>
      <c r="E208" s="1">
        <v>5</v>
      </c>
      <c r="F208" s="1" t="s">
        <v>502</v>
      </c>
      <c r="G208" s="1" t="s">
        <v>510</v>
      </c>
      <c r="H208" s="1" t="s">
        <v>432</v>
      </c>
      <c r="I208" s="1" t="s">
        <v>432</v>
      </c>
      <c r="J208" s="1" t="s">
        <v>432</v>
      </c>
      <c r="K208" s="1" t="s">
        <v>432</v>
      </c>
      <c r="L208" s="1" t="s">
        <v>432</v>
      </c>
      <c r="M208" s="1" t="s">
        <v>456</v>
      </c>
      <c r="N208" s="1" t="s">
        <v>432</v>
      </c>
      <c r="O208" s="1" t="s">
        <v>432</v>
      </c>
      <c r="P208" s="1" t="s">
        <v>432</v>
      </c>
      <c r="Q208" s="1" t="s">
        <v>432</v>
      </c>
      <c r="R208" s="1" t="s">
        <v>432</v>
      </c>
      <c r="S208" s="1" t="s">
        <v>432</v>
      </c>
      <c r="T208" s="1">
        <v>0</v>
      </c>
      <c r="U208" s="1">
        <v>3300</v>
      </c>
      <c r="V208" s="139" t="s">
        <v>1105</v>
      </c>
      <c r="W208">
        <v>0</v>
      </c>
    </row>
  </sheetData>
  <autoFilter ref="A1:V202" xr:uid="{634C22DC-C425-440A-9223-55ED2BE5F6D1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40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8" bestFit="1" customWidth="1"/>
  </cols>
  <sheetData>
    <row r="1" spans="1:11" x14ac:dyDescent="0.25">
      <c r="A1" s="43" t="s">
        <v>25</v>
      </c>
      <c r="B1" s="43" t="s">
        <v>296</v>
      </c>
      <c r="C1" s="43" t="s">
        <v>61</v>
      </c>
      <c r="D1" s="43" t="s">
        <v>297</v>
      </c>
      <c r="E1" s="43" t="s">
        <v>9</v>
      </c>
      <c r="F1" s="43" t="s">
        <v>10</v>
      </c>
      <c r="G1" s="43" t="s">
        <v>11</v>
      </c>
      <c r="H1" s="43" t="s">
        <v>12</v>
      </c>
      <c r="I1" s="43" t="s">
        <v>13</v>
      </c>
      <c r="J1" s="43" t="s">
        <v>14</v>
      </c>
      <c r="K1" s="43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972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915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916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992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917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983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913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914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873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912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985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918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984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919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920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921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922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923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924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925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926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927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928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929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930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931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932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933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934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935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936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937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938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939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940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941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942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993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944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945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946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947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948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949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950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951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952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953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954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955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956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957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958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959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960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961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962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963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336</v>
      </c>
      <c r="B330" s="9" t="s">
        <v>1052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</row>
    <row r="331" spans="1:11" x14ac:dyDescent="0.25">
      <c r="A331" s="1">
        <v>337</v>
      </c>
      <c r="B331" s="9" t="s">
        <v>1055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</row>
    <row r="332" spans="1:11" x14ac:dyDescent="0.25">
      <c r="A332" s="1">
        <v>338</v>
      </c>
      <c r="B332" s="9" t="s">
        <v>1053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</row>
    <row r="333" spans="1:11" x14ac:dyDescent="0.25">
      <c r="A333" s="1">
        <v>339</v>
      </c>
      <c r="B333" s="9" t="s">
        <v>1054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</row>
    <row r="334" spans="1:11" x14ac:dyDescent="0.25">
      <c r="A334" s="1">
        <v>1001</v>
      </c>
      <c r="B334" s="9" t="s">
        <v>262</v>
      </c>
      <c r="C334" s="1">
        <v>1</v>
      </c>
      <c r="D334" s="1">
        <v>5</v>
      </c>
      <c r="E334" s="1">
        <v>90</v>
      </c>
      <c r="F334" s="1">
        <v>140</v>
      </c>
      <c r="G334" s="1">
        <v>120</v>
      </c>
      <c r="H334" s="1">
        <v>120</v>
      </c>
      <c r="I334" s="1">
        <v>110</v>
      </c>
      <c r="J334" s="1">
        <v>0</v>
      </c>
      <c r="K334" s="1">
        <v>120</v>
      </c>
    </row>
    <row r="335" spans="1:11" x14ac:dyDescent="0.25">
      <c r="A335" s="1">
        <v>1002</v>
      </c>
      <c r="B335" s="9" t="s">
        <v>263</v>
      </c>
      <c r="C335" s="1">
        <v>6</v>
      </c>
      <c r="D335" s="1">
        <v>5</v>
      </c>
      <c r="E335" s="1">
        <v>125</v>
      </c>
      <c r="F335" s="1">
        <v>130</v>
      </c>
      <c r="G335" s="1">
        <v>110</v>
      </c>
      <c r="H335" s="1">
        <v>120</v>
      </c>
      <c r="I335" s="1">
        <v>80</v>
      </c>
      <c r="J335" s="1">
        <v>125</v>
      </c>
      <c r="K335" s="1">
        <v>95</v>
      </c>
    </row>
    <row r="336" spans="1:11" x14ac:dyDescent="0.25">
      <c r="A336" s="1">
        <v>1003</v>
      </c>
      <c r="B336" s="9" t="s">
        <v>964</v>
      </c>
      <c r="C336" s="1">
        <v>1</v>
      </c>
      <c r="D336" s="1">
        <v>5</v>
      </c>
      <c r="E336" s="1">
        <v>105</v>
      </c>
      <c r="F336" s="1">
        <v>125</v>
      </c>
      <c r="G336" s="1">
        <v>125</v>
      </c>
      <c r="H336" s="1">
        <v>118</v>
      </c>
      <c r="I336" s="1">
        <v>115</v>
      </c>
      <c r="J336" s="1">
        <v>0</v>
      </c>
      <c r="K336" s="1">
        <v>104</v>
      </c>
    </row>
    <row r="337" spans="1:11" x14ac:dyDescent="0.25">
      <c r="A337" s="1">
        <v>1004</v>
      </c>
      <c r="B337" s="9" t="s">
        <v>965</v>
      </c>
      <c r="C337" s="1">
        <v>3</v>
      </c>
      <c r="D337" s="1">
        <v>5</v>
      </c>
      <c r="E337" s="1">
        <v>95</v>
      </c>
      <c r="F337" s="1">
        <v>135</v>
      </c>
      <c r="G337" s="1">
        <v>98</v>
      </c>
      <c r="H337" s="1">
        <v>105</v>
      </c>
      <c r="I337" s="1">
        <v>95</v>
      </c>
      <c r="J337" s="1">
        <v>0</v>
      </c>
      <c r="K337" s="1">
        <v>120</v>
      </c>
    </row>
    <row r="338" spans="1:11" x14ac:dyDescent="0.25">
      <c r="A338" s="1">
        <v>1005</v>
      </c>
      <c r="B338" s="9" t="s">
        <v>966</v>
      </c>
      <c r="C338" s="1">
        <v>3</v>
      </c>
      <c r="D338" s="1">
        <v>5</v>
      </c>
      <c r="E338" s="1">
        <v>92</v>
      </c>
      <c r="F338" s="1">
        <v>122</v>
      </c>
      <c r="G338" s="1">
        <v>110</v>
      </c>
      <c r="H338" s="1">
        <v>115</v>
      </c>
      <c r="I338" s="1">
        <v>100</v>
      </c>
      <c r="J338" s="1">
        <v>0</v>
      </c>
      <c r="K338" s="1">
        <v>120</v>
      </c>
    </row>
    <row r="339" spans="1:11" x14ac:dyDescent="0.25">
      <c r="A339" s="1">
        <v>1006</v>
      </c>
      <c r="B339" s="9" t="s">
        <v>967</v>
      </c>
      <c r="C339" s="1">
        <v>1</v>
      </c>
      <c r="D339" s="1">
        <v>5</v>
      </c>
      <c r="E339" s="1">
        <v>125</v>
      </c>
      <c r="F339" s="1">
        <v>120</v>
      </c>
      <c r="G339" s="1">
        <v>105</v>
      </c>
      <c r="H339" s="1">
        <v>105</v>
      </c>
      <c r="I339" s="1">
        <v>120</v>
      </c>
      <c r="J339" s="1">
        <v>0</v>
      </c>
      <c r="K339" s="1">
        <v>104</v>
      </c>
    </row>
    <row r="340" spans="1:11" x14ac:dyDescent="0.25">
      <c r="A340" s="1">
        <v>1007</v>
      </c>
      <c r="B340" s="9" t="s">
        <v>968</v>
      </c>
      <c r="C340" s="1">
        <v>4</v>
      </c>
      <c r="D340" s="1">
        <v>5</v>
      </c>
      <c r="E340" s="1">
        <v>110</v>
      </c>
      <c r="F340" s="1">
        <v>126</v>
      </c>
      <c r="G340" s="1">
        <v>95</v>
      </c>
      <c r="H340" s="1">
        <v>105</v>
      </c>
      <c r="I340" s="1">
        <v>100</v>
      </c>
      <c r="J340" s="1">
        <v>0</v>
      </c>
      <c r="K340" s="1">
        <v>122</v>
      </c>
    </row>
    <row r="341" spans="1:11" x14ac:dyDescent="0.25">
      <c r="A341" s="1">
        <v>1008</v>
      </c>
      <c r="B341" s="9" t="s">
        <v>969</v>
      </c>
      <c r="C341" s="1">
        <v>6</v>
      </c>
      <c r="D341" s="1">
        <v>5</v>
      </c>
      <c r="E341" s="1">
        <v>112</v>
      </c>
      <c r="F341" s="1">
        <v>128</v>
      </c>
      <c r="G341" s="1">
        <v>108</v>
      </c>
      <c r="H341" s="1">
        <v>110</v>
      </c>
      <c r="I341" s="1">
        <v>130</v>
      </c>
      <c r="J341" s="1">
        <v>120</v>
      </c>
      <c r="K341" s="1">
        <v>90</v>
      </c>
    </row>
    <row r="342" spans="1:11" x14ac:dyDescent="0.25">
      <c r="A342" s="1">
        <v>1009</v>
      </c>
      <c r="B342" s="9" t="s">
        <v>264</v>
      </c>
      <c r="C342" s="1">
        <v>1</v>
      </c>
      <c r="D342" s="1">
        <v>5</v>
      </c>
      <c r="E342" s="1">
        <v>100</v>
      </c>
      <c r="F342" s="1">
        <v>100</v>
      </c>
      <c r="G342" s="1">
        <v>106</v>
      </c>
      <c r="H342" s="1">
        <v>108</v>
      </c>
      <c r="I342" s="1">
        <v>103</v>
      </c>
      <c r="J342" s="1">
        <v>0</v>
      </c>
      <c r="K342" s="1">
        <v>140</v>
      </c>
    </row>
    <row r="343" spans="1:11" x14ac:dyDescent="0.25">
      <c r="A343" s="1">
        <v>1010</v>
      </c>
      <c r="B343" s="9" t="s">
        <v>265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</row>
    <row r="344" spans="1:11" x14ac:dyDescent="0.25">
      <c r="A344" s="1">
        <v>1017</v>
      </c>
      <c r="B344" s="9" t="s">
        <v>336</v>
      </c>
      <c r="C344" s="1">
        <v>1</v>
      </c>
      <c r="D344" s="1">
        <v>5</v>
      </c>
      <c r="E344" s="1">
        <v>120</v>
      </c>
      <c r="F344" s="1">
        <v>102</v>
      </c>
      <c r="G344" s="1">
        <v>100</v>
      </c>
      <c r="H344" s="1">
        <v>100</v>
      </c>
      <c r="I344" s="1">
        <v>120</v>
      </c>
      <c r="J344" s="1">
        <v>0</v>
      </c>
      <c r="K344" s="1">
        <v>130</v>
      </c>
    </row>
    <row r="345" spans="1:11" x14ac:dyDescent="0.25">
      <c r="A345" s="1">
        <v>1018</v>
      </c>
      <c r="B345" s="9" t="s">
        <v>337</v>
      </c>
      <c r="C345" s="1">
        <v>1</v>
      </c>
      <c r="D345" s="1">
        <v>5</v>
      </c>
      <c r="E345" s="1">
        <v>128</v>
      </c>
      <c r="F345" s="1">
        <v>108</v>
      </c>
      <c r="G345" s="1">
        <v>100</v>
      </c>
      <c r="H345" s="1">
        <v>120</v>
      </c>
      <c r="I345" s="1">
        <v>105</v>
      </c>
      <c r="J345" s="1">
        <v>0</v>
      </c>
      <c r="K345" s="1">
        <v>118</v>
      </c>
    </row>
    <row r="346" spans="1:11" x14ac:dyDescent="0.25">
      <c r="A346" s="1">
        <v>1019</v>
      </c>
      <c r="B346" s="9" t="s">
        <v>338</v>
      </c>
      <c r="C346" s="1">
        <v>2</v>
      </c>
      <c r="D346" s="1">
        <v>5</v>
      </c>
      <c r="E346" s="1">
        <v>100</v>
      </c>
      <c r="F346" s="1">
        <v>95</v>
      </c>
      <c r="G346" s="1">
        <v>96</v>
      </c>
      <c r="H346" s="1">
        <v>105</v>
      </c>
      <c r="I346" s="1">
        <v>122</v>
      </c>
      <c r="J346" s="1">
        <v>0</v>
      </c>
      <c r="K346" s="1">
        <v>130</v>
      </c>
    </row>
    <row r="347" spans="1:11" x14ac:dyDescent="0.25">
      <c r="A347" s="1">
        <v>1020</v>
      </c>
      <c r="B347" s="9" t="s">
        <v>339</v>
      </c>
      <c r="C347" s="1">
        <v>3</v>
      </c>
      <c r="D347" s="1">
        <v>5</v>
      </c>
      <c r="E347" s="1">
        <v>102</v>
      </c>
      <c r="F347" s="1">
        <v>102</v>
      </c>
      <c r="G347" s="1">
        <v>102</v>
      </c>
      <c r="H347" s="1">
        <v>118</v>
      </c>
      <c r="I347" s="1">
        <v>100</v>
      </c>
      <c r="J347" s="1">
        <v>0</v>
      </c>
      <c r="K347" s="1">
        <v>130</v>
      </c>
    </row>
    <row r="348" spans="1:11" x14ac:dyDescent="0.25">
      <c r="A348" s="1">
        <v>1021</v>
      </c>
      <c r="B348" s="9" t="s">
        <v>340</v>
      </c>
      <c r="C348" s="1">
        <v>5</v>
      </c>
      <c r="D348" s="1">
        <v>5</v>
      </c>
      <c r="E348" s="1">
        <v>118</v>
      </c>
      <c r="F348" s="1">
        <v>108</v>
      </c>
      <c r="G348" s="1">
        <v>120</v>
      </c>
      <c r="H348" s="1">
        <v>120</v>
      </c>
      <c r="I348" s="1">
        <v>90</v>
      </c>
      <c r="J348" s="1">
        <v>0</v>
      </c>
      <c r="K348" s="1">
        <v>122</v>
      </c>
    </row>
    <row r="349" spans="1:11" x14ac:dyDescent="0.25">
      <c r="A349" s="1">
        <v>1022</v>
      </c>
      <c r="B349" s="9" t="s">
        <v>341</v>
      </c>
      <c r="C349" s="1">
        <v>6</v>
      </c>
      <c r="D349" s="1">
        <v>5</v>
      </c>
      <c r="E349" s="1">
        <v>122</v>
      </c>
      <c r="F349" s="1">
        <v>128</v>
      </c>
      <c r="G349" s="1">
        <v>95</v>
      </c>
      <c r="H349" s="1">
        <v>132</v>
      </c>
      <c r="I349" s="1">
        <v>110</v>
      </c>
      <c r="J349" s="1">
        <v>122</v>
      </c>
      <c r="K349" s="1">
        <v>105</v>
      </c>
    </row>
    <row r="350" spans="1:11" x14ac:dyDescent="0.25">
      <c r="A350" s="1">
        <v>1023</v>
      </c>
      <c r="B350" s="9" t="s">
        <v>342</v>
      </c>
      <c r="C350" s="1">
        <v>2</v>
      </c>
      <c r="D350" s="1">
        <v>5</v>
      </c>
      <c r="E350" s="1">
        <v>108</v>
      </c>
      <c r="F350" s="1">
        <v>112</v>
      </c>
      <c r="G350" s="1">
        <v>115</v>
      </c>
      <c r="H350" s="1">
        <v>120</v>
      </c>
      <c r="I350" s="1">
        <v>126</v>
      </c>
      <c r="J350" s="1">
        <v>0</v>
      </c>
      <c r="K350" s="1">
        <v>118</v>
      </c>
    </row>
    <row r="351" spans="1:11" x14ac:dyDescent="0.25">
      <c r="A351" s="1">
        <v>1024</v>
      </c>
      <c r="B351" s="9" t="s">
        <v>343</v>
      </c>
      <c r="C351" s="1">
        <v>3</v>
      </c>
      <c r="D351" s="1">
        <v>5</v>
      </c>
      <c r="E351" s="1">
        <v>90</v>
      </c>
      <c r="F351" s="1">
        <v>120</v>
      </c>
      <c r="G351" s="1">
        <v>110</v>
      </c>
      <c r="H351" s="1">
        <v>120</v>
      </c>
      <c r="I351" s="1">
        <v>100</v>
      </c>
      <c r="J351" s="1">
        <v>0</v>
      </c>
      <c r="K351" s="1">
        <v>120</v>
      </c>
    </row>
    <row r="352" spans="1:11" x14ac:dyDescent="0.25">
      <c r="A352" s="1">
        <v>1025</v>
      </c>
      <c r="B352" s="9" t="s">
        <v>344</v>
      </c>
      <c r="C352" s="1">
        <v>6</v>
      </c>
      <c r="D352" s="1">
        <v>5</v>
      </c>
      <c r="E352" s="1">
        <v>115</v>
      </c>
      <c r="F352" s="1">
        <v>120</v>
      </c>
      <c r="G352" s="1">
        <v>100</v>
      </c>
      <c r="H352" s="1">
        <v>100</v>
      </c>
      <c r="I352" s="1">
        <v>95</v>
      </c>
      <c r="J352" s="1">
        <v>115</v>
      </c>
      <c r="K352" s="1">
        <v>110</v>
      </c>
    </row>
    <row r="353" spans="1:11" x14ac:dyDescent="0.25">
      <c r="A353" s="1">
        <v>1026</v>
      </c>
      <c r="B353" s="9" t="s">
        <v>345</v>
      </c>
      <c r="C353" s="1">
        <v>5</v>
      </c>
      <c r="D353" s="1">
        <v>5</v>
      </c>
      <c r="E353" s="1">
        <v>95</v>
      </c>
      <c r="F353" s="1">
        <v>90</v>
      </c>
      <c r="G353" s="1">
        <v>125</v>
      </c>
      <c r="H353" s="1">
        <v>125</v>
      </c>
      <c r="I353" s="1">
        <v>130</v>
      </c>
      <c r="J353" s="1">
        <v>0</v>
      </c>
      <c r="K353" s="1">
        <v>135</v>
      </c>
    </row>
    <row r="354" spans="1:11" x14ac:dyDescent="0.25">
      <c r="A354" s="1">
        <v>1027</v>
      </c>
      <c r="B354" s="9" t="s">
        <v>346</v>
      </c>
      <c r="C354" s="1">
        <v>4</v>
      </c>
      <c r="D354" s="1">
        <v>5</v>
      </c>
      <c r="E354" s="1">
        <v>110</v>
      </c>
      <c r="F354" s="1">
        <v>118</v>
      </c>
      <c r="G354" s="1">
        <v>110</v>
      </c>
      <c r="H354" s="1">
        <v>132</v>
      </c>
      <c r="I354" s="1">
        <v>105</v>
      </c>
      <c r="J354" s="1">
        <v>0</v>
      </c>
      <c r="K354" s="1">
        <v>125</v>
      </c>
    </row>
    <row r="355" spans="1:11" x14ac:dyDescent="0.25">
      <c r="A355" s="1">
        <v>1028</v>
      </c>
      <c r="B355" s="9" t="s">
        <v>838</v>
      </c>
      <c r="C355" s="1">
        <v>2</v>
      </c>
      <c r="D355" s="1">
        <v>5</v>
      </c>
      <c r="E355" s="1">
        <v>105</v>
      </c>
      <c r="F355" s="1">
        <v>115</v>
      </c>
      <c r="G355" s="1">
        <v>130</v>
      </c>
      <c r="H355" s="1">
        <v>90</v>
      </c>
      <c r="I355" s="1">
        <v>120</v>
      </c>
      <c r="J355" s="1">
        <v>0</v>
      </c>
      <c r="K355" s="1">
        <v>105</v>
      </c>
    </row>
    <row r="356" spans="1:11" x14ac:dyDescent="0.25">
      <c r="A356" s="1">
        <v>1029</v>
      </c>
      <c r="B356" s="9" t="s">
        <v>823</v>
      </c>
      <c r="C356" s="1">
        <v>4</v>
      </c>
      <c r="D356" s="1">
        <v>5</v>
      </c>
      <c r="E356" s="1">
        <v>110</v>
      </c>
      <c r="F356" s="1">
        <v>115</v>
      </c>
      <c r="G356" s="1">
        <v>115</v>
      </c>
      <c r="H356" s="1">
        <v>115</v>
      </c>
      <c r="I356" s="1">
        <v>110</v>
      </c>
      <c r="J356" s="1">
        <v>0</v>
      </c>
      <c r="K356" s="1">
        <v>115</v>
      </c>
    </row>
    <row r="357" spans="1:11" x14ac:dyDescent="0.25">
      <c r="A357" s="1">
        <v>20001</v>
      </c>
      <c r="B357" s="9" t="s">
        <v>369</v>
      </c>
      <c r="C357" s="1">
        <v>1</v>
      </c>
      <c r="D357" s="1">
        <v>5</v>
      </c>
      <c r="E357" s="1">
        <v>122</v>
      </c>
      <c r="F357" s="1">
        <v>125</v>
      </c>
      <c r="G357" s="1">
        <v>89</v>
      </c>
      <c r="H357" s="1">
        <v>90</v>
      </c>
      <c r="I357" s="1">
        <v>95</v>
      </c>
      <c r="J357" s="1">
        <v>0</v>
      </c>
      <c r="K357" s="1">
        <v>130</v>
      </c>
    </row>
    <row r="358" spans="1:11" x14ac:dyDescent="0.25">
      <c r="A358" s="1">
        <v>20002</v>
      </c>
      <c r="B358" s="9" t="s">
        <v>351</v>
      </c>
      <c r="C358" s="1">
        <v>1</v>
      </c>
      <c r="D358" s="1">
        <v>4</v>
      </c>
      <c r="E358" s="1">
        <v>110</v>
      </c>
      <c r="F358" s="1">
        <v>100</v>
      </c>
      <c r="G358" s="1">
        <v>106</v>
      </c>
      <c r="H358" s="1">
        <v>100</v>
      </c>
      <c r="I358" s="1">
        <v>100</v>
      </c>
      <c r="J358" s="1">
        <v>0</v>
      </c>
      <c r="K358" s="1">
        <v>120</v>
      </c>
    </row>
    <row r="359" spans="1:11" x14ac:dyDescent="0.25">
      <c r="A359" s="1">
        <v>20005</v>
      </c>
      <c r="B359" s="9" t="s">
        <v>911</v>
      </c>
      <c r="C359" s="1">
        <v>1</v>
      </c>
      <c r="D359" s="1">
        <v>4</v>
      </c>
      <c r="E359" s="1">
        <v>105</v>
      </c>
      <c r="F359" s="1">
        <v>115</v>
      </c>
      <c r="G359" s="1">
        <v>80</v>
      </c>
      <c r="H359" s="1">
        <v>85</v>
      </c>
      <c r="I359" s="1">
        <v>120</v>
      </c>
      <c r="J359" s="1">
        <v>0</v>
      </c>
      <c r="K359" s="1">
        <v>130</v>
      </c>
    </row>
    <row r="360" spans="1:11" x14ac:dyDescent="0.25">
      <c r="A360" s="1">
        <v>20007</v>
      </c>
      <c r="B360" s="9" t="s">
        <v>858</v>
      </c>
      <c r="C360" s="1">
        <v>1</v>
      </c>
      <c r="D360" s="1">
        <v>5</v>
      </c>
      <c r="E360" s="1">
        <v>125</v>
      </c>
      <c r="F360" s="1">
        <v>115</v>
      </c>
      <c r="G360" s="1">
        <v>125</v>
      </c>
      <c r="H360" s="1">
        <v>105</v>
      </c>
      <c r="I360" s="1">
        <v>95</v>
      </c>
      <c r="J360" s="1">
        <v>0</v>
      </c>
      <c r="K360" s="1">
        <v>110</v>
      </c>
    </row>
    <row r="361" spans="1:11" x14ac:dyDescent="0.25">
      <c r="A361" s="1">
        <v>20012</v>
      </c>
      <c r="B361" s="9" t="s">
        <v>866</v>
      </c>
      <c r="C361" s="1">
        <v>1</v>
      </c>
      <c r="D361" s="1">
        <v>4</v>
      </c>
      <c r="E361" s="1">
        <v>125</v>
      </c>
      <c r="F361" s="1">
        <v>118</v>
      </c>
      <c r="G361" s="1">
        <v>120</v>
      </c>
      <c r="H361" s="1">
        <v>108</v>
      </c>
      <c r="I361" s="1">
        <v>100</v>
      </c>
      <c r="J361" s="1">
        <v>0</v>
      </c>
      <c r="K361" s="1">
        <v>108</v>
      </c>
    </row>
    <row r="362" spans="1:11" x14ac:dyDescent="0.25">
      <c r="A362" s="1">
        <v>20026</v>
      </c>
      <c r="B362" s="9" t="s">
        <v>986</v>
      </c>
      <c r="C362" s="1">
        <v>2</v>
      </c>
      <c r="D362" s="1">
        <v>5</v>
      </c>
      <c r="E362" s="1">
        <v>100</v>
      </c>
      <c r="F362" s="1">
        <v>120</v>
      </c>
      <c r="G362" s="1">
        <v>115</v>
      </c>
      <c r="H362" s="1">
        <v>115</v>
      </c>
      <c r="I362" s="1">
        <v>115</v>
      </c>
      <c r="J362" s="1">
        <v>0</v>
      </c>
      <c r="K362" s="1">
        <v>105</v>
      </c>
    </row>
    <row r="363" spans="1:11" x14ac:dyDescent="0.25">
      <c r="A363" s="1">
        <v>20029</v>
      </c>
      <c r="B363" s="9" t="s">
        <v>973</v>
      </c>
      <c r="C363" s="1">
        <v>2</v>
      </c>
      <c r="D363" s="1">
        <v>4</v>
      </c>
      <c r="E363" s="1">
        <v>108</v>
      </c>
      <c r="F363" s="1">
        <v>100</v>
      </c>
      <c r="G363" s="1">
        <v>105</v>
      </c>
      <c r="H363" s="1">
        <v>120</v>
      </c>
      <c r="I363" s="1">
        <v>110</v>
      </c>
      <c r="J363" s="1">
        <v>0</v>
      </c>
      <c r="K363" s="1">
        <v>125</v>
      </c>
    </row>
    <row r="364" spans="1:11" x14ac:dyDescent="0.25">
      <c r="A364" s="1">
        <v>20031</v>
      </c>
      <c r="B364" s="9" t="s">
        <v>827</v>
      </c>
      <c r="C364" s="1">
        <v>2</v>
      </c>
      <c r="D364" s="1">
        <v>4</v>
      </c>
      <c r="E364" s="1">
        <v>120</v>
      </c>
      <c r="F364" s="1">
        <v>125</v>
      </c>
      <c r="G364" s="1">
        <v>100</v>
      </c>
      <c r="H364" s="1">
        <v>95</v>
      </c>
      <c r="I364" s="1">
        <v>94</v>
      </c>
      <c r="J364" s="1">
        <v>0</v>
      </c>
      <c r="K364" s="1">
        <v>110</v>
      </c>
    </row>
    <row r="365" spans="1:11" x14ac:dyDescent="0.25">
      <c r="A365" s="1">
        <v>20032</v>
      </c>
      <c r="B365" s="9" t="s">
        <v>352</v>
      </c>
      <c r="C365" s="1">
        <v>2</v>
      </c>
      <c r="D365" s="1">
        <v>4</v>
      </c>
      <c r="E365" s="1">
        <v>98</v>
      </c>
      <c r="F365" s="1">
        <v>93</v>
      </c>
      <c r="G365" s="1">
        <v>130</v>
      </c>
      <c r="H365" s="1">
        <v>95</v>
      </c>
      <c r="I365" s="1">
        <v>125</v>
      </c>
      <c r="J365" s="1">
        <v>0</v>
      </c>
      <c r="K365" s="1">
        <v>115</v>
      </c>
    </row>
    <row r="366" spans="1:11" x14ac:dyDescent="0.25">
      <c r="A366" s="1">
        <v>20037</v>
      </c>
      <c r="B366" s="9" t="s">
        <v>353</v>
      </c>
      <c r="C366" s="1">
        <v>3</v>
      </c>
      <c r="D366" s="1">
        <v>4</v>
      </c>
      <c r="E366" s="1">
        <v>95</v>
      </c>
      <c r="F366" s="1">
        <v>105</v>
      </c>
      <c r="G366" s="1">
        <v>130</v>
      </c>
      <c r="H366" s="1">
        <v>115</v>
      </c>
      <c r="I366" s="1">
        <v>85</v>
      </c>
      <c r="J366" s="1">
        <v>0</v>
      </c>
      <c r="K366" s="1">
        <v>110</v>
      </c>
    </row>
    <row r="367" spans="1:11" x14ac:dyDescent="0.25">
      <c r="A367" s="1">
        <v>20039</v>
      </c>
      <c r="B367" s="9" t="s">
        <v>987</v>
      </c>
      <c r="C367" s="1">
        <v>3</v>
      </c>
      <c r="D367" s="1">
        <v>5</v>
      </c>
      <c r="E367" s="1">
        <v>100</v>
      </c>
      <c r="F367" s="1">
        <v>115</v>
      </c>
      <c r="G367" s="1">
        <v>85</v>
      </c>
      <c r="H367" s="1">
        <v>120</v>
      </c>
      <c r="I367" s="1">
        <v>105</v>
      </c>
      <c r="J367" s="1">
        <v>0</v>
      </c>
      <c r="K367" s="1">
        <v>130</v>
      </c>
    </row>
    <row r="368" spans="1:11" x14ac:dyDescent="0.25">
      <c r="A368" s="1">
        <v>20044</v>
      </c>
      <c r="B368" s="9" t="s">
        <v>354</v>
      </c>
      <c r="C368" s="1">
        <v>3</v>
      </c>
      <c r="D368" s="1">
        <v>4</v>
      </c>
      <c r="E368" s="1">
        <v>95</v>
      </c>
      <c r="F368" s="1">
        <v>118</v>
      </c>
      <c r="G368" s="1">
        <v>110</v>
      </c>
      <c r="H368" s="1">
        <v>122</v>
      </c>
      <c r="I368" s="1">
        <v>85</v>
      </c>
      <c r="J368" s="1">
        <v>0</v>
      </c>
      <c r="K368" s="1">
        <v>115</v>
      </c>
    </row>
    <row r="369" spans="1:11" x14ac:dyDescent="0.25">
      <c r="A369" s="1">
        <v>20049</v>
      </c>
      <c r="B369" s="9" t="s">
        <v>974</v>
      </c>
      <c r="C369" s="1">
        <v>3</v>
      </c>
      <c r="D369" s="1">
        <v>4</v>
      </c>
      <c r="E369" s="1">
        <v>105</v>
      </c>
      <c r="F369" s="1">
        <v>105</v>
      </c>
      <c r="G369" s="1">
        <v>110</v>
      </c>
      <c r="H369" s="1">
        <v>110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20051</v>
      </c>
      <c r="B370" s="9" t="s">
        <v>988</v>
      </c>
      <c r="C370" s="1">
        <v>3</v>
      </c>
      <c r="D370" s="1">
        <v>4</v>
      </c>
      <c r="E370" s="1">
        <v>105</v>
      </c>
      <c r="F370" s="1">
        <v>110</v>
      </c>
      <c r="G370" s="1">
        <v>100</v>
      </c>
      <c r="H370" s="1">
        <v>95</v>
      </c>
      <c r="I370" s="1">
        <v>100</v>
      </c>
      <c r="J370" s="1">
        <v>0</v>
      </c>
      <c r="K370" s="1">
        <v>115</v>
      </c>
    </row>
    <row r="371" spans="1:11" x14ac:dyDescent="0.25">
      <c r="A371" s="1">
        <v>20053</v>
      </c>
      <c r="B371" s="9" t="s">
        <v>355</v>
      </c>
      <c r="C371" s="1">
        <v>3</v>
      </c>
      <c r="D371" s="1">
        <v>6</v>
      </c>
      <c r="E371" s="1">
        <v>105</v>
      </c>
      <c r="F371" s="1">
        <v>145</v>
      </c>
      <c r="G371" s="1">
        <v>90</v>
      </c>
      <c r="H371" s="1">
        <v>110</v>
      </c>
      <c r="I371" s="1">
        <v>80</v>
      </c>
      <c r="J371" s="1">
        <v>0</v>
      </c>
      <c r="K371" s="1">
        <v>130</v>
      </c>
    </row>
    <row r="372" spans="1:11" x14ac:dyDescent="0.25">
      <c r="A372" s="1">
        <v>20055</v>
      </c>
      <c r="B372" s="9" t="s">
        <v>356</v>
      </c>
      <c r="C372" s="1">
        <v>4</v>
      </c>
      <c r="D372" s="1">
        <v>5</v>
      </c>
      <c r="E372" s="1">
        <v>100</v>
      </c>
      <c r="F372" s="1">
        <v>110</v>
      </c>
      <c r="G372" s="1">
        <v>120</v>
      </c>
      <c r="H372" s="1">
        <v>120</v>
      </c>
      <c r="I372" s="1">
        <v>120</v>
      </c>
      <c r="J372" s="1">
        <v>0</v>
      </c>
      <c r="K372" s="1">
        <v>115</v>
      </c>
    </row>
    <row r="373" spans="1:11" x14ac:dyDescent="0.25">
      <c r="A373" s="1">
        <v>20056</v>
      </c>
      <c r="B373" s="9" t="s">
        <v>357</v>
      </c>
      <c r="C373" s="1">
        <v>4</v>
      </c>
      <c r="D373" s="1">
        <v>5</v>
      </c>
      <c r="E373" s="1">
        <v>100</v>
      </c>
      <c r="F373" s="1">
        <v>118</v>
      </c>
      <c r="G373" s="1">
        <v>120</v>
      </c>
      <c r="H373" s="1">
        <v>125</v>
      </c>
      <c r="I373" s="1">
        <v>115</v>
      </c>
      <c r="J373" s="1">
        <v>0</v>
      </c>
      <c r="K373" s="1">
        <v>110</v>
      </c>
    </row>
    <row r="374" spans="1:11" x14ac:dyDescent="0.25">
      <c r="A374" s="1">
        <v>20057</v>
      </c>
      <c r="B374" s="9" t="s">
        <v>358</v>
      </c>
      <c r="C374" s="1">
        <v>4</v>
      </c>
      <c r="D374" s="1">
        <v>5</v>
      </c>
      <c r="E374" s="1">
        <v>95</v>
      </c>
      <c r="F374" s="1">
        <v>106</v>
      </c>
      <c r="G374" s="1">
        <v>115</v>
      </c>
      <c r="H374" s="1">
        <v>125</v>
      </c>
      <c r="I374" s="1">
        <v>120</v>
      </c>
      <c r="J374" s="1">
        <v>0</v>
      </c>
      <c r="K374" s="1">
        <v>120</v>
      </c>
    </row>
    <row r="375" spans="1:11" x14ac:dyDescent="0.25">
      <c r="A375" s="1">
        <v>20060</v>
      </c>
      <c r="B375" s="9" t="s">
        <v>359</v>
      </c>
      <c r="C375" s="1">
        <v>4</v>
      </c>
      <c r="D375" s="1">
        <v>5</v>
      </c>
      <c r="E375" s="1">
        <v>120</v>
      </c>
      <c r="F375" s="1">
        <v>94</v>
      </c>
      <c r="G375" s="1">
        <v>115</v>
      </c>
      <c r="H375" s="1">
        <v>125</v>
      </c>
      <c r="I375" s="1">
        <v>125</v>
      </c>
      <c r="J375" s="1">
        <v>0</v>
      </c>
      <c r="K375" s="1">
        <v>110</v>
      </c>
    </row>
    <row r="376" spans="1:11" x14ac:dyDescent="0.25">
      <c r="A376" s="1">
        <v>20061</v>
      </c>
      <c r="B376" s="9" t="s">
        <v>975</v>
      </c>
      <c r="C376" s="1">
        <v>4</v>
      </c>
      <c r="D376" s="1">
        <v>4</v>
      </c>
      <c r="E376" s="1">
        <v>115</v>
      </c>
      <c r="F376" s="1">
        <v>125</v>
      </c>
      <c r="G376" s="1">
        <v>96</v>
      </c>
      <c r="H376" s="1">
        <v>115</v>
      </c>
      <c r="I376" s="1">
        <v>85</v>
      </c>
      <c r="J376" s="1">
        <v>0</v>
      </c>
      <c r="K376" s="1">
        <v>120</v>
      </c>
    </row>
    <row r="377" spans="1:11" x14ac:dyDescent="0.25">
      <c r="A377" s="1">
        <v>20063</v>
      </c>
      <c r="B377" s="9" t="s">
        <v>989</v>
      </c>
      <c r="C377" s="1">
        <v>4</v>
      </c>
      <c r="D377" s="1">
        <v>4</v>
      </c>
      <c r="E377" s="1">
        <v>100</v>
      </c>
      <c r="F377" s="1">
        <v>125</v>
      </c>
      <c r="G377" s="1">
        <v>95</v>
      </c>
      <c r="H377" s="1">
        <v>125</v>
      </c>
      <c r="I377" s="1">
        <v>90</v>
      </c>
      <c r="J377" s="1">
        <v>0</v>
      </c>
      <c r="K377" s="1">
        <v>120</v>
      </c>
    </row>
    <row r="378" spans="1:11" x14ac:dyDescent="0.25">
      <c r="A378" s="1">
        <v>20064</v>
      </c>
      <c r="B378" s="9" t="s">
        <v>990</v>
      </c>
      <c r="C378" s="1">
        <v>4</v>
      </c>
      <c r="D378" s="1">
        <v>5</v>
      </c>
      <c r="E378" s="1">
        <v>115</v>
      </c>
      <c r="F378" s="1">
        <v>114</v>
      </c>
      <c r="G378" s="1">
        <v>114</v>
      </c>
      <c r="H378" s="1">
        <v>120</v>
      </c>
      <c r="I378" s="1">
        <v>110</v>
      </c>
      <c r="J378" s="1">
        <v>0</v>
      </c>
      <c r="K378" s="1">
        <v>110</v>
      </c>
    </row>
    <row r="379" spans="1:11" x14ac:dyDescent="0.25">
      <c r="A379" s="1">
        <v>20065</v>
      </c>
      <c r="B379" s="9" t="s">
        <v>360</v>
      </c>
      <c r="C379" s="1">
        <v>4</v>
      </c>
      <c r="D379" s="1">
        <v>6</v>
      </c>
      <c r="E379" s="1">
        <v>110</v>
      </c>
      <c r="F379" s="1">
        <v>118</v>
      </c>
      <c r="G379" s="1">
        <v>116</v>
      </c>
      <c r="H379" s="1">
        <v>120</v>
      </c>
      <c r="I379" s="1">
        <v>110</v>
      </c>
      <c r="J379" s="1">
        <v>0</v>
      </c>
      <c r="K379" s="1">
        <v>118</v>
      </c>
    </row>
    <row r="380" spans="1:11" x14ac:dyDescent="0.25">
      <c r="A380" s="1">
        <v>20071</v>
      </c>
      <c r="B380" s="9" t="s">
        <v>976</v>
      </c>
      <c r="C380" s="1">
        <v>4</v>
      </c>
      <c r="D380" s="1">
        <v>4</v>
      </c>
      <c r="E380" s="1">
        <v>112</v>
      </c>
      <c r="F380" s="1">
        <v>108</v>
      </c>
      <c r="G380" s="1">
        <v>95</v>
      </c>
      <c r="H380" s="1">
        <v>105</v>
      </c>
      <c r="I380" s="1">
        <v>95</v>
      </c>
      <c r="J380" s="1">
        <v>0</v>
      </c>
      <c r="K380" s="1">
        <v>130</v>
      </c>
    </row>
    <row r="381" spans="1:11" x14ac:dyDescent="0.25">
      <c r="A381" s="1">
        <v>20075</v>
      </c>
      <c r="B381" s="9" t="s">
        <v>361</v>
      </c>
      <c r="C381" s="1">
        <v>5</v>
      </c>
      <c r="D381" s="1">
        <v>5</v>
      </c>
      <c r="E381" s="1">
        <v>95</v>
      </c>
      <c r="F381" s="1">
        <v>118</v>
      </c>
      <c r="G381" s="1">
        <v>105</v>
      </c>
      <c r="H381" s="1">
        <v>125</v>
      </c>
      <c r="I381" s="1">
        <v>125</v>
      </c>
      <c r="J381" s="1">
        <v>0</v>
      </c>
      <c r="K381" s="1">
        <v>125</v>
      </c>
    </row>
    <row r="382" spans="1:11" x14ac:dyDescent="0.25">
      <c r="A382" s="1">
        <v>20081</v>
      </c>
      <c r="B382" s="9" t="s">
        <v>362</v>
      </c>
      <c r="C382" s="1">
        <v>5</v>
      </c>
      <c r="D382" s="1">
        <v>4</v>
      </c>
      <c r="E382" s="1">
        <v>105</v>
      </c>
      <c r="F382" s="1">
        <v>138</v>
      </c>
      <c r="G382" s="1">
        <v>90</v>
      </c>
      <c r="H382" s="1">
        <v>120</v>
      </c>
      <c r="I382" s="1">
        <v>105</v>
      </c>
      <c r="J382" s="1">
        <v>0</v>
      </c>
      <c r="K382" s="1">
        <v>100</v>
      </c>
    </row>
    <row r="383" spans="1:11" x14ac:dyDescent="0.25">
      <c r="A383" s="1">
        <v>20089</v>
      </c>
      <c r="B383" s="9" t="s">
        <v>862</v>
      </c>
      <c r="C383" s="1">
        <v>5</v>
      </c>
      <c r="D383" s="1">
        <v>4</v>
      </c>
      <c r="E383" s="1">
        <v>105</v>
      </c>
      <c r="F383" s="1">
        <v>115</v>
      </c>
      <c r="G383" s="1">
        <v>95</v>
      </c>
      <c r="H383" s="1">
        <v>130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20091</v>
      </c>
      <c r="B384" s="9" t="s">
        <v>363</v>
      </c>
      <c r="C384" s="1">
        <v>1</v>
      </c>
      <c r="D384" s="1">
        <v>4</v>
      </c>
      <c r="E384" s="1">
        <v>100</v>
      </c>
      <c r="F384" s="1">
        <v>105</v>
      </c>
      <c r="G384" s="1">
        <v>110</v>
      </c>
      <c r="H384" s="1">
        <v>110</v>
      </c>
      <c r="I384" s="1">
        <v>102</v>
      </c>
      <c r="J384" s="1">
        <v>0</v>
      </c>
      <c r="K384" s="1">
        <v>120</v>
      </c>
    </row>
    <row r="385" spans="1:11" x14ac:dyDescent="0.25">
      <c r="A385" s="1">
        <v>20093</v>
      </c>
      <c r="B385" s="9" t="s">
        <v>364</v>
      </c>
      <c r="C385" s="1">
        <v>2</v>
      </c>
      <c r="D385" s="1">
        <v>4</v>
      </c>
      <c r="E385" s="1">
        <v>85</v>
      </c>
      <c r="F385" s="1">
        <v>90</v>
      </c>
      <c r="G385" s="1">
        <v>90</v>
      </c>
      <c r="H385" s="1">
        <v>110</v>
      </c>
      <c r="I385" s="1">
        <v>125</v>
      </c>
      <c r="J385" s="1">
        <v>0</v>
      </c>
      <c r="K385" s="1">
        <v>130</v>
      </c>
    </row>
    <row r="386" spans="1:11" x14ac:dyDescent="0.25">
      <c r="A386" s="1">
        <v>20094</v>
      </c>
      <c r="B386" s="9" t="s">
        <v>859</v>
      </c>
      <c r="C386" s="1">
        <v>2</v>
      </c>
      <c r="D386" s="1">
        <v>4</v>
      </c>
      <c r="E386" s="1">
        <v>100</v>
      </c>
      <c r="F386" s="1">
        <v>105</v>
      </c>
      <c r="G386" s="1">
        <v>120</v>
      </c>
      <c r="H386" s="1">
        <v>95</v>
      </c>
      <c r="I386" s="1">
        <v>113</v>
      </c>
      <c r="J386" s="1">
        <v>0</v>
      </c>
      <c r="K386" s="1">
        <v>105</v>
      </c>
    </row>
    <row r="387" spans="1:11" x14ac:dyDescent="0.25">
      <c r="A387" s="1">
        <v>20095</v>
      </c>
      <c r="B387" s="9" t="s">
        <v>991</v>
      </c>
      <c r="C387" s="1">
        <v>3</v>
      </c>
      <c r="D387" s="1">
        <v>4</v>
      </c>
      <c r="E387" s="1">
        <v>115</v>
      </c>
      <c r="F387" s="1">
        <v>105</v>
      </c>
      <c r="G387" s="1">
        <v>108</v>
      </c>
      <c r="H387" s="1">
        <v>100</v>
      </c>
      <c r="I387" s="1">
        <v>110</v>
      </c>
      <c r="J387" s="1">
        <v>0</v>
      </c>
      <c r="K387" s="1">
        <v>120</v>
      </c>
    </row>
    <row r="388" spans="1:11" x14ac:dyDescent="0.25">
      <c r="A388" s="1">
        <v>20097</v>
      </c>
      <c r="B388" s="9" t="s">
        <v>365</v>
      </c>
      <c r="C388" s="1">
        <v>1</v>
      </c>
      <c r="D388" s="1">
        <v>6</v>
      </c>
      <c r="E388" s="1">
        <v>118</v>
      </c>
      <c r="F388" s="1">
        <v>116</v>
      </c>
      <c r="G388" s="1">
        <v>135</v>
      </c>
      <c r="H388" s="1">
        <v>115</v>
      </c>
      <c r="I388" s="1">
        <v>102</v>
      </c>
      <c r="J388" s="1">
        <v>0</v>
      </c>
      <c r="K388" s="1">
        <v>115</v>
      </c>
    </row>
    <row r="389" spans="1:11" x14ac:dyDescent="0.25">
      <c r="A389" s="1">
        <v>20101</v>
      </c>
      <c r="B389" s="9" t="s">
        <v>366</v>
      </c>
      <c r="C389" s="1">
        <v>2</v>
      </c>
      <c r="D389" s="1">
        <v>5</v>
      </c>
      <c r="E389" s="1">
        <v>100</v>
      </c>
      <c r="F389" s="1">
        <v>105</v>
      </c>
      <c r="G389" s="1">
        <v>110</v>
      </c>
      <c r="H389" s="1">
        <v>135</v>
      </c>
      <c r="I389" s="1">
        <v>130</v>
      </c>
      <c r="J389" s="1">
        <v>0</v>
      </c>
      <c r="K389" s="1">
        <v>110</v>
      </c>
    </row>
    <row r="390" spans="1:11" x14ac:dyDescent="0.25">
      <c r="A390" s="1">
        <v>20103</v>
      </c>
      <c r="B390" s="9" t="s">
        <v>367</v>
      </c>
      <c r="C390" s="1">
        <v>2</v>
      </c>
      <c r="D390" s="1">
        <v>5</v>
      </c>
      <c r="E390" s="1">
        <v>108</v>
      </c>
      <c r="F390" s="1">
        <v>105</v>
      </c>
      <c r="G390" s="1">
        <v>105</v>
      </c>
      <c r="H390" s="1">
        <v>110</v>
      </c>
      <c r="I390" s="1">
        <v>120</v>
      </c>
      <c r="J390" s="1">
        <v>0</v>
      </c>
      <c r="K390" s="1">
        <v>110</v>
      </c>
    </row>
    <row r="391" spans="1:11" x14ac:dyDescent="0.25">
      <c r="A391" s="1">
        <v>20114</v>
      </c>
      <c r="B391" s="9" t="s">
        <v>982</v>
      </c>
      <c r="C391" s="1">
        <v>1</v>
      </c>
      <c r="D391" s="1">
        <v>6</v>
      </c>
      <c r="E391" s="1">
        <v>120</v>
      </c>
      <c r="F391" s="1">
        <v>96</v>
      </c>
      <c r="G391" s="1">
        <v>90</v>
      </c>
      <c r="H391" s="1">
        <v>125</v>
      </c>
      <c r="I391" s="1">
        <v>110</v>
      </c>
      <c r="J391" s="1">
        <v>0</v>
      </c>
      <c r="K391" s="1">
        <v>140</v>
      </c>
    </row>
    <row r="392" spans="1:11" x14ac:dyDescent="0.25">
      <c r="A392" s="1">
        <v>20122</v>
      </c>
      <c r="B392" s="9" t="s">
        <v>977</v>
      </c>
      <c r="C392" s="1">
        <v>4</v>
      </c>
      <c r="D392" s="1">
        <v>6</v>
      </c>
      <c r="E392" s="1">
        <v>110</v>
      </c>
      <c r="F392" s="1">
        <v>105</v>
      </c>
      <c r="G392" s="1">
        <v>145</v>
      </c>
      <c r="H392" s="1">
        <v>115</v>
      </c>
      <c r="I392" s="1">
        <v>105</v>
      </c>
      <c r="J392" s="1">
        <v>0</v>
      </c>
      <c r="K392" s="1">
        <v>114</v>
      </c>
    </row>
    <row r="393" spans="1:11" x14ac:dyDescent="0.25">
      <c r="A393" s="1">
        <v>20124</v>
      </c>
      <c r="B393" s="9" t="s">
        <v>978</v>
      </c>
      <c r="C393" s="1">
        <v>3</v>
      </c>
      <c r="D393" s="1">
        <v>4</v>
      </c>
      <c r="E393" s="1">
        <v>100</v>
      </c>
      <c r="F393" s="1">
        <v>115</v>
      </c>
      <c r="G393" s="1">
        <v>120</v>
      </c>
      <c r="H393" s="1">
        <v>110</v>
      </c>
      <c r="I393" s="1">
        <v>90</v>
      </c>
      <c r="J393" s="1">
        <v>0</v>
      </c>
      <c r="K393" s="1">
        <v>115</v>
      </c>
    </row>
    <row r="394" spans="1:11" x14ac:dyDescent="0.25">
      <c r="A394" s="1">
        <v>20136</v>
      </c>
      <c r="B394" s="9" t="s">
        <v>979</v>
      </c>
      <c r="C394" s="1">
        <v>2</v>
      </c>
      <c r="D394" s="1">
        <v>5</v>
      </c>
      <c r="E394" s="1">
        <v>105</v>
      </c>
      <c r="F394" s="1">
        <v>103</v>
      </c>
      <c r="G394" s="1">
        <v>115</v>
      </c>
      <c r="H394" s="1">
        <v>115</v>
      </c>
      <c r="I394" s="1">
        <v>125</v>
      </c>
      <c r="J394" s="1">
        <v>0</v>
      </c>
      <c r="K394" s="1">
        <v>110</v>
      </c>
    </row>
    <row r="395" spans="1:11" x14ac:dyDescent="0.25">
      <c r="A395" s="1">
        <v>20143</v>
      </c>
      <c r="B395" s="9" t="s">
        <v>970</v>
      </c>
      <c r="C395" s="1">
        <v>2</v>
      </c>
      <c r="D395" s="1">
        <v>6</v>
      </c>
      <c r="E395" s="1">
        <v>115</v>
      </c>
      <c r="F395" s="1">
        <v>110</v>
      </c>
      <c r="G395" s="1">
        <v>125</v>
      </c>
      <c r="H395" s="1">
        <v>130</v>
      </c>
      <c r="I395" s="1">
        <v>125</v>
      </c>
      <c r="J395" s="1">
        <v>0</v>
      </c>
      <c r="K395" s="1">
        <v>105</v>
      </c>
    </row>
    <row r="396" spans="1:11" x14ac:dyDescent="0.25">
      <c r="A396" s="1">
        <v>20152</v>
      </c>
      <c r="B396" s="9" t="s">
        <v>841</v>
      </c>
      <c r="C396" s="1">
        <v>6</v>
      </c>
      <c r="D396" s="1">
        <v>4</v>
      </c>
      <c r="E396" s="1">
        <v>120</v>
      </c>
      <c r="F396" s="1">
        <v>125</v>
      </c>
      <c r="G396" s="1">
        <v>100</v>
      </c>
      <c r="H396" s="1">
        <v>108</v>
      </c>
      <c r="I396" s="1">
        <v>95</v>
      </c>
      <c r="J396" s="1">
        <v>115</v>
      </c>
      <c r="K396" s="1">
        <v>100</v>
      </c>
    </row>
    <row r="397" spans="1:11" x14ac:dyDescent="0.25">
      <c r="A397" s="1">
        <v>20154</v>
      </c>
      <c r="B397" s="9" t="s">
        <v>829</v>
      </c>
      <c r="C397" s="1">
        <v>6</v>
      </c>
      <c r="D397" s="1">
        <v>4</v>
      </c>
      <c r="E397" s="1">
        <v>120</v>
      </c>
      <c r="F397" s="1">
        <v>115</v>
      </c>
      <c r="G397" s="1">
        <v>115</v>
      </c>
      <c r="H397" s="1">
        <v>110</v>
      </c>
      <c r="I397" s="1">
        <v>90</v>
      </c>
      <c r="J397" s="1">
        <v>115</v>
      </c>
      <c r="K397" s="1">
        <v>95</v>
      </c>
    </row>
    <row r="398" spans="1:11" x14ac:dyDescent="0.25">
      <c r="A398" s="1">
        <v>20161</v>
      </c>
      <c r="B398" s="9" t="s">
        <v>852</v>
      </c>
      <c r="C398" s="1">
        <v>6</v>
      </c>
      <c r="D398" s="1">
        <v>5</v>
      </c>
      <c r="E398" s="1">
        <v>120</v>
      </c>
      <c r="F398" s="1">
        <v>120</v>
      </c>
      <c r="G398" s="1">
        <v>105</v>
      </c>
      <c r="H398" s="1">
        <v>110</v>
      </c>
      <c r="I398" s="1">
        <v>115</v>
      </c>
      <c r="J398" s="1">
        <v>115</v>
      </c>
      <c r="K398" s="1">
        <v>105</v>
      </c>
    </row>
    <row r="399" spans="1:11" x14ac:dyDescent="0.25">
      <c r="A399" s="1">
        <v>20178</v>
      </c>
      <c r="B399" s="9" t="s">
        <v>971</v>
      </c>
      <c r="C399" s="1">
        <v>2</v>
      </c>
      <c r="D399" s="1">
        <v>4</v>
      </c>
      <c r="E399" s="1">
        <v>120</v>
      </c>
      <c r="F399" s="1">
        <v>102</v>
      </c>
      <c r="G399" s="1">
        <v>100</v>
      </c>
      <c r="H399" s="1">
        <v>110</v>
      </c>
      <c r="I399" s="1">
        <v>98</v>
      </c>
      <c r="J399" s="1">
        <v>0</v>
      </c>
      <c r="K399" s="1">
        <v>112</v>
      </c>
    </row>
    <row r="400" spans="1:11" x14ac:dyDescent="0.25">
      <c r="A400" s="1">
        <v>20199</v>
      </c>
      <c r="B400" s="9" t="s">
        <v>980</v>
      </c>
      <c r="C400" s="1">
        <v>5</v>
      </c>
      <c r="D400" s="1">
        <v>5</v>
      </c>
      <c r="E400" s="1">
        <v>108</v>
      </c>
      <c r="F400" s="1">
        <v>128</v>
      </c>
      <c r="G400" s="1">
        <v>115</v>
      </c>
      <c r="H400" s="1">
        <v>122</v>
      </c>
      <c r="I400" s="1">
        <v>105</v>
      </c>
      <c r="J400" s="1">
        <v>0</v>
      </c>
      <c r="K400" s="1">
        <v>105</v>
      </c>
    </row>
    <row r="401" spans="1:11" x14ac:dyDescent="0.25">
      <c r="A401" s="1">
        <v>20221</v>
      </c>
      <c r="B401" s="9" t="s">
        <v>981</v>
      </c>
      <c r="C401" s="1">
        <v>1</v>
      </c>
      <c r="D401" s="1">
        <v>4</v>
      </c>
      <c r="E401" s="1">
        <v>108</v>
      </c>
      <c r="F401" s="1">
        <v>130</v>
      </c>
      <c r="G401" s="1">
        <v>111</v>
      </c>
      <c r="H401" s="1">
        <v>115</v>
      </c>
      <c r="I401" s="1">
        <v>130</v>
      </c>
      <c r="J401" s="1">
        <v>0</v>
      </c>
      <c r="K401" s="1">
        <v>105</v>
      </c>
    </row>
    <row r="402" spans="1:11" x14ac:dyDescent="0.25">
      <c r="A402" s="1">
        <v>20252</v>
      </c>
      <c r="B402" s="9" t="s">
        <v>368</v>
      </c>
      <c r="C402" s="1">
        <v>3</v>
      </c>
      <c r="D402" s="1">
        <v>5</v>
      </c>
      <c r="E402" s="1">
        <v>100</v>
      </c>
      <c r="F402" s="1">
        <v>142</v>
      </c>
      <c r="G402" s="1">
        <v>92</v>
      </c>
      <c r="H402" s="1">
        <v>118</v>
      </c>
      <c r="I402" s="1">
        <v>82</v>
      </c>
      <c r="J402" s="1">
        <v>0</v>
      </c>
      <c r="K402" s="1">
        <v>128</v>
      </c>
    </row>
    <row r="403" spans="1:11" x14ac:dyDescent="0.25">
      <c r="A403" s="1">
        <v>20008</v>
      </c>
      <c r="B403" s="9" t="s">
        <v>1106</v>
      </c>
      <c r="C403" s="1">
        <v>1</v>
      </c>
      <c r="D403" s="1">
        <v>4</v>
      </c>
      <c r="E403" s="1">
        <v>100</v>
      </c>
      <c r="F403" s="1">
        <v>97</v>
      </c>
      <c r="G403" s="1">
        <v>110</v>
      </c>
      <c r="H403" s="1">
        <v>115</v>
      </c>
      <c r="I403" s="1">
        <v>125</v>
      </c>
      <c r="J403" s="1">
        <v>0</v>
      </c>
      <c r="K403" s="1">
        <v>130</v>
      </c>
    </row>
    <row r="404" spans="1:11" x14ac:dyDescent="0.25">
      <c r="A404" s="1">
        <v>20125</v>
      </c>
      <c r="B404" s="9" t="s">
        <v>1095</v>
      </c>
      <c r="C404" s="1">
        <v>5</v>
      </c>
      <c r="D404" s="1">
        <v>6</v>
      </c>
      <c r="E404" s="1">
        <v>110</v>
      </c>
      <c r="F404" s="1">
        <v>102</v>
      </c>
      <c r="G404" s="1">
        <v>125</v>
      </c>
      <c r="H404" s="1">
        <v>130</v>
      </c>
      <c r="I404" s="1">
        <v>120</v>
      </c>
      <c r="J404" s="1">
        <v>0</v>
      </c>
      <c r="K404" s="1">
        <v>135</v>
      </c>
    </row>
    <row r="405" spans="1:11" x14ac:dyDescent="0.25">
      <c r="A405" s="1">
        <v>20159</v>
      </c>
      <c r="B405" s="9" t="s">
        <v>1096</v>
      </c>
      <c r="C405" s="1">
        <v>6</v>
      </c>
      <c r="D405" s="1">
        <v>4</v>
      </c>
      <c r="E405" s="1">
        <v>110</v>
      </c>
      <c r="F405" s="1">
        <v>112</v>
      </c>
      <c r="G405" s="1">
        <v>110</v>
      </c>
      <c r="H405" s="1">
        <v>106</v>
      </c>
      <c r="I405" s="1">
        <v>120</v>
      </c>
      <c r="J405" s="1">
        <v>120</v>
      </c>
      <c r="K405" s="1">
        <v>100</v>
      </c>
    </row>
    <row r="406" spans="1:11" x14ac:dyDescent="0.25">
      <c r="A406" s="1">
        <v>20200</v>
      </c>
      <c r="B406" s="9" t="s">
        <v>1097</v>
      </c>
      <c r="C406" s="1">
        <v>3</v>
      </c>
      <c r="D406" s="1">
        <v>5</v>
      </c>
      <c r="E406" s="1">
        <v>95</v>
      </c>
      <c r="F406" s="1">
        <v>120</v>
      </c>
      <c r="G406" s="1">
        <v>105</v>
      </c>
      <c r="H406" s="1">
        <v>128</v>
      </c>
      <c r="I406" s="1">
        <v>88</v>
      </c>
      <c r="J406" s="1">
        <v>0</v>
      </c>
      <c r="K406" s="1">
        <v>128</v>
      </c>
    </row>
  </sheetData>
  <autoFilter ref="A1:K398" xr:uid="{23923B49-D07E-4AD1-BC19-03C06C0F5428}">
    <sortState ref="A2:K402">
      <sortCondition ref="A1:A39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P39"/>
  <sheetViews>
    <sheetView workbookViewId="0">
      <pane ySplit="1" topLeftCell="A2" activePane="bottomLeft" state="frozen"/>
      <selection activeCell="A10" sqref="A10"/>
      <selection pane="bottomLeft" activeCell="A10" sqref="A10"/>
    </sheetView>
  </sheetViews>
  <sheetFormatPr defaultRowHeight="15" x14ac:dyDescent="0.25"/>
  <cols>
    <col min="1" max="1" width="7.28515625" bestFit="1" customWidth="1"/>
    <col min="2" max="2" width="14.85546875" bestFit="1" customWidth="1"/>
    <col min="3" max="3" width="9.5703125" bestFit="1" customWidth="1"/>
    <col min="4" max="4" width="13.7109375" bestFit="1" customWidth="1"/>
    <col min="5" max="5" width="14.42578125" bestFit="1" customWidth="1"/>
    <col min="6" max="6" width="14.7109375" bestFit="1" customWidth="1"/>
    <col min="7" max="7" width="16.28515625" bestFit="1" customWidth="1"/>
    <col min="8" max="8" width="12.28515625" bestFit="1" customWidth="1"/>
    <col min="9" max="9" width="9.42578125" bestFit="1" customWidth="1"/>
    <col min="10" max="10" width="13" bestFit="1" customWidth="1"/>
    <col min="11" max="11" width="14.5703125" bestFit="1" customWidth="1"/>
    <col min="12" max="12" width="14.28515625" bestFit="1" customWidth="1"/>
    <col min="13" max="13" width="13.140625" bestFit="1" customWidth="1"/>
    <col min="14" max="14" width="16.28515625" bestFit="1" customWidth="1"/>
    <col min="15" max="15" width="16" bestFit="1" customWidth="1"/>
    <col min="16" max="16" width="13.5703125" bestFit="1" customWidth="1"/>
  </cols>
  <sheetData>
    <row r="1" spans="1:16" x14ac:dyDescent="0.25">
      <c r="A1" s="43" t="s">
        <v>25</v>
      </c>
      <c r="B1" s="43" t="s">
        <v>296</v>
      </c>
      <c r="C1" s="43" t="s">
        <v>61</v>
      </c>
      <c r="D1" s="43" t="s">
        <v>1165</v>
      </c>
      <c r="E1" s="43" t="s">
        <v>1166</v>
      </c>
      <c r="F1" s="43" t="s">
        <v>1167</v>
      </c>
      <c r="G1" s="43" t="s">
        <v>1168</v>
      </c>
      <c r="H1" s="43" t="s">
        <v>1169</v>
      </c>
      <c r="I1" s="43" t="s">
        <v>297</v>
      </c>
      <c r="J1" s="43" t="s">
        <v>9</v>
      </c>
      <c r="K1" s="43" t="s">
        <v>10</v>
      </c>
      <c r="L1" s="43" t="s">
        <v>11</v>
      </c>
      <c r="M1" s="43" t="s">
        <v>12</v>
      </c>
      <c r="N1" s="43" t="s">
        <v>13</v>
      </c>
      <c r="O1" s="43" t="s">
        <v>14</v>
      </c>
      <c r="P1" s="43" t="s">
        <v>380</v>
      </c>
    </row>
    <row r="2" spans="1:16" x14ac:dyDescent="0.25">
      <c r="A2">
        <v>1012</v>
      </c>
      <c r="B2" t="s">
        <v>1186</v>
      </c>
      <c r="C2">
        <v>1</v>
      </c>
      <c r="D2" t="s">
        <v>1172</v>
      </c>
      <c r="E2">
        <v>1</v>
      </c>
      <c r="F2">
        <v>112</v>
      </c>
      <c r="G2" t="s">
        <v>1173</v>
      </c>
      <c r="H2">
        <v>10</v>
      </c>
      <c r="I2">
        <v>5</v>
      </c>
      <c r="J2">
        <v>115</v>
      </c>
      <c r="K2">
        <v>130</v>
      </c>
      <c r="L2">
        <v>95</v>
      </c>
      <c r="M2">
        <v>120</v>
      </c>
      <c r="N2">
        <v>100</v>
      </c>
      <c r="O2">
        <v>0</v>
      </c>
      <c r="P2">
        <v>100</v>
      </c>
    </row>
    <row r="3" spans="1:16" x14ac:dyDescent="0.25">
      <c r="A3">
        <v>1008</v>
      </c>
      <c r="B3" t="s">
        <v>1181</v>
      </c>
      <c r="C3">
        <v>1</v>
      </c>
      <c r="D3" t="s">
        <v>1175</v>
      </c>
      <c r="E3">
        <v>1</v>
      </c>
      <c r="F3">
        <v>108</v>
      </c>
      <c r="G3" t="s">
        <v>1173</v>
      </c>
      <c r="H3">
        <v>10</v>
      </c>
      <c r="I3">
        <v>5</v>
      </c>
      <c r="J3">
        <v>105</v>
      </c>
      <c r="K3">
        <v>100</v>
      </c>
      <c r="L3">
        <v>115</v>
      </c>
      <c r="M3">
        <v>115</v>
      </c>
      <c r="N3">
        <v>110</v>
      </c>
      <c r="O3">
        <v>0</v>
      </c>
      <c r="P3">
        <v>100</v>
      </c>
    </row>
    <row r="4" spans="1:16" x14ac:dyDescent="0.25">
      <c r="A4">
        <v>1006</v>
      </c>
      <c r="B4" t="s">
        <v>1179</v>
      </c>
      <c r="C4">
        <v>1</v>
      </c>
      <c r="D4" t="s">
        <v>1172</v>
      </c>
      <c r="E4">
        <v>1</v>
      </c>
      <c r="F4">
        <v>106</v>
      </c>
      <c r="G4" t="s">
        <v>1173</v>
      </c>
      <c r="H4">
        <v>10</v>
      </c>
      <c r="I4">
        <v>5</v>
      </c>
      <c r="J4">
        <v>110</v>
      </c>
      <c r="K4">
        <v>120</v>
      </c>
      <c r="L4">
        <v>110</v>
      </c>
      <c r="M4">
        <v>105</v>
      </c>
      <c r="N4">
        <v>70</v>
      </c>
      <c r="O4">
        <v>0</v>
      </c>
      <c r="P4">
        <v>100</v>
      </c>
    </row>
    <row r="5" spans="1:16" x14ac:dyDescent="0.25">
      <c r="A5">
        <v>1005</v>
      </c>
      <c r="B5" t="s">
        <v>1178</v>
      </c>
      <c r="C5">
        <v>1</v>
      </c>
      <c r="D5" t="s">
        <v>1172</v>
      </c>
      <c r="E5">
        <v>1</v>
      </c>
      <c r="F5">
        <v>105</v>
      </c>
      <c r="G5" t="s">
        <v>1173</v>
      </c>
      <c r="H5">
        <v>10</v>
      </c>
      <c r="I5">
        <v>5</v>
      </c>
      <c r="J5">
        <v>110</v>
      </c>
      <c r="K5">
        <v>135</v>
      </c>
      <c r="L5">
        <v>70</v>
      </c>
      <c r="M5">
        <v>100</v>
      </c>
      <c r="N5">
        <v>95</v>
      </c>
      <c r="O5">
        <v>0</v>
      </c>
      <c r="P5">
        <v>100</v>
      </c>
    </row>
    <row r="6" spans="1:16" x14ac:dyDescent="0.25">
      <c r="A6">
        <v>1009</v>
      </c>
      <c r="B6" t="s">
        <v>1182</v>
      </c>
      <c r="C6">
        <v>1</v>
      </c>
      <c r="D6" t="s">
        <v>1172</v>
      </c>
      <c r="E6">
        <v>1</v>
      </c>
      <c r="F6">
        <v>109</v>
      </c>
      <c r="G6" t="s">
        <v>1173</v>
      </c>
      <c r="H6">
        <v>10</v>
      </c>
      <c r="I6">
        <v>5</v>
      </c>
      <c r="J6">
        <v>95</v>
      </c>
      <c r="K6">
        <v>125</v>
      </c>
      <c r="L6">
        <v>100</v>
      </c>
      <c r="M6">
        <v>110</v>
      </c>
      <c r="N6">
        <v>100</v>
      </c>
      <c r="O6">
        <v>0</v>
      </c>
      <c r="P6">
        <v>100</v>
      </c>
    </row>
    <row r="7" spans="1:16" x14ac:dyDescent="0.25">
      <c r="A7">
        <v>1002</v>
      </c>
      <c r="B7" t="s">
        <v>1174</v>
      </c>
      <c r="C7">
        <v>1</v>
      </c>
      <c r="D7" t="s">
        <v>1175</v>
      </c>
      <c r="E7">
        <v>1</v>
      </c>
      <c r="F7">
        <v>102</v>
      </c>
      <c r="G7" t="s">
        <v>1173</v>
      </c>
      <c r="H7">
        <v>10</v>
      </c>
      <c r="I7">
        <v>5</v>
      </c>
      <c r="J7">
        <v>125</v>
      </c>
      <c r="K7">
        <v>105</v>
      </c>
      <c r="L7">
        <v>88</v>
      </c>
      <c r="M7">
        <v>95</v>
      </c>
      <c r="N7">
        <v>95</v>
      </c>
      <c r="O7">
        <v>0</v>
      </c>
      <c r="P7">
        <v>100</v>
      </c>
    </row>
    <row r="8" spans="1:16" x14ac:dyDescent="0.25">
      <c r="A8">
        <v>1010</v>
      </c>
      <c r="B8" t="s">
        <v>1183</v>
      </c>
      <c r="C8">
        <v>1</v>
      </c>
      <c r="D8" t="s">
        <v>1172</v>
      </c>
      <c r="E8">
        <v>1</v>
      </c>
      <c r="F8">
        <v>110</v>
      </c>
      <c r="G8" t="s">
        <v>1173</v>
      </c>
      <c r="H8">
        <v>10</v>
      </c>
      <c r="I8">
        <v>5</v>
      </c>
      <c r="J8">
        <v>105</v>
      </c>
      <c r="K8">
        <v>100</v>
      </c>
      <c r="L8">
        <v>120</v>
      </c>
      <c r="M8">
        <v>125</v>
      </c>
      <c r="N8">
        <v>95</v>
      </c>
      <c r="O8">
        <v>0</v>
      </c>
      <c r="P8">
        <v>100</v>
      </c>
    </row>
    <row r="9" spans="1:16" x14ac:dyDescent="0.25">
      <c r="A9">
        <v>1003</v>
      </c>
      <c r="B9" t="s">
        <v>1176</v>
      </c>
      <c r="C9">
        <v>1</v>
      </c>
      <c r="D9" t="s">
        <v>1172</v>
      </c>
      <c r="E9">
        <v>1</v>
      </c>
      <c r="F9">
        <v>103</v>
      </c>
      <c r="G9" t="s">
        <v>1173</v>
      </c>
      <c r="H9">
        <v>10</v>
      </c>
      <c r="I9">
        <v>5</v>
      </c>
      <c r="J9">
        <v>100</v>
      </c>
      <c r="K9">
        <v>100</v>
      </c>
      <c r="L9">
        <v>110</v>
      </c>
      <c r="M9">
        <v>105</v>
      </c>
      <c r="N9">
        <v>105</v>
      </c>
      <c r="O9">
        <v>0</v>
      </c>
      <c r="P9">
        <v>100</v>
      </c>
    </row>
    <row r="10" spans="1:16" x14ac:dyDescent="0.25">
      <c r="A10">
        <v>1004</v>
      </c>
      <c r="B10" t="s">
        <v>1177</v>
      </c>
      <c r="C10">
        <v>1</v>
      </c>
      <c r="D10" t="s">
        <v>1172</v>
      </c>
      <c r="E10">
        <v>1</v>
      </c>
      <c r="F10">
        <v>104</v>
      </c>
      <c r="G10" t="s">
        <v>1173</v>
      </c>
      <c r="H10">
        <v>10</v>
      </c>
      <c r="I10">
        <v>5</v>
      </c>
      <c r="J10">
        <v>120</v>
      </c>
      <c r="K10">
        <v>105</v>
      </c>
      <c r="L10">
        <v>95</v>
      </c>
      <c r="M10">
        <v>95</v>
      </c>
      <c r="N10">
        <v>95</v>
      </c>
      <c r="O10">
        <v>0</v>
      </c>
      <c r="P10">
        <v>100</v>
      </c>
    </row>
    <row r="11" spans="1:16" x14ac:dyDescent="0.25">
      <c r="A11">
        <v>1011</v>
      </c>
      <c r="B11" t="s">
        <v>1184</v>
      </c>
      <c r="C11">
        <v>1</v>
      </c>
      <c r="D11" t="s">
        <v>1185</v>
      </c>
      <c r="E11">
        <v>1</v>
      </c>
      <c r="F11">
        <v>111</v>
      </c>
      <c r="G11" t="s">
        <v>1173</v>
      </c>
      <c r="H11">
        <v>10</v>
      </c>
      <c r="I11">
        <v>5</v>
      </c>
      <c r="J11">
        <v>130</v>
      </c>
      <c r="K11">
        <v>95</v>
      </c>
      <c r="L11">
        <v>110</v>
      </c>
      <c r="M11">
        <v>110</v>
      </c>
      <c r="N11">
        <v>80</v>
      </c>
      <c r="O11">
        <v>48</v>
      </c>
      <c r="P11">
        <v>100</v>
      </c>
    </row>
    <row r="12" spans="1:16" x14ac:dyDescent="0.25">
      <c r="A12">
        <v>1013</v>
      </c>
      <c r="B12" t="s">
        <v>1187</v>
      </c>
      <c r="C12">
        <v>1</v>
      </c>
      <c r="D12" t="s">
        <v>1172</v>
      </c>
      <c r="E12">
        <v>1</v>
      </c>
      <c r="F12">
        <v>113</v>
      </c>
      <c r="G12" t="s">
        <v>1173</v>
      </c>
      <c r="H12">
        <v>8</v>
      </c>
      <c r="I12">
        <v>5</v>
      </c>
      <c r="J12">
        <v>90</v>
      </c>
      <c r="K12">
        <v>132</v>
      </c>
      <c r="L12">
        <v>72</v>
      </c>
      <c r="M12">
        <v>128</v>
      </c>
      <c r="N12">
        <v>55</v>
      </c>
      <c r="O12">
        <v>0</v>
      </c>
      <c r="P12">
        <v>100</v>
      </c>
    </row>
    <row r="13" spans="1:16" x14ac:dyDescent="0.25">
      <c r="A13">
        <v>1014</v>
      </c>
      <c r="B13" t="s">
        <v>1188</v>
      </c>
      <c r="C13">
        <v>1</v>
      </c>
      <c r="D13" t="s">
        <v>1175</v>
      </c>
      <c r="E13">
        <v>1</v>
      </c>
      <c r="F13">
        <v>114</v>
      </c>
      <c r="G13" t="s">
        <v>1173</v>
      </c>
      <c r="H13">
        <v>8</v>
      </c>
      <c r="I13">
        <v>5</v>
      </c>
      <c r="J13">
        <v>105</v>
      </c>
      <c r="K13">
        <v>135</v>
      </c>
      <c r="L13">
        <v>55</v>
      </c>
      <c r="M13">
        <v>110</v>
      </c>
      <c r="N13">
        <v>90</v>
      </c>
      <c r="O13">
        <v>0</v>
      </c>
      <c r="P13">
        <v>100</v>
      </c>
    </row>
    <row r="14" spans="1:16" x14ac:dyDescent="0.25">
      <c r="A14">
        <v>1001</v>
      </c>
      <c r="B14" t="s">
        <v>1171</v>
      </c>
      <c r="C14">
        <v>1</v>
      </c>
      <c r="D14" t="s">
        <v>1172</v>
      </c>
      <c r="E14">
        <v>1</v>
      </c>
      <c r="F14">
        <v>101</v>
      </c>
      <c r="G14" t="s">
        <v>1173</v>
      </c>
      <c r="H14">
        <v>10</v>
      </c>
      <c r="I14">
        <v>5</v>
      </c>
      <c r="J14">
        <v>95</v>
      </c>
      <c r="K14">
        <v>95</v>
      </c>
      <c r="L14">
        <v>116</v>
      </c>
      <c r="M14">
        <v>90</v>
      </c>
      <c r="N14">
        <v>120</v>
      </c>
      <c r="O14">
        <v>0</v>
      </c>
      <c r="P14">
        <v>100</v>
      </c>
    </row>
    <row r="15" spans="1:16" x14ac:dyDescent="0.25">
      <c r="A15">
        <v>1007</v>
      </c>
      <c r="B15" t="s">
        <v>1180</v>
      </c>
      <c r="C15">
        <v>1</v>
      </c>
      <c r="D15" t="s">
        <v>1172</v>
      </c>
      <c r="E15">
        <v>1</v>
      </c>
      <c r="F15">
        <v>107</v>
      </c>
      <c r="G15" t="s">
        <v>1173</v>
      </c>
      <c r="H15">
        <v>10</v>
      </c>
      <c r="I15">
        <v>5</v>
      </c>
      <c r="J15">
        <v>105</v>
      </c>
      <c r="K15">
        <v>105</v>
      </c>
      <c r="L15">
        <v>105</v>
      </c>
      <c r="M15">
        <v>105</v>
      </c>
      <c r="N15">
        <v>105</v>
      </c>
      <c r="O15">
        <v>0</v>
      </c>
      <c r="P15">
        <v>100</v>
      </c>
    </row>
    <row r="16" spans="1:16" x14ac:dyDescent="0.25">
      <c r="A16">
        <v>9001</v>
      </c>
      <c r="B16" t="s">
        <v>1180</v>
      </c>
      <c r="C16">
        <v>1</v>
      </c>
      <c r="D16" t="s">
        <v>1172</v>
      </c>
      <c r="E16">
        <v>1</v>
      </c>
      <c r="F16">
        <v>107</v>
      </c>
      <c r="G16" t="s">
        <v>1173</v>
      </c>
      <c r="H16">
        <v>10</v>
      </c>
      <c r="I16">
        <v>5</v>
      </c>
      <c r="J16">
        <v>1200</v>
      </c>
      <c r="K16">
        <v>250</v>
      </c>
      <c r="L16">
        <v>150</v>
      </c>
      <c r="M16">
        <v>150</v>
      </c>
      <c r="N16">
        <v>105</v>
      </c>
      <c r="O16">
        <v>0</v>
      </c>
      <c r="P16">
        <v>100</v>
      </c>
    </row>
    <row r="17" spans="1:16" x14ac:dyDescent="0.25">
      <c r="A17">
        <v>2003</v>
      </c>
      <c r="B17" t="s">
        <v>1191</v>
      </c>
      <c r="C17">
        <v>2</v>
      </c>
      <c r="D17" t="s">
        <v>1192</v>
      </c>
      <c r="E17">
        <v>5</v>
      </c>
      <c r="F17">
        <v>203</v>
      </c>
      <c r="G17" t="s">
        <v>1173</v>
      </c>
      <c r="H17">
        <v>6</v>
      </c>
      <c r="I17">
        <v>4</v>
      </c>
      <c r="J17">
        <v>140</v>
      </c>
      <c r="K17">
        <v>90</v>
      </c>
      <c r="L17">
        <v>75</v>
      </c>
      <c r="M17">
        <v>110</v>
      </c>
      <c r="N17">
        <v>40</v>
      </c>
      <c r="O17">
        <v>100</v>
      </c>
      <c r="P17">
        <v>95</v>
      </c>
    </row>
    <row r="18" spans="1:16" x14ac:dyDescent="0.25">
      <c r="A18">
        <v>2014</v>
      </c>
      <c r="B18" t="s">
        <v>1205</v>
      </c>
      <c r="C18">
        <v>2</v>
      </c>
      <c r="D18" t="s">
        <v>1192</v>
      </c>
      <c r="E18">
        <v>5</v>
      </c>
      <c r="F18">
        <v>214</v>
      </c>
      <c r="G18" t="s">
        <v>1173</v>
      </c>
      <c r="H18">
        <v>6</v>
      </c>
      <c r="I18">
        <v>4</v>
      </c>
      <c r="J18">
        <v>180</v>
      </c>
      <c r="K18">
        <v>75</v>
      </c>
      <c r="L18">
        <v>50</v>
      </c>
      <c r="M18">
        <v>110</v>
      </c>
      <c r="N18">
        <v>50</v>
      </c>
      <c r="O18">
        <v>105</v>
      </c>
      <c r="P18">
        <v>95</v>
      </c>
    </row>
    <row r="19" spans="1:16" x14ac:dyDescent="0.25">
      <c r="A19">
        <v>2001</v>
      </c>
      <c r="B19" t="s">
        <v>1189</v>
      </c>
      <c r="C19">
        <v>2</v>
      </c>
      <c r="D19" t="s">
        <v>1175</v>
      </c>
      <c r="E19">
        <v>5</v>
      </c>
      <c r="F19">
        <v>201</v>
      </c>
      <c r="G19" t="s">
        <v>1173</v>
      </c>
      <c r="H19">
        <v>4</v>
      </c>
      <c r="I19">
        <v>4</v>
      </c>
      <c r="J19">
        <v>75</v>
      </c>
      <c r="K19">
        <v>62</v>
      </c>
      <c r="L19">
        <v>80</v>
      </c>
      <c r="M19">
        <v>100</v>
      </c>
      <c r="N19">
        <v>90</v>
      </c>
      <c r="O19">
        <v>0</v>
      </c>
      <c r="P19">
        <v>95</v>
      </c>
    </row>
    <row r="20" spans="1:16" x14ac:dyDescent="0.25">
      <c r="A20">
        <v>2002</v>
      </c>
      <c r="B20" t="s">
        <v>1190</v>
      </c>
      <c r="C20">
        <v>2</v>
      </c>
      <c r="D20" t="s">
        <v>1175</v>
      </c>
      <c r="E20">
        <v>5</v>
      </c>
      <c r="F20">
        <v>202</v>
      </c>
      <c r="G20" t="s">
        <v>1173</v>
      </c>
      <c r="H20">
        <v>6</v>
      </c>
      <c r="I20">
        <v>4</v>
      </c>
      <c r="J20">
        <v>132</v>
      </c>
      <c r="K20">
        <v>105</v>
      </c>
      <c r="L20">
        <v>65</v>
      </c>
      <c r="M20">
        <v>105</v>
      </c>
      <c r="N20">
        <v>75</v>
      </c>
      <c r="O20">
        <v>0</v>
      </c>
      <c r="P20">
        <v>95</v>
      </c>
    </row>
    <row r="21" spans="1:16" x14ac:dyDescent="0.25">
      <c r="A21">
        <v>2012</v>
      </c>
      <c r="B21" t="s">
        <v>1203</v>
      </c>
      <c r="C21">
        <v>2</v>
      </c>
      <c r="D21" t="s">
        <v>1175</v>
      </c>
      <c r="E21">
        <v>5</v>
      </c>
      <c r="F21">
        <v>212</v>
      </c>
      <c r="G21" t="s">
        <v>1173</v>
      </c>
      <c r="H21">
        <v>6</v>
      </c>
      <c r="I21">
        <v>4</v>
      </c>
      <c r="J21">
        <v>135</v>
      </c>
      <c r="K21">
        <v>122</v>
      </c>
      <c r="L21">
        <v>65</v>
      </c>
      <c r="M21">
        <v>115</v>
      </c>
      <c r="N21">
        <v>80</v>
      </c>
      <c r="O21">
        <v>0</v>
      </c>
      <c r="P21">
        <v>95</v>
      </c>
    </row>
    <row r="22" spans="1:16" x14ac:dyDescent="0.25">
      <c r="A22">
        <v>2008</v>
      </c>
      <c r="B22" t="s">
        <v>1198</v>
      </c>
      <c r="C22">
        <v>2</v>
      </c>
      <c r="D22" t="s">
        <v>1175</v>
      </c>
      <c r="E22">
        <v>5</v>
      </c>
      <c r="F22">
        <v>208</v>
      </c>
      <c r="G22" t="s">
        <v>1173</v>
      </c>
      <c r="H22">
        <v>6</v>
      </c>
      <c r="I22">
        <v>4</v>
      </c>
      <c r="J22">
        <v>140</v>
      </c>
      <c r="K22">
        <v>100</v>
      </c>
      <c r="L22">
        <v>75</v>
      </c>
      <c r="M22">
        <v>130</v>
      </c>
      <c r="N22">
        <v>80</v>
      </c>
      <c r="O22">
        <v>0</v>
      </c>
      <c r="P22">
        <v>95</v>
      </c>
    </row>
    <row r="23" spans="1:16" x14ac:dyDescent="0.25">
      <c r="A23">
        <v>2006</v>
      </c>
      <c r="B23" t="s">
        <v>1197</v>
      </c>
      <c r="C23">
        <v>2</v>
      </c>
      <c r="D23" t="s">
        <v>1194</v>
      </c>
      <c r="E23">
        <v>1</v>
      </c>
      <c r="F23">
        <v>206</v>
      </c>
      <c r="G23" t="s">
        <v>1173</v>
      </c>
      <c r="H23">
        <v>10</v>
      </c>
      <c r="I23">
        <v>4</v>
      </c>
      <c r="J23">
        <v>165</v>
      </c>
      <c r="K23">
        <v>130</v>
      </c>
      <c r="L23">
        <v>85</v>
      </c>
      <c r="M23">
        <v>110</v>
      </c>
      <c r="N23">
        <v>50</v>
      </c>
      <c r="O23">
        <v>120</v>
      </c>
      <c r="P23">
        <v>75</v>
      </c>
    </row>
    <row r="24" spans="1:16" x14ac:dyDescent="0.25">
      <c r="A24">
        <v>2004</v>
      </c>
      <c r="B24" t="s">
        <v>1193</v>
      </c>
      <c r="C24">
        <v>2</v>
      </c>
      <c r="D24" t="s">
        <v>1194</v>
      </c>
      <c r="E24">
        <v>5</v>
      </c>
      <c r="F24">
        <v>204</v>
      </c>
      <c r="G24" t="s">
        <v>1173</v>
      </c>
      <c r="H24">
        <v>6</v>
      </c>
      <c r="I24">
        <v>4</v>
      </c>
      <c r="J24">
        <v>98</v>
      </c>
      <c r="K24">
        <v>165</v>
      </c>
      <c r="L24">
        <v>60</v>
      </c>
      <c r="M24">
        <v>110</v>
      </c>
      <c r="N24">
        <v>30</v>
      </c>
      <c r="O24">
        <v>50</v>
      </c>
      <c r="P24">
        <v>95</v>
      </c>
    </row>
    <row r="25" spans="1:16" x14ac:dyDescent="0.25">
      <c r="A25">
        <v>2011</v>
      </c>
      <c r="B25" t="s">
        <v>1201</v>
      </c>
      <c r="C25">
        <v>2</v>
      </c>
      <c r="D25" t="s">
        <v>1202</v>
      </c>
      <c r="E25">
        <v>5</v>
      </c>
      <c r="F25">
        <v>211</v>
      </c>
      <c r="G25" t="s">
        <v>1173</v>
      </c>
      <c r="H25">
        <v>4</v>
      </c>
      <c r="I25">
        <v>4</v>
      </c>
      <c r="J25">
        <v>95</v>
      </c>
      <c r="K25">
        <v>75</v>
      </c>
      <c r="L25">
        <v>120</v>
      </c>
      <c r="M25">
        <v>110</v>
      </c>
      <c r="N25">
        <v>95</v>
      </c>
      <c r="O25">
        <v>0</v>
      </c>
      <c r="P25">
        <v>95</v>
      </c>
    </row>
    <row r="26" spans="1:16" x14ac:dyDescent="0.25">
      <c r="A26">
        <v>2009</v>
      </c>
      <c r="B26" t="s">
        <v>1199</v>
      </c>
      <c r="C26">
        <v>2</v>
      </c>
      <c r="D26" t="s">
        <v>1172</v>
      </c>
      <c r="E26">
        <v>5</v>
      </c>
      <c r="F26">
        <v>209</v>
      </c>
      <c r="G26" t="s">
        <v>1173</v>
      </c>
      <c r="H26">
        <v>6</v>
      </c>
      <c r="I26">
        <v>4</v>
      </c>
      <c r="J26">
        <v>115</v>
      </c>
      <c r="K26">
        <v>72</v>
      </c>
      <c r="L26">
        <v>100</v>
      </c>
      <c r="M26">
        <v>85</v>
      </c>
      <c r="N26">
        <v>140</v>
      </c>
      <c r="O26">
        <v>0</v>
      </c>
      <c r="P26">
        <v>95</v>
      </c>
    </row>
    <row r="27" spans="1:16" x14ac:dyDescent="0.25">
      <c r="A27">
        <v>2013</v>
      </c>
      <c r="B27" t="s">
        <v>1204</v>
      </c>
      <c r="C27">
        <v>2</v>
      </c>
      <c r="D27" t="s">
        <v>1172</v>
      </c>
      <c r="E27">
        <v>5</v>
      </c>
      <c r="F27">
        <v>213</v>
      </c>
      <c r="G27" t="s">
        <v>1173</v>
      </c>
      <c r="H27">
        <v>6</v>
      </c>
      <c r="I27">
        <v>4</v>
      </c>
      <c r="J27">
        <v>100</v>
      </c>
      <c r="K27">
        <v>100</v>
      </c>
      <c r="L27">
        <v>115</v>
      </c>
      <c r="M27">
        <v>80</v>
      </c>
      <c r="N27">
        <v>45</v>
      </c>
      <c r="O27">
        <v>0</v>
      </c>
      <c r="P27">
        <v>95</v>
      </c>
    </row>
    <row r="28" spans="1:16" x14ac:dyDescent="0.25">
      <c r="A28">
        <v>2005</v>
      </c>
      <c r="B28" t="s">
        <v>1195</v>
      </c>
      <c r="C28">
        <v>2</v>
      </c>
      <c r="D28" t="s">
        <v>1196</v>
      </c>
      <c r="E28">
        <v>5</v>
      </c>
      <c r="F28">
        <v>205</v>
      </c>
      <c r="G28" t="s">
        <v>1173</v>
      </c>
      <c r="H28">
        <v>3</v>
      </c>
      <c r="I28">
        <v>4</v>
      </c>
      <c r="J28">
        <v>36</v>
      </c>
      <c r="K28">
        <v>100</v>
      </c>
      <c r="L28">
        <v>105</v>
      </c>
      <c r="M28">
        <v>105</v>
      </c>
      <c r="N28">
        <v>50</v>
      </c>
      <c r="O28">
        <v>60</v>
      </c>
      <c r="P28">
        <v>95</v>
      </c>
    </row>
    <row r="29" spans="1:16" x14ac:dyDescent="0.25">
      <c r="A29">
        <v>2010</v>
      </c>
      <c r="B29" t="s">
        <v>1200</v>
      </c>
      <c r="C29">
        <v>2</v>
      </c>
      <c r="D29" t="s">
        <v>1172</v>
      </c>
      <c r="E29">
        <v>5</v>
      </c>
      <c r="F29">
        <v>210</v>
      </c>
      <c r="G29" t="s">
        <v>1173</v>
      </c>
      <c r="H29">
        <v>6</v>
      </c>
      <c r="I29">
        <v>4</v>
      </c>
      <c r="J29">
        <v>95</v>
      </c>
      <c r="K29">
        <v>95</v>
      </c>
      <c r="L29">
        <v>105</v>
      </c>
      <c r="M29">
        <v>115</v>
      </c>
      <c r="N29">
        <v>95</v>
      </c>
      <c r="O29">
        <v>0</v>
      </c>
      <c r="P29">
        <v>95</v>
      </c>
    </row>
    <row r="30" spans="1:16" x14ac:dyDescent="0.25">
      <c r="A30">
        <v>3006</v>
      </c>
      <c r="B30" t="s">
        <v>1211</v>
      </c>
      <c r="C30">
        <v>3</v>
      </c>
      <c r="D30" t="s">
        <v>1202</v>
      </c>
      <c r="E30">
        <v>5</v>
      </c>
      <c r="F30">
        <v>306</v>
      </c>
      <c r="G30" t="s">
        <v>1173</v>
      </c>
      <c r="H30">
        <v>2</v>
      </c>
      <c r="I30">
        <v>3</v>
      </c>
      <c r="J30">
        <v>36</v>
      </c>
      <c r="K30">
        <v>90</v>
      </c>
      <c r="L30">
        <v>100</v>
      </c>
      <c r="M30">
        <v>100</v>
      </c>
      <c r="N30">
        <v>100</v>
      </c>
      <c r="O30">
        <v>0</v>
      </c>
      <c r="P30">
        <v>95</v>
      </c>
    </row>
    <row r="31" spans="1:16" x14ac:dyDescent="0.25">
      <c r="A31">
        <v>3010</v>
      </c>
      <c r="B31" t="s">
        <v>1216</v>
      </c>
      <c r="C31">
        <v>3</v>
      </c>
      <c r="D31" t="s">
        <v>1194</v>
      </c>
      <c r="E31">
        <v>1</v>
      </c>
      <c r="F31">
        <v>310</v>
      </c>
      <c r="G31" t="s">
        <v>1173</v>
      </c>
      <c r="H31">
        <v>8</v>
      </c>
      <c r="I31">
        <v>3</v>
      </c>
      <c r="J31">
        <v>160</v>
      </c>
      <c r="K31">
        <v>320</v>
      </c>
      <c r="L31">
        <v>90</v>
      </c>
      <c r="M31">
        <v>350</v>
      </c>
      <c r="N31">
        <v>0</v>
      </c>
      <c r="O31">
        <v>90</v>
      </c>
      <c r="P31">
        <v>75</v>
      </c>
    </row>
    <row r="32" spans="1:16" x14ac:dyDescent="0.25">
      <c r="A32">
        <v>3003</v>
      </c>
      <c r="B32" t="s">
        <v>1208</v>
      </c>
      <c r="C32">
        <v>3</v>
      </c>
      <c r="D32" t="s">
        <v>1175</v>
      </c>
      <c r="E32">
        <v>5</v>
      </c>
      <c r="F32">
        <v>303</v>
      </c>
      <c r="G32" t="s">
        <v>1173</v>
      </c>
      <c r="H32">
        <v>4</v>
      </c>
      <c r="I32">
        <v>3</v>
      </c>
      <c r="J32">
        <v>135</v>
      </c>
      <c r="K32">
        <v>80</v>
      </c>
      <c r="L32">
        <v>75</v>
      </c>
      <c r="M32">
        <v>120</v>
      </c>
      <c r="N32">
        <v>80</v>
      </c>
      <c r="O32">
        <v>0</v>
      </c>
      <c r="P32">
        <v>95</v>
      </c>
    </row>
    <row r="33" spans="1:16" x14ac:dyDescent="0.25">
      <c r="A33">
        <v>3004</v>
      </c>
      <c r="B33" t="s">
        <v>1209</v>
      </c>
      <c r="C33">
        <v>3</v>
      </c>
      <c r="D33" t="s">
        <v>1172</v>
      </c>
      <c r="E33">
        <v>5</v>
      </c>
      <c r="F33">
        <v>304</v>
      </c>
      <c r="G33" t="s">
        <v>1173</v>
      </c>
      <c r="H33">
        <v>4</v>
      </c>
      <c r="I33">
        <v>3</v>
      </c>
      <c r="J33">
        <v>65</v>
      </c>
      <c r="K33">
        <v>105</v>
      </c>
      <c r="L33">
        <v>65</v>
      </c>
      <c r="M33">
        <v>125</v>
      </c>
      <c r="N33">
        <v>55</v>
      </c>
      <c r="O33">
        <v>0</v>
      </c>
      <c r="P33">
        <v>95</v>
      </c>
    </row>
    <row r="34" spans="1:16" x14ac:dyDescent="0.25">
      <c r="A34">
        <v>3009</v>
      </c>
      <c r="B34" t="s">
        <v>1214</v>
      </c>
      <c r="C34">
        <v>3</v>
      </c>
      <c r="D34" t="s">
        <v>1215</v>
      </c>
      <c r="E34">
        <v>5</v>
      </c>
      <c r="F34">
        <v>309</v>
      </c>
      <c r="G34" t="s">
        <v>1173</v>
      </c>
      <c r="H34">
        <v>4</v>
      </c>
      <c r="I34">
        <v>3</v>
      </c>
      <c r="J34">
        <v>55</v>
      </c>
      <c r="K34">
        <v>72</v>
      </c>
      <c r="L34">
        <v>50</v>
      </c>
      <c r="M34">
        <v>130</v>
      </c>
      <c r="N34">
        <v>90</v>
      </c>
      <c r="O34">
        <v>0</v>
      </c>
      <c r="P34">
        <v>95</v>
      </c>
    </row>
    <row r="35" spans="1:16" x14ac:dyDescent="0.25">
      <c r="A35">
        <v>3008</v>
      </c>
      <c r="B35" t="s">
        <v>1213</v>
      </c>
      <c r="C35">
        <v>3</v>
      </c>
      <c r="D35" t="s">
        <v>1202</v>
      </c>
      <c r="E35">
        <v>5</v>
      </c>
      <c r="F35">
        <v>308</v>
      </c>
      <c r="G35" t="s">
        <v>1173</v>
      </c>
      <c r="H35">
        <v>4</v>
      </c>
      <c r="I35">
        <v>3</v>
      </c>
      <c r="J35">
        <v>90</v>
      </c>
      <c r="K35">
        <v>68</v>
      </c>
      <c r="L35">
        <v>120</v>
      </c>
      <c r="M35">
        <v>110</v>
      </c>
      <c r="N35">
        <v>95</v>
      </c>
      <c r="O35">
        <v>0</v>
      </c>
      <c r="P35">
        <v>95</v>
      </c>
    </row>
    <row r="36" spans="1:16" x14ac:dyDescent="0.25">
      <c r="A36">
        <v>3001</v>
      </c>
      <c r="B36" t="s">
        <v>1206</v>
      </c>
      <c r="C36">
        <v>3</v>
      </c>
      <c r="D36" t="s">
        <v>1172</v>
      </c>
      <c r="E36">
        <v>5</v>
      </c>
      <c r="F36">
        <v>301</v>
      </c>
      <c r="G36" t="s">
        <v>1173</v>
      </c>
      <c r="H36">
        <v>4</v>
      </c>
      <c r="I36">
        <v>3</v>
      </c>
      <c r="J36">
        <v>100</v>
      </c>
      <c r="K36">
        <v>62</v>
      </c>
      <c r="L36">
        <v>100</v>
      </c>
      <c r="M36">
        <v>65</v>
      </c>
      <c r="N36">
        <v>130</v>
      </c>
      <c r="O36">
        <v>0</v>
      </c>
      <c r="P36">
        <v>95</v>
      </c>
    </row>
    <row r="37" spans="1:16" x14ac:dyDescent="0.25">
      <c r="A37">
        <v>3007</v>
      </c>
      <c r="B37" t="s">
        <v>1212</v>
      </c>
      <c r="C37">
        <v>3</v>
      </c>
      <c r="D37" t="s">
        <v>1202</v>
      </c>
      <c r="E37">
        <v>5</v>
      </c>
      <c r="F37">
        <v>307</v>
      </c>
      <c r="G37" t="s">
        <v>1173</v>
      </c>
      <c r="H37">
        <v>4</v>
      </c>
      <c r="I37">
        <v>3</v>
      </c>
      <c r="J37">
        <v>75</v>
      </c>
      <c r="K37">
        <v>72</v>
      </c>
      <c r="L37">
        <v>100</v>
      </c>
      <c r="M37">
        <v>100</v>
      </c>
      <c r="N37">
        <v>140</v>
      </c>
      <c r="O37">
        <v>0</v>
      </c>
      <c r="P37">
        <v>95</v>
      </c>
    </row>
    <row r="38" spans="1:16" x14ac:dyDescent="0.25">
      <c r="A38">
        <v>3005</v>
      </c>
      <c r="B38" t="s">
        <v>1210</v>
      </c>
      <c r="C38">
        <v>3</v>
      </c>
      <c r="D38" t="s">
        <v>1172</v>
      </c>
      <c r="E38">
        <v>5</v>
      </c>
      <c r="F38">
        <v>305</v>
      </c>
      <c r="G38" t="s">
        <v>1173</v>
      </c>
      <c r="H38">
        <v>4</v>
      </c>
      <c r="I38">
        <v>3</v>
      </c>
      <c r="J38">
        <v>80</v>
      </c>
      <c r="K38">
        <v>80</v>
      </c>
      <c r="L38">
        <v>115</v>
      </c>
      <c r="M38">
        <v>50</v>
      </c>
      <c r="N38">
        <v>45</v>
      </c>
      <c r="O38">
        <v>0</v>
      </c>
      <c r="P38">
        <v>95</v>
      </c>
    </row>
    <row r="39" spans="1:16" x14ac:dyDescent="0.25">
      <c r="A39">
        <v>3002</v>
      </c>
      <c r="B39" t="s">
        <v>1207</v>
      </c>
      <c r="C39">
        <v>3</v>
      </c>
      <c r="D39" t="s">
        <v>1172</v>
      </c>
      <c r="E39">
        <v>5</v>
      </c>
      <c r="F39">
        <v>302</v>
      </c>
      <c r="G39" t="s">
        <v>1173</v>
      </c>
      <c r="H39">
        <v>4</v>
      </c>
      <c r="I39">
        <v>3</v>
      </c>
      <c r="J39">
        <v>92</v>
      </c>
      <c r="K39">
        <v>85</v>
      </c>
      <c r="L39">
        <v>100</v>
      </c>
      <c r="M39">
        <v>110</v>
      </c>
      <c r="N39">
        <v>90</v>
      </c>
      <c r="O39">
        <v>0</v>
      </c>
      <c r="P39">
        <v>95</v>
      </c>
    </row>
  </sheetData>
  <autoFilter ref="A1:P39" xr:uid="{AB209710-2DD3-4889-ACDD-991CE41A91A1}">
    <sortState ref="A2:P39">
      <sortCondition ref="C2:C39"/>
      <sortCondition ref="B2:B39"/>
    </sortState>
  </autoFilter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425</v>
      </c>
      <c r="C1" s="43" t="s">
        <v>1284</v>
      </c>
    </row>
    <row r="2" spans="1:3" x14ac:dyDescent="0.25">
      <c r="A2" s="1">
        <v>1001</v>
      </c>
      <c r="B2" t="s">
        <v>1287</v>
      </c>
      <c r="C2" t="s">
        <v>1285</v>
      </c>
    </row>
    <row r="3" spans="1:3" x14ac:dyDescent="0.25">
      <c r="A3" s="1">
        <v>1002</v>
      </c>
      <c r="B3" t="s">
        <v>1282</v>
      </c>
      <c r="C3" t="s">
        <v>1286</v>
      </c>
    </row>
    <row r="4" spans="1:3" x14ac:dyDescent="0.25">
      <c r="A4" s="1">
        <v>1003</v>
      </c>
      <c r="B4" t="s">
        <v>1283</v>
      </c>
      <c r="C4" t="s">
        <v>1294</v>
      </c>
    </row>
    <row r="5" spans="1:3" x14ac:dyDescent="0.25">
      <c r="A5" s="1">
        <v>1004</v>
      </c>
      <c r="B5" t="s">
        <v>1218</v>
      </c>
      <c r="C5" t="s">
        <v>1295</v>
      </c>
    </row>
    <row r="6" spans="1:3" x14ac:dyDescent="0.25">
      <c r="A6" s="1">
        <v>1005</v>
      </c>
      <c r="B6" t="s">
        <v>1219</v>
      </c>
      <c r="C6" t="s">
        <v>1296</v>
      </c>
    </row>
    <row r="8" spans="1:3" x14ac:dyDescent="0.25">
      <c r="A8" s="1">
        <v>2003</v>
      </c>
      <c r="B8" t="s">
        <v>1288</v>
      </c>
      <c r="C8" t="s">
        <v>1297</v>
      </c>
    </row>
    <row r="9" spans="1:3" x14ac:dyDescent="0.25">
      <c r="A9" s="1">
        <v>2004</v>
      </c>
      <c r="B9" t="s">
        <v>1289</v>
      </c>
      <c r="C9" t="s">
        <v>1298</v>
      </c>
    </row>
    <row r="11" spans="1:3" x14ac:dyDescent="0.25">
      <c r="A11" s="1">
        <v>3001</v>
      </c>
      <c r="B11" t="s">
        <v>1290</v>
      </c>
      <c r="C11" t="s">
        <v>1299</v>
      </c>
    </row>
    <row r="12" spans="1:3" x14ac:dyDescent="0.25">
      <c r="A12" s="1">
        <v>3002</v>
      </c>
      <c r="B12" t="s">
        <v>1292</v>
      </c>
      <c r="C12" t="s">
        <v>1300</v>
      </c>
    </row>
    <row r="13" spans="1:3" x14ac:dyDescent="0.25">
      <c r="A13" s="1">
        <v>3003</v>
      </c>
      <c r="B13" t="s">
        <v>1293</v>
      </c>
      <c r="C13" t="s">
        <v>1301</v>
      </c>
    </row>
    <row r="14" spans="1:3" x14ac:dyDescent="0.25">
      <c r="A14" s="1">
        <v>3004</v>
      </c>
      <c r="B14" t="s">
        <v>1291</v>
      </c>
      <c r="C14" t="s">
        <v>1302</v>
      </c>
    </row>
    <row r="15" spans="1:3" x14ac:dyDescent="0.25">
      <c r="A15" s="1">
        <v>3005</v>
      </c>
      <c r="B15" t="s">
        <v>1220</v>
      </c>
      <c r="C15" t="s">
        <v>1303</v>
      </c>
    </row>
    <row r="16" spans="1:3" x14ac:dyDescent="0.25">
      <c r="A16" s="1">
        <v>3006</v>
      </c>
      <c r="B16" t="s">
        <v>1221</v>
      </c>
      <c r="C16" t="s">
        <v>1304</v>
      </c>
    </row>
  </sheetData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P231"/>
  <sheetViews>
    <sheetView workbookViewId="0">
      <pane ySplit="1" topLeftCell="A2" activePane="bottomLeft" state="frozen"/>
      <selection pane="bottomLeft"/>
    </sheetView>
  </sheetViews>
  <sheetFormatPr defaultRowHeight="15" x14ac:dyDescent="0.25"/>
  <sheetData>
    <row r="1" spans="1:16" x14ac:dyDescent="0.25">
      <c r="A1" s="43" t="s">
        <v>25</v>
      </c>
      <c r="B1" s="43" t="s">
        <v>1233</v>
      </c>
      <c r="C1" s="43" t="s">
        <v>1241</v>
      </c>
      <c r="D1" s="43" t="s">
        <v>1256</v>
      </c>
      <c r="E1" s="43" t="s">
        <v>1257</v>
      </c>
      <c r="F1" s="43" t="s">
        <v>1258</v>
      </c>
      <c r="G1" s="43" t="s">
        <v>1259</v>
      </c>
      <c r="H1" s="43" t="s">
        <v>1260</v>
      </c>
      <c r="I1" s="43" t="s">
        <v>1261</v>
      </c>
      <c r="J1" s="43" t="s">
        <v>1262</v>
      </c>
      <c r="K1" s="43" t="s">
        <v>1263</v>
      </c>
      <c r="L1" s="43" t="s">
        <v>1264</v>
      </c>
      <c r="M1" s="43" t="s">
        <v>1265</v>
      </c>
      <c r="N1" s="43" t="s">
        <v>1266</v>
      </c>
      <c r="O1" s="43" t="s">
        <v>1267</v>
      </c>
      <c r="P1" s="43" t="s">
        <v>1268</v>
      </c>
    </row>
    <row r="2" spans="1:16" x14ac:dyDescent="0.25">
      <c r="A2" s="1">
        <v>10000</v>
      </c>
      <c r="B2" s="1">
        <v>100</v>
      </c>
      <c r="C2" s="1">
        <v>0</v>
      </c>
      <c r="D2" s="1">
        <v>0</v>
      </c>
      <c r="E2" s="1">
        <v>1</v>
      </c>
      <c r="F2" s="1">
        <v>366</v>
      </c>
      <c r="G2" s="1">
        <v>44</v>
      </c>
      <c r="H2" s="1">
        <v>38</v>
      </c>
      <c r="I2" s="1">
        <v>23</v>
      </c>
      <c r="J2" s="1">
        <v>48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  <row r="3" spans="1:16" x14ac:dyDescent="0.25">
      <c r="A3" s="1">
        <v>10001</v>
      </c>
      <c r="B3" s="1">
        <v>100</v>
      </c>
      <c r="C3" s="1">
        <v>1</v>
      </c>
      <c r="D3" s="1">
        <v>0</v>
      </c>
      <c r="E3" s="1">
        <v>1</v>
      </c>
      <c r="F3" s="1">
        <v>366</v>
      </c>
      <c r="G3" s="1">
        <v>44</v>
      </c>
      <c r="H3" s="1">
        <v>38</v>
      </c>
      <c r="I3" s="1">
        <v>23</v>
      </c>
      <c r="J3" s="1">
        <v>48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200</v>
      </c>
    </row>
    <row r="4" spans="1:16" x14ac:dyDescent="0.25">
      <c r="A4" s="1">
        <v>10002</v>
      </c>
      <c r="B4" s="1">
        <v>100</v>
      </c>
      <c r="C4" s="1">
        <v>2</v>
      </c>
      <c r="D4" s="1">
        <v>0</v>
      </c>
      <c r="E4" s="1">
        <v>1</v>
      </c>
      <c r="F4" s="1">
        <v>366</v>
      </c>
      <c r="G4" s="1">
        <v>80</v>
      </c>
      <c r="H4" s="1">
        <v>38</v>
      </c>
      <c r="I4" s="1">
        <v>23</v>
      </c>
      <c r="J4" s="1">
        <v>48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200</v>
      </c>
    </row>
    <row r="5" spans="1:16" x14ac:dyDescent="0.25">
      <c r="A5" s="1">
        <v>10003</v>
      </c>
      <c r="B5" s="1">
        <v>100</v>
      </c>
      <c r="C5" s="1">
        <v>3</v>
      </c>
      <c r="D5" s="1">
        <v>0</v>
      </c>
      <c r="E5" s="1">
        <v>1</v>
      </c>
      <c r="F5" s="1">
        <v>366</v>
      </c>
      <c r="G5" s="1">
        <v>80</v>
      </c>
      <c r="H5" s="1">
        <v>38</v>
      </c>
      <c r="I5" s="1">
        <v>33</v>
      </c>
      <c r="J5" s="1">
        <v>63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200</v>
      </c>
    </row>
    <row r="6" spans="1:16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366</v>
      </c>
      <c r="G6" s="1">
        <v>80</v>
      </c>
      <c r="H6" s="1">
        <v>38</v>
      </c>
      <c r="I6" s="1">
        <v>33</v>
      </c>
      <c r="J6" s="1">
        <v>63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200</v>
      </c>
    </row>
    <row r="7" spans="1:16" x14ac:dyDescent="0.25">
      <c r="A7" s="1">
        <v>10100</v>
      </c>
      <c r="B7" s="1">
        <v>101</v>
      </c>
      <c r="C7" s="1">
        <v>0</v>
      </c>
      <c r="D7" s="1">
        <v>0</v>
      </c>
      <c r="E7" s="1">
        <v>1</v>
      </c>
      <c r="F7" s="1">
        <v>331</v>
      </c>
      <c r="G7" s="1">
        <v>42</v>
      </c>
      <c r="H7" s="1">
        <v>36</v>
      </c>
      <c r="I7" s="1">
        <v>19</v>
      </c>
      <c r="J7" s="1">
        <v>58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</row>
    <row r="8" spans="1:16" x14ac:dyDescent="0.25">
      <c r="A8" s="1">
        <v>10101</v>
      </c>
      <c r="B8" s="1">
        <v>101</v>
      </c>
      <c r="C8" s="1">
        <v>1</v>
      </c>
      <c r="D8" s="1">
        <v>0</v>
      </c>
      <c r="E8" s="1">
        <v>1</v>
      </c>
      <c r="F8" s="1">
        <v>331</v>
      </c>
      <c r="G8" s="1">
        <v>42</v>
      </c>
      <c r="H8" s="1">
        <v>36</v>
      </c>
      <c r="I8" s="1">
        <v>19</v>
      </c>
      <c r="J8" s="1">
        <v>58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200</v>
      </c>
    </row>
    <row r="9" spans="1:16" x14ac:dyDescent="0.25">
      <c r="A9" s="1">
        <v>10102</v>
      </c>
      <c r="B9" s="1">
        <v>101</v>
      </c>
      <c r="C9" s="1">
        <v>2</v>
      </c>
      <c r="D9" s="1">
        <v>0</v>
      </c>
      <c r="E9" s="1">
        <v>1</v>
      </c>
      <c r="F9" s="1">
        <v>331</v>
      </c>
      <c r="G9" s="1">
        <v>72</v>
      </c>
      <c r="H9" s="1">
        <v>36</v>
      </c>
      <c r="I9" s="1">
        <v>29</v>
      </c>
      <c r="J9" s="1">
        <v>58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200</v>
      </c>
    </row>
    <row r="10" spans="1:16" x14ac:dyDescent="0.25">
      <c r="A10" s="1">
        <v>10103</v>
      </c>
      <c r="B10" s="1">
        <v>101</v>
      </c>
      <c r="C10" s="1">
        <v>3</v>
      </c>
      <c r="D10" s="1">
        <v>0</v>
      </c>
      <c r="E10" s="1">
        <v>1</v>
      </c>
      <c r="F10" s="1">
        <v>331</v>
      </c>
      <c r="G10" s="1">
        <v>72</v>
      </c>
      <c r="H10" s="1">
        <v>42</v>
      </c>
      <c r="I10" s="1">
        <v>29</v>
      </c>
      <c r="J10" s="1">
        <v>73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200</v>
      </c>
    </row>
    <row r="11" spans="1:16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331</v>
      </c>
      <c r="G11" s="1">
        <v>72</v>
      </c>
      <c r="H11" s="1">
        <v>42</v>
      </c>
      <c r="I11" s="1">
        <v>29</v>
      </c>
      <c r="J11" s="1">
        <v>73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200</v>
      </c>
    </row>
    <row r="12" spans="1:16" x14ac:dyDescent="0.25">
      <c r="A12" s="1">
        <v>10200</v>
      </c>
      <c r="B12" s="1">
        <v>102</v>
      </c>
      <c r="C12" s="1">
        <v>0</v>
      </c>
      <c r="D12" s="1">
        <v>0</v>
      </c>
      <c r="E12" s="1">
        <v>1</v>
      </c>
      <c r="F12" s="1">
        <v>319</v>
      </c>
      <c r="G12" s="1">
        <v>42</v>
      </c>
      <c r="H12" s="1">
        <v>32</v>
      </c>
      <c r="I12" s="1">
        <v>31</v>
      </c>
      <c r="J12" s="1">
        <v>42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</row>
    <row r="13" spans="1:16" x14ac:dyDescent="0.25">
      <c r="A13" s="1">
        <v>10201</v>
      </c>
      <c r="B13" s="1">
        <v>102</v>
      </c>
      <c r="C13" s="1">
        <v>1</v>
      </c>
      <c r="D13" s="1">
        <v>0</v>
      </c>
      <c r="E13" s="1">
        <v>1</v>
      </c>
      <c r="F13" s="1">
        <v>319</v>
      </c>
      <c r="G13" s="1">
        <v>42</v>
      </c>
      <c r="H13" s="1">
        <v>32</v>
      </c>
      <c r="I13" s="1">
        <v>31</v>
      </c>
      <c r="J13" s="1">
        <v>42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200</v>
      </c>
    </row>
    <row r="14" spans="1:16" x14ac:dyDescent="0.25">
      <c r="A14" s="1">
        <v>10202</v>
      </c>
      <c r="B14" s="1">
        <v>102</v>
      </c>
      <c r="C14" s="1">
        <v>2</v>
      </c>
      <c r="D14" s="1">
        <v>0</v>
      </c>
      <c r="E14" s="1">
        <v>1</v>
      </c>
      <c r="F14" s="1">
        <v>319</v>
      </c>
      <c r="G14" s="1">
        <v>82</v>
      </c>
      <c r="H14" s="1">
        <v>32</v>
      </c>
      <c r="I14" s="1">
        <v>31</v>
      </c>
      <c r="J14" s="1">
        <v>42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200</v>
      </c>
    </row>
    <row r="15" spans="1:16" x14ac:dyDescent="0.25">
      <c r="A15" s="1">
        <v>10203</v>
      </c>
      <c r="B15" s="1">
        <v>102</v>
      </c>
      <c r="C15" s="1">
        <v>3</v>
      </c>
      <c r="D15" s="1">
        <v>0</v>
      </c>
      <c r="E15" s="1">
        <v>1</v>
      </c>
      <c r="F15" s="1">
        <v>439</v>
      </c>
      <c r="G15" s="1">
        <v>82</v>
      </c>
      <c r="H15" s="1">
        <v>32</v>
      </c>
      <c r="I15" s="1">
        <v>31</v>
      </c>
      <c r="J15" s="1">
        <v>57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200</v>
      </c>
    </row>
    <row r="16" spans="1:16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439</v>
      </c>
      <c r="G16" s="1">
        <v>82</v>
      </c>
      <c r="H16" s="1">
        <v>32</v>
      </c>
      <c r="I16" s="1">
        <v>31</v>
      </c>
      <c r="J16" s="1">
        <v>57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200</v>
      </c>
    </row>
    <row r="17" spans="1:16" x14ac:dyDescent="0.25">
      <c r="A17" s="1">
        <v>10300</v>
      </c>
      <c r="B17" s="1">
        <v>103</v>
      </c>
      <c r="C17" s="1">
        <v>0</v>
      </c>
      <c r="D17" s="1">
        <v>0</v>
      </c>
      <c r="E17" s="1">
        <v>1</v>
      </c>
      <c r="F17" s="1">
        <v>348</v>
      </c>
      <c r="G17" s="1">
        <v>57</v>
      </c>
      <c r="H17" s="1">
        <v>39</v>
      </c>
      <c r="I17" s="1">
        <v>17</v>
      </c>
      <c r="J17" s="1">
        <v>32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</row>
    <row r="18" spans="1:16" x14ac:dyDescent="0.25">
      <c r="A18" s="1">
        <v>10301</v>
      </c>
      <c r="B18" s="1">
        <v>103</v>
      </c>
      <c r="C18" s="1">
        <v>1</v>
      </c>
      <c r="D18" s="1">
        <v>0</v>
      </c>
      <c r="E18" s="1">
        <v>1</v>
      </c>
      <c r="F18" s="1">
        <v>348</v>
      </c>
      <c r="G18" s="1">
        <v>57</v>
      </c>
      <c r="H18" s="1">
        <v>39</v>
      </c>
      <c r="I18" s="1">
        <v>17</v>
      </c>
      <c r="J18" s="1">
        <v>32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200</v>
      </c>
    </row>
    <row r="19" spans="1:16" x14ac:dyDescent="0.25">
      <c r="A19" s="1">
        <v>10302</v>
      </c>
      <c r="B19" s="1">
        <v>103</v>
      </c>
      <c r="C19" s="1">
        <v>2</v>
      </c>
      <c r="D19" s="1">
        <v>0</v>
      </c>
      <c r="E19" s="1">
        <v>1</v>
      </c>
      <c r="F19" s="1">
        <v>348</v>
      </c>
      <c r="G19" s="1">
        <v>77</v>
      </c>
      <c r="H19" s="1">
        <v>39</v>
      </c>
      <c r="I19" s="1">
        <v>17</v>
      </c>
      <c r="J19" s="1">
        <v>47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200</v>
      </c>
    </row>
    <row r="20" spans="1:16" x14ac:dyDescent="0.25">
      <c r="A20" s="1">
        <v>10303</v>
      </c>
      <c r="B20" s="1">
        <v>103</v>
      </c>
      <c r="C20" s="1">
        <v>3</v>
      </c>
      <c r="D20" s="1">
        <v>0</v>
      </c>
      <c r="E20" s="1">
        <v>1</v>
      </c>
      <c r="F20" s="1">
        <v>348</v>
      </c>
      <c r="G20" s="1">
        <v>77</v>
      </c>
      <c r="H20" s="1">
        <v>39</v>
      </c>
      <c r="I20" s="1">
        <v>33</v>
      </c>
      <c r="J20" s="1">
        <v>63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200</v>
      </c>
    </row>
    <row r="21" spans="1:16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348</v>
      </c>
      <c r="G21" s="1">
        <v>77</v>
      </c>
      <c r="H21" s="1">
        <v>39</v>
      </c>
      <c r="I21" s="1">
        <v>33</v>
      </c>
      <c r="J21" s="1">
        <v>63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200</v>
      </c>
    </row>
    <row r="22" spans="1:16" x14ac:dyDescent="0.25">
      <c r="A22" s="1">
        <v>10400</v>
      </c>
      <c r="B22" s="1">
        <v>104</v>
      </c>
      <c r="C22" s="1">
        <v>0</v>
      </c>
      <c r="D22" s="1">
        <v>0</v>
      </c>
      <c r="E22" s="1">
        <v>1</v>
      </c>
      <c r="F22" s="1">
        <v>419</v>
      </c>
      <c r="G22" s="1">
        <v>55</v>
      </c>
      <c r="H22" s="1">
        <v>30</v>
      </c>
      <c r="I22" s="1">
        <v>15</v>
      </c>
      <c r="J22" s="1">
        <v>27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</row>
    <row r="23" spans="1:16" x14ac:dyDescent="0.25">
      <c r="A23" s="1">
        <v>10401</v>
      </c>
      <c r="B23" s="1">
        <v>104</v>
      </c>
      <c r="C23" s="1">
        <v>1</v>
      </c>
      <c r="D23" s="1">
        <v>0</v>
      </c>
      <c r="E23" s="1">
        <v>1</v>
      </c>
      <c r="F23" s="1">
        <v>419</v>
      </c>
      <c r="G23" s="1">
        <v>55</v>
      </c>
      <c r="H23" s="1">
        <v>30</v>
      </c>
      <c r="I23" s="1">
        <v>15</v>
      </c>
      <c r="J23" s="1">
        <v>27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200</v>
      </c>
    </row>
    <row r="24" spans="1:16" x14ac:dyDescent="0.25">
      <c r="A24" s="1">
        <v>10402</v>
      </c>
      <c r="B24" s="1">
        <v>104</v>
      </c>
      <c r="C24" s="1">
        <v>2</v>
      </c>
      <c r="D24" s="1">
        <v>0</v>
      </c>
      <c r="E24" s="1">
        <v>1</v>
      </c>
      <c r="F24" s="1">
        <v>419</v>
      </c>
      <c r="G24" s="1">
        <v>80</v>
      </c>
      <c r="H24" s="1">
        <v>35</v>
      </c>
      <c r="I24" s="1">
        <v>15</v>
      </c>
      <c r="J24" s="1">
        <v>27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200</v>
      </c>
    </row>
    <row r="25" spans="1:16" x14ac:dyDescent="0.25">
      <c r="A25" s="1">
        <v>10403</v>
      </c>
      <c r="B25" s="1">
        <v>104</v>
      </c>
      <c r="C25" s="1">
        <v>3</v>
      </c>
      <c r="D25" s="1">
        <v>0</v>
      </c>
      <c r="E25" s="1">
        <v>1</v>
      </c>
      <c r="F25" s="1">
        <v>419</v>
      </c>
      <c r="G25" s="1">
        <v>80</v>
      </c>
      <c r="H25" s="1">
        <v>35</v>
      </c>
      <c r="I25" s="1">
        <v>30</v>
      </c>
      <c r="J25" s="1">
        <v>57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200</v>
      </c>
    </row>
    <row r="26" spans="1:16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419</v>
      </c>
      <c r="G26" s="1">
        <v>80</v>
      </c>
      <c r="H26" s="1">
        <v>35</v>
      </c>
      <c r="I26" s="1">
        <v>30</v>
      </c>
      <c r="J26" s="1">
        <v>57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200</v>
      </c>
    </row>
    <row r="27" spans="1:16" x14ac:dyDescent="0.25">
      <c r="A27" s="1">
        <v>10500</v>
      </c>
      <c r="B27" s="1">
        <v>105</v>
      </c>
      <c r="C27" s="1">
        <v>0</v>
      </c>
      <c r="D27" s="1">
        <v>0</v>
      </c>
      <c r="E27" s="1">
        <v>1</v>
      </c>
      <c r="F27" s="1">
        <v>384</v>
      </c>
      <c r="G27" s="1">
        <v>53</v>
      </c>
      <c r="H27" s="1">
        <v>20</v>
      </c>
      <c r="I27" s="1">
        <v>17</v>
      </c>
      <c r="J27" s="1">
        <v>27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</row>
    <row r="28" spans="1:16" x14ac:dyDescent="0.25">
      <c r="A28" s="1">
        <v>10501</v>
      </c>
      <c r="B28" s="1">
        <v>105</v>
      </c>
      <c r="C28" s="1">
        <v>1</v>
      </c>
      <c r="D28" s="1">
        <v>0</v>
      </c>
      <c r="E28" s="1">
        <v>1</v>
      </c>
      <c r="F28" s="1">
        <v>384</v>
      </c>
      <c r="G28" s="1">
        <v>53</v>
      </c>
      <c r="H28" s="1">
        <v>20</v>
      </c>
      <c r="I28" s="1">
        <v>17</v>
      </c>
      <c r="J28" s="1">
        <v>27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200</v>
      </c>
    </row>
    <row r="29" spans="1:16" x14ac:dyDescent="0.25">
      <c r="A29" s="1">
        <v>10502</v>
      </c>
      <c r="B29" s="1">
        <v>105</v>
      </c>
      <c r="C29" s="1">
        <v>2</v>
      </c>
      <c r="D29" s="1">
        <v>0</v>
      </c>
      <c r="E29" s="1">
        <v>1</v>
      </c>
      <c r="F29" s="1">
        <v>384</v>
      </c>
      <c r="G29" s="1">
        <v>78</v>
      </c>
      <c r="H29" s="1">
        <v>25</v>
      </c>
      <c r="I29" s="1">
        <v>17</v>
      </c>
      <c r="J29" s="1">
        <v>27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200</v>
      </c>
    </row>
    <row r="30" spans="1:16" x14ac:dyDescent="0.25">
      <c r="A30" s="1">
        <v>10503</v>
      </c>
      <c r="B30" s="1">
        <v>105</v>
      </c>
      <c r="C30" s="1">
        <v>3</v>
      </c>
      <c r="D30" s="1">
        <v>0</v>
      </c>
      <c r="E30" s="1">
        <v>1</v>
      </c>
      <c r="F30" s="1">
        <v>384</v>
      </c>
      <c r="G30" s="1">
        <v>103</v>
      </c>
      <c r="H30" s="1">
        <v>25</v>
      </c>
      <c r="I30" s="1">
        <v>32</v>
      </c>
      <c r="J30" s="1">
        <v>57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200</v>
      </c>
    </row>
    <row r="31" spans="1:16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384</v>
      </c>
      <c r="G31" s="1">
        <v>103</v>
      </c>
      <c r="H31" s="1">
        <v>25</v>
      </c>
      <c r="I31" s="1">
        <v>32</v>
      </c>
      <c r="J31" s="1">
        <v>57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200</v>
      </c>
    </row>
    <row r="32" spans="1:16" x14ac:dyDescent="0.25">
      <c r="A32" s="1">
        <v>10600</v>
      </c>
      <c r="B32" s="1">
        <v>106</v>
      </c>
      <c r="C32" s="1">
        <v>0</v>
      </c>
      <c r="D32" s="1">
        <v>0</v>
      </c>
      <c r="E32" s="1">
        <v>1</v>
      </c>
      <c r="F32" s="1">
        <v>384</v>
      </c>
      <c r="G32" s="1">
        <v>51</v>
      </c>
      <c r="H32" s="1">
        <v>29</v>
      </c>
      <c r="I32" s="1">
        <v>18</v>
      </c>
      <c r="J32" s="1">
        <v>27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</row>
    <row r="33" spans="1:16" x14ac:dyDescent="0.25">
      <c r="A33" s="1">
        <v>10601</v>
      </c>
      <c r="B33" s="1">
        <v>106</v>
      </c>
      <c r="C33" s="1">
        <v>1</v>
      </c>
      <c r="D33" s="1">
        <v>0</v>
      </c>
      <c r="E33" s="1">
        <v>1</v>
      </c>
      <c r="F33" s="1">
        <v>384</v>
      </c>
      <c r="G33" s="1">
        <v>51</v>
      </c>
      <c r="H33" s="1">
        <v>29</v>
      </c>
      <c r="I33" s="1">
        <v>18</v>
      </c>
      <c r="J33" s="1">
        <v>27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200</v>
      </c>
    </row>
    <row r="34" spans="1:16" x14ac:dyDescent="0.25">
      <c r="A34" s="1">
        <v>10602</v>
      </c>
      <c r="B34" s="1">
        <v>106</v>
      </c>
      <c r="C34" s="1">
        <v>2</v>
      </c>
      <c r="D34" s="1">
        <v>0</v>
      </c>
      <c r="E34" s="1">
        <v>1</v>
      </c>
      <c r="F34" s="1">
        <v>384</v>
      </c>
      <c r="G34" s="1">
        <v>71</v>
      </c>
      <c r="H34" s="1">
        <v>29</v>
      </c>
      <c r="I34" s="1">
        <v>33</v>
      </c>
      <c r="J34" s="1">
        <v>42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200</v>
      </c>
    </row>
    <row r="35" spans="1:16" x14ac:dyDescent="0.25">
      <c r="A35" s="1">
        <v>10603</v>
      </c>
      <c r="B35" s="1">
        <v>106</v>
      </c>
      <c r="C35" s="1">
        <v>3</v>
      </c>
      <c r="D35" s="1">
        <v>0</v>
      </c>
      <c r="E35" s="1">
        <v>1</v>
      </c>
      <c r="F35" s="1">
        <v>384</v>
      </c>
      <c r="G35" s="1">
        <v>91</v>
      </c>
      <c r="H35" s="1">
        <v>39</v>
      </c>
      <c r="I35" s="1">
        <v>33</v>
      </c>
      <c r="J35" s="1">
        <v>42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200</v>
      </c>
    </row>
    <row r="36" spans="1:16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384</v>
      </c>
      <c r="G36" s="1">
        <v>91</v>
      </c>
      <c r="H36" s="1">
        <v>39</v>
      </c>
      <c r="I36" s="1">
        <v>33</v>
      </c>
      <c r="J36" s="1">
        <v>42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200</v>
      </c>
    </row>
    <row r="37" spans="1:16" x14ac:dyDescent="0.25">
      <c r="A37" s="1">
        <v>10700</v>
      </c>
      <c r="B37" s="1">
        <v>107</v>
      </c>
      <c r="C37" s="1">
        <v>0</v>
      </c>
      <c r="D37" s="1">
        <v>0</v>
      </c>
      <c r="E37" s="1">
        <v>1</v>
      </c>
      <c r="F37" s="1">
        <v>366</v>
      </c>
      <c r="G37" s="1">
        <v>50</v>
      </c>
      <c r="H37" s="1">
        <v>23</v>
      </c>
      <c r="I37" s="1">
        <v>18</v>
      </c>
      <c r="J37" s="1">
        <v>33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</row>
    <row r="38" spans="1:16" x14ac:dyDescent="0.25">
      <c r="A38" s="1">
        <v>10701</v>
      </c>
      <c r="B38" s="1">
        <v>107</v>
      </c>
      <c r="C38" s="1">
        <v>1</v>
      </c>
      <c r="D38" s="1">
        <v>0</v>
      </c>
      <c r="E38" s="1">
        <v>1</v>
      </c>
      <c r="F38" s="1">
        <v>366</v>
      </c>
      <c r="G38" s="1">
        <v>50</v>
      </c>
      <c r="H38" s="1">
        <v>23</v>
      </c>
      <c r="I38" s="1">
        <v>18</v>
      </c>
      <c r="J38" s="1">
        <v>33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200</v>
      </c>
    </row>
    <row r="39" spans="1:16" x14ac:dyDescent="0.25">
      <c r="A39" s="1">
        <v>10702</v>
      </c>
      <c r="B39" s="1">
        <v>107</v>
      </c>
      <c r="C39" s="1">
        <v>2</v>
      </c>
      <c r="D39" s="1">
        <v>0</v>
      </c>
      <c r="E39" s="1">
        <v>1</v>
      </c>
      <c r="F39" s="1">
        <v>366</v>
      </c>
      <c r="G39" s="1">
        <v>80</v>
      </c>
      <c r="H39" s="1">
        <v>23</v>
      </c>
      <c r="I39" s="1">
        <v>18</v>
      </c>
      <c r="J39" s="1">
        <v>63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200</v>
      </c>
    </row>
    <row r="40" spans="1:16" x14ac:dyDescent="0.25">
      <c r="A40" s="1">
        <v>10703</v>
      </c>
      <c r="B40" s="1">
        <v>107</v>
      </c>
      <c r="C40" s="1">
        <v>3</v>
      </c>
      <c r="D40" s="1">
        <v>0</v>
      </c>
      <c r="E40" s="1">
        <v>1</v>
      </c>
      <c r="F40" s="1">
        <v>366</v>
      </c>
      <c r="G40" s="1">
        <v>80</v>
      </c>
      <c r="H40" s="1">
        <v>38</v>
      </c>
      <c r="I40" s="1">
        <v>33</v>
      </c>
      <c r="J40" s="1">
        <v>63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200</v>
      </c>
    </row>
    <row r="41" spans="1:16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366</v>
      </c>
      <c r="G41" s="1">
        <v>80</v>
      </c>
      <c r="H41" s="1">
        <v>38</v>
      </c>
      <c r="I41" s="1">
        <v>33</v>
      </c>
      <c r="J41" s="1">
        <v>63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200</v>
      </c>
    </row>
    <row r="42" spans="1:16" x14ac:dyDescent="0.25">
      <c r="A42" s="1">
        <v>10800</v>
      </c>
      <c r="B42" s="1">
        <v>108</v>
      </c>
      <c r="C42" s="1">
        <v>0</v>
      </c>
      <c r="D42" s="1">
        <v>0</v>
      </c>
      <c r="E42" s="1">
        <v>1</v>
      </c>
      <c r="F42" s="1">
        <v>246</v>
      </c>
      <c r="G42" s="1">
        <v>47</v>
      </c>
      <c r="H42" s="1">
        <v>22</v>
      </c>
      <c r="I42" s="1">
        <v>36</v>
      </c>
      <c r="J42" s="1">
        <v>26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</row>
    <row r="43" spans="1:16" x14ac:dyDescent="0.25">
      <c r="A43" s="1">
        <v>10801</v>
      </c>
      <c r="B43" s="1">
        <v>108</v>
      </c>
      <c r="C43" s="1">
        <v>1</v>
      </c>
      <c r="D43" s="1">
        <v>0</v>
      </c>
      <c r="E43" s="1">
        <v>1</v>
      </c>
      <c r="F43" s="1">
        <v>246</v>
      </c>
      <c r="G43" s="1">
        <v>47</v>
      </c>
      <c r="H43" s="1">
        <v>22</v>
      </c>
      <c r="I43" s="1">
        <v>36</v>
      </c>
      <c r="J43" s="1">
        <v>26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200</v>
      </c>
    </row>
    <row r="44" spans="1:16" x14ac:dyDescent="0.25">
      <c r="A44" s="1">
        <v>10802</v>
      </c>
      <c r="B44" s="1">
        <v>108</v>
      </c>
      <c r="C44" s="1">
        <v>2</v>
      </c>
      <c r="D44" s="1">
        <v>0</v>
      </c>
      <c r="E44" s="1">
        <v>1</v>
      </c>
      <c r="F44" s="1">
        <v>246</v>
      </c>
      <c r="G44" s="1">
        <v>77</v>
      </c>
      <c r="H44" s="1">
        <v>42</v>
      </c>
      <c r="I44" s="1">
        <v>36</v>
      </c>
      <c r="J44" s="1">
        <v>26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200</v>
      </c>
    </row>
    <row r="45" spans="1:16" x14ac:dyDescent="0.25">
      <c r="A45" s="1">
        <v>10803</v>
      </c>
      <c r="B45" s="1">
        <v>108</v>
      </c>
      <c r="C45" s="1">
        <v>3</v>
      </c>
      <c r="D45" s="1">
        <v>0</v>
      </c>
      <c r="E45" s="1">
        <v>1</v>
      </c>
      <c r="F45" s="1">
        <v>366</v>
      </c>
      <c r="G45" s="1">
        <v>77</v>
      </c>
      <c r="H45" s="1">
        <v>42</v>
      </c>
      <c r="I45" s="1">
        <v>36</v>
      </c>
      <c r="J45" s="1">
        <v>66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200</v>
      </c>
    </row>
    <row r="46" spans="1:16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366</v>
      </c>
      <c r="G46" s="1">
        <v>77</v>
      </c>
      <c r="H46" s="1">
        <v>42</v>
      </c>
      <c r="I46" s="1">
        <v>36</v>
      </c>
      <c r="J46" s="1">
        <v>66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200</v>
      </c>
    </row>
    <row r="47" spans="1:16" x14ac:dyDescent="0.25">
      <c r="A47" s="1">
        <v>10900</v>
      </c>
      <c r="B47" s="1">
        <v>109</v>
      </c>
      <c r="C47" s="1">
        <v>0</v>
      </c>
      <c r="D47" s="1">
        <v>0</v>
      </c>
      <c r="E47" s="1">
        <v>1</v>
      </c>
      <c r="F47" s="1">
        <v>331</v>
      </c>
      <c r="G47" s="1">
        <v>56</v>
      </c>
      <c r="H47" s="1">
        <v>24</v>
      </c>
      <c r="I47" s="1">
        <v>20</v>
      </c>
      <c r="J47" s="1">
        <v>44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</row>
    <row r="48" spans="1:16" x14ac:dyDescent="0.25">
      <c r="A48" s="1">
        <v>10901</v>
      </c>
      <c r="B48" s="1">
        <v>109</v>
      </c>
      <c r="C48" s="1">
        <v>1</v>
      </c>
      <c r="D48" s="1">
        <v>0</v>
      </c>
      <c r="E48" s="1">
        <v>1</v>
      </c>
      <c r="F48" s="1">
        <v>331</v>
      </c>
      <c r="G48" s="1">
        <v>56</v>
      </c>
      <c r="H48" s="1">
        <v>24</v>
      </c>
      <c r="I48" s="1">
        <v>20</v>
      </c>
      <c r="J48" s="1">
        <v>44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200</v>
      </c>
    </row>
    <row r="49" spans="1:16" x14ac:dyDescent="0.25">
      <c r="A49" s="1">
        <v>10902</v>
      </c>
      <c r="B49" s="1">
        <v>109</v>
      </c>
      <c r="C49" s="1">
        <v>2</v>
      </c>
      <c r="D49" s="1">
        <v>0</v>
      </c>
      <c r="E49" s="1">
        <v>1</v>
      </c>
      <c r="F49" s="1">
        <v>331</v>
      </c>
      <c r="G49" s="1">
        <v>96</v>
      </c>
      <c r="H49" s="1">
        <v>24</v>
      </c>
      <c r="I49" s="1">
        <v>20</v>
      </c>
      <c r="J49" s="1">
        <v>60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200</v>
      </c>
    </row>
    <row r="50" spans="1:16" x14ac:dyDescent="0.25">
      <c r="A50" s="1">
        <v>10903</v>
      </c>
      <c r="B50" s="1">
        <v>109</v>
      </c>
      <c r="C50" s="1">
        <v>3</v>
      </c>
      <c r="D50" s="1">
        <v>0</v>
      </c>
      <c r="E50" s="1">
        <v>1</v>
      </c>
      <c r="F50" s="1">
        <v>331</v>
      </c>
      <c r="G50" s="1">
        <v>96</v>
      </c>
      <c r="H50" s="1">
        <v>36</v>
      </c>
      <c r="I50" s="1">
        <v>35</v>
      </c>
      <c r="J50" s="1">
        <v>60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200</v>
      </c>
    </row>
    <row r="51" spans="1:16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331</v>
      </c>
      <c r="G51" s="1">
        <v>96</v>
      </c>
      <c r="H51" s="1">
        <v>36</v>
      </c>
      <c r="I51" s="1">
        <v>35</v>
      </c>
      <c r="J51" s="1">
        <v>60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200</v>
      </c>
    </row>
    <row r="52" spans="1:16" x14ac:dyDescent="0.25">
      <c r="A52" s="1">
        <v>11000</v>
      </c>
      <c r="B52" s="1">
        <v>110</v>
      </c>
      <c r="C52" s="1">
        <v>0</v>
      </c>
      <c r="D52" s="1">
        <v>0</v>
      </c>
      <c r="E52" s="1">
        <v>1</v>
      </c>
      <c r="F52" s="1">
        <v>366</v>
      </c>
      <c r="G52" s="1">
        <v>45</v>
      </c>
      <c r="H52" s="1">
        <v>31</v>
      </c>
      <c r="I52" s="1">
        <v>20</v>
      </c>
      <c r="J52" s="1">
        <v>39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</row>
    <row r="53" spans="1:16" x14ac:dyDescent="0.25">
      <c r="A53" s="1">
        <v>11001</v>
      </c>
      <c r="B53" s="1">
        <v>110</v>
      </c>
      <c r="C53" s="1">
        <v>1</v>
      </c>
      <c r="D53" s="1">
        <v>0</v>
      </c>
      <c r="E53" s="1">
        <v>1</v>
      </c>
      <c r="F53" s="1">
        <v>366</v>
      </c>
      <c r="G53" s="1">
        <v>45</v>
      </c>
      <c r="H53" s="1">
        <v>31</v>
      </c>
      <c r="I53" s="1">
        <v>20</v>
      </c>
      <c r="J53" s="1">
        <v>39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200</v>
      </c>
    </row>
    <row r="54" spans="1:16" x14ac:dyDescent="0.25">
      <c r="A54" s="1">
        <v>11002</v>
      </c>
      <c r="B54" s="1">
        <v>110</v>
      </c>
      <c r="C54" s="1">
        <v>2</v>
      </c>
      <c r="D54" s="1">
        <v>0</v>
      </c>
      <c r="E54" s="1">
        <v>1</v>
      </c>
      <c r="F54" s="1">
        <v>366</v>
      </c>
      <c r="G54" s="1">
        <v>45</v>
      </c>
      <c r="H54" s="1">
        <v>43</v>
      </c>
      <c r="I54" s="1">
        <v>20</v>
      </c>
      <c r="J54" s="1">
        <v>57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200</v>
      </c>
    </row>
    <row r="55" spans="1:16" x14ac:dyDescent="0.25">
      <c r="A55" s="1">
        <v>11003</v>
      </c>
      <c r="B55" s="1">
        <v>110</v>
      </c>
      <c r="C55" s="1">
        <v>3</v>
      </c>
      <c r="D55" s="1">
        <v>0</v>
      </c>
      <c r="E55" s="1">
        <v>1</v>
      </c>
      <c r="F55" s="1">
        <v>366</v>
      </c>
      <c r="G55" s="1">
        <v>77</v>
      </c>
      <c r="H55" s="1">
        <v>43</v>
      </c>
      <c r="I55" s="1">
        <v>40</v>
      </c>
      <c r="J55" s="1">
        <v>57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200</v>
      </c>
    </row>
    <row r="56" spans="1:16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366</v>
      </c>
      <c r="G56" s="1">
        <v>77</v>
      </c>
      <c r="H56" s="1">
        <v>43</v>
      </c>
      <c r="I56" s="1">
        <v>40</v>
      </c>
      <c r="J56" s="1">
        <v>57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200</v>
      </c>
    </row>
    <row r="57" spans="1:16" x14ac:dyDescent="0.25">
      <c r="A57" s="1">
        <v>11100</v>
      </c>
      <c r="B57" s="1">
        <v>111</v>
      </c>
      <c r="C57" s="1">
        <v>0</v>
      </c>
      <c r="D57" s="1">
        <v>0</v>
      </c>
      <c r="E57" s="1">
        <v>1</v>
      </c>
      <c r="F57" s="1">
        <v>287</v>
      </c>
      <c r="G57" s="1">
        <v>46</v>
      </c>
      <c r="H57" s="1">
        <v>23</v>
      </c>
      <c r="I57" s="1">
        <v>35</v>
      </c>
      <c r="J57" s="1">
        <v>13</v>
      </c>
      <c r="K57" s="1">
        <v>5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</row>
    <row r="58" spans="1:16" x14ac:dyDescent="0.25">
      <c r="A58" s="1">
        <v>11101</v>
      </c>
      <c r="B58" s="1">
        <v>111</v>
      </c>
      <c r="C58" s="1">
        <v>1</v>
      </c>
      <c r="D58" s="1">
        <v>0</v>
      </c>
      <c r="E58" s="1">
        <v>1</v>
      </c>
      <c r="F58" s="1">
        <v>287</v>
      </c>
      <c r="G58" s="1">
        <v>46</v>
      </c>
      <c r="H58" s="1">
        <v>23</v>
      </c>
      <c r="I58" s="1">
        <v>35</v>
      </c>
      <c r="J58" s="1">
        <v>13</v>
      </c>
      <c r="K58" s="1">
        <v>5</v>
      </c>
      <c r="L58" s="1">
        <v>0</v>
      </c>
      <c r="M58" s="1">
        <v>0</v>
      </c>
      <c r="N58" s="1">
        <v>0</v>
      </c>
      <c r="O58" s="1">
        <v>0</v>
      </c>
      <c r="P58" s="1">
        <v>200</v>
      </c>
    </row>
    <row r="59" spans="1:16" x14ac:dyDescent="0.25">
      <c r="A59" s="1">
        <v>11102</v>
      </c>
      <c r="B59" s="1">
        <v>111</v>
      </c>
      <c r="C59" s="1">
        <v>2</v>
      </c>
      <c r="D59" s="1">
        <v>0</v>
      </c>
      <c r="E59" s="1">
        <v>1</v>
      </c>
      <c r="F59" s="1">
        <v>453</v>
      </c>
      <c r="G59" s="1">
        <v>46</v>
      </c>
      <c r="H59" s="1">
        <v>39</v>
      </c>
      <c r="I59" s="1">
        <v>35</v>
      </c>
      <c r="J59" s="1">
        <v>13</v>
      </c>
      <c r="K59" s="1">
        <v>5</v>
      </c>
      <c r="L59" s="1">
        <v>0</v>
      </c>
      <c r="M59" s="1">
        <v>0</v>
      </c>
      <c r="N59" s="1">
        <v>0</v>
      </c>
      <c r="O59" s="1">
        <v>0</v>
      </c>
      <c r="P59" s="1">
        <v>200</v>
      </c>
    </row>
    <row r="60" spans="1:16" x14ac:dyDescent="0.25">
      <c r="A60" s="1">
        <v>11103</v>
      </c>
      <c r="B60" s="1">
        <v>111</v>
      </c>
      <c r="C60" s="1">
        <v>3</v>
      </c>
      <c r="D60" s="1">
        <v>0</v>
      </c>
      <c r="E60" s="1">
        <v>1</v>
      </c>
      <c r="F60" s="1">
        <v>453</v>
      </c>
      <c r="G60" s="1">
        <v>72</v>
      </c>
      <c r="H60" s="1">
        <v>39</v>
      </c>
      <c r="I60" s="1">
        <v>35</v>
      </c>
      <c r="J60" s="1">
        <v>48</v>
      </c>
      <c r="K60" s="1">
        <v>5</v>
      </c>
      <c r="L60" s="1">
        <v>0</v>
      </c>
      <c r="M60" s="1">
        <v>0</v>
      </c>
      <c r="N60" s="1">
        <v>0</v>
      </c>
      <c r="O60" s="1">
        <v>0</v>
      </c>
      <c r="P60" s="1">
        <v>200</v>
      </c>
    </row>
    <row r="61" spans="1:16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453</v>
      </c>
      <c r="G61" s="1">
        <v>72</v>
      </c>
      <c r="H61" s="1">
        <v>39</v>
      </c>
      <c r="I61" s="1">
        <v>35</v>
      </c>
      <c r="J61" s="1">
        <v>48</v>
      </c>
      <c r="K61" s="1">
        <v>5</v>
      </c>
      <c r="L61" s="1">
        <v>0</v>
      </c>
      <c r="M61" s="1">
        <v>0</v>
      </c>
      <c r="N61" s="1">
        <v>0</v>
      </c>
      <c r="O61" s="1">
        <v>0</v>
      </c>
      <c r="P61" s="1">
        <v>200</v>
      </c>
    </row>
    <row r="62" spans="1:16" x14ac:dyDescent="0.25">
      <c r="A62" s="1">
        <v>11200</v>
      </c>
      <c r="B62" s="1">
        <v>112</v>
      </c>
      <c r="C62" s="1">
        <v>0</v>
      </c>
      <c r="D62" s="1">
        <v>0</v>
      </c>
      <c r="E62" s="1">
        <v>1</v>
      </c>
      <c r="F62" s="1">
        <v>401</v>
      </c>
      <c r="G62" s="1">
        <v>63</v>
      </c>
      <c r="H62" s="1">
        <v>25</v>
      </c>
      <c r="I62" s="1">
        <v>21</v>
      </c>
      <c r="J62" s="1">
        <v>42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</row>
    <row r="63" spans="1:16" x14ac:dyDescent="0.25">
      <c r="A63" s="1">
        <v>11201</v>
      </c>
      <c r="B63" s="1">
        <v>112</v>
      </c>
      <c r="C63" s="1">
        <v>1</v>
      </c>
      <c r="D63" s="1">
        <v>0</v>
      </c>
      <c r="E63" s="1">
        <v>1</v>
      </c>
      <c r="F63" s="1">
        <v>401</v>
      </c>
      <c r="G63" s="1">
        <v>63</v>
      </c>
      <c r="H63" s="1">
        <v>25</v>
      </c>
      <c r="I63" s="1">
        <v>21</v>
      </c>
      <c r="J63" s="1">
        <v>42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200</v>
      </c>
    </row>
    <row r="64" spans="1:16" x14ac:dyDescent="0.25">
      <c r="A64" s="1">
        <v>11202</v>
      </c>
      <c r="B64" s="1">
        <v>112</v>
      </c>
      <c r="C64" s="1">
        <v>2</v>
      </c>
      <c r="D64" s="1">
        <v>0</v>
      </c>
      <c r="E64" s="1">
        <v>1</v>
      </c>
      <c r="F64" s="1">
        <v>401</v>
      </c>
      <c r="G64" s="1">
        <v>100</v>
      </c>
      <c r="H64" s="1">
        <v>25</v>
      </c>
      <c r="I64" s="1">
        <v>21</v>
      </c>
      <c r="J64" s="1">
        <v>60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200</v>
      </c>
    </row>
    <row r="65" spans="1:16" x14ac:dyDescent="0.25">
      <c r="A65" s="1">
        <v>11203</v>
      </c>
      <c r="B65" s="1">
        <v>112</v>
      </c>
      <c r="C65" s="1">
        <v>3</v>
      </c>
      <c r="D65" s="1">
        <v>0</v>
      </c>
      <c r="E65" s="1">
        <v>1</v>
      </c>
      <c r="F65" s="1">
        <v>401</v>
      </c>
      <c r="G65" s="1">
        <v>100</v>
      </c>
      <c r="H65" s="1">
        <v>35</v>
      </c>
      <c r="I65" s="1">
        <v>38</v>
      </c>
      <c r="J65" s="1">
        <v>60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200</v>
      </c>
    </row>
    <row r="66" spans="1:16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401</v>
      </c>
      <c r="G66" s="1">
        <v>100</v>
      </c>
      <c r="H66" s="1">
        <v>35</v>
      </c>
      <c r="I66" s="1">
        <v>38</v>
      </c>
      <c r="J66" s="1">
        <v>60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200</v>
      </c>
    </row>
    <row r="67" spans="1:16" x14ac:dyDescent="0.25">
      <c r="A67" s="1">
        <v>11300</v>
      </c>
      <c r="B67" s="1">
        <v>113</v>
      </c>
      <c r="C67" s="1">
        <v>0</v>
      </c>
      <c r="D67" s="1">
        <v>0</v>
      </c>
      <c r="E67" s="1">
        <v>1</v>
      </c>
      <c r="F67" s="1">
        <v>313</v>
      </c>
      <c r="G67" s="1">
        <v>80</v>
      </c>
      <c r="H67" s="1">
        <v>16</v>
      </c>
      <c r="I67" s="1">
        <v>29</v>
      </c>
      <c r="J67" s="1">
        <v>18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</row>
    <row r="68" spans="1:16" x14ac:dyDescent="0.25">
      <c r="A68" s="1">
        <v>11301</v>
      </c>
      <c r="B68" s="1">
        <v>113</v>
      </c>
      <c r="C68" s="1">
        <v>1</v>
      </c>
      <c r="D68" s="1">
        <v>0</v>
      </c>
      <c r="E68" s="1">
        <v>1</v>
      </c>
      <c r="F68" s="1">
        <v>313</v>
      </c>
      <c r="G68" s="1">
        <v>80</v>
      </c>
      <c r="H68" s="1">
        <v>16</v>
      </c>
      <c r="I68" s="1">
        <v>29</v>
      </c>
      <c r="J68" s="1">
        <v>18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200</v>
      </c>
    </row>
    <row r="69" spans="1:16" x14ac:dyDescent="0.25">
      <c r="A69" s="1">
        <v>11302</v>
      </c>
      <c r="B69" s="1">
        <v>113</v>
      </c>
      <c r="C69" s="1">
        <v>2</v>
      </c>
      <c r="D69" s="1">
        <v>0</v>
      </c>
      <c r="E69" s="1">
        <v>1</v>
      </c>
      <c r="F69" s="1">
        <v>313</v>
      </c>
      <c r="G69" s="1">
        <v>102</v>
      </c>
      <c r="H69" s="1">
        <v>16</v>
      </c>
      <c r="I69" s="1">
        <v>41</v>
      </c>
      <c r="J69" s="1">
        <v>18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200</v>
      </c>
    </row>
    <row r="70" spans="1:16" x14ac:dyDescent="0.25">
      <c r="A70" s="1">
        <v>11303</v>
      </c>
      <c r="B70" s="1">
        <v>113</v>
      </c>
      <c r="C70" s="1">
        <v>3</v>
      </c>
      <c r="D70" s="1">
        <v>0</v>
      </c>
      <c r="E70" s="1">
        <v>1</v>
      </c>
      <c r="F70" s="1">
        <v>313</v>
      </c>
      <c r="G70" s="1">
        <v>102</v>
      </c>
      <c r="H70" s="1">
        <v>26</v>
      </c>
      <c r="I70" s="1">
        <v>41</v>
      </c>
      <c r="J70" s="1">
        <v>32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200</v>
      </c>
    </row>
    <row r="71" spans="1:16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313</v>
      </c>
      <c r="G71" s="1">
        <v>102</v>
      </c>
      <c r="H71" s="1">
        <v>26</v>
      </c>
      <c r="I71" s="1">
        <v>41</v>
      </c>
      <c r="J71" s="1">
        <v>32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200</v>
      </c>
    </row>
    <row r="72" spans="1:16" x14ac:dyDescent="0.25">
      <c r="A72" s="1">
        <v>11400</v>
      </c>
      <c r="B72" s="1">
        <v>114</v>
      </c>
      <c r="C72" s="1">
        <v>0</v>
      </c>
      <c r="D72" s="1">
        <v>0</v>
      </c>
      <c r="E72" s="1">
        <v>1</v>
      </c>
      <c r="F72" s="1">
        <v>235</v>
      </c>
      <c r="G72" s="1">
        <v>85</v>
      </c>
      <c r="H72" s="1">
        <v>19</v>
      </c>
      <c r="I72" s="1">
        <v>19</v>
      </c>
      <c r="J72" s="1">
        <v>31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</row>
    <row r="73" spans="1:16" x14ac:dyDescent="0.25">
      <c r="A73" s="1">
        <v>11401</v>
      </c>
      <c r="B73" s="1">
        <v>114</v>
      </c>
      <c r="C73" s="1">
        <v>1</v>
      </c>
      <c r="D73" s="1">
        <v>0</v>
      </c>
      <c r="E73" s="1">
        <v>1</v>
      </c>
      <c r="F73" s="1">
        <v>235</v>
      </c>
      <c r="G73" s="1">
        <v>85</v>
      </c>
      <c r="H73" s="1">
        <v>19</v>
      </c>
      <c r="I73" s="1">
        <v>19</v>
      </c>
      <c r="J73" s="1">
        <v>31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200</v>
      </c>
    </row>
    <row r="74" spans="1:16" x14ac:dyDescent="0.25">
      <c r="A74" s="1">
        <v>11402</v>
      </c>
      <c r="B74" s="1">
        <v>114</v>
      </c>
      <c r="C74" s="1">
        <v>2</v>
      </c>
      <c r="D74" s="1">
        <v>0</v>
      </c>
      <c r="E74" s="1">
        <v>1</v>
      </c>
      <c r="F74" s="1">
        <v>366</v>
      </c>
      <c r="G74" s="1">
        <v>85</v>
      </c>
      <c r="H74" s="1">
        <v>19</v>
      </c>
      <c r="I74" s="1">
        <v>19</v>
      </c>
      <c r="J74" s="1">
        <v>54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200</v>
      </c>
    </row>
    <row r="75" spans="1:16" x14ac:dyDescent="0.25">
      <c r="A75" s="1">
        <v>11403</v>
      </c>
      <c r="B75" s="1">
        <v>114</v>
      </c>
      <c r="C75" s="1">
        <v>3</v>
      </c>
      <c r="D75" s="1">
        <v>0</v>
      </c>
      <c r="E75" s="1">
        <v>1</v>
      </c>
      <c r="F75" s="1">
        <v>366</v>
      </c>
      <c r="G75" s="1">
        <v>103</v>
      </c>
      <c r="H75" s="1">
        <v>19</v>
      </c>
      <c r="I75" s="1">
        <v>35</v>
      </c>
      <c r="J75" s="1">
        <v>54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200</v>
      </c>
    </row>
    <row r="76" spans="1:16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366</v>
      </c>
      <c r="G76" s="1">
        <v>103</v>
      </c>
      <c r="H76" s="1">
        <v>19</v>
      </c>
      <c r="I76" s="1">
        <v>35</v>
      </c>
      <c r="J76" s="1">
        <v>54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200</v>
      </c>
    </row>
    <row r="77" spans="1:16" x14ac:dyDescent="0.25">
      <c r="A77" s="1">
        <v>20100</v>
      </c>
      <c r="B77" s="1">
        <v>201</v>
      </c>
      <c r="C77" s="1">
        <v>0</v>
      </c>
      <c r="D77" s="1">
        <v>0</v>
      </c>
      <c r="E77" s="1">
        <v>1</v>
      </c>
      <c r="F77" s="1">
        <v>44</v>
      </c>
      <c r="G77" s="1">
        <v>8</v>
      </c>
      <c r="H77" s="1">
        <v>32</v>
      </c>
      <c r="I77" s="1">
        <v>31</v>
      </c>
      <c r="J77" s="1">
        <v>46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</row>
    <row r="78" spans="1:16" x14ac:dyDescent="0.25">
      <c r="A78" s="1">
        <v>20101</v>
      </c>
      <c r="B78" s="1">
        <v>201</v>
      </c>
      <c r="C78" s="1">
        <v>1</v>
      </c>
      <c r="D78" s="1">
        <v>0</v>
      </c>
      <c r="E78" s="1">
        <v>2</v>
      </c>
      <c r="F78" s="1">
        <v>44</v>
      </c>
      <c r="G78" s="1">
        <v>8</v>
      </c>
      <c r="H78" s="1">
        <v>32</v>
      </c>
      <c r="I78" s="1">
        <v>31</v>
      </c>
      <c r="J78" s="1">
        <v>46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</row>
    <row r="79" spans="1:16" x14ac:dyDescent="0.25">
      <c r="A79" s="1">
        <v>20102</v>
      </c>
      <c r="B79" s="1">
        <v>201</v>
      </c>
      <c r="C79" s="1">
        <v>2</v>
      </c>
      <c r="D79" s="1">
        <v>0</v>
      </c>
      <c r="E79" s="1">
        <v>3</v>
      </c>
      <c r="F79" s="1">
        <v>44</v>
      </c>
      <c r="G79" s="1">
        <v>8</v>
      </c>
      <c r="H79" s="1">
        <v>32</v>
      </c>
      <c r="I79" s="1">
        <v>31</v>
      </c>
      <c r="J79" s="1">
        <v>46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</row>
    <row r="80" spans="1:16" x14ac:dyDescent="0.25">
      <c r="A80" s="1">
        <v>20103</v>
      </c>
      <c r="B80" s="1">
        <v>201</v>
      </c>
      <c r="C80" s="1">
        <v>3</v>
      </c>
      <c r="D80" s="1">
        <v>0</v>
      </c>
      <c r="E80" s="1">
        <v>4</v>
      </c>
      <c r="F80" s="1">
        <v>44</v>
      </c>
      <c r="G80" s="1">
        <v>8</v>
      </c>
      <c r="H80" s="1">
        <v>32</v>
      </c>
      <c r="I80" s="1">
        <v>31</v>
      </c>
      <c r="J80" s="1">
        <v>46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</row>
    <row r="81" spans="1:16" x14ac:dyDescent="0.25">
      <c r="A81" s="1">
        <v>20104</v>
      </c>
      <c r="B81" s="1">
        <v>201</v>
      </c>
      <c r="C81" s="1">
        <v>4</v>
      </c>
      <c r="D81" s="1">
        <v>0</v>
      </c>
      <c r="E81" s="1">
        <v>5</v>
      </c>
      <c r="F81" s="1">
        <v>44</v>
      </c>
      <c r="G81" s="1">
        <v>8</v>
      </c>
      <c r="H81" s="1">
        <v>32</v>
      </c>
      <c r="I81" s="1">
        <v>31</v>
      </c>
      <c r="J81" s="1">
        <v>46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</row>
    <row r="82" spans="1:16" x14ac:dyDescent="0.25">
      <c r="A82" s="1">
        <v>20200</v>
      </c>
      <c r="B82" s="1">
        <v>202</v>
      </c>
      <c r="C82" s="1">
        <v>0</v>
      </c>
      <c r="D82" s="1">
        <v>0</v>
      </c>
      <c r="E82" s="1">
        <v>1</v>
      </c>
      <c r="F82" s="1">
        <v>77</v>
      </c>
      <c r="G82" s="1">
        <v>15</v>
      </c>
      <c r="H82" s="1">
        <v>27</v>
      </c>
      <c r="I82" s="1">
        <v>33</v>
      </c>
      <c r="J82" s="1">
        <v>39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</row>
    <row r="83" spans="1:16" x14ac:dyDescent="0.25">
      <c r="A83" s="1">
        <v>20201</v>
      </c>
      <c r="B83" s="1">
        <v>202</v>
      </c>
      <c r="C83" s="1">
        <v>1</v>
      </c>
      <c r="D83" s="1">
        <v>0</v>
      </c>
      <c r="E83" s="1">
        <v>2</v>
      </c>
      <c r="F83" s="1">
        <v>77</v>
      </c>
      <c r="G83" s="1">
        <v>15</v>
      </c>
      <c r="H83" s="1">
        <v>27</v>
      </c>
      <c r="I83" s="1">
        <v>33</v>
      </c>
      <c r="J83" s="1">
        <v>39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</row>
    <row r="84" spans="1:16" x14ac:dyDescent="0.25">
      <c r="A84" s="1">
        <v>20202</v>
      </c>
      <c r="B84" s="1">
        <v>202</v>
      </c>
      <c r="C84" s="1">
        <v>2</v>
      </c>
      <c r="D84" s="1">
        <v>0</v>
      </c>
      <c r="E84" s="1">
        <v>3</v>
      </c>
      <c r="F84" s="1">
        <v>77</v>
      </c>
      <c r="G84" s="1">
        <v>15</v>
      </c>
      <c r="H84" s="1">
        <v>27</v>
      </c>
      <c r="I84" s="1">
        <v>33</v>
      </c>
      <c r="J84" s="1">
        <v>39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</row>
    <row r="85" spans="1:16" x14ac:dyDescent="0.25">
      <c r="A85" s="1">
        <v>20203</v>
      </c>
      <c r="B85" s="1">
        <v>202</v>
      </c>
      <c r="C85" s="1">
        <v>3</v>
      </c>
      <c r="D85" s="1">
        <v>0</v>
      </c>
      <c r="E85" s="1">
        <v>4</v>
      </c>
      <c r="F85" s="1">
        <v>77</v>
      </c>
      <c r="G85" s="1">
        <v>15</v>
      </c>
      <c r="H85" s="1">
        <v>27</v>
      </c>
      <c r="I85" s="1">
        <v>33</v>
      </c>
      <c r="J85" s="1">
        <v>39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</row>
    <row r="86" spans="1:16" x14ac:dyDescent="0.25">
      <c r="A86" s="1">
        <v>20204</v>
      </c>
      <c r="B86" s="1">
        <v>202</v>
      </c>
      <c r="C86" s="1">
        <v>4</v>
      </c>
      <c r="D86" s="1">
        <v>0</v>
      </c>
      <c r="E86" s="1">
        <v>5</v>
      </c>
      <c r="F86" s="1">
        <v>77</v>
      </c>
      <c r="G86" s="1">
        <v>15</v>
      </c>
      <c r="H86" s="1">
        <v>27</v>
      </c>
      <c r="I86" s="1">
        <v>33</v>
      </c>
      <c r="J86" s="1">
        <v>39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</row>
    <row r="87" spans="1:16" x14ac:dyDescent="0.25">
      <c r="A87" s="1">
        <v>20300</v>
      </c>
      <c r="B87" s="1">
        <v>203</v>
      </c>
      <c r="C87" s="1">
        <v>0</v>
      </c>
      <c r="D87" s="1">
        <v>0</v>
      </c>
      <c r="E87" s="1">
        <v>1</v>
      </c>
      <c r="F87" s="1">
        <v>83</v>
      </c>
      <c r="G87" s="1">
        <v>13</v>
      </c>
      <c r="H87" s="1">
        <v>30</v>
      </c>
      <c r="I87" s="1">
        <v>34</v>
      </c>
      <c r="J87" s="1">
        <v>22</v>
      </c>
      <c r="K87" s="1">
        <v>11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</row>
    <row r="88" spans="1:16" x14ac:dyDescent="0.25">
      <c r="A88" s="1">
        <v>20301</v>
      </c>
      <c r="B88" s="1">
        <v>203</v>
      </c>
      <c r="C88" s="1">
        <v>1</v>
      </c>
      <c r="D88" s="1">
        <v>0</v>
      </c>
      <c r="E88" s="1">
        <v>2</v>
      </c>
      <c r="F88" s="1">
        <v>83</v>
      </c>
      <c r="G88" s="1">
        <v>13</v>
      </c>
      <c r="H88" s="1">
        <v>30</v>
      </c>
      <c r="I88" s="1">
        <v>34</v>
      </c>
      <c r="J88" s="1">
        <v>22</v>
      </c>
      <c r="K88" s="1">
        <v>11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</row>
    <row r="89" spans="1:16" x14ac:dyDescent="0.25">
      <c r="A89" s="1">
        <v>20302</v>
      </c>
      <c r="B89" s="1">
        <v>203</v>
      </c>
      <c r="C89" s="1">
        <v>2</v>
      </c>
      <c r="D89" s="1">
        <v>0</v>
      </c>
      <c r="E89" s="1">
        <v>3</v>
      </c>
      <c r="F89" s="1">
        <v>83</v>
      </c>
      <c r="G89" s="1">
        <v>13</v>
      </c>
      <c r="H89" s="1">
        <v>30</v>
      </c>
      <c r="I89" s="1">
        <v>34</v>
      </c>
      <c r="J89" s="1">
        <v>22</v>
      </c>
      <c r="K89" s="1">
        <v>11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</row>
    <row r="90" spans="1:16" x14ac:dyDescent="0.25">
      <c r="A90" s="1">
        <v>20303</v>
      </c>
      <c r="B90" s="1">
        <v>203</v>
      </c>
      <c r="C90" s="1">
        <v>3</v>
      </c>
      <c r="D90" s="1">
        <v>0</v>
      </c>
      <c r="E90" s="1">
        <v>4</v>
      </c>
      <c r="F90" s="1">
        <v>83</v>
      </c>
      <c r="G90" s="1">
        <v>13</v>
      </c>
      <c r="H90" s="1">
        <v>30</v>
      </c>
      <c r="I90" s="1">
        <v>34</v>
      </c>
      <c r="J90" s="1">
        <v>22</v>
      </c>
      <c r="K90" s="1">
        <v>11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</row>
    <row r="91" spans="1:16" x14ac:dyDescent="0.25">
      <c r="A91" s="1">
        <v>20304</v>
      </c>
      <c r="B91" s="1">
        <v>203</v>
      </c>
      <c r="C91" s="1">
        <v>4</v>
      </c>
      <c r="D91" s="1">
        <v>0</v>
      </c>
      <c r="E91" s="1">
        <v>5</v>
      </c>
      <c r="F91" s="1">
        <v>83</v>
      </c>
      <c r="G91" s="1">
        <v>13</v>
      </c>
      <c r="H91" s="1">
        <v>30</v>
      </c>
      <c r="I91" s="1">
        <v>34</v>
      </c>
      <c r="J91" s="1">
        <v>22</v>
      </c>
      <c r="K91" s="1">
        <v>11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</row>
    <row r="92" spans="1:16" x14ac:dyDescent="0.25">
      <c r="A92" s="1">
        <v>20400</v>
      </c>
      <c r="B92" s="1">
        <v>204</v>
      </c>
      <c r="C92" s="1">
        <v>0</v>
      </c>
      <c r="D92" s="1">
        <v>0</v>
      </c>
      <c r="E92" s="1">
        <v>1</v>
      </c>
      <c r="F92" s="1">
        <v>64</v>
      </c>
      <c r="G92" s="1">
        <v>31</v>
      </c>
      <c r="H92" s="1">
        <v>27</v>
      </c>
      <c r="I92" s="1">
        <v>38</v>
      </c>
      <c r="J92" s="1">
        <v>17</v>
      </c>
      <c r="K92" s="1">
        <v>8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</row>
    <row r="93" spans="1:16" x14ac:dyDescent="0.25">
      <c r="A93" s="1">
        <v>20401</v>
      </c>
      <c r="B93" s="1">
        <v>204</v>
      </c>
      <c r="C93" s="1">
        <v>1</v>
      </c>
      <c r="D93" s="1">
        <v>0</v>
      </c>
      <c r="E93" s="1">
        <v>2</v>
      </c>
      <c r="F93" s="1">
        <v>64</v>
      </c>
      <c r="G93" s="1">
        <v>31</v>
      </c>
      <c r="H93" s="1">
        <v>27</v>
      </c>
      <c r="I93" s="1">
        <v>38</v>
      </c>
      <c r="J93" s="1">
        <v>17</v>
      </c>
      <c r="K93" s="1">
        <v>8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</row>
    <row r="94" spans="1:16" x14ac:dyDescent="0.25">
      <c r="A94" s="1">
        <v>20402</v>
      </c>
      <c r="B94" s="1">
        <v>204</v>
      </c>
      <c r="C94" s="1">
        <v>2</v>
      </c>
      <c r="D94" s="1">
        <v>0</v>
      </c>
      <c r="E94" s="1">
        <v>3</v>
      </c>
      <c r="F94" s="1">
        <v>64</v>
      </c>
      <c r="G94" s="1">
        <v>31</v>
      </c>
      <c r="H94" s="1">
        <v>27</v>
      </c>
      <c r="I94" s="1">
        <v>38</v>
      </c>
      <c r="J94" s="1">
        <v>17</v>
      </c>
      <c r="K94" s="1">
        <v>8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</row>
    <row r="95" spans="1:16" x14ac:dyDescent="0.25">
      <c r="A95" s="1">
        <v>20403</v>
      </c>
      <c r="B95" s="1">
        <v>204</v>
      </c>
      <c r="C95" s="1">
        <v>3</v>
      </c>
      <c r="D95" s="1">
        <v>0</v>
      </c>
      <c r="E95" s="1">
        <v>4</v>
      </c>
      <c r="F95" s="1">
        <v>64</v>
      </c>
      <c r="G95" s="1">
        <v>31</v>
      </c>
      <c r="H95" s="1">
        <v>27</v>
      </c>
      <c r="I95" s="1">
        <v>38</v>
      </c>
      <c r="J95" s="1">
        <v>17</v>
      </c>
      <c r="K95" s="1">
        <v>8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</row>
    <row r="96" spans="1:16" x14ac:dyDescent="0.25">
      <c r="A96" s="1">
        <v>20404</v>
      </c>
      <c r="B96" s="1">
        <v>204</v>
      </c>
      <c r="C96" s="1">
        <v>4</v>
      </c>
      <c r="D96" s="1">
        <v>0</v>
      </c>
      <c r="E96" s="1">
        <v>5</v>
      </c>
      <c r="F96" s="1">
        <v>64</v>
      </c>
      <c r="G96" s="1">
        <v>31</v>
      </c>
      <c r="H96" s="1">
        <v>27</v>
      </c>
      <c r="I96" s="1">
        <v>38</v>
      </c>
      <c r="J96" s="1">
        <v>17</v>
      </c>
      <c r="K96" s="1">
        <v>8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</row>
    <row r="97" spans="1:16" x14ac:dyDescent="0.25">
      <c r="A97" s="1">
        <v>20500</v>
      </c>
      <c r="B97" s="1">
        <v>205</v>
      </c>
      <c r="C97" s="1">
        <v>0</v>
      </c>
      <c r="D97" s="1">
        <v>0</v>
      </c>
      <c r="E97" s="1">
        <v>1</v>
      </c>
      <c r="F97" s="1">
        <v>23</v>
      </c>
      <c r="G97" s="1">
        <v>18</v>
      </c>
      <c r="H97" s="1">
        <v>44</v>
      </c>
      <c r="I97" s="1">
        <v>36</v>
      </c>
      <c r="J97" s="1">
        <v>30</v>
      </c>
      <c r="K97" s="1">
        <v>10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</row>
    <row r="98" spans="1:16" x14ac:dyDescent="0.25">
      <c r="A98" s="1">
        <v>20501</v>
      </c>
      <c r="B98" s="1">
        <v>205</v>
      </c>
      <c r="C98" s="1">
        <v>1</v>
      </c>
      <c r="D98" s="1">
        <v>0</v>
      </c>
      <c r="E98" s="1">
        <v>2</v>
      </c>
      <c r="F98" s="1">
        <v>23</v>
      </c>
      <c r="G98" s="1">
        <v>18</v>
      </c>
      <c r="H98" s="1">
        <v>44</v>
      </c>
      <c r="I98" s="1">
        <v>36</v>
      </c>
      <c r="J98" s="1">
        <v>30</v>
      </c>
      <c r="K98" s="1">
        <v>10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</row>
    <row r="99" spans="1:16" x14ac:dyDescent="0.25">
      <c r="A99" s="1">
        <v>20502</v>
      </c>
      <c r="B99" s="1">
        <v>205</v>
      </c>
      <c r="C99" s="1">
        <v>2</v>
      </c>
      <c r="D99" s="1">
        <v>0</v>
      </c>
      <c r="E99" s="1">
        <v>3</v>
      </c>
      <c r="F99" s="1">
        <v>23</v>
      </c>
      <c r="G99" s="1">
        <v>18</v>
      </c>
      <c r="H99" s="1">
        <v>44</v>
      </c>
      <c r="I99" s="1">
        <v>36</v>
      </c>
      <c r="J99" s="1">
        <v>30</v>
      </c>
      <c r="K99" s="1">
        <v>10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</row>
    <row r="100" spans="1:16" x14ac:dyDescent="0.25">
      <c r="A100" s="1">
        <v>20503</v>
      </c>
      <c r="B100" s="1">
        <v>205</v>
      </c>
      <c r="C100" s="1">
        <v>3</v>
      </c>
      <c r="D100" s="1">
        <v>0</v>
      </c>
      <c r="E100" s="1">
        <v>4</v>
      </c>
      <c r="F100" s="1">
        <v>23</v>
      </c>
      <c r="G100" s="1">
        <v>18</v>
      </c>
      <c r="H100" s="1">
        <v>44</v>
      </c>
      <c r="I100" s="1">
        <v>36</v>
      </c>
      <c r="J100" s="1">
        <v>30</v>
      </c>
      <c r="K100" s="1">
        <v>10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</row>
    <row r="101" spans="1:16" x14ac:dyDescent="0.25">
      <c r="A101" s="1">
        <v>20504</v>
      </c>
      <c r="B101" s="1">
        <v>205</v>
      </c>
      <c r="C101" s="1">
        <v>4</v>
      </c>
      <c r="D101" s="1">
        <v>0</v>
      </c>
      <c r="E101" s="1">
        <v>5</v>
      </c>
      <c r="F101" s="1">
        <v>23</v>
      </c>
      <c r="G101" s="1">
        <v>18</v>
      </c>
      <c r="H101" s="1">
        <v>44</v>
      </c>
      <c r="I101" s="1">
        <v>36</v>
      </c>
      <c r="J101" s="1">
        <v>30</v>
      </c>
      <c r="K101" s="1">
        <v>10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</row>
    <row r="102" spans="1:16" x14ac:dyDescent="0.25">
      <c r="A102" s="1">
        <v>20600</v>
      </c>
      <c r="B102" s="1">
        <v>206</v>
      </c>
      <c r="C102" s="1">
        <v>0</v>
      </c>
      <c r="D102" s="1">
        <v>0</v>
      </c>
      <c r="E102" s="1">
        <v>1</v>
      </c>
      <c r="F102" s="1">
        <v>332</v>
      </c>
      <c r="G102" s="1">
        <v>63</v>
      </c>
      <c r="H102" s="1">
        <v>24</v>
      </c>
      <c r="I102" s="1">
        <v>13</v>
      </c>
      <c r="J102" s="1">
        <v>11</v>
      </c>
      <c r="K102" s="1">
        <v>7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</row>
    <row r="103" spans="1:16" x14ac:dyDescent="0.25">
      <c r="A103" s="1">
        <v>20601</v>
      </c>
      <c r="B103" s="1">
        <v>206</v>
      </c>
      <c r="C103" s="1">
        <v>1</v>
      </c>
      <c r="D103" s="1">
        <v>0</v>
      </c>
      <c r="E103" s="1">
        <v>1</v>
      </c>
      <c r="F103" s="1">
        <v>432</v>
      </c>
      <c r="G103" s="1">
        <v>123</v>
      </c>
      <c r="H103" s="1">
        <v>24</v>
      </c>
      <c r="I103" s="1">
        <v>48</v>
      </c>
      <c r="J103" s="1">
        <v>11</v>
      </c>
      <c r="K103" s="1">
        <v>7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</row>
    <row r="104" spans="1:16" x14ac:dyDescent="0.25">
      <c r="A104" s="1">
        <v>20602</v>
      </c>
      <c r="B104" s="1">
        <v>206</v>
      </c>
      <c r="C104" s="1">
        <v>2</v>
      </c>
      <c r="D104" s="1">
        <v>0</v>
      </c>
      <c r="E104" s="1">
        <v>1</v>
      </c>
      <c r="F104" s="1">
        <v>532</v>
      </c>
      <c r="G104" s="1">
        <v>123</v>
      </c>
      <c r="H104" s="1">
        <v>24</v>
      </c>
      <c r="I104" s="1">
        <v>48</v>
      </c>
      <c r="J104" s="1">
        <v>36</v>
      </c>
      <c r="K104" s="1">
        <v>13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</row>
    <row r="105" spans="1:16" x14ac:dyDescent="0.25">
      <c r="A105" s="1">
        <v>20603</v>
      </c>
      <c r="B105" s="1">
        <v>206</v>
      </c>
      <c r="C105" s="1">
        <v>3</v>
      </c>
      <c r="D105" s="1">
        <v>0</v>
      </c>
      <c r="E105" s="1">
        <v>1</v>
      </c>
      <c r="F105" s="1">
        <v>632</v>
      </c>
      <c r="G105" s="1">
        <v>243</v>
      </c>
      <c r="H105" s="1">
        <v>24</v>
      </c>
      <c r="I105" s="1">
        <v>48</v>
      </c>
      <c r="J105" s="1">
        <v>36</v>
      </c>
      <c r="K105" s="1">
        <v>13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</row>
    <row r="106" spans="1:16" x14ac:dyDescent="0.25">
      <c r="A106" s="1">
        <v>20604</v>
      </c>
      <c r="B106" s="1">
        <v>206</v>
      </c>
      <c r="C106" s="1">
        <v>4</v>
      </c>
      <c r="D106" s="1">
        <v>0</v>
      </c>
      <c r="E106" s="1">
        <v>1</v>
      </c>
      <c r="F106" s="1">
        <v>732</v>
      </c>
      <c r="G106" s="1">
        <v>243</v>
      </c>
      <c r="H106" s="1">
        <v>44</v>
      </c>
      <c r="I106" s="1">
        <v>48</v>
      </c>
      <c r="J106" s="1">
        <v>36</v>
      </c>
      <c r="K106" s="1">
        <v>19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</row>
    <row r="107" spans="1:16" x14ac:dyDescent="0.25">
      <c r="A107" s="1">
        <v>20800</v>
      </c>
      <c r="B107" s="1">
        <v>208</v>
      </c>
      <c r="C107" s="1">
        <v>0</v>
      </c>
      <c r="D107" s="1">
        <v>0</v>
      </c>
      <c r="E107" s="1">
        <v>1</v>
      </c>
      <c r="F107" s="1">
        <v>87</v>
      </c>
      <c r="G107" s="1">
        <v>17</v>
      </c>
      <c r="H107" s="1">
        <v>31</v>
      </c>
      <c r="I107" s="1">
        <v>38</v>
      </c>
      <c r="J107" s="1">
        <v>47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</row>
    <row r="108" spans="1:16" x14ac:dyDescent="0.25">
      <c r="A108" s="1">
        <v>20801</v>
      </c>
      <c r="B108" s="1">
        <v>208</v>
      </c>
      <c r="C108" s="1">
        <v>1</v>
      </c>
      <c r="D108" s="1">
        <v>0</v>
      </c>
      <c r="E108" s="1">
        <v>2</v>
      </c>
      <c r="F108" s="1">
        <v>87</v>
      </c>
      <c r="G108" s="1">
        <v>17</v>
      </c>
      <c r="H108" s="1">
        <v>31</v>
      </c>
      <c r="I108" s="1">
        <v>38</v>
      </c>
      <c r="J108" s="1">
        <v>47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</row>
    <row r="109" spans="1:16" x14ac:dyDescent="0.25">
      <c r="A109" s="1">
        <v>20802</v>
      </c>
      <c r="B109" s="1">
        <v>208</v>
      </c>
      <c r="C109" s="1">
        <v>2</v>
      </c>
      <c r="D109" s="1">
        <v>0</v>
      </c>
      <c r="E109" s="1">
        <v>3</v>
      </c>
      <c r="F109" s="1">
        <v>87</v>
      </c>
      <c r="G109" s="1">
        <v>17</v>
      </c>
      <c r="H109" s="1">
        <v>31</v>
      </c>
      <c r="I109" s="1">
        <v>38</v>
      </c>
      <c r="J109" s="1">
        <v>47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</row>
    <row r="110" spans="1:16" x14ac:dyDescent="0.25">
      <c r="A110" s="1">
        <v>20803</v>
      </c>
      <c r="B110" s="1">
        <v>208</v>
      </c>
      <c r="C110" s="1">
        <v>3</v>
      </c>
      <c r="D110" s="1">
        <v>0</v>
      </c>
      <c r="E110" s="1">
        <v>4</v>
      </c>
      <c r="F110" s="1">
        <v>87</v>
      </c>
      <c r="G110" s="1">
        <v>17</v>
      </c>
      <c r="H110" s="1">
        <v>31</v>
      </c>
      <c r="I110" s="1">
        <v>38</v>
      </c>
      <c r="J110" s="1">
        <v>47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</row>
    <row r="111" spans="1:16" x14ac:dyDescent="0.25">
      <c r="A111" s="1">
        <v>20804</v>
      </c>
      <c r="B111" s="1">
        <v>208</v>
      </c>
      <c r="C111" s="1">
        <v>4</v>
      </c>
      <c r="D111" s="1">
        <v>0</v>
      </c>
      <c r="E111" s="1">
        <v>5</v>
      </c>
      <c r="F111" s="1">
        <v>87</v>
      </c>
      <c r="G111" s="1">
        <v>17</v>
      </c>
      <c r="H111" s="1">
        <v>31</v>
      </c>
      <c r="I111" s="1">
        <v>38</v>
      </c>
      <c r="J111" s="1">
        <v>47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</row>
    <row r="112" spans="1:16" x14ac:dyDescent="0.25">
      <c r="A112" s="1">
        <v>20900</v>
      </c>
      <c r="B112" s="1">
        <v>209</v>
      </c>
      <c r="C112" s="1">
        <v>0</v>
      </c>
      <c r="D112" s="1">
        <v>0</v>
      </c>
      <c r="E112" s="1">
        <v>1</v>
      </c>
      <c r="F112" s="1">
        <v>67</v>
      </c>
      <c r="G112" s="1">
        <v>11</v>
      </c>
      <c r="H112" s="1">
        <v>41</v>
      </c>
      <c r="I112" s="1">
        <v>25</v>
      </c>
      <c r="J112" s="1">
        <v>74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</row>
    <row r="113" spans="1:16" x14ac:dyDescent="0.25">
      <c r="A113" s="1">
        <v>20901</v>
      </c>
      <c r="B113" s="1">
        <v>209</v>
      </c>
      <c r="C113" s="1">
        <v>1</v>
      </c>
      <c r="D113" s="1">
        <v>0</v>
      </c>
      <c r="E113" s="1">
        <v>2</v>
      </c>
      <c r="F113" s="1">
        <v>67</v>
      </c>
      <c r="G113" s="1">
        <v>11</v>
      </c>
      <c r="H113" s="1">
        <v>41</v>
      </c>
      <c r="I113" s="1">
        <v>25</v>
      </c>
      <c r="J113" s="1">
        <v>74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</row>
    <row r="114" spans="1:16" x14ac:dyDescent="0.25">
      <c r="A114" s="1">
        <v>20902</v>
      </c>
      <c r="B114" s="1">
        <v>209</v>
      </c>
      <c r="C114" s="1">
        <v>2</v>
      </c>
      <c r="D114" s="1">
        <v>0</v>
      </c>
      <c r="E114" s="1">
        <v>3</v>
      </c>
      <c r="F114" s="1">
        <v>67</v>
      </c>
      <c r="G114" s="1">
        <v>11</v>
      </c>
      <c r="H114" s="1">
        <v>41</v>
      </c>
      <c r="I114" s="1">
        <v>25</v>
      </c>
      <c r="J114" s="1">
        <v>74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</row>
    <row r="115" spans="1:16" x14ac:dyDescent="0.25">
      <c r="A115" s="1">
        <v>20903</v>
      </c>
      <c r="B115" s="1">
        <v>209</v>
      </c>
      <c r="C115" s="1">
        <v>3</v>
      </c>
      <c r="D115" s="1">
        <v>0</v>
      </c>
      <c r="E115" s="1">
        <v>4</v>
      </c>
      <c r="F115" s="1">
        <v>67</v>
      </c>
      <c r="G115" s="1">
        <v>11</v>
      </c>
      <c r="H115" s="1">
        <v>41</v>
      </c>
      <c r="I115" s="1">
        <v>25</v>
      </c>
      <c r="J115" s="1">
        <v>74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</row>
    <row r="116" spans="1:16" x14ac:dyDescent="0.25">
      <c r="A116" s="1">
        <v>20904</v>
      </c>
      <c r="B116" s="1">
        <v>209</v>
      </c>
      <c r="C116" s="1">
        <v>4</v>
      </c>
      <c r="D116" s="1">
        <v>0</v>
      </c>
      <c r="E116" s="1">
        <v>5</v>
      </c>
      <c r="F116" s="1">
        <v>67</v>
      </c>
      <c r="G116" s="1">
        <v>11</v>
      </c>
      <c r="H116" s="1">
        <v>41</v>
      </c>
      <c r="I116" s="1">
        <v>25</v>
      </c>
      <c r="J116" s="1">
        <v>74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</row>
    <row r="117" spans="1:16" x14ac:dyDescent="0.25">
      <c r="A117" s="1">
        <v>21000</v>
      </c>
      <c r="B117" s="1">
        <v>210</v>
      </c>
      <c r="C117" s="1">
        <v>0</v>
      </c>
      <c r="D117" s="1">
        <v>0</v>
      </c>
      <c r="E117" s="1">
        <v>1</v>
      </c>
      <c r="F117" s="1">
        <v>59</v>
      </c>
      <c r="G117" s="1">
        <v>16</v>
      </c>
      <c r="H117" s="1">
        <v>42</v>
      </c>
      <c r="I117" s="1">
        <v>38</v>
      </c>
      <c r="J117" s="1">
        <v>53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</row>
    <row r="118" spans="1:16" x14ac:dyDescent="0.25">
      <c r="A118" s="1">
        <v>21001</v>
      </c>
      <c r="B118" s="1">
        <v>210</v>
      </c>
      <c r="C118" s="1">
        <v>1</v>
      </c>
      <c r="D118" s="1">
        <v>0</v>
      </c>
      <c r="E118" s="1">
        <v>2</v>
      </c>
      <c r="F118" s="1">
        <v>59</v>
      </c>
      <c r="G118" s="1">
        <v>16</v>
      </c>
      <c r="H118" s="1">
        <v>42</v>
      </c>
      <c r="I118" s="1">
        <v>38</v>
      </c>
      <c r="J118" s="1">
        <v>53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</row>
    <row r="119" spans="1:16" x14ac:dyDescent="0.25">
      <c r="A119" s="1">
        <v>21002</v>
      </c>
      <c r="B119" s="1">
        <v>210</v>
      </c>
      <c r="C119" s="1">
        <v>2</v>
      </c>
      <c r="D119" s="1">
        <v>0</v>
      </c>
      <c r="E119" s="1">
        <v>3</v>
      </c>
      <c r="F119" s="1">
        <v>59</v>
      </c>
      <c r="G119" s="1">
        <v>16</v>
      </c>
      <c r="H119" s="1">
        <v>42</v>
      </c>
      <c r="I119" s="1">
        <v>38</v>
      </c>
      <c r="J119" s="1">
        <v>53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</row>
    <row r="120" spans="1:16" x14ac:dyDescent="0.25">
      <c r="A120" s="1">
        <v>21003</v>
      </c>
      <c r="B120" s="1">
        <v>210</v>
      </c>
      <c r="C120" s="1">
        <v>3</v>
      </c>
      <c r="D120" s="1">
        <v>0</v>
      </c>
      <c r="E120" s="1">
        <v>4</v>
      </c>
      <c r="F120" s="1">
        <v>59</v>
      </c>
      <c r="G120" s="1">
        <v>16</v>
      </c>
      <c r="H120" s="1">
        <v>42</v>
      </c>
      <c r="I120" s="1">
        <v>38</v>
      </c>
      <c r="J120" s="1">
        <v>53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</row>
    <row r="121" spans="1:16" x14ac:dyDescent="0.25">
      <c r="A121" s="1">
        <v>21004</v>
      </c>
      <c r="B121" s="1">
        <v>210</v>
      </c>
      <c r="C121" s="1">
        <v>4</v>
      </c>
      <c r="D121" s="1">
        <v>0</v>
      </c>
      <c r="E121" s="1">
        <v>5</v>
      </c>
      <c r="F121" s="1">
        <v>59</v>
      </c>
      <c r="G121" s="1">
        <v>16</v>
      </c>
      <c r="H121" s="1">
        <v>42</v>
      </c>
      <c r="I121" s="1">
        <v>38</v>
      </c>
      <c r="J121" s="1">
        <v>53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</row>
    <row r="122" spans="1:16" x14ac:dyDescent="0.25">
      <c r="A122" s="1">
        <v>21100</v>
      </c>
      <c r="B122" s="1">
        <v>211</v>
      </c>
      <c r="C122" s="1">
        <v>0</v>
      </c>
      <c r="D122" s="1">
        <v>0</v>
      </c>
      <c r="E122" s="1">
        <v>1</v>
      </c>
      <c r="F122" s="1">
        <v>64</v>
      </c>
      <c r="G122" s="1">
        <v>16</v>
      </c>
      <c r="H122" s="1">
        <v>52</v>
      </c>
      <c r="I122" s="1">
        <v>40</v>
      </c>
      <c r="J122" s="1">
        <v>57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</row>
    <row r="123" spans="1:16" x14ac:dyDescent="0.25">
      <c r="A123" s="1">
        <v>21101</v>
      </c>
      <c r="B123" s="1">
        <v>211</v>
      </c>
      <c r="C123" s="1">
        <v>1</v>
      </c>
      <c r="D123" s="1">
        <v>0</v>
      </c>
      <c r="E123" s="1">
        <v>2</v>
      </c>
      <c r="F123" s="1">
        <v>64</v>
      </c>
      <c r="G123" s="1">
        <v>16</v>
      </c>
      <c r="H123" s="1">
        <v>52</v>
      </c>
      <c r="I123" s="1">
        <v>40</v>
      </c>
      <c r="J123" s="1">
        <v>57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</row>
    <row r="124" spans="1:16" x14ac:dyDescent="0.25">
      <c r="A124" s="1">
        <v>21102</v>
      </c>
      <c r="B124" s="1">
        <v>211</v>
      </c>
      <c r="C124" s="1">
        <v>2</v>
      </c>
      <c r="D124" s="1">
        <v>0</v>
      </c>
      <c r="E124" s="1">
        <v>3</v>
      </c>
      <c r="F124" s="1">
        <v>64</v>
      </c>
      <c r="G124" s="1">
        <v>16</v>
      </c>
      <c r="H124" s="1">
        <v>52</v>
      </c>
      <c r="I124" s="1">
        <v>40</v>
      </c>
      <c r="J124" s="1">
        <v>57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</row>
    <row r="125" spans="1:16" x14ac:dyDescent="0.25">
      <c r="A125" s="1">
        <v>21103</v>
      </c>
      <c r="B125" s="1">
        <v>211</v>
      </c>
      <c r="C125" s="1">
        <v>3</v>
      </c>
      <c r="D125" s="1">
        <v>0</v>
      </c>
      <c r="E125" s="1">
        <v>4</v>
      </c>
      <c r="F125" s="1">
        <v>64</v>
      </c>
      <c r="G125" s="1">
        <v>16</v>
      </c>
      <c r="H125" s="1">
        <v>52</v>
      </c>
      <c r="I125" s="1">
        <v>40</v>
      </c>
      <c r="J125" s="1">
        <v>57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</row>
    <row r="126" spans="1:16" x14ac:dyDescent="0.25">
      <c r="A126" s="1">
        <v>21104</v>
      </c>
      <c r="B126" s="1">
        <v>211</v>
      </c>
      <c r="C126" s="1">
        <v>4</v>
      </c>
      <c r="D126" s="1">
        <v>0</v>
      </c>
      <c r="E126" s="1">
        <v>5</v>
      </c>
      <c r="F126" s="1">
        <v>64</v>
      </c>
      <c r="G126" s="1">
        <v>16</v>
      </c>
      <c r="H126" s="1">
        <v>52</v>
      </c>
      <c r="I126" s="1">
        <v>40</v>
      </c>
      <c r="J126" s="1">
        <v>57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</row>
    <row r="127" spans="1:16" x14ac:dyDescent="0.25">
      <c r="A127" s="1">
        <v>21200</v>
      </c>
      <c r="B127" s="1">
        <v>212</v>
      </c>
      <c r="C127" s="1">
        <v>0</v>
      </c>
      <c r="D127" s="1">
        <v>0</v>
      </c>
      <c r="E127" s="1">
        <v>1</v>
      </c>
      <c r="F127" s="1">
        <v>80</v>
      </c>
      <c r="G127" s="1">
        <v>18</v>
      </c>
      <c r="H127" s="1">
        <v>27</v>
      </c>
      <c r="I127" s="1">
        <v>36</v>
      </c>
      <c r="J127" s="1">
        <v>45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</row>
    <row r="128" spans="1:16" x14ac:dyDescent="0.25">
      <c r="A128" s="1">
        <v>21201</v>
      </c>
      <c r="B128" s="1">
        <v>212</v>
      </c>
      <c r="C128" s="1">
        <v>1</v>
      </c>
      <c r="D128" s="1">
        <v>0</v>
      </c>
      <c r="E128" s="1">
        <v>2</v>
      </c>
      <c r="F128" s="1">
        <v>80</v>
      </c>
      <c r="G128" s="1">
        <v>18</v>
      </c>
      <c r="H128" s="1">
        <v>27</v>
      </c>
      <c r="I128" s="1">
        <v>36</v>
      </c>
      <c r="J128" s="1">
        <v>45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</row>
    <row r="129" spans="1:16" x14ac:dyDescent="0.25">
      <c r="A129" s="1">
        <v>21202</v>
      </c>
      <c r="B129" s="1">
        <v>212</v>
      </c>
      <c r="C129" s="1">
        <v>2</v>
      </c>
      <c r="D129" s="1">
        <v>0</v>
      </c>
      <c r="E129" s="1">
        <v>3</v>
      </c>
      <c r="F129" s="1">
        <v>80</v>
      </c>
      <c r="G129" s="1">
        <v>18</v>
      </c>
      <c r="H129" s="1">
        <v>27</v>
      </c>
      <c r="I129" s="1">
        <v>36</v>
      </c>
      <c r="J129" s="1">
        <v>45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</row>
    <row r="130" spans="1:16" x14ac:dyDescent="0.25">
      <c r="A130" s="1">
        <v>21203</v>
      </c>
      <c r="B130" s="1">
        <v>212</v>
      </c>
      <c r="C130" s="1">
        <v>3</v>
      </c>
      <c r="D130" s="1">
        <v>0</v>
      </c>
      <c r="E130" s="1">
        <v>4</v>
      </c>
      <c r="F130" s="1">
        <v>80</v>
      </c>
      <c r="G130" s="1">
        <v>18</v>
      </c>
      <c r="H130" s="1">
        <v>27</v>
      </c>
      <c r="I130" s="1">
        <v>36</v>
      </c>
      <c r="J130" s="1">
        <v>45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</row>
    <row r="131" spans="1:16" x14ac:dyDescent="0.25">
      <c r="A131" s="1">
        <v>21204</v>
      </c>
      <c r="B131" s="1">
        <v>212</v>
      </c>
      <c r="C131" s="1">
        <v>4</v>
      </c>
      <c r="D131" s="1">
        <v>0</v>
      </c>
      <c r="E131" s="1">
        <v>5</v>
      </c>
      <c r="F131" s="1">
        <v>80</v>
      </c>
      <c r="G131" s="1">
        <v>18</v>
      </c>
      <c r="H131" s="1">
        <v>27</v>
      </c>
      <c r="I131" s="1">
        <v>36</v>
      </c>
      <c r="J131" s="1">
        <v>45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</row>
    <row r="132" spans="1:16" x14ac:dyDescent="0.25">
      <c r="A132" s="1">
        <v>21300</v>
      </c>
      <c r="B132" s="1">
        <v>213</v>
      </c>
      <c r="C132" s="1">
        <v>0</v>
      </c>
      <c r="D132" s="1">
        <v>0</v>
      </c>
      <c r="E132" s="1">
        <v>1</v>
      </c>
      <c r="F132" s="1">
        <v>58</v>
      </c>
      <c r="G132" s="1">
        <v>14</v>
      </c>
      <c r="H132" s="1">
        <v>44</v>
      </c>
      <c r="I132" s="1">
        <v>25</v>
      </c>
      <c r="J132" s="1">
        <v>23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</row>
    <row r="133" spans="1:16" x14ac:dyDescent="0.25">
      <c r="A133" s="1">
        <v>21301</v>
      </c>
      <c r="B133" s="1">
        <v>213</v>
      </c>
      <c r="C133" s="1">
        <v>1</v>
      </c>
      <c r="D133" s="1">
        <v>0</v>
      </c>
      <c r="E133" s="1">
        <v>2</v>
      </c>
      <c r="F133" s="1">
        <v>58</v>
      </c>
      <c r="G133" s="1">
        <v>14</v>
      </c>
      <c r="H133" s="1">
        <v>44</v>
      </c>
      <c r="I133" s="1">
        <v>25</v>
      </c>
      <c r="J133" s="1">
        <v>23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</row>
    <row r="134" spans="1:16" x14ac:dyDescent="0.25">
      <c r="A134" s="1">
        <v>21302</v>
      </c>
      <c r="B134" s="1">
        <v>213</v>
      </c>
      <c r="C134" s="1">
        <v>2</v>
      </c>
      <c r="D134" s="1">
        <v>0</v>
      </c>
      <c r="E134" s="1">
        <v>3</v>
      </c>
      <c r="F134" s="1">
        <v>58</v>
      </c>
      <c r="G134" s="1">
        <v>14</v>
      </c>
      <c r="H134" s="1">
        <v>44</v>
      </c>
      <c r="I134" s="1">
        <v>25</v>
      </c>
      <c r="J134" s="1">
        <v>23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</row>
    <row r="135" spans="1:16" x14ac:dyDescent="0.25">
      <c r="A135" s="1">
        <v>21303</v>
      </c>
      <c r="B135" s="1">
        <v>213</v>
      </c>
      <c r="C135" s="1">
        <v>3</v>
      </c>
      <c r="D135" s="1">
        <v>0</v>
      </c>
      <c r="E135" s="1">
        <v>4</v>
      </c>
      <c r="F135" s="1">
        <v>58</v>
      </c>
      <c r="G135" s="1">
        <v>14</v>
      </c>
      <c r="H135" s="1">
        <v>44</v>
      </c>
      <c r="I135" s="1">
        <v>25</v>
      </c>
      <c r="J135" s="1">
        <v>23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</row>
    <row r="136" spans="1:16" x14ac:dyDescent="0.25">
      <c r="A136" s="1">
        <v>21304</v>
      </c>
      <c r="B136" s="1">
        <v>213</v>
      </c>
      <c r="C136" s="1">
        <v>4</v>
      </c>
      <c r="D136" s="1">
        <v>0</v>
      </c>
      <c r="E136" s="1">
        <v>5</v>
      </c>
      <c r="F136" s="1">
        <v>58</v>
      </c>
      <c r="G136" s="1">
        <v>14</v>
      </c>
      <c r="H136" s="1">
        <v>44</v>
      </c>
      <c r="I136" s="1">
        <v>25</v>
      </c>
      <c r="J136" s="1">
        <v>23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</row>
    <row r="137" spans="1:16" x14ac:dyDescent="0.25">
      <c r="A137" s="1">
        <v>21400</v>
      </c>
      <c r="B137" s="1">
        <v>214</v>
      </c>
      <c r="C137" s="1">
        <v>0</v>
      </c>
      <c r="D137" s="1">
        <v>0</v>
      </c>
      <c r="E137" s="1">
        <v>1</v>
      </c>
      <c r="F137" s="1">
        <v>107</v>
      </c>
      <c r="G137" s="1">
        <v>11</v>
      </c>
      <c r="H137" s="1">
        <v>22</v>
      </c>
      <c r="I137" s="1">
        <v>34</v>
      </c>
      <c r="J137" s="1">
        <v>28</v>
      </c>
      <c r="K137" s="1">
        <v>15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</row>
    <row r="138" spans="1:16" x14ac:dyDescent="0.25">
      <c r="A138" s="1">
        <v>21401</v>
      </c>
      <c r="B138" s="1">
        <v>214</v>
      </c>
      <c r="C138" s="1">
        <v>1</v>
      </c>
      <c r="D138" s="1">
        <v>0</v>
      </c>
      <c r="E138" s="1">
        <v>2</v>
      </c>
      <c r="F138" s="1">
        <v>107</v>
      </c>
      <c r="G138" s="1">
        <v>11</v>
      </c>
      <c r="H138" s="1">
        <v>22</v>
      </c>
      <c r="I138" s="1">
        <v>34</v>
      </c>
      <c r="J138" s="1">
        <v>28</v>
      </c>
      <c r="K138" s="1">
        <v>15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</row>
    <row r="139" spans="1:16" x14ac:dyDescent="0.25">
      <c r="A139" s="1">
        <v>21402</v>
      </c>
      <c r="B139" s="1">
        <v>214</v>
      </c>
      <c r="C139" s="1">
        <v>2</v>
      </c>
      <c r="D139" s="1">
        <v>0</v>
      </c>
      <c r="E139" s="1">
        <v>3</v>
      </c>
      <c r="F139" s="1">
        <v>107</v>
      </c>
      <c r="G139" s="1">
        <v>11</v>
      </c>
      <c r="H139" s="1">
        <v>22</v>
      </c>
      <c r="I139" s="1">
        <v>34</v>
      </c>
      <c r="J139" s="1">
        <v>28</v>
      </c>
      <c r="K139" s="1">
        <v>15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</row>
    <row r="140" spans="1:16" x14ac:dyDescent="0.25">
      <c r="A140" s="1">
        <v>21403</v>
      </c>
      <c r="B140" s="1">
        <v>214</v>
      </c>
      <c r="C140" s="1">
        <v>3</v>
      </c>
      <c r="D140" s="1">
        <v>0</v>
      </c>
      <c r="E140" s="1">
        <v>4</v>
      </c>
      <c r="F140" s="1">
        <v>107</v>
      </c>
      <c r="G140" s="1">
        <v>11</v>
      </c>
      <c r="H140" s="1">
        <v>22</v>
      </c>
      <c r="I140" s="1">
        <v>34</v>
      </c>
      <c r="J140" s="1">
        <v>28</v>
      </c>
      <c r="K140" s="1">
        <v>15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</row>
    <row r="141" spans="1:16" x14ac:dyDescent="0.25">
      <c r="A141" s="1">
        <v>21404</v>
      </c>
      <c r="B141" s="1">
        <v>214</v>
      </c>
      <c r="C141" s="1">
        <v>4</v>
      </c>
      <c r="D141" s="1">
        <v>0</v>
      </c>
      <c r="E141" s="1">
        <v>5</v>
      </c>
      <c r="F141" s="1">
        <v>107</v>
      </c>
      <c r="G141" s="1">
        <v>11</v>
      </c>
      <c r="H141" s="1">
        <v>22</v>
      </c>
      <c r="I141" s="1">
        <v>34</v>
      </c>
      <c r="J141" s="1">
        <v>28</v>
      </c>
      <c r="K141" s="1">
        <v>15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</row>
    <row r="142" spans="1:16" x14ac:dyDescent="0.25">
      <c r="A142" s="1">
        <v>30100</v>
      </c>
      <c r="B142" s="1">
        <v>301</v>
      </c>
      <c r="C142" s="1">
        <v>0</v>
      </c>
      <c r="D142" s="1">
        <v>0</v>
      </c>
      <c r="E142" s="1">
        <v>1</v>
      </c>
      <c r="F142" s="1">
        <v>58</v>
      </c>
      <c r="G142" s="1">
        <v>10</v>
      </c>
      <c r="H142" s="1">
        <v>41</v>
      </c>
      <c r="I142" s="1">
        <v>18</v>
      </c>
      <c r="J142" s="1">
        <v>68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</row>
    <row r="143" spans="1:16" x14ac:dyDescent="0.25">
      <c r="A143" s="1">
        <v>30101</v>
      </c>
      <c r="B143" s="1">
        <v>301</v>
      </c>
      <c r="C143" s="1">
        <v>1</v>
      </c>
      <c r="D143" s="1">
        <v>0</v>
      </c>
      <c r="E143" s="1">
        <v>2</v>
      </c>
      <c r="F143" s="1">
        <v>58</v>
      </c>
      <c r="G143" s="1">
        <v>10</v>
      </c>
      <c r="H143" s="1">
        <v>41</v>
      </c>
      <c r="I143" s="1">
        <v>18</v>
      </c>
      <c r="J143" s="1">
        <v>68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</row>
    <row r="144" spans="1:16" x14ac:dyDescent="0.25">
      <c r="A144" s="1">
        <v>30102</v>
      </c>
      <c r="B144" s="1">
        <v>301</v>
      </c>
      <c r="C144" s="1">
        <v>2</v>
      </c>
      <c r="D144" s="1">
        <v>0</v>
      </c>
      <c r="E144" s="1">
        <v>3</v>
      </c>
      <c r="F144" s="1">
        <v>58</v>
      </c>
      <c r="G144" s="1">
        <v>10</v>
      </c>
      <c r="H144" s="1">
        <v>41</v>
      </c>
      <c r="I144" s="1">
        <v>18</v>
      </c>
      <c r="J144" s="1">
        <v>68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</row>
    <row r="145" spans="1:16" x14ac:dyDescent="0.25">
      <c r="A145" s="1">
        <v>30103</v>
      </c>
      <c r="B145" s="1">
        <v>301</v>
      </c>
      <c r="C145" s="1">
        <v>3</v>
      </c>
      <c r="D145" s="1">
        <v>0</v>
      </c>
      <c r="E145" s="1">
        <v>4</v>
      </c>
      <c r="F145" s="1">
        <v>58</v>
      </c>
      <c r="G145" s="1">
        <v>10</v>
      </c>
      <c r="H145" s="1">
        <v>41</v>
      </c>
      <c r="I145" s="1">
        <v>18</v>
      </c>
      <c r="J145" s="1">
        <v>68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</row>
    <row r="146" spans="1:16" x14ac:dyDescent="0.25">
      <c r="A146" s="1">
        <v>30104</v>
      </c>
      <c r="B146" s="1">
        <v>301</v>
      </c>
      <c r="C146" s="1">
        <v>4</v>
      </c>
      <c r="D146" s="1">
        <v>0</v>
      </c>
      <c r="E146" s="1">
        <v>5</v>
      </c>
      <c r="F146" s="1">
        <v>58</v>
      </c>
      <c r="G146" s="1">
        <v>10</v>
      </c>
      <c r="H146" s="1">
        <v>41</v>
      </c>
      <c r="I146" s="1">
        <v>18</v>
      </c>
      <c r="J146" s="1">
        <v>68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</row>
    <row r="147" spans="1:16" x14ac:dyDescent="0.25">
      <c r="A147" s="1">
        <v>30200</v>
      </c>
      <c r="B147" s="1">
        <v>302</v>
      </c>
      <c r="C147" s="1">
        <v>0</v>
      </c>
      <c r="D147" s="1">
        <v>0</v>
      </c>
      <c r="E147" s="1">
        <v>1</v>
      </c>
      <c r="F147" s="1">
        <v>53</v>
      </c>
      <c r="G147" s="1">
        <v>14</v>
      </c>
      <c r="H147" s="1">
        <v>41</v>
      </c>
      <c r="I147" s="1">
        <v>35</v>
      </c>
      <c r="J147" s="1">
        <v>47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</row>
    <row r="148" spans="1:16" x14ac:dyDescent="0.25">
      <c r="A148" s="1">
        <v>30201</v>
      </c>
      <c r="B148" s="1">
        <v>302</v>
      </c>
      <c r="C148" s="1">
        <v>1</v>
      </c>
      <c r="D148" s="1">
        <v>0</v>
      </c>
      <c r="E148" s="1">
        <v>2</v>
      </c>
      <c r="F148" s="1">
        <v>53</v>
      </c>
      <c r="G148" s="1">
        <v>14</v>
      </c>
      <c r="H148" s="1">
        <v>41</v>
      </c>
      <c r="I148" s="1">
        <v>35</v>
      </c>
      <c r="J148" s="1">
        <v>47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</row>
    <row r="149" spans="1:16" x14ac:dyDescent="0.25">
      <c r="A149" s="1">
        <v>30202</v>
      </c>
      <c r="B149" s="1">
        <v>302</v>
      </c>
      <c r="C149" s="1">
        <v>2</v>
      </c>
      <c r="D149" s="1">
        <v>0</v>
      </c>
      <c r="E149" s="1">
        <v>3</v>
      </c>
      <c r="F149" s="1">
        <v>53</v>
      </c>
      <c r="G149" s="1">
        <v>14</v>
      </c>
      <c r="H149" s="1">
        <v>41</v>
      </c>
      <c r="I149" s="1">
        <v>35</v>
      </c>
      <c r="J149" s="1">
        <v>47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</row>
    <row r="150" spans="1:16" x14ac:dyDescent="0.25">
      <c r="A150" s="1">
        <v>30203</v>
      </c>
      <c r="B150" s="1">
        <v>302</v>
      </c>
      <c r="C150" s="1">
        <v>3</v>
      </c>
      <c r="D150" s="1">
        <v>0</v>
      </c>
      <c r="E150" s="1">
        <v>4</v>
      </c>
      <c r="F150" s="1">
        <v>53</v>
      </c>
      <c r="G150" s="1">
        <v>14</v>
      </c>
      <c r="H150" s="1">
        <v>41</v>
      </c>
      <c r="I150" s="1">
        <v>35</v>
      </c>
      <c r="J150" s="1">
        <v>47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</row>
    <row r="151" spans="1:16" x14ac:dyDescent="0.25">
      <c r="A151" s="1">
        <v>30204</v>
      </c>
      <c r="B151" s="1">
        <v>302</v>
      </c>
      <c r="C151" s="1">
        <v>4</v>
      </c>
      <c r="D151" s="1">
        <v>0</v>
      </c>
      <c r="E151" s="1">
        <v>5</v>
      </c>
      <c r="F151" s="1">
        <v>53</v>
      </c>
      <c r="G151" s="1">
        <v>14</v>
      </c>
      <c r="H151" s="1">
        <v>41</v>
      </c>
      <c r="I151" s="1">
        <v>35</v>
      </c>
      <c r="J151" s="1">
        <v>47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</row>
    <row r="152" spans="1:16" x14ac:dyDescent="0.25">
      <c r="A152" s="1">
        <v>30300</v>
      </c>
      <c r="B152" s="1">
        <v>303</v>
      </c>
      <c r="C152" s="1">
        <v>0</v>
      </c>
      <c r="D152" s="1">
        <v>0</v>
      </c>
      <c r="E152" s="1">
        <v>1</v>
      </c>
      <c r="F152" s="1">
        <v>78</v>
      </c>
      <c r="G152" s="1">
        <v>12</v>
      </c>
      <c r="H152" s="1">
        <v>31</v>
      </c>
      <c r="I152" s="1">
        <v>38</v>
      </c>
      <c r="J152" s="1">
        <v>40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</row>
    <row r="153" spans="1:16" x14ac:dyDescent="0.25">
      <c r="A153" s="1">
        <v>30301</v>
      </c>
      <c r="B153" s="1">
        <v>303</v>
      </c>
      <c r="C153" s="1">
        <v>1</v>
      </c>
      <c r="D153" s="1">
        <v>0</v>
      </c>
      <c r="E153" s="1">
        <v>2</v>
      </c>
      <c r="F153" s="1">
        <v>78</v>
      </c>
      <c r="G153" s="1">
        <v>12</v>
      </c>
      <c r="H153" s="1">
        <v>31</v>
      </c>
      <c r="I153" s="1">
        <v>38</v>
      </c>
      <c r="J153" s="1">
        <v>40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</row>
    <row r="154" spans="1:16" x14ac:dyDescent="0.25">
      <c r="A154" s="1">
        <v>30302</v>
      </c>
      <c r="B154" s="1">
        <v>303</v>
      </c>
      <c r="C154" s="1">
        <v>2</v>
      </c>
      <c r="D154" s="1">
        <v>0</v>
      </c>
      <c r="E154" s="1">
        <v>3</v>
      </c>
      <c r="F154" s="1">
        <v>78</v>
      </c>
      <c r="G154" s="1">
        <v>12</v>
      </c>
      <c r="H154" s="1">
        <v>31</v>
      </c>
      <c r="I154" s="1">
        <v>38</v>
      </c>
      <c r="J154" s="1">
        <v>40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</row>
    <row r="155" spans="1:16" x14ac:dyDescent="0.25">
      <c r="A155" s="1">
        <v>30303</v>
      </c>
      <c r="B155" s="1">
        <v>303</v>
      </c>
      <c r="C155" s="1">
        <v>3</v>
      </c>
      <c r="D155" s="1">
        <v>0</v>
      </c>
      <c r="E155" s="1">
        <v>4</v>
      </c>
      <c r="F155" s="1">
        <v>78</v>
      </c>
      <c r="G155" s="1">
        <v>12</v>
      </c>
      <c r="H155" s="1">
        <v>31</v>
      </c>
      <c r="I155" s="1">
        <v>38</v>
      </c>
      <c r="J155" s="1">
        <v>40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</row>
    <row r="156" spans="1:16" x14ac:dyDescent="0.25">
      <c r="A156" s="1">
        <v>30304</v>
      </c>
      <c r="B156" s="1">
        <v>303</v>
      </c>
      <c r="C156" s="1">
        <v>4</v>
      </c>
      <c r="D156" s="1">
        <v>0</v>
      </c>
      <c r="E156" s="1">
        <v>5</v>
      </c>
      <c r="F156" s="1">
        <v>78</v>
      </c>
      <c r="G156" s="1">
        <v>12</v>
      </c>
      <c r="H156" s="1">
        <v>31</v>
      </c>
      <c r="I156" s="1">
        <v>38</v>
      </c>
      <c r="J156" s="1">
        <v>40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</row>
    <row r="157" spans="1:16" x14ac:dyDescent="0.25">
      <c r="A157" s="1">
        <v>30400</v>
      </c>
      <c r="B157" s="1">
        <v>304</v>
      </c>
      <c r="C157" s="1">
        <v>0</v>
      </c>
      <c r="D157" s="1">
        <v>0</v>
      </c>
      <c r="E157" s="1">
        <v>1</v>
      </c>
      <c r="F157" s="1">
        <v>38</v>
      </c>
      <c r="G157" s="1">
        <v>17</v>
      </c>
      <c r="H157" s="1">
        <v>28</v>
      </c>
      <c r="I157" s="1">
        <v>35</v>
      </c>
      <c r="J157" s="1">
        <v>31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</row>
    <row r="158" spans="1:16" x14ac:dyDescent="0.25">
      <c r="A158" s="1">
        <v>30401</v>
      </c>
      <c r="B158" s="1">
        <v>304</v>
      </c>
      <c r="C158" s="1">
        <v>1</v>
      </c>
      <c r="D158" s="1">
        <v>0</v>
      </c>
      <c r="E158" s="1">
        <v>2</v>
      </c>
      <c r="F158" s="1">
        <v>38</v>
      </c>
      <c r="G158" s="1">
        <v>17</v>
      </c>
      <c r="H158" s="1">
        <v>28</v>
      </c>
      <c r="I158" s="1">
        <v>35</v>
      </c>
      <c r="J158" s="1">
        <v>31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</row>
    <row r="159" spans="1:16" x14ac:dyDescent="0.25">
      <c r="A159" s="1">
        <v>30402</v>
      </c>
      <c r="B159" s="1">
        <v>304</v>
      </c>
      <c r="C159" s="1">
        <v>2</v>
      </c>
      <c r="D159" s="1">
        <v>0</v>
      </c>
      <c r="E159" s="1">
        <v>3</v>
      </c>
      <c r="F159" s="1">
        <v>38</v>
      </c>
      <c r="G159" s="1">
        <v>17</v>
      </c>
      <c r="H159" s="1">
        <v>28</v>
      </c>
      <c r="I159" s="1">
        <v>35</v>
      </c>
      <c r="J159" s="1">
        <v>31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</row>
    <row r="160" spans="1:16" x14ac:dyDescent="0.25">
      <c r="A160" s="1">
        <v>30403</v>
      </c>
      <c r="B160" s="1">
        <v>304</v>
      </c>
      <c r="C160" s="1">
        <v>3</v>
      </c>
      <c r="D160" s="1">
        <v>0</v>
      </c>
      <c r="E160" s="1">
        <v>4</v>
      </c>
      <c r="F160" s="1">
        <v>38</v>
      </c>
      <c r="G160" s="1">
        <v>17</v>
      </c>
      <c r="H160" s="1">
        <v>28</v>
      </c>
      <c r="I160" s="1">
        <v>35</v>
      </c>
      <c r="J160" s="1">
        <v>31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</row>
    <row r="161" spans="1:16" x14ac:dyDescent="0.25">
      <c r="A161" s="1">
        <v>30404</v>
      </c>
      <c r="B161" s="1">
        <v>304</v>
      </c>
      <c r="C161" s="1">
        <v>4</v>
      </c>
      <c r="D161" s="1">
        <v>0</v>
      </c>
      <c r="E161" s="1">
        <v>5</v>
      </c>
      <c r="F161" s="1">
        <v>38</v>
      </c>
      <c r="G161" s="1">
        <v>17</v>
      </c>
      <c r="H161" s="1">
        <v>28</v>
      </c>
      <c r="I161" s="1">
        <v>35</v>
      </c>
      <c r="J161" s="1">
        <v>31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</row>
    <row r="162" spans="1:16" x14ac:dyDescent="0.25">
      <c r="A162" s="1">
        <v>30500</v>
      </c>
      <c r="B162" s="1">
        <v>305</v>
      </c>
      <c r="C162" s="1">
        <v>0</v>
      </c>
      <c r="D162" s="1">
        <v>0</v>
      </c>
      <c r="E162" s="1">
        <v>1</v>
      </c>
      <c r="F162" s="1">
        <v>46</v>
      </c>
      <c r="G162" s="1">
        <v>12</v>
      </c>
      <c r="H162" s="1">
        <v>46</v>
      </c>
      <c r="I162" s="1">
        <v>18</v>
      </c>
      <c r="J162" s="1">
        <v>25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</row>
    <row r="163" spans="1:16" x14ac:dyDescent="0.25">
      <c r="A163" s="1">
        <v>30501</v>
      </c>
      <c r="B163" s="1">
        <v>305</v>
      </c>
      <c r="C163" s="1">
        <v>1</v>
      </c>
      <c r="D163" s="1">
        <v>0</v>
      </c>
      <c r="E163" s="1">
        <v>2</v>
      </c>
      <c r="F163" s="1">
        <v>46</v>
      </c>
      <c r="G163" s="1">
        <v>12</v>
      </c>
      <c r="H163" s="1">
        <v>46</v>
      </c>
      <c r="I163" s="1">
        <v>18</v>
      </c>
      <c r="J163" s="1">
        <v>25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</row>
    <row r="164" spans="1:16" x14ac:dyDescent="0.25">
      <c r="A164" s="1">
        <v>30502</v>
      </c>
      <c r="B164" s="1">
        <v>305</v>
      </c>
      <c r="C164" s="1">
        <v>2</v>
      </c>
      <c r="D164" s="1">
        <v>0</v>
      </c>
      <c r="E164" s="1">
        <v>3</v>
      </c>
      <c r="F164" s="1">
        <v>46</v>
      </c>
      <c r="G164" s="1">
        <v>12</v>
      </c>
      <c r="H164" s="1">
        <v>46</v>
      </c>
      <c r="I164" s="1">
        <v>18</v>
      </c>
      <c r="J164" s="1">
        <v>25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</row>
    <row r="165" spans="1:16" x14ac:dyDescent="0.25">
      <c r="A165" s="1">
        <v>30503</v>
      </c>
      <c r="B165" s="1">
        <v>305</v>
      </c>
      <c r="C165" s="1">
        <v>3</v>
      </c>
      <c r="D165" s="1">
        <v>0</v>
      </c>
      <c r="E165" s="1">
        <v>4</v>
      </c>
      <c r="F165" s="1">
        <v>46</v>
      </c>
      <c r="G165" s="1">
        <v>12</v>
      </c>
      <c r="H165" s="1">
        <v>46</v>
      </c>
      <c r="I165" s="1">
        <v>18</v>
      </c>
      <c r="J165" s="1">
        <v>25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</row>
    <row r="166" spans="1:16" x14ac:dyDescent="0.25">
      <c r="A166" s="1">
        <v>30504</v>
      </c>
      <c r="B166" s="1">
        <v>305</v>
      </c>
      <c r="C166" s="1">
        <v>4</v>
      </c>
      <c r="D166" s="1">
        <v>0</v>
      </c>
      <c r="E166" s="1">
        <v>5</v>
      </c>
      <c r="F166" s="1">
        <v>46</v>
      </c>
      <c r="G166" s="1">
        <v>12</v>
      </c>
      <c r="H166" s="1">
        <v>46</v>
      </c>
      <c r="I166" s="1">
        <v>18</v>
      </c>
      <c r="J166" s="1">
        <v>25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</row>
    <row r="167" spans="1:16" x14ac:dyDescent="0.25">
      <c r="A167" s="1">
        <v>30600</v>
      </c>
      <c r="B167" s="1">
        <v>306</v>
      </c>
      <c r="C167" s="1">
        <v>0</v>
      </c>
      <c r="D167" s="1">
        <v>0</v>
      </c>
      <c r="E167" s="1">
        <v>1</v>
      </c>
      <c r="F167" s="1">
        <v>23</v>
      </c>
      <c r="G167" s="1">
        <v>17</v>
      </c>
      <c r="H167" s="1">
        <v>44</v>
      </c>
      <c r="I167" s="1">
        <v>34</v>
      </c>
      <c r="J167" s="1">
        <v>57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</row>
    <row r="168" spans="1:16" x14ac:dyDescent="0.25">
      <c r="A168" s="1">
        <v>30601</v>
      </c>
      <c r="B168" s="1">
        <v>306</v>
      </c>
      <c r="C168" s="1">
        <v>1</v>
      </c>
      <c r="D168" s="1">
        <v>0</v>
      </c>
      <c r="E168" s="1">
        <v>2</v>
      </c>
      <c r="F168" s="1">
        <v>23</v>
      </c>
      <c r="G168" s="1">
        <v>17</v>
      </c>
      <c r="H168" s="1">
        <v>44</v>
      </c>
      <c r="I168" s="1">
        <v>34</v>
      </c>
      <c r="J168" s="1">
        <v>57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</row>
    <row r="169" spans="1:16" x14ac:dyDescent="0.25">
      <c r="A169" s="1">
        <v>30602</v>
      </c>
      <c r="B169" s="1">
        <v>306</v>
      </c>
      <c r="C169" s="1">
        <v>2</v>
      </c>
      <c r="D169" s="1">
        <v>0</v>
      </c>
      <c r="E169" s="1">
        <v>3</v>
      </c>
      <c r="F169" s="1">
        <v>23</v>
      </c>
      <c r="G169" s="1">
        <v>17</v>
      </c>
      <c r="H169" s="1">
        <v>44</v>
      </c>
      <c r="I169" s="1">
        <v>34</v>
      </c>
      <c r="J169" s="1">
        <v>57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</row>
    <row r="170" spans="1:16" x14ac:dyDescent="0.25">
      <c r="A170" s="1">
        <v>30603</v>
      </c>
      <c r="B170" s="1">
        <v>306</v>
      </c>
      <c r="C170" s="1">
        <v>3</v>
      </c>
      <c r="D170" s="1">
        <v>0</v>
      </c>
      <c r="E170" s="1">
        <v>4</v>
      </c>
      <c r="F170" s="1">
        <v>23</v>
      </c>
      <c r="G170" s="1">
        <v>17</v>
      </c>
      <c r="H170" s="1">
        <v>44</v>
      </c>
      <c r="I170" s="1">
        <v>34</v>
      </c>
      <c r="J170" s="1">
        <v>57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</row>
    <row r="171" spans="1:16" x14ac:dyDescent="0.25">
      <c r="A171" s="1">
        <v>30604</v>
      </c>
      <c r="B171" s="1">
        <v>306</v>
      </c>
      <c r="C171" s="1">
        <v>4</v>
      </c>
      <c r="D171" s="1">
        <v>0</v>
      </c>
      <c r="E171" s="1">
        <v>5</v>
      </c>
      <c r="F171" s="1">
        <v>23</v>
      </c>
      <c r="G171" s="1">
        <v>17</v>
      </c>
      <c r="H171" s="1">
        <v>44</v>
      </c>
      <c r="I171" s="1">
        <v>34</v>
      </c>
      <c r="J171" s="1">
        <v>57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</row>
    <row r="172" spans="1:16" x14ac:dyDescent="0.25">
      <c r="A172" s="1">
        <v>30700</v>
      </c>
      <c r="B172" s="1">
        <v>307</v>
      </c>
      <c r="C172" s="1">
        <v>0</v>
      </c>
      <c r="D172" s="1">
        <v>0</v>
      </c>
      <c r="E172" s="1">
        <v>1</v>
      </c>
      <c r="F172" s="1">
        <v>44</v>
      </c>
      <c r="G172" s="1">
        <v>11</v>
      </c>
      <c r="H172" s="1">
        <v>41</v>
      </c>
      <c r="I172" s="1">
        <v>31</v>
      </c>
      <c r="J172" s="1">
        <v>74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</row>
    <row r="173" spans="1:16" x14ac:dyDescent="0.25">
      <c r="A173" s="1">
        <v>30701</v>
      </c>
      <c r="B173" s="1">
        <v>307</v>
      </c>
      <c r="C173" s="1">
        <v>1</v>
      </c>
      <c r="D173" s="1">
        <v>0</v>
      </c>
      <c r="E173" s="1">
        <v>2</v>
      </c>
      <c r="F173" s="1">
        <v>44</v>
      </c>
      <c r="G173" s="1">
        <v>11</v>
      </c>
      <c r="H173" s="1">
        <v>41</v>
      </c>
      <c r="I173" s="1">
        <v>31</v>
      </c>
      <c r="J173" s="1">
        <v>74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</row>
    <row r="174" spans="1:16" x14ac:dyDescent="0.25">
      <c r="A174" s="1">
        <v>30702</v>
      </c>
      <c r="B174" s="1">
        <v>307</v>
      </c>
      <c r="C174" s="1">
        <v>2</v>
      </c>
      <c r="D174" s="1">
        <v>0</v>
      </c>
      <c r="E174" s="1">
        <v>3</v>
      </c>
      <c r="F174" s="1">
        <v>44</v>
      </c>
      <c r="G174" s="1">
        <v>11</v>
      </c>
      <c r="H174" s="1">
        <v>41</v>
      </c>
      <c r="I174" s="1">
        <v>31</v>
      </c>
      <c r="J174" s="1">
        <v>74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</row>
    <row r="175" spans="1:16" x14ac:dyDescent="0.25">
      <c r="A175" s="1">
        <v>30703</v>
      </c>
      <c r="B175" s="1">
        <v>307</v>
      </c>
      <c r="C175" s="1">
        <v>3</v>
      </c>
      <c r="D175" s="1">
        <v>0</v>
      </c>
      <c r="E175" s="1">
        <v>4</v>
      </c>
      <c r="F175" s="1">
        <v>44</v>
      </c>
      <c r="G175" s="1">
        <v>11</v>
      </c>
      <c r="H175" s="1">
        <v>41</v>
      </c>
      <c r="I175" s="1">
        <v>31</v>
      </c>
      <c r="J175" s="1">
        <v>74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</row>
    <row r="176" spans="1:16" x14ac:dyDescent="0.25">
      <c r="A176" s="1">
        <v>30704</v>
      </c>
      <c r="B176" s="1">
        <v>307</v>
      </c>
      <c r="C176" s="1">
        <v>4</v>
      </c>
      <c r="D176" s="1">
        <v>0</v>
      </c>
      <c r="E176" s="1">
        <v>5</v>
      </c>
      <c r="F176" s="1">
        <v>44</v>
      </c>
      <c r="G176" s="1">
        <v>11</v>
      </c>
      <c r="H176" s="1">
        <v>41</v>
      </c>
      <c r="I176" s="1">
        <v>31</v>
      </c>
      <c r="J176" s="1">
        <v>74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</row>
    <row r="177" spans="1:16" x14ac:dyDescent="0.25">
      <c r="A177" s="1">
        <v>30800</v>
      </c>
      <c r="B177" s="1">
        <v>308</v>
      </c>
      <c r="C177" s="1">
        <v>0</v>
      </c>
      <c r="D177" s="1">
        <v>0</v>
      </c>
      <c r="E177" s="1">
        <v>1</v>
      </c>
      <c r="F177" s="1">
        <v>53</v>
      </c>
      <c r="G177" s="1">
        <v>11</v>
      </c>
      <c r="H177" s="1">
        <v>48</v>
      </c>
      <c r="I177" s="1">
        <v>35</v>
      </c>
      <c r="J177" s="1">
        <v>52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</row>
    <row r="178" spans="1:16" x14ac:dyDescent="0.25">
      <c r="A178" s="1">
        <v>30801</v>
      </c>
      <c r="B178" s="1">
        <v>308</v>
      </c>
      <c r="C178" s="1">
        <v>1</v>
      </c>
      <c r="D178" s="1">
        <v>0</v>
      </c>
      <c r="E178" s="1">
        <v>2</v>
      </c>
      <c r="F178" s="1">
        <v>53</v>
      </c>
      <c r="G178" s="1">
        <v>11</v>
      </c>
      <c r="H178" s="1">
        <v>48</v>
      </c>
      <c r="I178" s="1">
        <v>35</v>
      </c>
      <c r="J178" s="1">
        <v>52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</row>
    <row r="179" spans="1:16" x14ac:dyDescent="0.25">
      <c r="A179" s="1">
        <v>30802</v>
      </c>
      <c r="B179" s="1">
        <v>308</v>
      </c>
      <c r="C179" s="1">
        <v>2</v>
      </c>
      <c r="D179" s="1">
        <v>0</v>
      </c>
      <c r="E179" s="1">
        <v>3</v>
      </c>
      <c r="F179" s="1">
        <v>53</v>
      </c>
      <c r="G179" s="1">
        <v>11</v>
      </c>
      <c r="H179" s="1">
        <v>48</v>
      </c>
      <c r="I179" s="1">
        <v>35</v>
      </c>
      <c r="J179" s="1">
        <v>52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</row>
    <row r="180" spans="1:16" x14ac:dyDescent="0.25">
      <c r="A180" s="1">
        <v>30803</v>
      </c>
      <c r="B180" s="1">
        <v>308</v>
      </c>
      <c r="C180" s="1">
        <v>3</v>
      </c>
      <c r="D180" s="1">
        <v>0</v>
      </c>
      <c r="E180" s="1">
        <v>4</v>
      </c>
      <c r="F180" s="1">
        <v>53</v>
      </c>
      <c r="G180" s="1">
        <v>11</v>
      </c>
      <c r="H180" s="1">
        <v>48</v>
      </c>
      <c r="I180" s="1">
        <v>35</v>
      </c>
      <c r="J180" s="1">
        <v>52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</row>
    <row r="181" spans="1:16" x14ac:dyDescent="0.25">
      <c r="A181" s="1">
        <v>30804</v>
      </c>
      <c r="B181" s="1">
        <v>308</v>
      </c>
      <c r="C181" s="1">
        <v>4</v>
      </c>
      <c r="D181" s="1">
        <v>0</v>
      </c>
      <c r="E181" s="1">
        <v>5</v>
      </c>
      <c r="F181" s="1">
        <v>53</v>
      </c>
      <c r="G181" s="1">
        <v>11</v>
      </c>
      <c r="H181" s="1">
        <v>48</v>
      </c>
      <c r="I181" s="1">
        <v>35</v>
      </c>
      <c r="J181" s="1">
        <v>52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</row>
    <row r="182" spans="1:16" x14ac:dyDescent="0.25">
      <c r="A182" s="1">
        <v>30900</v>
      </c>
      <c r="B182" s="1">
        <v>309</v>
      </c>
      <c r="C182" s="1">
        <v>0</v>
      </c>
      <c r="D182" s="1">
        <v>0</v>
      </c>
      <c r="E182" s="1">
        <v>1</v>
      </c>
      <c r="F182" s="1">
        <v>34</v>
      </c>
      <c r="G182" s="1">
        <v>14</v>
      </c>
      <c r="H182" s="1">
        <v>24</v>
      </c>
      <c r="I182" s="1">
        <v>41</v>
      </c>
      <c r="J182" s="1">
        <v>51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</row>
    <row r="183" spans="1:16" x14ac:dyDescent="0.25">
      <c r="A183" s="1">
        <v>30901</v>
      </c>
      <c r="B183" s="1">
        <v>309</v>
      </c>
      <c r="C183" s="1">
        <v>1</v>
      </c>
      <c r="D183" s="1">
        <v>0</v>
      </c>
      <c r="E183" s="1">
        <v>2</v>
      </c>
      <c r="F183" s="1">
        <v>34</v>
      </c>
      <c r="G183" s="1">
        <v>14</v>
      </c>
      <c r="H183" s="1">
        <v>24</v>
      </c>
      <c r="I183" s="1">
        <v>41</v>
      </c>
      <c r="J183" s="1">
        <v>51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</row>
    <row r="184" spans="1:16" x14ac:dyDescent="0.25">
      <c r="A184" s="1">
        <v>30902</v>
      </c>
      <c r="B184" s="1">
        <v>309</v>
      </c>
      <c r="C184" s="1">
        <v>2</v>
      </c>
      <c r="D184" s="1">
        <v>0</v>
      </c>
      <c r="E184" s="1">
        <v>3</v>
      </c>
      <c r="F184" s="1">
        <v>34</v>
      </c>
      <c r="G184" s="1">
        <v>14</v>
      </c>
      <c r="H184" s="1">
        <v>24</v>
      </c>
      <c r="I184" s="1">
        <v>41</v>
      </c>
      <c r="J184" s="1">
        <v>51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</row>
    <row r="185" spans="1:16" x14ac:dyDescent="0.25">
      <c r="A185" s="1">
        <v>30903</v>
      </c>
      <c r="B185" s="1">
        <v>309</v>
      </c>
      <c r="C185" s="1">
        <v>3</v>
      </c>
      <c r="D185" s="1">
        <v>0</v>
      </c>
      <c r="E185" s="1">
        <v>4</v>
      </c>
      <c r="F185" s="1">
        <v>34</v>
      </c>
      <c r="G185" s="1">
        <v>14</v>
      </c>
      <c r="H185" s="1">
        <v>24</v>
      </c>
      <c r="I185" s="1">
        <v>41</v>
      </c>
      <c r="J185" s="1">
        <v>51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</row>
    <row r="186" spans="1:16" x14ac:dyDescent="0.25">
      <c r="A186" s="1">
        <v>30904</v>
      </c>
      <c r="B186" s="1">
        <v>309</v>
      </c>
      <c r="C186" s="1">
        <v>4</v>
      </c>
      <c r="D186" s="1">
        <v>0</v>
      </c>
      <c r="E186" s="1">
        <v>5</v>
      </c>
      <c r="F186" s="1">
        <v>34</v>
      </c>
      <c r="G186" s="1">
        <v>14</v>
      </c>
      <c r="H186" s="1">
        <v>24</v>
      </c>
      <c r="I186" s="1">
        <v>41</v>
      </c>
      <c r="J186" s="1">
        <v>51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</row>
    <row r="187" spans="1:16" x14ac:dyDescent="0.25">
      <c r="A187" s="1">
        <v>31000</v>
      </c>
      <c r="B187" s="1">
        <v>310</v>
      </c>
      <c r="C187" s="1">
        <v>0</v>
      </c>
      <c r="D187" s="1">
        <v>0</v>
      </c>
      <c r="E187" s="1">
        <v>1</v>
      </c>
      <c r="F187" s="1">
        <v>483</v>
      </c>
      <c r="G187" s="1">
        <v>197</v>
      </c>
      <c r="H187" s="1">
        <v>22</v>
      </c>
      <c r="I187" s="1">
        <v>35</v>
      </c>
      <c r="J187" s="1">
        <v>0</v>
      </c>
      <c r="K187" s="1">
        <v>5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</row>
    <row r="188" spans="1:16" x14ac:dyDescent="0.25">
      <c r="A188" s="1">
        <v>31001</v>
      </c>
      <c r="B188" s="1">
        <v>310</v>
      </c>
      <c r="C188" s="1">
        <v>1</v>
      </c>
      <c r="D188" s="1">
        <v>0</v>
      </c>
      <c r="E188" s="1">
        <v>1</v>
      </c>
      <c r="F188" s="1">
        <v>533</v>
      </c>
      <c r="G188" s="1">
        <v>197</v>
      </c>
      <c r="H188" s="1">
        <v>32</v>
      </c>
      <c r="I188" s="1">
        <v>35</v>
      </c>
      <c r="J188" s="1">
        <v>0</v>
      </c>
      <c r="K188" s="1">
        <v>8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</row>
    <row r="189" spans="1:16" x14ac:dyDescent="0.25">
      <c r="A189" s="1">
        <v>31002</v>
      </c>
      <c r="B189" s="1">
        <v>310</v>
      </c>
      <c r="C189" s="1">
        <v>2</v>
      </c>
      <c r="D189" s="1">
        <v>0</v>
      </c>
      <c r="E189" s="1">
        <v>1</v>
      </c>
      <c r="F189" s="1">
        <v>583</v>
      </c>
      <c r="G189" s="1">
        <v>367</v>
      </c>
      <c r="H189" s="1">
        <v>32</v>
      </c>
      <c r="I189" s="1">
        <v>77</v>
      </c>
      <c r="J189" s="1">
        <v>0</v>
      </c>
      <c r="K189" s="1">
        <v>8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</row>
    <row r="190" spans="1:16" x14ac:dyDescent="0.25">
      <c r="A190" s="1">
        <v>31003</v>
      </c>
      <c r="B190" s="1">
        <v>310</v>
      </c>
      <c r="C190" s="1">
        <v>3</v>
      </c>
      <c r="D190" s="1">
        <v>0</v>
      </c>
      <c r="E190" s="1">
        <v>1</v>
      </c>
      <c r="F190" s="1">
        <v>633</v>
      </c>
      <c r="G190" s="1">
        <v>367</v>
      </c>
      <c r="H190" s="1">
        <v>32</v>
      </c>
      <c r="I190" s="1">
        <v>155</v>
      </c>
      <c r="J190" s="1">
        <v>0</v>
      </c>
      <c r="K190" s="1">
        <v>13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</row>
    <row r="191" spans="1:16" x14ac:dyDescent="0.25">
      <c r="A191" s="1">
        <v>31004</v>
      </c>
      <c r="B191" s="1">
        <v>310</v>
      </c>
      <c r="C191" s="1">
        <v>4</v>
      </c>
      <c r="D191" s="1">
        <v>0</v>
      </c>
      <c r="E191" s="1">
        <v>1</v>
      </c>
      <c r="F191" s="1">
        <v>683</v>
      </c>
      <c r="G191" s="1">
        <v>592</v>
      </c>
      <c r="H191" s="1">
        <v>47</v>
      </c>
      <c r="I191" s="1">
        <v>155</v>
      </c>
      <c r="J191" s="1">
        <v>0</v>
      </c>
      <c r="K191" s="1">
        <v>13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</row>
    <row r="192" spans="1:16" x14ac:dyDescent="0.25">
      <c r="A192" s="1">
        <v>80100</v>
      </c>
      <c r="B192" s="1">
        <v>801</v>
      </c>
      <c r="C192" s="1">
        <v>0</v>
      </c>
      <c r="D192" s="1">
        <v>0</v>
      </c>
      <c r="E192" s="1">
        <v>1</v>
      </c>
      <c r="F192" s="1">
        <v>331</v>
      </c>
      <c r="G192" s="1">
        <v>42</v>
      </c>
      <c r="H192" s="1">
        <v>36</v>
      </c>
      <c r="I192" s="1">
        <v>19</v>
      </c>
      <c r="J192" s="1">
        <v>58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</row>
    <row r="193" spans="1:16" x14ac:dyDescent="0.25">
      <c r="A193" s="1">
        <v>80101</v>
      </c>
      <c r="B193" s="1">
        <v>801</v>
      </c>
      <c r="C193" s="1">
        <v>1</v>
      </c>
      <c r="D193" s="1">
        <v>0</v>
      </c>
      <c r="E193" s="1">
        <v>1</v>
      </c>
      <c r="F193" s="1">
        <v>331</v>
      </c>
      <c r="G193" s="1">
        <v>42</v>
      </c>
      <c r="H193" s="1">
        <v>36</v>
      </c>
      <c r="I193" s="1">
        <v>19</v>
      </c>
      <c r="J193" s="1">
        <v>58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200</v>
      </c>
    </row>
    <row r="194" spans="1:16" x14ac:dyDescent="0.25">
      <c r="A194" s="1">
        <v>80102</v>
      </c>
      <c r="B194" s="1">
        <v>801</v>
      </c>
      <c r="C194" s="1">
        <v>2</v>
      </c>
      <c r="D194" s="1">
        <v>0</v>
      </c>
      <c r="E194" s="1">
        <v>1</v>
      </c>
      <c r="F194" s="1">
        <v>331</v>
      </c>
      <c r="G194" s="1">
        <v>72</v>
      </c>
      <c r="H194" s="1">
        <v>36</v>
      </c>
      <c r="I194" s="1">
        <v>29</v>
      </c>
      <c r="J194" s="1">
        <v>58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200</v>
      </c>
    </row>
    <row r="195" spans="1:16" x14ac:dyDescent="0.25">
      <c r="A195" s="1">
        <v>80103</v>
      </c>
      <c r="B195" s="1">
        <v>801</v>
      </c>
      <c r="C195" s="1">
        <v>3</v>
      </c>
      <c r="D195" s="1">
        <v>0</v>
      </c>
      <c r="E195" s="1">
        <v>1</v>
      </c>
      <c r="F195" s="1">
        <v>331</v>
      </c>
      <c r="G195" s="1">
        <v>72</v>
      </c>
      <c r="H195" s="1">
        <v>42</v>
      </c>
      <c r="I195" s="1">
        <v>29</v>
      </c>
      <c r="J195" s="1">
        <v>73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200</v>
      </c>
    </row>
    <row r="196" spans="1:16" x14ac:dyDescent="0.25">
      <c r="A196" s="1">
        <v>80104</v>
      </c>
      <c r="B196" s="1">
        <v>801</v>
      </c>
      <c r="C196" s="1">
        <v>4</v>
      </c>
      <c r="D196" s="1">
        <v>2</v>
      </c>
      <c r="E196" s="1">
        <v>1</v>
      </c>
      <c r="F196" s="1">
        <v>331</v>
      </c>
      <c r="G196" s="1">
        <v>72</v>
      </c>
      <c r="H196" s="1">
        <v>42</v>
      </c>
      <c r="I196" s="1">
        <v>29</v>
      </c>
      <c r="J196" s="1">
        <v>73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200</v>
      </c>
    </row>
    <row r="197" spans="1:16" x14ac:dyDescent="0.25">
      <c r="A197" s="1">
        <v>80200</v>
      </c>
      <c r="B197" s="1">
        <v>802</v>
      </c>
      <c r="C197" s="1">
        <v>0</v>
      </c>
      <c r="D197" s="1">
        <v>0</v>
      </c>
      <c r="E197" s="1">
        <v>1</v>
      </c>
      <c r="F197" s="1">
        <v>319</v>
      </c>
      <c r="G197" s="1">
        <v>42</v>
      </c>
      <c r="H197" s="1">
        <v>32</v>
      </c>
      <c r="I197" s="1">
        <v>31</v>
      </c>
      <c r="J197" s="1">
        <v>42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</row>
    <row r="198" spans="1:16" x14ac:dyDescent="0.25">
      <c r="A198" s="1">
        <v>80201</v>
      </c>
      <c r="B198" s="1">
        <v>802</v>
      </c>
      <c r="C198" s="1">
        <v>1</v>
      </c>
      <c r="D198" s="1">
        <v>0</v>
      </c>
      <c r="E198" s="1">
        <v>1</v>
      </c>
      <c r="F198" s="1">
        <v>319</v>
      </c>
      <c r="G198" s="1">
        <v>42</v>
      </c>
      <c r="H198" s="1">
        <v>32</v>
      </c>
      <c r="I198" s="1">
        <v>31</v>
      </c>
      <c r="J198" s="1">
        <v>42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200</v>
      </c>
    </row>
    <row r="199" spans="1:16" x14ac:dyDescent="0.25">
      <c r="A199" s="1">
        <v>80202</v>
      </c>
      <c r="B199" s="1">
        <v>802</v>
      </c>
      <c r="C199" s="1">
        <v>2</v>
      </c>
      <c r="D199" s="1">
        <v>0</v>
      </c>
      <c r="E199" s="1">
        <v>1</v>
      </c>
      <c r="F199" s="1">
        <v>319</v>
      </c>
      <c r="G199" s="1">
        <v>82</v>
      </c>
      <c r="H199" s="1">
        <v>32</v>
      </c>
      <c r="I199" s="1">
        <v>31</v>
      </c>
      <c r="J199" s="1">
        <v>42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200</v>
      </c>
    </row>
    <row r="200" spans="1:16" x14ac:dyDescent="0.25">
      <c r="A200" s="1">
        <v>80203</v>
      </c>
      <c r="B200" s="1">
        <v>802</v>
      </c>
      <c r="C200" s="1">
        <v>3</v>
      </c>
      <c r="D200" s="1">
        <v>0</v>
      </c>
      <c r="E200" s="1">
        <v>1</v>
      </c>
      <c r="F200" s="1">
        <v>439</v>
      </c>
      <c r="G200" s="1">
        <v>82</v>
      </c>
      <c r="H200" s="1">
        <v>32</v>
      </c>
      <c r="I200" s="1">
        <v>31</v>
      </c>
      <c r="J200" s="1">
        <v>57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200</v>
      </c>
    </row>
    <row r="201" spans="1:16" x14ac:dyDescent="0.25">
      <c r="A201" s="1">
        <v>80204</v>
      </c>
      <c r="B201" s="1">
        <v>802</v>
      </c>
      <c r="C201" s="1">
        <v>4</v>
      </c>
      <c r="D201" s="1">
        <v>3</v>
      </c>
      <c r="E201" s="1">
        <v>1</v>
      </c>
      <c r="F201" s="1">
        <v>439</v>
      </c>
      <c r="G201" s="1">
        <v>82</v>
      </c>
      <c r="H201" s="1">
        <v>32</v>
      </c>
      <c r="I201" s="1">
        <v>31</v>
      </c>
      <c r="J201" s="1">
        <v>57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200</v>
      </c>
    </row>
    <row r="202" spans="1:16" x14ac:dyDescent="0.25">
      <c r="A202" s="1">
        <v>80300</v>
      </c>
      <c r="B202" s="1">
        <v>803</v>
      </c>
      <c r="C202" s="1">
        <v>0</v>
      </c>
      <c r="D202" s="1">
        <v>0</v>
      </c>
      <c r="E202" s="1">
        <v>1</v>
      </c>
      <c r="F202" s="1">
        <v>348</v>
      </c>
      <c r="G202" s="1">
        <v>57</v>
      </c>
      <c r="H202" s="1">
        <v>39</v>
      </c>
      <c r="I202" s="1">
        <v>17</v>
      </c>
      <c r="J202" s="1">
        <v>32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</row>
    <row r="203" spans="1:16" x14ac:dyDescent="0.25">
      <c r="A203" s="1">
        <v>80301</v>
      </c>
      <c r="B203" s="1">
        <v>803</v>
      </c>
      <c r="C203" s="1">
        <v>1</v>
      </c>
      <c r="D203" s="1">
        <v>0</v>
      </c>
      <c r="E203" s="1">
        <v>1</v>
      </c>
      <c r="F203" s="1">
        <v>348</v>
      </c>
      <c r="G203" s="1">
        <v>57</v>
      </c>
      <c r="H203" s="1">
        <v>39</v>
      </c>
      <c r="I203" s="1">
        <v>17</v>
      </c>
      <c r="J203" s="1">
        <v>32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200</v>
      </c>
    </row>
    <row r="204" spans="1:16" x14ac:dyDescent="0.25">
      <c r="A204" s="1">
        <v>80302</v>
      </c>
      <c r="B204" s="1">
        <v>803</v>
      </c>
      <c r="C204" s="1">
        <v>2</v>
      </c>
      <c r="D204" s="1">
        <v>0</v>
      </c>
      <c r="E204" s="1">
        <v>1</v>
      </c>
      <c r="F204" s="1">
        <v>348</v>
      </c>
      <c r="G204" s="1">
        <v>77</v>
      </c>
      <c r="H204" s="1">
        <v>39</v>
      </c>
      <c r="I204" s="1">
        <v>17</v>
      </c>
      <c r="J204" s="1">
        <v>47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200</v>
      </c>
    </row>
    <row r="205" spans="1:16" x14ac:dyDescent="0.25">
      <c r="A205" s="1">
        <v>80303</v>
      </c>
      <c r="B205" s="1">
        <v>803</v>
      </c>
      <c r="C205" s="1">
        <v>3</v>
      </c>
      <c r="D205" s="1">
        <v>0</v>
      </c>
      <c r="E205" s="1">
        <v>1</v>
      </c>
      <c r="F205" s="1">
        <v>348</v>
      </c>
      <c r="G205" s="1">
        <v>77</v>
      </c>
      <c r="H205" s="1">
        <v>39</v>
      </c>
      <c r="I205" s="1">
        <v>33</v>
      </c>
      <c r="J205" s="1">
        <v>63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200</v>
      </c>
    </row>
    <row r="206" spans="1:16" x14ac:dyDescent="0.25">
      <c r="A206" s="1">
        <v>80304</v>
      </c>
      <c r="B206" s="1">
        <v>803</v>
      </c>
      <c r="C206" s="1">
        <v>4</v>
      </c>
      <c r="D206" s="1">
        <v>4</v>
      </c>
      <c r="E206" s="1">
        <v>1</v>
      </c>
      <c r="F206" s="1">
        <v>348</v>
      </c>
      <c r="G206" s="1">
        <v>77</v>
      </c>
      <c r="H206" s="1">
        <v>39</v>
      </c>
      <c r="I206" s="1">
        <v>33</v>
      </c>
      <c r="J206" s="1">
        <v>63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200</v>
      </c>
    </row>
    <row r="207" spans="1:16" x14ac:dyDescent="0.25">
      <c r="A207" s="1">
        <v>80400</v>
      </c>
      <c r="B207" s="1">
        <v>804</v>
      </c>
      <c r="C207" s="1">
        <v>0</v>
      </c>
      <c r="D207" s="1">
        <v>0</v>
      </c>
      <c r="E207" s="1">
        <v>1</v>
      </c>
      <c r="F207" s="1">
        <v>44</v>
      </c>
      <c r="G207" s="1">
        <v>8</v>
      </c>
      <c r="H207" s="1">
        <v>32</v>
      </c>
      <c r="I207" s="1">
        <v>31</v>
      </c>
      <c r="J207" s="1">
        <v>46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</row>
    <row r="208" spans="1:16" x14ac:dyDescent="0.25">
      <c r="A208" s="1">
        <v>80401</v>
      </c>
      <c r="B208" s="1">
        <v>804</v>
      </c>
      <c r="C208" s="1">
        <v>1</v>
      </c>
      <c r="D208" s="1">
        <v>0</v>
      </c>
      <c r="E208" s="1">
        <v>2</v>
      </c>
      <c r="F208" s="1">
        <v>44</v>
      </c>
      <c r="G208" s="1">
        <v>8</v>
      </c>
      <c r="H208" s="1">
        <v>32</v>
      </c>
      <c r="I208" s="1">
        <v>31</v>
      </c>
      <c r="J208" s="1">
        <v>46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</row>
    <row r="209" spans="1:16" x14ac:dyDescent="0.25">
      <c r="A209" s="1">
        <v>80402</v>
      </c>
      <c r="B209" s="1">
        <v>804</v>
      </c>
      <c r="C209" s="1">
        <v>2</v>
      </c>
      <c r="D209" s="1">
        <v>0</v>
      </c>
      <c r="E209" s="1">
        <v>3</v>
      </c>
      <c r="F209" s="1">
        <v>44</v>
      </c>
      <c r="G209" s="1">
        <v>8</v>
      </c>
      <c r="H209" s="1">
        <v>32</v>
      </c>
      <c r="I209" s="1">
        <v>31</v>
      </c>
      <c r="J209" s="1">
        <v>46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</row>
    <row r="210" spans="1:16" x14ac:dyDescent="0.25">
      <c r="A210" s="1">
        <v>80403</v>
      </c>
      <c r="B210" s="1">
        <v>804</v>
      </c>
      <c r="C210" s="1">
        <v>3</v>
      </c>
      <c r="D210" s="1">
        <v>3</v>
      </c>
      <c r="E210" s="1">
        <v>4</v>
      </c>
      <c r="F210" s="1">
        <v>44</v>
      </c>
      <c r="G210" s="1">
        <v>8</v>
      </c>
      <c r="H210" s="1">
        <v>32</v>
      </c>
      <c r="I210" s="1">
        <v>31</v>
      </c>
      <c r="J210" s="1">
        <v>46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</row>
    <row r="211" spans="1:16" x14ac:dyDescent="0.25">
      <c r="A211" s="1">
        <v>80404</v>
      </c>
      <c r="B211" s="1">
        <v>804</v>
      </c>
      <c r="C211" s="1">
        <v>4</v>
      </c>
      <c r="D211" s="1">
        <v>4</v>
      </c>
      <c r="E211" s="1">
        <v>5</v>
      </c>
      <c r="F211" s="1">
        <v>44</v>
      </c>
      <c r="G211" s="1">
        <v>8</v>
      </c>
      <c r="H211" s="1">
        <v>32</v>
      </c>
      <c r="I211" s="1">
        <v>31</v>
      </c>
      <c r="J211" s="1">
        <v>46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</row>
    <row r="212" spans="1:16" x14ac:dyDescent="0.25">
      <c r="A212" s="1">
        <v>80500</v>
      </c>
      <c r="B212" s="1">
        <v>805</v>
      </c>
      <c r="C212" s="1">
        <v>0</v>
      </c>
      <c r="D212" s="1">
        <v>0</v>
      </c>
      <c r="E212" s="1">
        <v>1</v>
      </c>
      <c r="F212" s="1">
        <v>58</v>
      </c>
      <c r="G212" s="1">
        <v>10</v>
      </c>
      <c r="H212" s="1">
        <v>41</v>
      </c>
      <c r="I212" s="1">
        <v>18</v>
      </c>
      <c r="J212" s="1">
        <v>68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</row>
    <row r="213" spans="1:16" x14ac:dyDescent="0.25">
      <c r="A213" s="1">
        <v>80501</v>
      </c>
      <c r="B213" s="1">
        <v>805</v>
      </c>
      <c r="C213" s="1">
        <v>1</v>
      </c>
      <c r="D213" s="1">
        <v>0</v>
      </c>
      <c r="E213" s="1">
        <v>2</v>
      </c>
      <c r="F213" s="1">
        <v>58</v>
      </c>
      <c r="G213" s="1">
        <v>10</v>
      </c>
      <c r="H213" s="1">
        <v>41</v>
      </c>
      <c r="I213" s="1">
        <v>18</v>
      </c>
      <c r="J213" s="1">
        <v>68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</row>
    <row r="214" spans="1:16" x14ac:dyDescent="0.25">
      <c r="A214" s="1">
        <v>80502</v>
      </c>
      <c r="B214" s="1">
        <v>805</v>
      </c>
      <c r="C214" s="1">
        <v>2</v>
      </c>
      <c r="D214" s="1">
        <v>0</v>
      </c>
      <c r="E214" s="1">
        <v>3</v>
      </c>
      <c r="F214" s="1">
        <v>58</v>
      </c>
      <c r="G214" s="1">
        <v>10</v>
      </c>
      <c r="H214" s="1">
        <v>41</v>
      </c>
      <c r="I214" s="1">
        <v>18</v>
      </c>
      <c r="J214" s="1">
        <v>68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</row>
    <row r="215" spans="1:16" x14ac:dyDescent="0.25">
      <c r="A215" s="1">
        <v>80503</v>
      </c>
      <c r="B215" s="1">
        <v>805</v>
      </c>
      <c r="C215" s="1">
        <v>3</v>
      </c>
      <c r="D215" s="1">
        <v>0</v>
      </c>
      <c r="E215" s="1">
        <v>4</v>
      </c>
      <c r="F215" s="1">
        <v>58</v>
      </c>
      <c r="G215" s="1">
        <v>10</v>
      </c>
      <c r="H215" s="1">
        <v>41</v>
      </c>
      <c r="I215" s="1">
        <v>18</v>
      </c>
      <c r="J215" s="1">
        <v>68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</row>
    <row r="216" spans="1:16" x14ac:dyDescent="0.25">
      <c r="A216" s="1">
        <v>80504</v>
      </c>
      <c r="B216" s="1">
        <v>805</v>
      </c>
      <c r="C216" s="1">
        <v>4</v>
      </c>
      <c r="D216" s="1">
        <v>4</v>
      </c>
      <c r="E216" s="1">
        <v>5</v>
      </c>
      <c r="F216" s="1">
        <v>58</v>
      </c>
      <c r="G216" s="1">
        <v>10</v>
      </c>
      <c r="H216" s="1">
        <v>41</v>
      </c>
      <c r="I216" s="1">
        <v>18</v>
      </c>
      <c r="J216" s="1">
        <v>68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</row>
    <row r="217" spans="1:16" x14ac:dyDescent="0.25">
      <c r="A217" s="1">
        <v>80600</v>
      </c>
      <c r="B217" s="1">
        <v>806</v>
      </c>
      <c r="C217" s="1">
        <v>0</v>
      </c>
      <c r="D217" s="1">
        <v>0</v>
      </c>
      <c r="E217" s="1">
        <v>1</v>
      </c>
      <c r="F217" s="1">
        <v>23</v>
      </c>
      <c r="G217" s="1">
        <v>17</v>
      </c>
      <c r="H217" s="1">
        <v>44</v>
      </c>
      <c r="I217" s="1">
        <v>34</v>
      </c>
      <c r="J217" s="1">
        <v>57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</row>
    <row r="218" spans="1:16" x14ac:dyDescent="0.25">
      <c r="A218" s="1">
        <v>80601</v>
      </c>
      <c r="B218" s="1">
        <v>806</v>
      </c>
      <c r="C218" s="1">
        <v>1</v>
      </c>
      <c r="D218" s="1">
        <v>0</v>
      </c>
      <c r="E218" s="1">
        <v>2</v>
      </c>
      <c r="F218" s="1">
        <v>23</v>
      </c>
      <c r="G218" s="1">
        <v>17</v>
      </c>
      <c r="H218" s="1">
        <v>44</v>
      </c>
      <c r="I218" s="1">
        <v>34</v>
      </c>
      <c r="J218" s="1">
        <v>57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</row>
    <row r="219" spans="1:16" x14ac:dyDescent="0.25">
      <c r="A219" s="1">
        <v>80602</v>
      </c>
      <c r="B219" s="1">
        <v>806</v>
      </c>
      <c r="C219" s="1">
        <v>2</v>
      </c>
      <c r="D219" s="1">
        <v>0</v>
      </c>
      <c r="E219" s="1">
        <v>3</v>
      </c>
      <c r="F219" s="1">
        <v>23</v>
      </c>
      <c r="G219" s="1">
        <v>17</v>
      </c>
      <c r="H219" s="1">
        <v>44</v>
      </c>
      <c r="I219" s="1">
        <v>34</v>
      </c>
      <c r="J219" s="1">
        <v>57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</row>
    <row r="220" spans="1:16" x14ac:dyDescent="0.25">
      <c r="A220" s="1">
        <v>80603</v>
      </c>
      <c r="B220" s="1">
        <v>806</v>
      </c>
      <c r="C220" s="1">
        <v>3</v>
      </c>
      <c r="D220" s="1">
        <v>0</v>
      </c>
      <c r="E220" s="1">
        <v>4</v>
      </c>
      <c r="F220" s="1">
        <v>23</v>
      </c>
      <c r="G220" s="1">
        <v>17</v>
      </c>
      <c r="H220" s="1">
        <v>44</v>
      </c>
      <c r="I220" s="1">
        <v>34</v>
      </c>
      <c r="J220" s="1">
        <v>57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</row>
    <row r="221" spans="1:16" x14ac:dyDescent="0.25">
      <c r="A221" s="1">
        <v>80604</v>
      </c>
      <c r="B221" s="1">
        <v>806</v>
      </c>
      <c r="C221" s="1">
        <v>4</v>
      </c>
      <c r="D221" s="1">
        <v>0</v>
      </c>
      <c r="E221" s="1">
        <v>5</v>
      </c>
      <c r="F221" s="1">
        <v>23</v>
      </c>
      <c r="G221" s="1">
        <v>17</v>
      </c>
      <c r="H221" s="1">
        <v>44</v>
      </c>
      <c r="I221" s="1">
        <v>34</v>
      </c>
      <c r="J221" s="1">
        <v>57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</row>
    <row r="222" spans="1:16" x14ac:dyDescent="0.25">
      <c r="A222" s="1">
        <v>80700</v>
      </c>
      <c r="B222" s="1">
        <v>807</v>
      </c>
      <c r="C222" s="1">
        <v>0</v>
      </c>
      <c r="D222" s="1">
        <v>0</v>
      </c>
      <c r="E222" s="1">
        <v>1</v>
      </c>
      <c r="F222" s="1">
        <v>23</v>
      </c>
      <c r="G222" s="1">
        <v>17</v>
      </c>
      <c r="H222" s="1">
        <v>44</v>
      </c>
      <c r="I222" s="1">
        <v>34</v>
      </c>
      <c r="J222" s="1">
        <v>57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</row>
    <row r="223" spans="1:16" x14ac:dyDescent="0.25">
      <c r="A223" s="1">
        <v>80701</v>
      </c>
      <c r="B223" s="1">
        <v>807</v>
      </c>
      <c r="C223" s="1">
        <v>1</v>
      </c>
      <c r="D223" s="1">
        <v>0</v>
      </c>
      <c r="E223" s="1">
        <v>2</v>
      </c>
      <c r="F223" s="1">
        <v>23</v>
      </c>
      <c r="G223" s="1">
        <v>17</v>
      </c>
      <c r="H223" s="1">
        <v>44</v>
      </c>
      <c r="I223" s="1">
        <v>34</v>
      </c>
      <c r="J223" s="1">
        <v>57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</row>
    <row r="224" spans="1:16" x14ac:dyDescent="0.25">
      <c r="A224" s="1">
        <v>80702</v>
      </c>
      <c r="B224" s="1">
        <v>807</v>
      </c>
      <c r="C224" s="1">
        <v>2</v>
      </c>
      <c r="D224" s="1">
        <v>0</v>
      </c>
      <c r="E224" s="1">
        <v>3</v>
      </c>
      <c r="F224" s="1">
        <v>23</v>
      </c>
      <c r="G224" s="1">
        <v>17</v>
      </c>
      <c r="H224" s="1">
        <v>44</v>
      </c>
      <c r="I224" s="1">
        <v>34</v>
      </c>
      <c r="J224" s="1">
        <v>57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</row>
    <row r="225" spans="1:16" x14ac:dyDescent="0.25">
      <c r="A225" s="1">
        <v>80703</v>
      </c>
      <c r="B225" s="1">
        <v>807</v>
      </c>
      <c r="C225" s="1">
        <v>3</v>
      </c>
      <c r="D225" s="1">
        <v>0</v>
      </c>
      <c r="E225" s="1">
        <v>4</v>
      </c>
      <c r="F225" s="1">
        <v>23</v>
      </c>
      <c r="G225" s="1">
        <v>17</v>
      </c>
      <c r="H225" s="1">
        <v>44</v>
      </c>
      <c r="I225" s="1">
        <v>34</v>
      </c>
      <c r="J225" s="1">
        <v>57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</row>
    <row r="226" spans="1:16" x14ac:dyDescent="0.25">
      <c r="A226" s="1">
        <v>80704</v>
      </c>
      <c r="B226" s="1">
        <v>807</v>
      </c>
      <c r="C226" s="1">
        <v>4</v>
      </c>
      <c r="D226" s="1">
        <v>0</v>
      </c>
      <c r="E226" s="1">
        <v>5</v>
      </c>
      <c r="F226" s="1">
        <v>23</v>
      </c>
      <c r="G226" s="1">
        <v>17</v>
      </c>
      <c r="H226" s="1">
        <v>44</v>
      </c>
      <c r="I226" s="1">
        <v>34</v>
      </c>
      <c r="J226" s="1">
        <v>57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</row>
    <row r="227" spans="1:16" x14ac:dyDescent="0.25">
      <c r="A227" s="1">
        <v>80800</v>
      </c>
      <c r="B227" s="1">
        <v>808</v>
      </c>
      <c r="C227" s="1">
        <v>0</v>
      </c>
      <c r="D227" s="1">
        <v>0</v>
      </c>
      <c r="E227" s="1">
        <v>1</v>
      </c>
      <c r="F227" s="1">
        <v>23</v>
      </c>
      <c r="G227" s="1">
        <v>18</v>
      </c>
      <c r="H227" s="1">
        <v>44</v>
      </c>
      <c r="I227" s="1">
        <v>36</v>
      </c>
      <c r="J227" s="1">
        <v>30</v>
      </c>
      <c r="K227" s="1">
        <v>10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</row>
    <row r="228" spans="1:16" x14ac:dyDescent="0.25">
      <c r="A228" s="1">
        <v>80801</v>
      </c>
      <c r="B228" s="1">
        <v>808</v>
      </c>
      <c r="C228" s="1">
        <v>1</v>
      </c>
      <c r="D228" s="1">
        <v>0</v>
      </c>
      <c r="E228" s="1">
        <v>2</v>
      </c>
      <c r="F228" s="1">
        <v>23</v>
      </c>
      <c r="G228" s="1">
        <v>18</v>
      </c>
      <c r="H228" s="1">
        <v>44</v>
      </c>
      <c r="I228" s="1">
        <v>36</v>
      </c>
      <c r="J228" s="1">
        <v>30</v>
      </c>
      <c r="K228" s="1">
        <v>10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</row>
    <row r="229" spans="1:16" x14ac:dyDescent="0.25">
      <c r="A229" s="1">
        <v>80802</v>
      </c>
      <c r="B229" s="1">
        <v>808</v>
      </c>
      <c r="C229" s="1">
        <v>2</v>
      </c>
      <c r="D229" s="1">
        <v>0</v>
      </c>
      <c r="E229" s="1">
        <v>3</v>
      </c>
      <c r="F229" s="1">
        <v>23</v>
      </c>
      <c r="G229" s="1">
        <v>18</v>
      </c>
      <c r="H229" s="1">
        <v>44</v>
      </c>
      <c r="I229" s="1">
        <v>36</v>
      </c>
      <c r="J229" s="1">
        <v>30</v>
      </c>
      <c r="K229" s="1">
        <v>10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</row>
    <row r="230" spans="1:16" x14ac:dyDescent="0.25">
      <c r="A230" s="1">
        <v>80803</v>
      </c>
      <c r="B230" s="1">
        <v>808</v>
      </c>
      <c r="C230" s="1">
        <v>3</v>
      </c>
      <c r="D230" s="1">
        <v>0</v>
      </c>
      <c r="E230" s="1">
        <v>4</v>
      </c>
      <c r="F230" s="1">
        <v>23</v>
      </c>
      <c r="G230" s="1">
        <v>18</v>
      </c>
      <c r="H230" s="1">
        <v>44</v>
      </c>
      <c r="I230" s="1">
        <v>36</v>
      </c>
      <c r="J230" s="1">
        <v>30</v>
      </c>
      <c r="K230" s="1">
        <v>10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</row>
    <row r="231" spans="1:16" x14ac:dyDescent="0.25">
      <c r="A231" s="1">
        <v>80804</v>
      </c>
      <c r="B231" s="1">
        <v>808</v>
      </c>
      <c r="C231" s="1">
        <v>4</v>
      </c>
      <c r="D231" s="1">
        <v>0</v>
      </c>
      <c r="E231" s="1">
        <v>5</v>
      </c>
      <c r="F231" s="1">
        <v>23</v>
      </c>
      <c r="G231" s="1">
        <v>18</v>
      </c>
      <c r="H231" s="1">
        <v>44</v>
      </c>
      <c r="I231" s="1">
        <v>36</v>
      </c>
      <c r="J231" s="1">
        <v>30</v>
      </c>
      <c r="K231" s="1">
        <v>10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activeCell="A10" sqref="A10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8" t="s">
        <v>887</v>
      </c>
      <c r="B1" s="238"/>
      <c r="C1" s="238"/>
      <c r="E1" s="238" t="s">
        <v>888</v>
      </c>
      <c r="F1" s="238"/>
      <c r="G1" s="238"/>
      <c r="I1" s="238" t="s">
        <v>1023</v>
      </c>
      <c r="J1" s="238"/>
      <c r="K1" s="238"/>
      <c r="M1" s="238" t="s">
        <v>1242</v>
      </c>
      <c r="N1" s="238"/>
      <c r="O1" s="238"/>
      <c r="Q1" s="239" t="s">
        <v>889</v>
      </c>
      <c r="R1" s="239"/>
      <c r="S1" s="239"/>
      <c r="T1" s="239"/>
      <c r="U1" s="239"/>
      <c r="V1" s="239"/>
    </row>
    <row r="2" spans="1:22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10" t="s">
        <v>20</v>
      </c>
      <c r="K2" s="110" t="s">
        <v>21</v>
      </c>
      <c r="M2" s="48" t="s">
        <v>18</v>
      </c>
      <c r="N2" s="140" t="s">
        <v>20</v>
      </c>
      <c r="O2" s="140" t="s">
        <v>21</v>
      </c>
      <c r="Q2" s="48" t="s">
        <v>884</v>
      </c>
      <c r="R2" s="51">
        <v>2</v>
      </c>
      <c r="S2" s="51">
        <v>3</v>
      </c>
      <c r="T2" s="51">
        <v>4</v>
      </c>
      <c r="U2" s="51">
        <v>5</v>
      </c>
      <c r="V2" s="51" t="s">
        <v>811</v>
      </c>
    </row>
    <row r="3" spans="1:22" x14ac:dyDescent="0.25">
      <c r="A3" s="49">
        <v>1</v>
      </c>
      <c r="B3" s="45">
        <v>0</v>
      </c>
      <c r="C3" s="114">
        <v>100</v>
      </c>
      <c r="E3" s="49">
        <v>1</v>
      </c>
      <c r="F3" s="45">
        <v>0</v>
      </c>
      <c r="G3" s="114">
        <v>0</v>
      </c>
      <c r="I3" s="49">
        <v>1</v>
      </c>
      <c r="J3" s="45">
        <v>0</v>
      </c>
      <c r="K3" s="114">
        <v>0</v>
      </c>
      <c r="M3" s="49">
        <v>1</v>
      </c>
      <c r="N3" s="45">
        <v>0</v>
      </c>
      <c r="O3" s="114">
        <v>0</v>
      </c>
      <c r="Q3" s="49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5">
      <c r="A4" s="49">
        <v>2</v>
      </c>
      <c r="B4" s="45">
        <v>100</v>
      </c>
      <c r="C4" s="114">
        <f>B4+C3</f>
        <v>200</v>
      </c>
      <c r="E4" s="49">
        <v>2</v>
      </c>
      <c r="F4" s="45">
        <v>300</v>
      </c>
      <c r="G4" s="114">
        <f>F4+G3</f>
        <v>300</v>
      </c>
      <c r="I4" s="49">
        <v>2</v>
      </c>
      <c r="J4" s="45">
        <v>500</v>
      </c>
      <c r="K4" s="114">
        <f>J4+K3</f>
        <v>500</v>
      </c>
      <c r="M4" s="49">
        <v>2</v>
      </c>
      <c r="N4" s="45">
        <v>100</v>
      </c>
      <c r="O4" s="114">
        <f>N4+O3</f>
        <v>100</v>
      </c>
      <c r="Q4" s="49">
        <v>1</v>
      </c>
      <c r="R4" s="45">
        <v>0</v>
      </c>
      <c r="S4" s="45">
        <v>50</v>
      </c>
      <c r="T4" s="45">
        <v>100</v>
      </c>
      <c r="U4" s="45">
        <v>200</v>
      </c>
      <c r="V4" s="45">
        <v>600</v>
      </c>
    </row>
    <row r="5" spans="1:22" x14ac:dyDescent="0.25">
      <c r="A5" s="49">
        <v>3</v>
      </c>
      <c r="B5" s="45">
        <v>200</v>
      </c>
      <c r="C5" s="114">
        <f t="shared" ref="C5:C68" si="0">B5+C4</f>
        <v>400</v>
      </c>
      <c r="E5" s="49">
        <v>3</v>
      </c>
      <c r="F5" s="45">
        <v>600</v>
      </c>
      <c r="G5" s="114">
        <f t="shared" ref="G5:G68" si="1">F5+G4</f>
        <v>900</v>
      </c>
      <c r="I5" s="49">
        <v>3</v>
      </c>
      <c r="J5" s="45">
        <v>900</v>
      </c>
      <c r="K5" s="114">
        <f t="shared" ref="K5:K68" si="2">J5+K4</f>
        <v>1400</v>
      </c>
      <c r="M5" s="49">
        <v>3</v>
      </c>
      <c r="N5" s="45">
        <v>100</v>
      </c>
      <c r="O5" s="114">
        <f t="shared" ref="O5:O68" si="3">N5+O4</f>
        <v>200</v>
      </c>
      <c r="Q5" s="49">
        <v>2</v>
      </c>
      <c r="R5" s="45">
        <v>0</v>
      </c>
      <c r="S5" s="45">
        <v>110</v>
      </c>
      <c r="T5" s="45">
        <v>220</v>
      </c>
      <c r="U5" s="45">
        <v>440</v>
      </c>
      <c r="V5" s="45">
        <v>1320</v>
      </c>
    </row>
    <row r="6" spans="1:22" x14ac:dyDescent="0.25">
      <c r="A6" s="49">
        <v>4</v>
      </c>
      <c r="B6" s="45">
        <v>300</v>
      </c>
      <c r="C6" s="114">
        <f t="shared" si="0"/>
        <v>700</v>
      </c>
      <c r="E6" s="49">
        <v>4</v>
      </c>
      <c r="F6" s="45">
        <v>900</v>
      </c>
      <c r="G6" s="114">
        <f t="shared" si="1"/>
        <v>1800</v>
      </c>
      <c r="I6" s="49">
        <v>4</v>
      </c>
      <c r="J6" s="45">
        <v>1300</v>
      </c>
      <c r="K6" s="114">
        <f t="shared" si="2"/>
        <v>2700</v>
      </c>
      <c r="M6" s="49">
        <v>4</v>
      </c>
      <c r="N6" s="45">
        <v>200</v>
      </c>
      <c r="O6" s="114">
        <f t="shared" si="3"/>
        <v>400</v>
      </c>
      <c r="Q6" s="49">
        <v>3</v>
      </c>
      <c r="R6" s="45">
        <v>0</v>
      </c>
      <c r="S6" s="45">
        <v>190</v>
      </c>
      <c r="T6" s="45">
        <v>380</v>
      </c>
      <c r="U6" s="45">
        <v>760</v>
      </c>
      <c r="V6" s="45">
        <v>2280</v>
      </c>
    </row>
    <row r="7" spans="1:22" x14ac:dyDescent="0.25">
      <c r="A7" s="49">
        <v>5</v>
      </c>
      <c r="B7" s="45">
        <v>400</v>
      </c>
      <c r="C7" s="114">
        <f t="shared" si="0"/>
        <v>1100</v>
      </c>
      <c r="E7" s="49">
        <v>5</v>
      </c>
      <c r="F7" s="45">
        <v>1200</v>
      </c>
      <c r="G7" s="114">
        <f t="shared" si="1"/>
        <v>3000</v>
      </c>
      <c r="I7" s="49">
        <v>5</v>
      </c>
      <c r="J7" s="45">
        <v>1800</v>
      </c>
      <c r="K7" s="114">
        <f t="shared" si="2"/>
        <v>4500</v>
      </c>
      <c r="M7" s="49">
        <v>5</v>
      </c>
      <c r="N7" s="45">
        <v>300</v>
      </c>
      <c r="O7" s="114">
        <f t="shared" si="3"/>
        <v>700</v>
      </c>
      <c r="Q7" s="49">
        <v>4</v>
      </c>
      <c r="R7" s="45">
        <v>0</v>
      </c>
      <c r="S7" s="45">
        <v>305</v>
      </c>
      <c r="T7" s="45">
        <v>610</v>
      </c>
      <c r="U7" s="45">
        <v>1220</v>
      </c>
      <c r="V7" s="45">
        <v>3660</v>
      </c>
    </row>
    <row r="8" spans="1:22" x14ac:dyDescent="0.25">
      <c r="A8" s="49">
        <v>6</v>
      </c>
      <c r="B8" s="45">
        <v>500</v>
      </c>
      <c r="C8" s="114">
        <f t="shared" si="0"/>
        <v>1600</v>
      </c>
      <c r="E8" s="49">
        <v>6</v>
      </c>
      <c r="F8" s="45">
        <v>1500</v>
      </c>
      <c r="G8" s="114">
        <f t="shared" si="1"/>
        <v>4500</v>
      </c>
      <c r="I8" s="49">
        <v>6</v>
      </c>
      <c r="J8" s="45">
        <v>2200</v>
      </c>
      <c r="K8" s="114">
        <f t="shared" si="2"/>
        <v>6700</v>
      </c>
      <c r="M8" s="49">
        <v>6</v>
      </c>
      <c r="N8" s="45">
        <v>400</v>
      </c>
      <c r="O8" s="114">
        <f t="shared" si="3"/>
        <v>1100</v>
      </c>
      <c r="Q8" s="49">
        <v>5</v>
      </c>
      <c r="R8" s="45">
        <v>0</v>
      </c>
      <c r="S8" s="45">
        <v>470</v>
      </c>
      <c r="T8" s="45">
        <v>940</v>
      </c>
      <c r="U8" s="45">
        <v>1880</v>
      </c>
      <c r="V8" s="45">
        <v>5640</v>
      </c>
    </row>
    <row r="9" spans="1:22" x14ac:dyDescent="0.25">
      <c r="A9" s="49">
        <v>7</v>
      </c>
      <c r="B9" s="45">
        <v>600</v>
      </c>
      <c r="C9" s="114">
        <f t="shared" si="0"/>
        <v>2200</v>
      </c>
      <c r="E9" s="49">
        <v>7</v>
      </c>
      <c r="F9" s="45">
        <v>1800</v>
      </c>
      <c r="G9" s="114">
        <f t="shared" si="1"/>
        <v>6300</v>
      </c>
      <c r="I9" s="49">
        <v>7</v>
      </c>
      <c r="J9" s="45">
        <v>2700</v>
      </c>
      <c r="K9" s="114">
        <f t="shared" si="2"/>
        <v>9400</v>
      </c>
      <c r="M9" s="49">
        <v>7</v>
      </c>
      <c r="N9" s="45">
        <v>500</v>
      </c>
      <c r="O9" s="114">
        <f t="shared" si="3"/>
        <v>1600</v>
      </c>
      <c r="Q9" s="49">
        <v>6</v>
      </c>
      <c r="R9" s="45">
        <v>0</v>
      </c>
      <c r="S9" s="45">
        <v>700</v>
      </c>
      <c r="T9" s="45">
        <v>1400</v>
      </c>
      <c r="U9" s="45">
        <v>2800</v>
      </c>
      <c r="V9" s="45">
        <v>8400</v>
      </c>
    </row>
    <row r="10" spans="1:22" x14ac:dyDescent="0.25">
      <c r="A10" s="49">
        <v>8</v>
      </c>
      <c r="B10" s="45">
        <v>700</v>
      </c>
      <c r="C10" s="114">
        <f t="shared" si="0"/>
        <v>2900</v>
      </c>
      <c r="E10" s="49">
        <v>8</v>
      </c>
      <c r="F10" s="45">
        <v>2100</v>
      </c>
      <c r="G10" s="114">
        <f t="shared" si="1"/>
        <v>8400</v>
      </c>
      <c r="I10" s="49">
        <v>8</v>
      </c>
      <c r="J10" s="45">
        <v>3200</v>
      </c>
      <c r="K10" s="114">
        <f t="shared" si="2"/>
        <v>12600</v>
      </c>
      <c r="M10" s="49">
        <v>8</v>
      </c>
      <c r="N10" s="45">
        <v>500</v>
      </c>
      <c r="O10" s="114">
        <f t="shared" si="3"/>
        <v>2100</v>
      </c>
      <c r="Q10" s="49">
        <v>7</v>
      </c>
      <c r="R10" s="45">
        <v>0</v>
      </c>
      <c r="S10" s="45">
        <v>1005</v>
      </c>
      <c r="T10" s="45">
        <v>2010</v>
      </c>
      <c r="U10" s="45">
        <v>4020</v>
      </c>
      <c r="V10" s="45">
        <v>12060</v>
      </c>
    </row>
    <row r="11" spans="1:22" x14ac:dyDescent="0.25">
      <c r="A11" s="49">
        <v>9</v>
      </c>
      <c r="B11" s="45">
        <v>800</v>
      </c>
      <c r="C11" s="114">
        <f t="shared" si="0"/>
        <v>3700</v>
      </c>
      <c r="E11" s="49">
        <v>9</v>
      </c>
      <c r="F11" s="45">
        <v>2400</v>
      </c>
      <c r="G11" s="114">
        <f t="shared" si="1"/>
        <v>10800</v>
      </c>
      <c r="I11" s="49">
        <v>9</v>
      </c>
      <c r="J11" s="45">
        <v>3600</v>
      </c>
      <c r="K11" s="114">
        <f t="shared" si="2"/>
        <v>16200</v>
      </c>
      <c r="M11" s="49">
        <v>9</v>
      </c>
      <c r="N11" s="45">
        <v>600</v>
      </c>
      <c r="O11" s="114">
        <f t="shared" si="3"/>
        <v>2700</v>
      </c>
      <c r="Q11" s="49">
        <v>8</v>
      </c>
      <c r="R11" s="45">
        <v>0</v>
      </c>
      <c r="S11" s="45">
        <v>1400</v>
      </c>
      <c r="T11" s="45">
        <v>2800</v>
      </c>
      <c r="U11" s="45">
        <v>5600</v>
      </c>
      <c r="V11" s="45">
        <v>16800</v>
      </c>
    </row>
    <row r="12" spans="1:22" x14ac:dyDescent="0.25">
      <c r="A12" s="49">
        <v>10</v>
      </c>
      <c r="B12" s="45">
        <v>900</v>
      </c>
      <c r="C12" s="114">
        <f t="shared" si="0"/>
        <v>4600</v>
      </c>
      <c r="E12" s="49">
        <v>10</v>
      </c>
      <c r="F12" s="45">
        <v>2700</v>
      </c>
      <c r="G12" s="114">
        <f t="shared" si="1"/>
        <v>13500</v>
      </c>
      <c r="I12" s="49">
        <v>10</v>
      </c>
      <c r="J12" s="45">
        <v>4000</v>
      </c>
      <c r="K12" s="114">
        <f t="shared" si="2"/>
        <v>20200</v>
      </c>
      <c r="M12" s="49">
        <v>10</v>
      </c>
      <c r="N12" s="45">
        <v>700</v>
      </c>
      <c r="O12" s="114">
        <f t="shared" si="3"/>
        <v>3400</v>
      </c>
      <c r="Q12" s="49">
        <v>9</v>
      </c>
      <c r="R12" s="45">
        <v>0</v>
      </c>
      <c r="S12" s="45">
        <v>1895</v>
      </c>
      <c r="T12" s="45">
        <v>3790</v>
      </c>
      <c r="U12" s="45">
        <v>7580</v>
      </c>
      <c r="V12" s="45">
        <v>22740</v>
      </c>
    </row>
    <row r="13" spans="1:22" x14ac:dyDescent="0.25">
      <c r="A13" s="49">
        <v>11</v>
      </c>
      <c r="B13" s="45">
        <v>1000</v>
      </c>
      <c r="C13" s="114">
        <f t="shared" si="0"/>
        <v>5600</v>
      </c>
      <c r="E13" s="49">
        <v>11</v>
      </c>
      <c r="F13" s="45">
        <v>3000</v>
      </c>
      <c r="G13" s="114">
        <f t="shared" si="1"/>
        <v>16500</v>
      </c>
      <c r="I13" s="49">
        <v>11</v>
      </c>
      <c r="J13" s="45">
        <v>4500</v>
      </c>
      <c r="K13" s="114">
        <f t="shared" si="2"/>
        <v>24700</v>
      </c>
      <c r="M13" s="49">
        <v>11</v>
      </c>
      <c r="N13" s="45">
        <v>700</v>
      </c>
      <c r="O13" s="114">
        <f t="shared" si="3"/>
        <v>4100</v>
      </c>
      <c r="Q13" s="50">
        <v>10</v>
      </c>
      <c r="R13" s="47">
        <v>0</v>
      </c>
      <c r="S13" s="47">
        <v>2500</v>
      </c>
      <c r="T13" s="47">
        <v>5000</v>
      </c>
      <c r="U13" s="47">
        <v>10000</v>
      </c>
      <c r="V13" s="47">
        <v>30000</v>
      </c>
    </row>
    <row r="14" spans="1:22" x14ac:dyDescent="0.25">
      <c r="A14" s="49">
        <v>12</v>
      </c>
      <c r="B14" s="45">
        <v>1100</v>
      </c>
      <c r="C14" s="114">
        <f t="shared" si="0"/>
        <v>6700</v>
      </c>
      <c r="E14" s="49">
        <v>12</v>
      </c>
      <c r="F14" s="45">
        <v>3300</v>
      </c>
      <c r="G14" s="114">
        <f t="shared" si="1"/>
        <v>19800</v>
      </c>
      <c r="I14" s="49">
        <v>12</v>
      </c>
      <c r="J14" s="45">
        <v>5000</v>
      </c>
      <c r="K14" s="114">
        <f t="shared" si="2"/>
        <v>29700</v>
      </c>
      <c r="M14" s="49">
        <v>12</v>
      </c>
      <c r="N14" s="45">
        <v>800</v>
      </c>
      <c r="O14" s="114">
        <f t="shared" si="3"/>
        <v>4900</v>
      </c>
    </row>
    <row r="15" spans="1:22" x14ac:dyDescent="0.25">
      <c r="A15" s="49">
        <v>13</v>
      </c>
      <c r="B15" s="45">
        <v>1200</v>
      </c>
      <c r="C15" s="114">
        <f t="shared" si="0"/>
        <v>7900</v>
      </c>
      <c r="E15" s="49">
        <v>13</v>
      </c>
      <c r="F15" s="45">
        <v>3600</v>
      </c>
      <c r="G15" s="114">
        <f t="shared" si="1"/>
        <v>23400</v>
      </c>
      <c r="I15" s="49">
        <v>13</v>
      </c>
      <c r="J15" s="45">
        <v>5400</v>
      </c>
      <c r="K15" s="114">
        <f t="shared" si="2"/>
        <v>35100</v>
      </c>
      <c r="M15" s="49">
        <v>13</v>
      </c>
      <c r="N15" s="45">
        <v>900</v>
      </c>
      <c r="O15" s="114">
        <f t="shared" si="3"/>
        <v>5800</v>
      </c>
    </row>
    <row r="16" spans="1:22" x14ac:dyDescent="0.25">
      <c r="A16" s="49">
        <v>14</v>
      </c>
      <c r="B16" s="45">
        <v>1300</v>
      </c>
      <c r="C16" s="114">
        <f t="shared" si="0"/>
        <v>9200</v>
      </c>
      <c r="E16" s="49">
        <v>14</v>
      </c>
      <c r="F16" s="45">
        <v>3900</v>
      </c>
      <c r="G16" s="114">
        <f t="shared" si="1"/>
        <v>27300</v>
      </c>
      <c r="I16" s="49">
        <v>14</v>
      </c>
      <c r="J16" s="45">
        <v>5800</v>
      </c>
      <c r="K16" s="114">
        <f t="shared" si="2"/>
        <v>40900</v>
      </c>
      <c r="M16" s="49">
        <v>14</v>
      </c>
      <c r="N16" s="45">
        <v>1000</v>
      </c>
      <c r="O16" s="114">
        <f t="shared" si="3"/>
        <v>6800</v>
      </c>
    </row>
    <row r="17" spans="1:15" x14ac:dyDescent="0.25">
      <c r="A17" s="49">
        <v>15</v>
      </c>
      <c r="B17" s="45">
        <v>1400</v>
      </c>
      <c r="C17" s="114">
        <f t="shared" si="0"/>
        <v>10600</v>
      </c>
      <c r="E17" s="49">
        <v>15</v>
      </c>
      <c r="F17" s="45">
        <v>4200</v>
      </c>
      <c r="G17" s="114">
        <f t="shared" si="1"/>
        <v>31500</v>
      </c>
      <c r="I17" s="49">
        <v>15</v>
      </c>
      <c r="J17" s="45">
        <v>6300</v>
      </c>
      <c r="K17" s="114">
        <f t="shared" si="2"/>
        <v>47200</v>
      </c>
      <c r="M17" s="49">
        <v>15</v>
      </c>
      <c r="N17" s="45">
        <v>1000</v>
      </c>
      <c r="O17" s="114">
        <f t="shared" si="3"/>
        <v>7800</v>
      </c>
    </row>
    <row r="18" spans="1:15" x14ac:dyDescent="0.25">
      <c r="A18" s="49">
        <v>16</v>
      </c>
      <c r="B18" s="45">
        <v>1500</v>
      </c>
      <c r="C18" s="114">
        <f t="shared" si="0"/>
        <v>12100</v>
      </c>
      <c r="E18" s="49">
        <v>16</v>
      </c>
      <c r="F18" s="45">
        <v>4500</v>
      </c>
      <c r="G18" s="114">
        <f t="shared" si="1"/>
        <v>36000</v>
      </c>
      <c r="I18" s="49">
        <v>16</v>
      </c>
      <c r="J18" s="45">
        <v>6800</v>
      </c>
      <c r="K18" s="114">
        <f t="shared" si="2"/>
        <v>54000</v>
      </c>
      <c r="M18" s="49">
        <v>16</v>
      </c>
      <c r="N18" s="45">
        <v>1100</v>
      </c>
      <c r="O18" s="114">
        <f t="shared" si="3"/>
        <v>8900</v>
      </c>
    </row>
    <row r="19" spans="1:15" x14ac:dyDescent="0.25">
      <c r="A19" s="49">
        <v>17</v>
      </c>
      <c r="B19" s="45">
        <v>1600</v>
      </c>
      <c r="C19" s="114">
        <f t="shared" si="0"/>
        <v>13700</v>
      </c>
      <c r="E19" s="49">
        <v>17</v>
      </c>
      <c r="F19" s="45">
        <v>4800</v>
      </c>
      <c r="G19" s="114">
        <f t="shared" si="1"/>
        <v>40800</v>
      </c>
      <c r="I19" s="49">
        <v>17</v>
      </c>
      <c r="J19" s="45">
        <v>7200</v>
      </c>
      <c r="K19" s="114">
        <f t="shared" si="2"/>
        <v>61200</v>
      </c>
      <c r="M19" s="49">
        <v>17</v>
      </c>
      <c r="N19" s="45">
        <v>1200</v>
      </c>
      <c r="O19" s="114">
        <f t="shared" si="3"/>
        <v>10100</v>
      </c>
    </row>
    <row r="20" spans="1:15" x14ac:dyDescent="0.25">
      <c r="A20" s="49">
        <v>18</v>
      </c>
      <c r="B20" s="45">
        <v>1700</v>
      </c>
      <c r="C20" s="114">
        <f t="shared" si="0"/>
        <v>15400</v>
      </c>
      <c r="E20" s="49">
        <v>18</v>
      </c>
      <c r="F20" s="45">
        <v>5100</v>
      </c>
      <c r="G20" s="114">
        <f t="shared" si="1"/>
        <v>45900</v>
      </c>
      <c r="I20" s="49">
        <v>18</v>
      </c>
      <c r="J20" s="45">
        <v>7600</v>
      </c>
      <c r="K20" s="114">
        <f t="shared" si="2"/>
        <v>68800</v>
      </c>
      <c r="M20" s="49">
        <v>18</v>
      </c>
      <c r="N20" s="45">
        <v>1200</v>
      </c>
      <c r="O20" s="114">
        <f t="shared" si="3"/>
        <v>11300</v>
      </c>
    </row>
    <row r="21" spans="1:15" x14ac:dyDescent="0.25">
      <c r="A21" s="49">
        <v>19</v>
      </c>
      <c r="B21" s="45">
        <v>1800</v>
      </c>
      <c r="C21" s="114">
        <f t="shared" si="0"/>
        <v>17200</v>
      </c>
      <c r="E21" s="49">
        <v>19</v>
      </c>
      <c r="F21" s="45">
        <v>5500</v>
      </c>
      <c r="G21" s="114">
        <f t="shared" si="1"/>
        <v>51400</v>
      </c>
      <c r="I21" s="49">
        <v>19</v>
      </c>
      <c r="J21" s="45">
        <v>8300</v>
      </c>
      <c r="K21" s="114">
        <f t="shared" si="2"/>
        <v>77100</v>
      </c>
      <c r="M21" s="49">
        <v>19</v>
      </c>
      <c r="N21" s="45">
        <v>1300</v>
      </c>
      <c r="O21" s="114">
        <f t="shared" si="3"/>
        <v>12600</v>
      </c>
    </row>
    <row r="22" spans="1:15" x14ac:dyDescent="0.25">
      <c r="A22" s="49">
        <v>20</v>
      </c>
      <c r="B22" s="45">
        <v>1900</v>
      </c>
      <c r="C22" s="114">
        <f t="shared" si="0"/>
        <v>19100</v>
      </c>
      <c r="E22" s="49">
        <v>20</v>
      </c>
      <c r="F22" s="45">
        <v>6000</v>
      </c>
      <c r="G22" s="114">
        <f t="shared" si="1"/>
        <v>57400</v>
      </c>
      <c r="I22" s="49">
        <v>20</v>
      </c>
      <c r="J22" s="45">
        <v>9000</v>
      </c>
      <c r="K22" s="114">
        <f t="shared" si="2"/>
        <v>86100</v>
      </c>
      <c r="M22" s="49">
        <v>20</v>
      </c>
      <c r="N22" s="45">
        <v>1400</v>
      </c>
      <c r="O22" s="114">
        <f t="shared" si="3"/>
        <v>14000</v>
      </c>
    </row>
    <row r="23" spans="1:15" x14ac:dyDescent="0.25">
      <c r="A23" s="49">
        <v>21</v>
      </c>
      <c r="B23" s="45">
        <v>2000</v>
      </c>
      <c r="C23" s="114">
        <f t="shared" si="0"/>
        <v>21100</v>
      </c>
      <c r="E23" s="49">
        <v>21</v>
      </c>
      <c r="F23" s="45">
        <v>6500</v>
      </c>
      <c r="G23" s="114">
        <f t="shared" si="1"/>
        <v>63900</v>
      </c>
      <c r="I23" s="49">
        <v>21</v>
      </c>
      <c r="J23" s="45">
        <v>9800</v>
      </c>
      <c r="K23" s="114">
        <f t="shared" si="2"/>
        <v>95900</v>
      </c>
      <c r="M23" s="49">
        <v>21</v>
      </c>
      <c r="N23" s="45">
        <v>1400</v>
      </c>
      <c r="O23" s="114">
        <f t="shared" si="3"/>
        <v>15400</v>
      </c>
    </row>
    <row r="24" spans="1:15" x14ac:dyDescent="0.25">
      <c r="A24" s="49">
        <v>22</v>
      </c>
      <c r="B24" s="45">
        <v>2100</v>
      </c>
      <c r="C24" s="114">
        <f t="shared" si="0"/>
        <v>23200</v>
      </c>
      <c r="E24" s="49">
        <v>22</v>
      </c>
      <c r="F24" s="45">
        <v>7100</v>
      </c>
      <c r="G24" s="114">
        <f t="shared" si="1"/>
        <v>71000</v>
      </c>
      <c r="I24" s="49">
        <v>22</v>
      </c>
      <c r="J24" s="45">
        <v>10600</v>
      </c>
      <c r="K24" s="114">
        <f t="shared" si="2"/>
        <v>106500</v>
      </c>
      <c r="M24" s="49">
        <v>22</v>
      </c>
      <c r="N24" s="45">
        <v>1500</v>
      </c>
      <c r="O24" s="114">
        <f t="shared" si="3"/>
        <v>16900</v>
      </c>
    </row>
    <row r="25" spans="1:15" x14ac:dyDescent="0.25">
      <c r="A25" s="49">
        <v>23</v>
      </c>
      <c r="B25" s="45">
        <v>2200</v>
      </c>
      <c r="C25" s="114">
        <f t="shared" si="0"/>
        <v>25400</v>
      </c>
      <c r="E25" s="49">
        <v>23</v>
      </c>
      <c r="F25" s="45">
        <v>8000</v>
      </c>
      <c r="G25" s="114">
        <f t="shared" si="1"/>
        <v>79000</v>
      </c>
      <c r="I25" s="49">
        <v>23</v>
      </c>
      <c r="J25" s="45">
        <v>12000</v>
      </c>
      <c r="K25" s="114">
        <f t="shared" si="2"/>
        <v>118500</v>
      </c>
      <c r="M25" s="49">
        <v>23</v>
      </c>
      <c r="N25" s="45">
        <v>1600</v>
      </c>
      <c r="O25" s="114">
        <f t="shared" si="3"/>
        <v>18500</v>
      </c>
    </row>
    <row r="26" spans="1:15" x14ac:dyDescent="0.25">
      <c r="A26" s="49">
        <v>24</v>
      </c>
      <c r="B26" s="45">
        <v>2300</v>
      </c>
      <c r="C26" s="114">
        <f t="shared" si="0"/>
        <v>27700</v>
      </c>
      <c r="E26" s="49">
        <v>24</v>
      </c>
      <c r="F26" s="45">
        <v>9000</v>
      </c>
      <c r="G26" s="114">
        <f t="shared" si="1"/>
        <v>88000</v>
      </c>
      <c r="I26" s="49">
        <v>24</v>
      </c>
      <c r="J26" s="45">
        <v>13500</v>
      </c>
      <c r="K26" s="114">
        <f t="shared" si="2"/>
        <v>132000</v>
      </c>
      <c r="M26" s="49">
        <v>24</v>
      </c>
      <c r="N26" s="45">
        <v>1600</v>
      </c>
      <c r="O26" s="114">
        <f t="shared" si="3"/>
        <v>20100</v>
      </c>
    </row>
    <row r="27" spans="1:15" x14ac:dyDescent="0.25">
      <c r="A27" s="49">
        <v>25</v>
      </c>
      <c r="B27" s="45">
        <v>2400</v>
      </c>
      <c r="C27" s="114">
        <f t="shared" si="0"/>
        <v>30100</v>
      </c>
      <c r="E27" s="49">
        <v>25</v>
      </c>
      <c r="F27" s="45">
        <v>10000</v>
      </c>
      <c r="G27" s="114">
        <f t="shared" si="1"/>
        <v>98000</v>
      </c>
      <c r="I27" s="49">
        <v>25</v>
      </c>
      <c r="J27" s="45">
        <v>15000</v>
      </c>
      <c r="K27" s="114">
        <f t="shared" si="2"/>
        <v>147000</v>
      </c>
      <c r="M27" s="49">
        <v>25</v>
      </c>
      <c r="N27" s="45">
        <v>1700</v>
      </c>
      <c r="O27" s="114">
        <f t="shared" si="3"/>
        <v>21800</v>
      </c>
    </row>
    <row r="28" spans="1:15" x14ac:dyDescent="0.25">
      <c r="A28" s="49">
        <v>26</v>
      </c>
      <c r="B28" s="45">
        <v>2500</v>
      </c>
      <c r="C28" s="114">
        <f t="shared" si="0"/>
        <v>32600</v>
      </c>
      <c r="E28" s="49">
        <v>26</v>
      </c>
      <c r="F28" s="45">
        <v>11000</v>
      </c>
      <c r="G28" s="114">
        <f t="shared" si="1"/>
        <v>109000</v>
      </c>
      <c r="I28" s="49">
        <v>26</v>
      </c>
      <c r="J28" s="45">
        <v>16500</v>
      </c>
      <c r="K28" s="114">
        <f t="shared" si="2"/>
        <v>163500</v>
      </c>
      <c r="M28" s="49">
        <v>26</v>
      </c>
      <c r="N28" s="45">
        <v>1800</v>
      </c>
      <c r="O28" s="114">
        <f t="shared" si="3"/>
        <v>23600</v>
      </c>
    </row>
    <row r="29" spans="1:15" x14ac:dyDescent="0.25">
      <c r="A29" s="49">
        <v>27</v>
      </c>
      <c r="B29" s="45">
        <v>2600</v>
      </c>
      <c r="C29" s="114">
        <f t="shared" si="0"/>
        <v>35200</v>
      </c>
      <c r="E29" s="49">
        <v>27</v>
      </c>
      <c r="F29" s="45">
        <v>12200</v>
      </c>
      <c r="G29" s="114">
        <f t="shared" si="1"/>
        <v>121200</v>
      </c>
      <c r="I29" s="49">
        <v>27</v>
      </c>
      <c r="J29" s="45">
        <v>18300</v>
      </c>
      <c r="K29" s="114">
        <f t="shared" si="2"/>
        <v>181800</v>
      </c>
      <c r="M29" s="49">
        <v>27</v>
      </c>
      <c r="N29" s="45">
        <v>1900</v>
      </c>
      <c r="O29" s="114">
        <f t="shared" si="3"/>
        <v>25500</v>
      </c>
    </row>
    <row r="30" spans="1:15" x14ac:dyDescent="0.25">
      <c r="A30" s="49">
        <v>28</v>
      </c>
      <c r="B30" s="45">
        <v>2800</v>
      </c>
      <c r="C30" s="114">
        <f t="shared" si="0"/>
        <v>38000</v>
      </c>
      <c r="E30" s="49">
        <v>28</v>
      </c>
      <c r="F30" s="45">
        <v>13400</v>
      </c>
      <c r="G30" s="114">
        <f t="shared" si="1"/>
        <v>134600</v>
      </c>
      <c r="I30" s="49">
        <v>28</v>
      </c>
      <c r="J30" s="45">
        <v>20100</v>
      </c>
      <c r="K30" s="114">
        <f t="shared" si="2"/>
        <v>201900</v>
      </c>
      <c r="M30" s="49">
        <v>28</v>
      </c>
      <c r="N30" s="45">
        <v>2100</v>
      </c>
      <c r="O30" s="114">
        <f t="shared" si="3"/>
        <v>27600</v>
      </c>
    </row>
    <row r="31" spans="1:15" x14ac:dyDescent="0.25">
      <c r="A31" s="49">
        <v>29</v>
      </c>
      <c r="B31" s="45">
        <v>3100</v>
      </c>
      <c r="C31" s="114">
        <f t="shared" si="0"/>
        <v>41100</v>
      </c>
      <c r="E31" s="49">
        <v>29</v>
      </c>
      <c r="F31" s="45">
        <v>14700</v>
      </c>
      <c r="G31" s="114">
        <f t="shared" si="1"/>
        <v>149300</v>
      </c>
      <c r="I31" s="49">
        <v>29</v>
      </c>
      <c r="J31" s="45">
        <v>22000</v>
      </c>
      <c r="K31" s="114">
        <f t="shared" si="2"/>
        <v>223900</v>
      </c>
      <c r="M31" s="49">
        <v>29</v>
      </c>
      <c r="N31" s="45">
        <v>2300</v>
      </c>
      <c r="O31" s="114">
        <f t="shared" si="3"/>
        <v>29900</v>
      </c>
    </row>
    <row r="32" spans="1:15" x14ac:dyDescent="0.25">
      <c r="A32" s="49">
        <v>30</v>
      </c>
      <c r="B32" s="45">
        <v>3400</v>
      </c>
      <c r="C32" s="114">
        <f t="shared" si="0"/>
        <v>44500</v>
      </c>
      <c r="E32" s="49">
        <v>30</v>
      </c>
      <c r="F32" s="45">
        <v>16000</v>
      </c>
      <c r="G32" s="114">
        <f t="shared" si="1"/>
        <v>165300</v>
      </c>
      <c r="I32" s="49">
        <v>30</v>
      </c>
      <c r="J32" s="45">
        <v>24000</v>
      </c>
      <c r="K32" s="114">
        <f t="shared" si="2"/>
        <v>247900</v>
      </c>
      <c r="M32" s="49">
        <v>30</v>
      </c>
      <c r="N32" s="45">
        <v>2500</v>
      </c>
      <c r="O32" s="114">
        <f t="shared" si="3"/>
        <v>32400</v>
      </c>
    </row>
    <row r="33" spans="1:15" x14ac:dyDescent="0.25">
      <c r="A33" s="49">
        <v>31</v>
      </c>
      <c r="B33" s="45">
        <v>4200</v>
      </c>
      <c r="C33" s="114">
        <f t="shared" si="0"/>
        <v>48700</v>
      </c>
      <c r="E33" s="49">
        <v>31</v>
      </c>
      <c r="F33" s="45">
        <v>17500</v>
      </c>
      <c r="G33" s="114">
        <f t="shared" si="1"/>
        <v>182800</v>
      </c>
      <c r="I33" s="49">
        <v>31</v>
      </c>
      <c r="J33" s="45">
        <v>26300</v>
      </c>
      <c r="K33" s="114">
        <f t="shared" si="2"/>
        <v>274200</v>
      </c>
      <c r="M33" s="49">
        <v>31</v>
      </c>
      <c r="N33" s="45">
        <v>3300</v>
      </c>
      <c r="O33" s="114">
        <f t="shared" si="3"/>
        <v>35700</v>
      </c>
    </row>
    <row r="34" spans="1:15" x14ac:dyDescent="0.25">
      <c r="A34" s="49">
        <v>32</v>
      </c>
      <c r="B34" s="45">
        <v>4600</v>
      </c>
      <c r="C34" s="114">
        <f t="shared" si="0"/>
        <v>53300</v>
      </c>
      <c r="E34" s="49">
        <v>32</v>
      </c>
      <c r="F34" s="45">
        <v>18900</v>
      </c>
      <c r="G34" s="114">
        <f t="shared" si="1"/>
        <v>201700</v>
      </c>
      <c r="I34" s="49">
        <v>32</v>
      </c>
      <c r="J34" s="45">
        <v>28300</v>
      </c>
      <c r="K34" s="114">
        <f t="shared" si="2"/>
        <v>302500</v>
      </c>
      <c r="M34" s="49">
        <v>32</v>
      </c>
      <c r="N34" s="45">
        <v>3600</v>
      </c>
      <c r="O34" s="114">
        <f t="shared" si="3"/>
        <v>39300</v>
      </c>
    </row>
    <row r="35" spans="1:15" x14ac:dyDescent="0.25">
      <c r="A35" s="49">
        <v>33</v>
      </c>
      <c r="B35" s="45">
        <v>5000</v>
      </c>
      <c r="C35" s="114">
        <f t="shared" si="0"/>
        <v>58300</v>
      </c>
      <c r="E35" s="49">
        <v>33</v>
      </c>
      <c r="F35" s="45">
        <v>20500</v>
      </c>
      <c r="G35" s="114">
        <f t="shared" si="1"/>
        <v>222200</v>
      </c>
      <c r="I35" s="49">
        <v>33</v>
      </c>
      <c r="J35" s="45">
        <v>30800</v>
      </c>
      <c r="K35" s="114">
        <f t="shared" si="2"/>
        <v>333300</v>
      </c>
      <c r="M35" s="49">
        <v>33</v>
      </c>
      <c r="N35" s="45">
        <v>3900</v>
      </c>
      <c r="O35" s="114">
        <f t="shared" si="3"/>
        <v>43200</v>
      </c>
    </row>
    <row r="36" spans="1:15" x14ac:dyDescent="0.25">
      <c r="A36" s="49">
        <v>34</v>
      </c>
      <c r="B36" s="45">
        <v>5400</v>
      </c>
      <c r="C36" s="114">
        <f t="shared" si="0"/>
        <v>63700</v>
      </c>
      <c r="E36" s="49">
        <v>34</v>
      </c>
      <c r="F36" s="45">
        <v>22200</v>
      </c>
      <c r="G36" s="114">
        <f t="shared" si="1"/>
        <v>244400</v>
      </c>
      <c r="I36" s="49">
        <v>34</v>
      </c>
      <c r="J36" s="45">
        <v>33300</v>
      </c>
      <c r="K36" s="114">
        <f t="shared" si="2"/>
        <v>366600</v>
      </c>
      <c r="M36" s="49">
        <v>34</v>
      </c>
      <c r="N36" s="45">
        <v>4200</v>
      </c>
      <c r="O36" s="114">
        <f t="shared" si="3"/>
        <v>47400</v>
      </c>
    </row>
    <row r="37" spans="1:15" x14ac:dyDescent="0.25">
      <c r="A37" s="49">
        <v>35</v>
      </c>
      <c r="B37" s="45">
        <v>5800</v>
      </c>
      <c r="C37" s="114">
        <f t="shared" si="0"/>
        <v>69500</v>
      </c>
      <c r="E37" s="49">
        <v>35</v>
      </c>
      <c r="F37" s="45">
        <v>23900</v>
      </c>
      <c r="G37" s="114">
        <f t="shared" si="1"/>
        <v>268300</v>
      </c>
      <c r="I37" s="49">
        <v>35</v>
      </c>
      <c r="J37" s="45">
        <v>35800</v>
      </c>
      <c r="K37" s="114">
        <f t="shared" si="2"/>
        <v>402400</v>
      </c>
      <c r="M37" s="49">
        <v>35</v>
      </c>
      <c r="N37" s="45">
        <v>4500</v>
      </c>
      <c r="O37" s="114">
        <f t="shared" si="3"/>
        <v>51900</v>
      </c>
    </row>
    <row r="38" spans="1:15" x14ac:dyDescent="0.25">
      <c r="A38" s="49">
        <v>36</v>
      </c>
      <c r="B38" s="45">
        <v>6300</v>
      </c>
      <c r="C38" s="114">
        <f t="shared" si="0"/>
        <v>75800</v>
      </c>
      <c r="E38" s="49">
        <v>36</v>
      </c>
      <c r="F38" s="45">
        <v>25700</v>
      </c>
      <c r="G38" s="114">
        <f t="shared" si="1"/>
        <v>294000</v>
      </c>
      <c r="I38" s="49">
        <v>36</v>
      </c>
      <c r="J38" s="45">
        <v>38600</v>
      </c>
      <c r="K38" s="114">
        <f t="shared" si="2"/>
        <v>441000</v>
      </c>
      <c r="M38" s="49">
        <v>36</v>
      </c>
      <c r="N38" s="45">
        <v>4800</v>
      </c>
      <c r="O38" s="114">
        <f t="shared" si="3"/>
        <v>56700</v>
      </c>
    </row>
    <row r="39" spans="1:15" x14ac:dyDescent="0.25">
      <c r="A39" s="49">
        <v>37</v>
      </c>
      <c r="B39" s="45">
        <v>6700</v>
      </c>
      <c r="C39" s="114">
        <f t="shared" si="0"/>
        <v>82500</v>
      </c>
      <c r="E39" s="49">
        <v>37</v>
      </c>
      <c r="F39" s="45">
        <v>27600</v>
      </c>
      <c r="G39" s="114">
        <f t="shared" si="1"/>
        <v>321600</v>
      </c>
      <c r="I39" s="49">
        <v>37</v>
      </c>
      <c r="J39" s="45">
        <v>41400</v>
      </c>
      <c r="K39" s="114">
        <f t="shared" si="2"/>
        <v>482400</v>
      </c>
      <c r="M39" s="49">
        <v>37</v>
      </c>
      <c r="N39" s="45">
        <v>5100</v>
      </c>
      <c r="O39" s="114">
        <f t="shared" si="3"/>
        <v>61800</v>
      </c>
    </row>
    <row r="40" spans="1:15" x14ac:dyDescent="0.25">
      <c r="A40" s="49">
        <v>38</v>
      </c>
      <c r="B40" s="45">
        <v>7200</v>
      </c>
      <c r="C40" s="114">
        <f t="shared" si="0"/>
        <v>89700</v>
      </c>
      <c r="E40" s="49">
        <v>38</v>
      </c>
      <c r="F40" s="45">
        <v>29500</v>
      </c>
      <c r="G40" s="114">
        <f t="shared" si="1"/>
        <v>351100</v>
      </c>
      <c r="I40" s="49">
        <v>38</v>
      </c>
      <c r="J40" s="45">
        <v>44200</v>
      </c>
      <c r="K40" s="114">
        <f t="shared" si="2"/>
        <v>526600</v>
      </c>
      <c r="M40" s="49">
        <v>38</v>
      </c>
      <c r="N40" s="45">
        <v>5500</v>
      </c>
      <c r="O40" s="114">
        <f t="shared" si="3"/>
        <v>67300</v>
      </c>
    </row>
    <row r="41" spans="1:15" x14ac:dyDescent="0.25">
      <c r="A41" s="49">
        <v>39</v>
      </c>
      <c r="B41" s="45">
        <v>7700</v>
      </c>
      <c r="C41" s="114">
        <f t="shared" si="0"/>
        <v>97400</v>
      </c>
      <c r="E41" s="49">
        <v>39</v>
      </c>
      <c r="F41" s="45">
        <v>31600</v>
      </c>
      <c r="G41" s="114">
        <f t="shared" si="1"/>
        <v>382700</v>
      </c>
      <c r="I41" s="49">
        <v>39</v>
      </c>
      <c r="J41" s="45">
        <v>47400</v>
      </c>
      <c r="K41" s="114">
        <f t="shared" si="2"/>
        <v>574000</v>
      </c>
      <c r="M41" s="49">
        <v>39</v>
      </c>
      <c r="N41" s="45">
        <v>5800</v>
      </c>
      <c r="O41" s="114">
        <f t="shared" si="3"/>
        <v>73100</v>
      </c>
    </row>
    <row r="42" spans="1:15" x14ac:dyDescent="0.25">
      <c r="A42" s="49">
        <v>40</v>
      </c>
      <c r="B42" s="45">
        <v>8200</v>
      </c>
      <c r="C42" s="114">
        <f t="shared" si="0"/>
        <v>105600</v>
      </c>
      <c r="E42" s="49">
        <v>40</v>
      </c>
      <c r="F42" s="45">
        <v>33700</v>
      </c>
      <c r="G42" s="114">
        <f t="shared" si="1"/>
        <v>416400</v>
      </c>
      <c r="I42" s="49">
        <v>40</v>
      </c>
      <c r="J42" s="45">
        <v>50600</v>
      </c>
      <c r="K42" s="114">
        <f t="shared" si="2"/>
        <v>624600</v>
      </c>
      <c r="M42" s="49">
        <v>40</v>
      </c>
      <c r="N42" s="45">
        <v>6200</v>
      </c>
      <c r="O42" s="114">
        <f t="shared" si="3"/>
        <v>79300</v>
      </c>
    </row>
    <row r="43" spans="1:15" x14ac:dyDescent="0.25">
      <c r="A43" s="49">
        <v>41</v>
      </c>
      <c r="B43" s="45">
        <v>8800</v>
      </c>
      <c r="C43" s="114">
        <f t="shared" si="0"/>
        <v>114400</v>
      </c>
      <c r="E43" s="49">
        <v>41</v>
      </c>
      <c r="F43" s="45">
        <v>35900</v>
      </c>
      <c r="G43" s="114">
        <f t="shared" si="1"/>
        <v>452300</v>
      </c>
      <c r="I43" s="49">
        <v>41</v>
      </c>
      <c r="J43" s="45">
        <v>53800</v>
      </c>
      <c r="K43" s="114">
        <f t="shared" si="2"/>
        <v>678400</v>
      </c>
      <c r="M43" s="49">
        <v>41</v>
      </c>
      <c r="N43" s="45">
        <v>6600</v>
      </c>
      <c r="O43" s="114">
        <f t="shared" si="3"/>
        <v>85900</v>
      </c>
    </row>
    <row r="44" spans="1:15" x14ac:dyDescent="0.25">
      <c r="A44" s="49">
        <v>42</v>
      </c>
      <c r="B44" s="45">
        <v>9300</v>
      </c>
      <c r="C44" s="114">
        <f t="shared" si="0"/>
        <v>123700</v>
      </c>
      <c r="E44" s="49">
        <v>42</v>
      </c>
      <c r="F44" s="45">
        <v>38200</v>
      </c>
      <c r="G44" s="114">
        <f t="shared" si="1"/>
        <v>490500</v>
      </c>
      <c r="I44" s="49">
        <v>42</v>
      </c>
      <c r="J44" s="45">
        <v>57300</v>
      </c>
      <c r="K44" s="114">
        <f t="shared" si="2"/>
        <v>735700</v>
      </c>
      <c r="M44" s="49">
        <v>42</v>
      </c>
      <c r="N44" s="45">
        <v>7000</v>
      </c>
      <c r="O44" s="114">
        <f t="shared" si="3"/>
        <v>92900</v>
      </c>
    </row>
    <row r="45" spans="1:15" x14ac:dyDescent="0.25">
      <c r="A45" s="49">
        <v>43</v>
      </c>
      <c r="B45" s="45">
        <v>9900</v>
      </c>
      <c r="C45" s="114">
        <f t="shared" si="0"/>
        <v>133600</v>
      </c>
      <c r="E45" s="49">
        <v>43</v>
      </c>
      <c r="F45" s="45">
        <v>40500</v>
      </c>
      <c r="G45" s="114">
        <f t="shared" si="1"/>
        <v>531000</v>
      </c>
      <c r="I45" s="49">
        <v>43</v>
      </c>
      <c r="J45" s="45">
        <v>60800</v>
      </c>
      <c r="K45" s="114">
        <f t="shared" si="2"/>
        <v>796500</v>
      </c>
      <c r="M45" s="49">
        <v>43</v>
      </c>
      <c r="N45" s="45">
        <v>7400</v>
      </c>
      <c r="O45" s="114">
        <f t="shared" si="3"/>
        <v>100300</v>
      </c>
    </row>
    <row r="46" spans="1:15" x14ac:dyDescent="0.25">
      <c r="A46" s="49">
        <v>44</v>
      </c>
      <c r="B46" s="45">
        <v>10500</v>
      </c>
      <c r="C46" s="114">
        <f t="shared" si="0"/>
        <v>144100</v>
      </c>
      <c r="E46" s="49">
        <v>44</v>
      </c>
      <c r="F46" s="45">
        <v>43000</v>
      </c>
      <c r="G46" s="114">
        <f t="shared" si="1"/>
        <v>574000</v>
      </c>
      <c r="I46" s="49">
        <v>44</v>
      </c>
      <c r="J46" s="45">
        <v>64500</v>
      </c>
      <c r="K46" s="114">
        <f t="shared" si="2"/>
        <v>861000</v>
      </c>
      <c r="M46" s="49">
        <v>44</v>
      </c>
      <c r="N46" s="45">
        <v>7800</v>
      </c>
      <c r="O46" s="114">
        <f t="shared" si="3"/>
        <v>108100</v>
      </c>
    </row>
    <row r="47" spans="1:15" x14ac:dyDescent="0.25">
      <c r="A47" s="49">
        <v>45</v>
      </c>
      <c r="B47" s="45">
        <v>11100</v>
      </c>
      <c r="C47" s="114">
        <f t="shared" si="0"/>
        <v>155200</v>
      </c>
      <c r="E47" s="49">
        <v>45</v>
      </c>
      <c r="F47" s="45">
        <v>45500</v>
      </c>
      <c r="G47" s="114">
        <f t="shared" si="1"/>
        <v>619500</v>
      </c>
      <c r="I47" s="49">
        <v>45</v>
      </c>
      <c r="J47" s="45">
        <v>68200</v>
      </c>
      <c r="K47" s="114">
        <f t="shared" si="2"/>
        <v>929200</v>
      </c>
      <c r="M47" s="49">
        <v>45</v>
      </c>
      <c r="N47" s="45">
        <v>8200</v>
      </c>
      <c r="O47" s="114">
        <f t="shared" si="3"/>
        <v>116300</v>
      </c>
    </row>
    <row r="48" spans="1:15" x14ac:dyDescent="0.25">
      <c r="A48" s="49">
        <v>46</v>
      </c>
      <c r="B48" s="45">
        <v>11800</v>
      </c>
      <c r="C48" s="114">
        <f t="shared" si="0"/>
        <v>167000</v>
      </c>
      <c r="E48" s="49">
        <v>46</v>
      </c>
      <c r="F48" s="45">
        <v>48200</v>
      </c>
      <c r="G48" s="114">
        <f t="shared" si="1"/>
        <v>667700</v>
      </c>
      <c r="I48" s="49">
        <v>46</v>
      </c>
      <c r="J48" s="45">
        <v>72300</v>
      </c>
      <c r="K48" s="114">
        <f t="shared" si="2"/>
        <v>1001500</v>
      </c>
      <c r="M48" s="49">
        <v>46</v>
      </c>
      <c r="N48" s="45">
        <v>8700</v>
      </c>
      <c r="O48" s="114">
        <f t="shared" si="3"/>
        <v>125000</v>
      </c>
    </row>
    <row r="49" spans="1:15" x14ac:dyDescent="0.25">
      <c r="A49" s="49">
        <v>47</v>
      </c>
      <c r="B49" s="45">
        <v>12500</v>
      </c>
      <c r="C49" s="114">
        <f t="shared" si="0"/>
        <v>179500</v>
      </c>
      <c r="E49" s="49">
        <v>47</v>
      </c>
      <c r="F49" s="45">
        <v>50900</v>
      </c>
      <c r="G49" s="114">
        <f t="shared" si="1"/>
        <v>718600</v>
      </c>
      <c r="I49" s="49">
        <v>47</v>
      </c>
      <c r="J49" s="45">
        <v>76400</v>
      </c>
      <c r="K49" s="114">
        <f t="shared" si="2"/>
        <v>1077900</v>
      </c>
      <c r="M49" s="49">
        <v>47</v>
      </c>
      <c r="N49" s="45">
        <v>9100</v>
      </c>
      <c r="O49" s="114">
        <f t="shared" si="3"/>
        <v>134100</v>
      </c>
    </row>
    <row r="50" spans="1:15" x14ac:dyDescent="0.25">
      <c r="A50" s="49">
        <v>48</v>
      </c>
      <c r="B50" s="45">
        <v>13100</v>
      </c>
      <c r="C50" s="114">
        <f t="shared" si="0"/>
        <v>192600</v>
      </c>
      <c r="E50" s="49">
        <v>48</v>
      </c>
      <c r="F50" s="45">
        <v>53700</v>
      </c>
      <c r="G50" s="114">
        <f t="shared" si="1"/>
        <v>772300</v>
      </c>
      <c r="I50" s="49">
        <v>48</v>
      </c>
      <c r="J50" s="45">
        <v>80500</v>
      </c>
      <c r="K50" s="114">
        <f t="shared" si="2"/>
        <v>1158400</v>
      </c>
      <c r="M50" s="49">
        <v>48</v>
      </c>
      <c r="N50" s="45">
        <v>9600</v>
      </c>
      <c r="O50" s="114">
        <f t="shared" si="3"/>
        <v>143700</v>
      </c>
    </row>
    <row r="51" spans="1:15" x14ac:dyDescent="0.25">
      <c r="A51" s="49">
        <v>49</v>
      </c>
      <c r="B51" s="45">
        <v>13900</v>
      </c>
      <c r="C51" s="114">
        <f t="shared" si="0"/>
        <v>206500</v>
      </c>
      <c r="E51" s="49">
        <v>49</v>
      </c>
      <c r="F51" s="45">
        <v>56600</v>
      </c>
      <c r="G51" s="114">
        <f t="shared" si="1"/>
        <v>828900</v>
      </c>
      <c r="I51" s="49">
        <v>49</v>
      </c>
      <c r="J51" s="45">
        <v>84900</v>
      </c>
      <c r="K51" s="114">
        <f t="shared" si="2"/>
        <v>1243300</v>
      </c>
      <c r="M51" s="49">
        <v>49</v>
      </c>
      <c r="N51" s="45">
        <v>10100</v>
      </c>
      <c r="O51" s="114">
        <f t="shared" si="3"/>
        <v>153800</v>
      </c>
    </row>
    <row r="52" spans="1:15" x14ac:dyDescent="0.25">
      <c r="A52" s="49">
        <v>50</v>
      </c>
      <c r="B52" s="45">
        <v>14600</v>
      </c>
      <c r="C52" s="114">
        <f t="shared" si="0"/>
        <v>221100</v>
      </c>
      <c r="E52" s="49">
        <v>50</v>
      </c>
      <c r="F52" s="45">
        <v>59600</v>
      </c>
      <c r="G52" s="114">
        <f t="shared" si="1"/>
        <v>888500</v>
      </c>
      <c r="I52" s="49">
        <v>50</v>
      </c>
      <c r="J52" s="45">
        <v>89400</v>
      </c>
      <c r="K52" s="114">
        <f t="shared" si="2"/>
        <v>1332700</v>
      </c>
      <c r="M52" s="49">
        <v>50</v>
      </c>
      <c r="N52" s="45">
        <v>10600</v>
      </c>
      <c r="O52" s="114">
        <f t="shared" si="3"/>
        <v>164400</v>
      </c>
    </row>
    <row r="53" spans="1:15" x14ac:dyDescent="0.25">
      <c r="A53" s="49">
        <v>51</v>
      </c>
      <c r="B53" s="45">
        <v>15400</v>
      </c>
      <c r="C53" s="114">
        <f t="shared" si="0"/>
        <v>236500</v>
      </c>
      <c r="E53" s="49">
        <v>51</v>
      </c>
      <c r="F53" s="45">
        <v>62700</v>
      </c>
      <c r="G53" s="114">
        <f t="shared" si="1"/>
        <v>951200</v>
      </c>
      <c r="I53" s="49">
        <v>51</v>
      </c>
      <c r="J53" s="45">
        <v>94100</v>
      </c>
      <c r="K53" s="114">
        <f t="shared" si="2"/>
        <v>1426800</v>
      </c>
      <c r="M53" s="49">
        <v>51</v>
      </c>
      <c r="N53" s="45">
        <v>15400</v>
      </c>
      <c r="O53" s="114">
        <f t="shared" si="3"/>
        <v>179800</v>
      </c>
    </row>
    <row r="54" spans="1:15" x14ac:dyDescent="0.25">
      <c r="A54" s="49">
        <v>52</v>
      </c>
      <c r="B54" s="45">
        <v>16100</v>
      </c>
      <c r="C54" s="114">
        <f t="shared" si="0"/>
        <v>252600</v>
      </c>
      <c r="E54" s="49">
        <v>52</v>
      </c>
      <c r="F54" s="45">
        <v>65900</v>
      </c>
      <c r="G54" s="114">
        <f t="shared" si="1"/>
        <v>1017100</v>
      </c>
      <c r="I54" s="49">
        <v>52</v>
      </c>
      <c r="J54" s="45">
        <v>98800</v>
      </c>
      <c r="K54" s="114">
        <f t="shared" si="2"/>
        <v>1525600</v>
      </c>
      <c r="M54" s="49">
        <v>52</v>
      </c>
      <c r="N54" s="45">
        <v>16100</v>
      </c>
      <c r="O54" s="114">
        <f t="shared" si="3"/>
        <v>195900</v>
      </c>
    </row>
    <row r="55" spans="1:15" x14ac:dyDescent="0.25">
      <c r="A55" s="49">
        <v>53</v>
      </c>
      <c r="B55" s="45">
        <v>16900</v>
      </c>
      <c r="C55" s="114">
        <f t="shared" si="0"/>
        <v>269500</v>
      </c>
      <c r="E55" s="49">
        <v>53</v>
      </c>
      <c r="F55" s="45">
        <v>69200</v>
      </c>
      <c r="G55" s="114">
        <f t="shared" si="1"/>
        <v>1086300</v>
      </c>
      <c r="I55" s="49">
        <v>53</v>
      </c>
      <c r="J55" s="45">
        <v>103800</v>
      </c>
      <c r="K55" s="114">
        <f t="shared" si="2"/>
        <v>1629400</v>
      </c>
      <c r="M55" s="49">
        <v>53</v>
      </c>
      <c r="N55" s="45">
        <v>16900</v>
      </c>
      <c r="O55" s="114">
        <f t="shared" si="3"/>
        <v>212800</v>
      </c>
    </row>
    <row r="56" spans="1:15" x14ac:dyDescent="0.25">
      <c r="A56" s="49">
        <v>54</v>
      </c>
      <c r="B56" s="45">
        <v>17700</v>
      </c>
      <c r="C56" s="114">
        <f t="shared" si="0"/>
        <v>287200</v>
      </c>
      <c r="E56" s="49">
        <v>54</v>
      </c>
      <c r="F56" s="45">
        <v>72600</v>
      </c>
      <c r="G56" s="114">
        <f t="shared" si="1"/>
        <v>1158900</v>
      </c>
      <c r="I56" s="49">
        <v>54</v>
      </c>
      <c r="J56" s="45">
        <v>108900</v>
      </c>
      <c r="K56" s="114">
        <f t="shared" si="2"/>
        <v>1738300</v>
      </c>
      <c r="M56" s="49">
        <v>54</v>
      </c>
      <c r="N56" s="45">
        <v>17700</v>
      </c>
      <c r="O56" s="114">
        <f t="shared" si="3"/>
        <v>230500</v>
      </c>
    </row>
    <row r="57" spans="1:15" x14ac:dyDescent="0.25">
      <c r="A57" s="49">
        <v>55</v>
      </c>
      <c r="B57" s="45">
        <v>18600</v>
      </c>
      <c r="C57" s="114">
        <f t="shared" si="0"/>
        <v>305800</v>
      </c>
      <c r="E57" s="49">
        <v>55</v>
      </c>
      <c r="F57" s="45">
        <v>76000</v>
      </c>
      <c r="G57" s="114">
        <f t="shared" si="1"/>
        <v>1234900</v>
      </c>
      <c r="I57" s="49">
        <v>55</v>
      </c>
      <c r="J57" s="45">
        <v>114000</v>
      </c>
      <c r="K57" s="114">
        <f t="shared" si="2"/>
        <v>1852300</v>
      </c>
      <c r="M57" s="49">
        <v>55</v>
      </c>
      <c r="N57" s="45">
        <v>18600</v>
      </c>
      <c r="O57" s="114">
        <f t="shared" si="3"/>
        <v>249100</v>
      </c>
    </row>
    <row r="58" spans="1:15" x14ac:dyDescent="0.25">
      <c r="A58" s="49">
        <v>56</v>
      </c>
      <c r="B58" s="45">
        <v>19500</v>
      </c>
      <c r="C58" s="114">
        <f t="shared" si="0"/>
        <v>325300</v>
      </c>
      <c r="E58" s="49">
        <v>56</v>
      </c>
      <c r="F58" s="45">
        <v>79600</v>
      </c>
      <c r="G58" s="114">
        <f t="shared" si="1"/>
        <v>1314500</v>
      </c>
      <c r="I58" s="49">
        <v>56</v>
      </c>
      <c r="J58" s="45">
        <v>119500</v>
      </c>
      <c r="K58" s="114">
        <f t="shared" si="2"/>
        <v>1971800</v>
      </c>
      <c r="M58" s="49">
        <v>56</v>
      </c>
      <c r="N58" s="45">
        <v>19400</v>
      </c>
      <c r="O58" s="114">
        <f t="shared" si="3"/>
        <v>268500</v>
      </c>
    </row>
    <row r="59" spans="1:15" x14ac:dyDescent="0.25">
      <c r="A59" s="49">
        <v>57</v>
      </c>
      <c r="B59" s="45">
        <v>20400</v>
      </c>
      <c r="C59" s="114">
        <f t="shared" si="0"/>
        <v>345700</v>
      </c>
      <c r="E59" s="49">
        <v>57</v>
      </c>
      <c r="F59" s="45">
        <v>83300</v>
      </c>
      <c r="G59" s="114">
        <f t="shared" si="1"/>
        <v>1397800</v>
      </c>
      <c r="I59" s="49">
        <v>57</v>
      </c>
      <c r="J59" s="45">
        <v>124900</v>
      </c>
      <c r="K59" s="114">
        <f t="shared" si="2"/>
        <v>2096700</v>
      </c>
      <c r="M59" s="49">
        <v>57</v>
      </c>
      <c r="N59" s="45">
        <v>20300</v>
      </c>
      <c r="O59" s="114">
        <f t="shared" si="3"/>
        <v>288800</v>
      </c>
    </row>
    <row r="60" spans="1:15" x14ac:dyDescent="0.25">
      <c r="A60" s="49">
        <v>58</v>
      </c>
      <c r="B60" s="45">
        <v>21300</v>
      </c>
      <c r="C60" s="114">
        <f t="shared" si="0"/>
        <v>367000</v>
      </c>
      <c r="E60" s="49">
        <v>58</v>
      </c>
      <c r="F60" s="45">
        <v>87000</v>
      </c>
      <c r="G60" s="114">
        <f t="shared" si="1"/>
        <v>1484800</v>
      </c>
      <c r="I60" s="49">
        <v>58</v>
      </c>
      <c r="J60" s="45">
        <v>130500</v>
      </c>
      <c r="K60" s="114">
        <f t="shared" si="2"/>
        <v>2227200</v>
      </c>
      <c r="M60" s="49">
        <v>58</v>
      </c>
      <c r="N60" s="45">
        <v>21200</v>
      </c>
      <c r="O60" s="114">
        <f t="shared" si="3"/>
        <v>310000</v>
      </c>
    </row>
    <row r="61" spans="1:15" x14ac:dyDescent="0.25">
      <c r="A61" s="49">
        <v>59</v>
      </c>
      <c r="B61" s="45">
        <v>22300</v>
      </c>
      <c r="C61" s="114">
        <f t="shared" si="0"/>
        <v>389300</v>
      </c>
      <c r="E61" s="49">
        <v>59</v>
      </c>
      <c r="F61" s="45">
        <v>90900</v>
      </c>
      <c r="G61" s="114">
        <f t="shared" si="1"/>
        <v>1575700</v>
      </c>
      <c r="I61" s="49">
        <v>59</v>
      </c>
      <c r="J61" s="45">
        <v>136300</v>
      </c>
      <c r="K61" s="114">
        <f t="shared" si="2"/>
        <v>2363500</v>
      </c>
      <c r="M61" s="49">
        <v>59</v>
      </c>
      <c r="N61" s="45">
        <v>22100</v>
      </c>
      <c r="O61" s="114">
        <f t="shared" si="3"/>
        <v>332100</v>
      </c>
    </row>
    <row r="62" spans="1:15" x14ac:dyDescent="0.25">
      <c r="A62" s="49">
        <v>60</v>
      </c>
      <c r="B62" s="45">
        <v>23300</v>
      </c>
      <c r="C62" s="114">
        <f t="shared" si="0"/>
        <v>412600</v>
      </c>
      <c r="E62" s="49">
        <v>60</v>
      </c>
      <c r="F62" s="45">
        <v>94900</v>
      </c>
      <c r="G62" s="114">
        <f t="shared" si="1"/>
        <v>1670600</v>
      </c>
      <c r="I62" s="49">
        <v>60</v>
      </c>
      <c r="J62" s="45">
        <v>142400</v>
      </c>
      <c r="K62" s="114">
        <f t="shared" si="2"/>
        <v>2505900</v>
      </c>
      <c r="M62" s="49">
        <v>60</v>
      </c>
      <c r="N62" s="45">
        <v>23100</v>
      </c>
      <c r="O62" s="114">
        <f t="shared" si="3"/>
        <v>355200</v>
      </c>
    </row>
    <row r="63" spans="1:15" x14ac:dyDescent="0.25">
      <c r="A63" s="49">
        <v>61</v>
      </c>
      <c r="B63" s="45">
        <v>24300</v>
      </c>
      <c r="C63" s="114">
        <f t="shared" si="0"/>
        <v>436900</v>
      </c>
      <c r="E63" s="49">
        <v>61</v>
      </c>
      <c r="F63" s="45">
        <v>99000</v>
      </c>
      <c r="G63" s="114">
        <f t="shared" si="1"/>
        <v>1769600</v>
      </c>
      <c r="I63" s="49">
        <v>61</v>
      </c>
      <c r="J63" s="45">
        <v>148500</v>
      </c>
      <c r="K63" s="114">
        <f t="shared" si="2"/>
        <v>2654400</v>
      </c>
      <c r="M63" s="49">
        <v>61</v>
      </c>
      <c r="N63" s="45">
        <v>24100</v>
      </c>
      <c r="O63" s="114">
        <f t="shared" si="3"/>
        <v>379300</v>
      </c>
    </row>
    <row r="64" spans="1:15" x14ac:dyDescent="0.25">
      <c r="A64" s="49">
        <v>62</v>
      </c>
      <c r="B64" s="45">
        <v>25300</v>
      </c>
      <c r="C64" s="114">
        <f t="shared" si="0"/>
        <v>462200</v>
      </c>
      <c r="E64" s="49">
        <v>62</v>
      </c>
      <c r="F64" s="45">
        <v>103100</v>
      </c>
      <c r="G64" s="114">
        <f t="shared" si="1"/>
        <v>1872700</v>
      </c>
      <c r="I64" s="49">
        <v>62</v>
      </c>
      <c r="J64" s="45">
        <v>154600</v>
      </c>
      <c r="K64" s="114">
        <f t="shared" si="2"/>
        <v>2809000</v>
      </c>
      <c r="M64" s="49">
        <v>62</v>
      </c>
      <c r="N64" s="45">
        <v>25100</v>
      </c>
      <c r="O64" s="114">
        <f t="shared" si="3"/>
        <v>404400</v>
      </c>
    </row>
    <row r="65" spans="1:15" x14ac:dyDescent="0.25">
      <c r="A65" s="49">
        <v>63</v>
      </c>
      <c r="B65" s="45">
        <v>26300</v>
      </c>
      <c r="C65" s="114">
        <f t="shared" si="0"/>
        <v>488500</v>
      </c>
      <c r="E65" s="49">
        <v>63</v>
      </c>
      <c r="F65" s="45">
        <v>107400</v>
      </c>
      <c r="G65" s="114">
        <f t="shared" si="1"/>
        <v>1980100</v>
      </c>
      <c r="I65" s="49">
        <v>63</v>
      </c>
      <c r="J65" s="45">
        <v>161100</v>
      </c>
      <c r="K65" s="114">
        <f t="shared" si="2"/>
        <v>2970100</v>
      </c>
      <c r="M65" s="49">
        <v>63</v>
      </c>
      <c r="N65" s="45">
        <v>26100</v>
      </c>
      <c r="O65" s="114">
        <f t="shared" si="3"/>
        <v>430500</v>
      </c>
    </row>
    <row r="66" spans="1:15" x14ac:dyDescent="0.25">
      <c r="A66" s="49">
        <v>64</v>
      </c>
      <c r="B66" s="45">
        <v>27400</v>
      </c>
      <c r="C66" s="114">
        <f t="shared" si="0"/>
        <v>515900</v>
      </c>
      <c r="E66" s="49">
        <v>64</v>
      </c>
      <c r="F66" s="45">
        <v>111800</v>
      </c>
      <c r="G66" s="114">
        <f t="shared" si="1"/>
        <v>2091900</v>
      </c>
      <c r="I66" s="49">
        <v>64</v>
      </c>
      <c r="J66" s="45">
        <v>167700</v>
      </c>
      <c r="K66" s="114">
        <f t="shared" si="2"/>
        <v>3137800</v>
      </c>
      <c r="M66" s="49">
        <v>64</v>
      </c>
      <c r="N66" s="45">
        <v>27200</v>
      </c>
      <c r="O66" s="114">
        <f t="shared" si="3"/>
        <v>457700</v>
      </c>
    </row>
    <row r="67" spans="1:15" x14ac:dyDescent="0.25">
      <c r="A67" s="49">
        <v>65</v>
      </c>
      <c r="B67" s="45">
        <v>28500</v>
      </c>
      <c r="C67" s="114">
        <f t="shared" si="0"/>
        <v>544400</v>
      </c>
      <c r="E67" s="49">
        <v>65</v>
      </c>
      <c r="F67" s="45">
        <v>116300</v>
      </c>
      <c r="G67" s="114">
        <f t="shared" si="1"/>
        <v>2208200</v>
      </c>
      <c r="I67" s="49">
        <v>65</v>
      </c>
      <c r="J67" s="45">
        <v>174500</v>
      </c>
      <c r="K67" s="114">
        <f t="shared" si="2"/>
        <v>3312300</v>
      </c>
      <c r="M67" s="49">
        <v>65</v>
      </c>
      <c r="N67" s="45">
        <v>28200</v>
      </c>
      <c r="O67" s="114">
        <f t="shared" si="3"/>
        <v>485900</v>
      </c>
    </row>
    <row r="68" spans="1:15" x14ac:dyDescent="0.25">
      <c r="A68" s="49">
        <v>66</v>
      </c>
      <c r="B68" s="45">
        <v>29600</v>
      </c>
      <c r="C68" s="114">
        <f t="shared" si="0"/>
        <v>574000</v>
      </c>
      <c r="E68" s="49">
        <v>66</v>
      </c>
      <c r="F68" s="45">
        <v>120900</v>
      </c>
      <c r="G68" s="114">
        <f t="shared" si="1"/>
        <v>2329100</v>
      </c>
      <c r="I68" s="49">
        <v>66</v>
      </c>
      <c r="J68" s="45">
        <v>181500</v>
      </c>
      <c r="K68" s="114">
        <f t="shared" si="2"/>
        <v>3493800</v>
      </c>
      <c r="M68" s="49">
        <v>66</v>
      </c>
      <c r="N68" s="45">
        <v>29300</v>
      </c>
      <c r="O68" s="114">
        <f t="shared" si="3"/>
        <v>515200</v>
      </c>
    </row>
    <row r="69" spans="1:15" x14ac:dyDescent="0.25">
      <c r="A69" s="49">
        <v>67</v>
      </c>
      <c r="B69" s="45">
        <v>30800</v>
      </c>
      <c r="C69" s="114">
        <f t="shared" ref="C69:C122" si="4">B69+C68</f>
        <v>604800</v>
      </c>
      <c r="E69" s="49">
        <v>67</v>
      </c>
      <c r="F69" s="45">
        <v>125600</v>
      </c>
      <c r="G69" s="114">
        <f t="shared" ref="G69:G102" si="5">F69+G68</f>
        <v>2454700</v>
      </c>
      <c r="I69" s="49">
        <v>67</v>
      </c>
      <c r="J69" s="45">
        <v>188500</v>
      </c>
      <c r="K69" s="114">
        <f t="shared" ref="K69:K102" si="6">J69+K68</f>
        <v>3682300</v>
      </c>
      <c r="M69" s="49">
        <v>67</v>
      </c>
      <c r="N69" s="45">
        <v>30400</v>
      </c>
      <c r="O69" s="114">
        <f t="shared" ref="O69:O102" si="7">N69+O68</f>
        <v>545600</v>
      </c>
    </row>
    <row r="70" spans="1:15" x14ac:dyDescent="0.25">
      <c r="A70" s="49">
        <v>68</v>
      </c>
      <c r="B70" s="45">
        <v>32000</v>
      </c>
      <c r="C70" s="114">
        <f t="shared" si="4"/>
        <v>636800</v>
      </c>
      <c r="E70" s="49">
        <v>68</v>
      </c>
      <c r="F70" s="45">
        <v>130400</v>
      </c>
      <c r="G70" s="114">
        <f t="shared" si="5"/>
        <v>2585100</v>
      </c>
      <c r="I70" s="49">
        <v>68</v>
      </c>
      <c r="J70" s="45">
        <v>195500</v>
      </c>
      <c r="K70" s="114">
        <f t="shared" si="6"/>
        <v>3877800</v>
      </c>
      <c r="M70" s="49">
        <v>68</v>
      </c>
      <c r="N70" s="45">
        <v>31600</v>
      </c>
      <c r="O70" s="114">
        <f t="shared" si="7"/>
        <v>577200</v>
      </c>
    </row>
    <row r="71" spans="1:15" x14ac:dyDescent="0.25">
      <c r="A71" s="49">
        <v>69</v>
      </c>
      <c r="B71" s="45">
        <v>33200</v>
      </c>
      <c r="C71" s="114">
        <f t="shared" si="4"/>
        <v>670000</v>
      </c>
      <c r="E71" s="49">
        <v>69</v>
      </c>
      <c r="F71" s="45">
        <v>135300</v>
      </c>
      <c r="G71" s="114">
        <f t="shared" si="5"/>
        <v>2720400</v>
      </c>
      <c r="I71" s="49">
        <v>69</v>
      </c>
      <c r="J71" s="45">
        <v>203000</v>
      </c>
      <c r="K71" s="114">
        <f t="shared" si="6"/>
        <v>4080800</v>
      </c>
      <c r="M71" s="49">
        <v>69</v>
      </c>
      <c r="N71" s="45">
        <v>32800</v>
      </c>
      <c r="O71" s="114">
        <f t="shared" si="7"/>
        <v>610000</v>
      </c>
    </row>
    <row r="72" spans="1:15" x14ac:dyDescent="0.25">
      <c r="A72" s="49">
        <v>70</v>
      </c>
      <c r="B72" s="45">
        <v>34400</v>
      </c>
      <c r="C72" s="114">
        <f t="shared" si="4"/>
        <v>704400</v>
      </c>
      <c r="E72" s="49">
        <v>70</v>
      </c>
      <c r="F72" s="45">
        <v>140400</v>
      </c>
      <c r="G72" s="114">
        <f t="shared" si="5"/>
        <v>2860800</v>
      </c>
      <c r="I72" s="49">
        <v>70</v>
      </c>
      <c r="J72" s="45">
        <v>210600</v>
      </c>
      <c r="K72" s="114">
        <f t="shared" si="6"/>
        <v>4291400</v>
      </c>
      <c r="M72" s="49">
        <v>70</v>
      </c>
      <c r="N72" s="45">
        <v>34000</v>
      </c>
      <c r="O72" s="114">
        <f t="shared" si="7"/>
        <v>644000</v>
      </c>
    </row>
    <row r="73" spans="1:15" x14ac:dyDescent="0.25">
      <c r="A73" s="49">
        <v>71</v>
      </c>
      <c r="B73" s="45">
        <v>45100</v>
      </c>
      <c r="C73" s="114">
        <f t="shared" si="4"/>
        <v>749500</v>
      </c>
      <c r="E73" s="49">
        <v>71</v>
      </c>
      <c r="F73" s="45">
        <v>145500</v>
      </c>
      <c r="G73" s="114">
        <f t="shared" si="5"/>
        <v>3006300</v>
      </c>
      <c r="I73" s="49">
        <v>71</v>
      </c>
      <c r="J73" s="45">
        <v>218200</v>
      </c>
      <c r="K73" s="114">
        <f t="shared" si="6"/>
        <v>4509600</v>
      </c>
      <c r="M73" s="49">
        <v>71</v>
      </c>
      <c r="N73" s="45">
        <v>47300</v>
      </c>
      <c r="O73" s="114">
        <f t="shared" si="7"/>
        <v>691300</v>
      </c>
    </row>
    <row r="74" spans="1:15" x14ac:dyDescent="0.25">
      <c r="A74" s="49">
        <v>72</v>
      </c>
      <c r="B74" s="45">
        <v>46800</v>
      </c>
      <c r="C74" s="114">
        <f t="shared" si="4"/>
        <v>796300</v>
      </c>
      <c r="E74" s="49">
        <v>72</v>
      </c>
      <c r="F74" s="45">
        <v>150800</v>
      </c>
      <c r="G74" s="114">
        <f t="shared" si="5"/>
        <v>3157100</v>
      </c>
      <c r="I74" s="49">
        <v>72</v>
      </c>
      <c r="J74" s="45">
        <v>226200</v>
      </c>
      <c r="K74" s="114">
        <f t="shared" si="6"/>
        <v>4735800</v>
      </c>
      <c r="M74" s="49">
        <v>72</v>
      </c>
      <c r="N74" s="45">
        <v>49100</v>
      </c>
      <c r="O74" s="114">
        <f t="shared" si="7"/>
        <v>740400</v>
      </c>
    </row>
    <row r="75" spans="1:15" x14ac:dyDescent="0.25">
      <c r="A75" s="49">
        <v>73</v>
      </c>
      <c r="B75" s="45">
        <v>48600</v>
      </c>
      <c r="C75" s="114">
        <f t="shared" si="4"/>
        <v>844900</v>
      </c>
      <c r="E75" s="49">
        <v>73</v>
      </c>
      <c r="F75" s="45">
        <v>156100</v>
      </c>
      <c r="G75" s="114">
        <f t="shared" si="5"/>
        <v>3313200</v>
      </c>
      <c r="I75" s="49">
        <v>73</v>
      </c>
      <c r="J75" s="45">
        <v>234200</v>
      </c>
      <c r="K75" s="114">
        <f t="shared" si="6"/>
        <v>4970000</v>
      </c>
      <c r="M75" s="49">
        <v>73</v>
      </c>
      <c r="N75" s="45">
        <v>50800</v>
      </c>
      <c r="O75" s="114">
        <f t="shared" si="7"/>
        <v>791200</v>
      </c>
    </row>
    <row r="76" spans="1:15" x14ac:dyDescent="0.25">
      <c r="A76" s="49">
        <v>74</v>
      </c>
      <c r="B76" s="45">
        <v>50400</v>
      </c>
      <c r="C76" s="114">
        <f t="shared" si="4"/>
        <v>895300</v>
      </c>
      <c r="E76" s="49">
        <v>74</v>
      </c>
      <c r="F76" s="45">
        <v>161600</v>
      </c>
      <c r="G76" s="114">
        <f t="shared" si="5"/>
        <v>3474800</v>
      </c>
      <c r="I76" s="49">
        <v>74</v>
      </c>
      <c r="J76" s="45">
        <v>242500</v>
      </c>
      <c r="K76" s="114">
        <f t="shared" si="6"/>
        <v>5212500</v>
      </c>
      <c r="M76" s="49">
        <v>74</v>
      </c>
      <c r="N76" s="45">
        <v>52700</v>
      </c>
      <c r="O76" s="114">
        <f t="shared" si="7"/>
        <v>843900</v>
      </c>
    </row>
    <row r="77" spans="1:15" x14ac:dyDescent="0.25">
      <c r="A77" s="49">
        <v>75</v>
      </c>
      <c r="B77" s="45">
        <v>52200</v>
      </c>
      <c r="C77" s="114">
        <f t="shared" si="4"/>
        <v>947500</v>
      </c>
      <c r="E77" s="49">
        <v>75</v>
      </c>
      <c r="F77" s="45">
        <v>167200</v>
      </c>
      <c r="G77" s="114">
        <f t="shared" si="5"/>
        <v>3642000</v>
      </c>
      <c r="I77" s="49">
        <v>75</v>
      </c>
      <c r="J77" s="45">
        <v>250800</v>
      </c>
      <c r="K77" s="114">
        <f t="shared" si="6"/>
        <v>5463300</v>
      </c>
      <c r="M77" s="49">
        <v>75</v>
      </c>
      <c r="N77" s="45">
        <v>54500</v>
      </c>
      <c r="O77" s="114">
        <f t="shared" si="7"/>
        <v>898400</v>
      </c>
    </row>
    <row r="78" spans="1:15" x14ac:dyDescent="0.25">
      <c r="A78" s="49">
        <v>76</v>
      </c>
      <c r="B78" s="45">
        <v>54000</v>
      </c>
      <c r="C78" s="114">
        <f t="shared" si="4"/>
        <v>1001500</v>
      </c>
      <c r="E78" s="49">
        <v>76</v>
      </c>
      <c r="F78" s="45">
        <v>172900</v>
      </c>
      <c r="G78" s="114">
        <f t="shared" si="5"/>
        <v>3814900</v>
      </c>
      <c r="I78" s="49">
        <v>76</v>
      </c>
      <c r="J78" s="45">
        <v>259500</v>
      </c>
      <c r="K78" s="114">
        <f t="shared" si="6"/>
        <v>5722800</v>
      </c>
      <c r="M78" s="49">
        <v>76</v>
      </c>
      <c r="N78" s="45">
        <v>56400</v>
      </c>
      <c r="O78" s="114">
        <f t="shared" si="7"/>
        <v>954800</v>
      </c>
    </row>
    <row r="79" spans="1:15" x14ac:dyDescent="0.25">
      <c r="A79" s="49">
        <v>77</v>
      </c>
      <c r="B79" s="45">
        <v>55900</v>
      </c>
      <c r="C79" s="114">
        <f t="shared" si="4"/>
        <v>1057400</v>
      </c>
      <c r="E79" s="49">
        <v>77</v>
      </c>
      <c r="F79" s="45">
        <v>178700</v>
      </c>
      <c r="G79" s="114">
        <f t="shared" si="5"/>
        <v>3993600</v>
      </c>
      <c r="I79" s="49">
        <v>77</v>
      </c>
      <c r="J79" s="45">
        <v>268000</v>
      </c>
      <c r="K79" s="114">
        <f t="shared" si="6"/>
        <v>5990800</v>
      </c>
      <c r="M79" s="49">
        <v>77</v>
      </c>
      <c r="N79" s="45">
        <v>58400</v>
      </c>
      <c r="O79" s="114">
        <f t="shared" si="7"/>
        <v>1013200</v>
      </c>
    </row>
    <row r="80" spans="1:15" x14ac:dyDescent="0.25">
      <c r="A80" s="49">
        <v>78</v>
      </c>
      <c r="B80" s="45">
        <v>57900</v>
      </c>
      <c r="C80" s="114">
        <f t="shared" si="4"/>
        <v>1115300</v>
      </c>
      <c r="E80" s="49">
        <v>78</v>
      </c>
      <c r="F80" s="45">
        <v>184700</v>
      </c>
      <c r="G80" s="114">
        <f t="shared" si="5"/>
        <v>4178300</v>
      </c>
      <c r="I80" s="49">
        <v>78</v>
      </c>
      <c r="J80" s="45">
        <v>277000</v>
      </c>
      <c r="K80" s="114">
        <f t="shared" si="6"/>
        <v>6267800</v>
      </c>
      <c r="M80" s="49">
        <v>78</v>
      </c>
      <c r="N80" s="45">
        <v>60400</v>
      </c>
      <c r="O80" s="114">
        <f t="shared" si="7"/>
        <v>1073600</v>
      </c>
    </row>
    <row r="81" spans="1:15" x14ac:dyDescent="0.25">
      <c r="A81" s="49">
        <v>79</v>
      </c>
      <c r="B81" s="45">
        <v>59800</v>
      </c>
      <c r="C81" s="114">
        <f t="shared" si="4"/>
        <v>1175100</v>
      </c>
      <c r="E81" s="49">
        <v>79</v>
      </c>
      <c r="F81" s="45">
        <v>190700</v>
      </c>
      <c r="G81" s="114">
        <f t="shared" si="5"/>
        <v>4369000</v>
      </c>
      <c r="I81" s="49">
        <v>79</v>
      </c>
      <c r="J81" s="45">
        <v>286000</v>
      </c>
      <c r="K81" s="114">
        <f t="shared" si="6"/>
        <v>6553800</v>
      </c>
      <c r="M81" s="49">
        <v>79</v>
      </c>
      <c r="N81" s="45">
        <v>62400</v>
      </c>
      <c r="O81" s="114">
        <f t="shared" si="7"/>
        <v>1136000</v>
      </c>
    </row>
    <row r="82" spans="1:15" x14ac:dyDescent="0.25">
      <c r="A82" s="49">
        <v>80</v>
      </c>
      <c r="B82" s="45">
        <v>61800</v>
      </c>
      <c r="C82" s="114">
        <f t="shared" si="4"/>
        <v>1236900</v>
      </c>
      <c r="E82" s="49">
        <v>80</v>
      </c>
      <c r="F82" s="45">
        <v>196900</v>
      </c>
      <c r="G82" s="114">
        <f t="shared" si="5"/>
        <v>4565900</v>
      </c>
      <c r="I82" s="49">
        <v>80</v>
      </c>
      <c r="J82" s="45">
        <v>295500</v>
      </c>
      <c r="K82" s="114">
        <f t="shared" si="6"/>
        <v>6849300</v>
      </c>
      <c r="M82" s="49">
        <v>80</v>
      </c>
      <c r="N82" s="45">
        <v>64400</v>
      </c>
      <c r="O82" s="114">
        <f t="shared" si="7"/>
        <v>1200400</v>
      </c>
    </row>
    <row r="83" spans="1:15" x14ac:dyDescent="0.25">
      <c r="A83" s="49">
        <v>81</v>
      </c>
      <c r="B83" s="45">
        <v>63900</v>
      </c>
      <c r="C83" s="114">
        <f t="shared" si="4"/>
        <v>1300800</v>
      </c>
      <c r="E83" s="49">
        <v>81</v>
      </c>
      <c r="F83" s="45">
        <v>203200</v>
      </c>
      <c r="G83" s="114">
        <f t="shared" si="5"/>
        <v>4769100</v>
      </c>
      <c r="I83" s="49">
        <v>81</v>
      </c>
      <c r="J83" s="45">
        <v>304700</v>
      </c>
      <c r="K83" s="114">
        <f t="shared" si="6"/>
        <v>7154000</v>
      </c>
      <c r="M83" s="49">
        <v>81</v>
      </c>
      <c r="N83" s="45">
        <v>66500</v>
      </c>
      <c r="O83" s="114">
        <f t="shared" si="7"/>
        <v>1266900</v>
      </c>
    </row>
    <row r="84" spans="1:15" x14ac:dyDescent="0.25">
      <c r="A84" s="49">
        <v>82</v>
      </c>
      <c r="B84" s="45">
        <v>66000</v>
      </c>
      <c r="C84" s="114">
        <f t="shared" si="4"/>
        <v>1366800</v>
      </c>
      <c r="E84" s="49">
        <v>82</v>
      </c>
      <c r="F84" s="45">
        <v>209600</v>
      </c>
      <c r="G84" s="114">
        <f t="shared" si="5"/>
        <v>4978700</v>
      </c>
      <c r="I84" s="49">
        <v>82</v>
      </c>
      <c r="J84" s="45">
        <v>314500</v>
      </c>
      <c r="K84" s="114">
        <f t="shared" si="6"/>
        <v>7468500</v>
      </c>
      <c r="M84" s="49">
        <v>82</v>
      </c>
      <c r="N84" s="45">
        <v>68700</v>
      </c>
      <c r="O84" s="114">
        <f t="shared" si="7"/>
        <v>1335600</v>
      </c>
    </row>
    <row r="85" spans="1:15" x14ac:dyDescent="0.25">
      <c r="A85" s="49">
        <v>83</v>
      </c>
      <c r="B85" s="45">
        <v>68100</v>
      </c>
      <c r="C85" s="114">
        <f t="shared" si="4"/>
        <v>1434900</v>
      </c>
      <c r="E85" s="49">
        <v>83</v>
      </c>
      <c r="F85" s="45">
        <v>216100</v>
      </c>
      <c r="G85" s="114">
        <f t="shared" si="5"/>
        <v>5194800</v>
      </c>
      <c r="I85" s="49">
        <v>83</v>
      </c>
      <c r="J85" s="45">
        <v>324000</v>
      </c>
      <c r="K85" s="114">
        <f t="shared" si="6"/>
        <v>7792500</v>
      </c>
      <c r="M85" s="49">
        <v>83</v>
      </c>
      <c r="N85" s="45">
        <v>70900</v>
      </c>
      <c r="O85" s="114">
        <f t="shared" si="7"/>
        <v>1406500</v>
      </c>
    </row>
    <row r="86" spans="1:15" x14ac:dyDescent="0.25">
      <c r="A86" s="49">
        <v>84</v>
      </c>
      <c r="B86" s="45">
        <v>70300</v>
      </c>
      <c r="C86" s="114">
        <f t="shared" si="4"/>
        <v>1505200</v>
      </c>
      <c r="E86" s="49">
        <v>84</v>
      </c>
      <c r="F86" s="45">
        <v>222800</v>
      </c>
      <c r="G86" s="114">
        <f t="shared" si="5"/>
        <v>5417600</v>
      </c>
      <c r="I86" s="49">
        <v>84</v>
      </c>
      <c r="J86" s="45">
        <v>334500</v>
      </c>
      <c r="K86" s="114">
        <f t="shared" si="6"/>
        <v>8127000</v>
      </c>
      <c r="M86" s="49">
        <v>84</v>
      </c>
      <c r="N86" s="45">
        <v>73100</v>
      </c>
      <c r="O86" s="114">
        <f t="shared" si="7"/>
        <v>1479600</v>
      </c>
    </row>
    <row r="87" spans="1:15" x14ac:dyDescent="0.25">
      <c r="A87" s="49">
        <v>85</v>
      </c>
      <c r="B87" s="45">
        <v>72600</v>
      </c>
      <c r="C87" s="114">
        <f t="shared" si="4"/>
        <v>1577800</v>
      </c>
      <c r="E87" s="49">
        <v>85</v>
      </c>
      <c r="F87" s="45">
        <v>229600</v>
      </c>
      <c r="G87" s="114">
        <f t="shared" si="5"/>
        <v>5647200</v>
      </c>
      <c r="I87" s="49">
        <v>85</v>
      </c>
      <c r="J87" s="45">
        <v>344000</v>
      </c>
      <c r="K87" s="114">
        <f t="shared" si="6"/>
        <v>8471000</v>
      </c>
      <c r="M87" s="49">
        <v>85</v>
      </c>
      <c r="N87" s="45">
        <v>75400</v>
      </c>
      <c r="O87" s="114">
        <f t="shared" si="7"/>
        <v>1555000</v>
      </c>
    </row>
    <row r="88" spans="1:15" x14ac:dyDescent="0.25">
      <c r="A88" s="49">
        <v>86</v>
      </c>
      <c r="B88" s="45">
        <v>74800</v>
      </c>
      <c r="C88" s="114">
        <f t="shared" si="4"/>
        <v>1652600</v>
      </c>
      <c r="E88" s="49">
        <v>86</v>
      </c>
      <c r="F88" s="45">
        <v>236500</v>
      </c>
      <c r="G88" s="114">
        <f t="shared" si="5"/>
        <v>5883700</v>
      </c>
      <c r="I88" s="49">
        <v>86</v>
      </c>
      <c r="J88" s="45">
        <v>355000</v>
      </c>
      <c r="K88" s="114">
        <f t="shared" si="6"/>
        <v>8826000</v>
      </c>
      <c r="M88" s="49">
        <v>86</v>
      </c>
      <c r="N88" s="45">
        <v>77700</v>
      </c>
      <c r="O88" s="114">
        <f t="shared" si="7"/>
        <v>1632700</v>
      </c>
    </row>
    <row r="89" spans="1:15" x14ac:dyDescent="0.25">
      <c r="A89" s="49">
        <v>87</v>
      </c>
      <c r="B89" s="45">
        <v>77100</v>
      </c>
      <c r="C89" s="114">
        <f t="shared" si="4"/>
        <v>1729700</v>
      </c>
      <c r="E89" s="49">
        <v>87</v>
      </c>
      <c r="F89" s="45">
        <v>243500</v>
      </c>
      <c r="G89" s="114">
        <f t="shared" si="5"/>
        <v>6127200</v>
      </c>
      <c r="I89" s="49">
        <v>87</v>
      </c>
      <c r="J89" s="45">
        <v>365000</v>
      </c>
      <c r="K89" s="114">
        <f t="shared" si="6"/>
        <v>9191000</v>
      </c>
      <c r="M89" s="49">
        <v>87</v>
      </c>
      <c r="N89" s="45">
        <v>80000</v>
      </c>
      <c r="O89" s="114">
        <f t="shared" si="7"/>
        <v>1712700</v>
      </c>
    </row>
    <row r="90" spans="1:15" x14ac:dyDescent="0.25">
      <c r="A90" s="49">
        <v>88</v>
      </c>
      <c r="B90" s="45">
        <v>79500</v>
      </c>
      <c r="C90" s="114">
        <f t="shared" si="4"/>
        <v>1809200</v>
      </c>
      <c r="E90" s="49">
        <v>88</v>
      </c>
      <c r="F90" s="45">
        <v>250600</v>
      </c>
      <c r="G90" s="114">
        <f t="shared" si="5"/>
        <v>6377800</v>
      </c>
      <c r="I90" s="49">
        <v>88</v>
      </c>
      <c r="J90" s="45">
        <v>376000</v>
      </c>
      <c r="K90" s="114">
        <f t="shared" si="6"/>
        <v>9567000</v>
      </c>
      <c r="M90" s="49">
        <v>88</v>
      </c>
      <c r="N90" s="45">
        <v>82400</v>
      </c>
      <c r="O90" s="114">
        <f t="shared" si="7"/>
        <v>1795100</v>
      </c>
    </row>
    <row r="91" spans="1:15" x14ac:dyDescent="0.25">
      <c r="A91" s="49">
        <v>89</v>
      </c>
      <c r="B91" s="45">
        <v>81900</v>
      </c>
      <c r="C91" s="114">
        <f t="shared" si="4"/>
        <v>1891100</v>
      </c>
      <c r="E91" s="49">
        <v>89</v>
      </c>
      <c r="F91" s="45">
        <v>257900</v>
      </c>
      <c r="G91" s="114">
        <f t="shared" si="5"/>
        <v>6635700</v>
      </c>
      <c r="I91" s="49">
        <v>89</v>
      </c>
      <c r="J91" s="45">
        <v>387000</v>
      </c>
      <c r="K91" s="114">
        <f t="shared" si="6"/>
        <v>9954000</v>
      </c>
      <c r="M91" s="49">
        <v>89</v>
      </c>
      <c r="N91" s="45">
        <v>84900</v>
      </c>
      <c r="O91" s="114">
        <f t="shared" si="7"/>
        <v>1880000</v>
      </c>
    </row>
    <row r="92" spans="1:15" x14ac:dyDescent="0.25">
      <c r="A92" s="49">
        <v>90</v>
      </c>
      <c r="B92" s="45">
        <v>84300</v>
      </c>
      <c r="C92" s="114">
        <f t="shared" si="4"/>
        <v>1975400</v>
      </c>
      <c r="E92" s="49">
        <v>90</v>
      </c>
      <c r="F92" s="45">
        <v>265300</v>
      </c>
      <c r="G92" s="114">
        <f t="shared" si="5"/>
        <v>6901000</v>
      </c>
      <c r="I92" s="49">
        <v>90</v>
      </c>
      <c r="J92" s="45">
        <v>398000</v>
      </c>
      <c r="K92" s="114">
        <f t="shared" si="6"/>
        <v>10352000</v>
      </c>
      <c r="M92" s="49">
        <v>90</v>
      </c>
      <c r="N92" s="45">
        <v>87300</v>
      </c>
      <c r="O92" s="114">
        <f t="shared" si="7"/>
        <v>1967300</v>
      </c>
    </row>
    <row r="93" spans="1:15" x14ac:dyDescent="0.25">
      <c r="A93" s="49">
        <v>91</v>
      </c>
      <c r="B93" s="45">
        <v>112600</v>
      </c>
      <c r="C93" s="114">
        <f t="shared" si="4"/>
        <v>2088000</v>
      </c>
      <c r="E93" s="49">
        <v>91</v>
      </c>
      <c r="F93" s="45">
        <v>272800</v>
      </c>
      <c r="G93" s="114">
        <f t="shared" si="5"/>
        <v>7173800</v>
      </c>
      <c r="I93" s="49">
        <v>91</v>
      </c>
      <c r="J93" s="45">
        <v>409000</v>
      </c>
      <c r="K93" s="114">
        <f t="shared" si="6"/>
        <v>10761000</v>
      </c>
      <c r="M93" s="49">
        <v>91</v>
      </c>
      <c r="N93" s="45">
        <v>113000</v>
      </c>
      <c r="O93" s="114">
        <f t="shared" si="7"/>
        <v>2080300</v>
      </c>
    </row>
    <row r="94" spans="1:15" x14ac:dyDescent="0.25">
      <c r="A94" s="49">
        <v>92</v>
      </c>
      <c r="B94" s="45">
        <v>116100</v>
      </c>
      <c r="C94" s="114">
        <f t="shared" si="4"/>
        <v>2204100</v>
      </c>
      <c r="E94" s="49">
        <v>92</v>
      </c>
      <c r="F94" s="45">
        <v>280400</v>
      </c>
      <c r="G94" s="114">
        <f t="shared" si="5"/>
        <v>7454200</v>
      </c>
      <c r="I94" s="49">
        <v>92</v>
      </c>
      <c r="J94" s="45">
        <v>421000</v>
      </c>
      <c r="K94" s="114">
        <f t="shared" si="6"/>
        <v>11182000</v>
      </c>
      <c r="M94" s="49">
        <v>92</v>
      </c>
      <c r="N94" s="45">
        <v>116400</v>
      </c>
      <c r="O94" s="114">
        <f t="shared" si="7"/>
        <v>2196700</v>
      </c>
    </row>
    <row r="95" spans="1:15" x14ac:dyDescent="0.25">
      <c r="A95" s="49">
        <v>93</v>
      </c>
      <c r="B95" s="45">
        <v>119500</v>
      </c>
      <c r="C95" s="114">
        <f t="shared" si="4"/>
        <v>2323600</v>
      </c>
      <c r="E95" s="49">
        <v>93</v>
      </c>
      <c r="F95" s="45">
        <v>288200</v>
      </c>
      <c r="G95" s="114">
        <f t="shared" si="5"/>
        <v>7742400</v>
      </c>
      <c r="I95" s="49">
        <v>93</v>
      </c>
      <c r="J95" s="45">
        <v>432000</v>
      </c>
      <c r="K95" s="114">
        <f t="shared" si="6"/>
        <v>11614000</v>
      </c>
      <c r="M95" s="49">
        <v>93</v>
      </c>
      <c r="N95" s="45">
        <v>119800</v>
      </c>
      <c r="O95" s="114">
        <f t="shared" si="7"/>
        <v>2316500</v>
      </c>
    </row>
    <row r="96" spans="1:15" x14ac:dyDescent="0.25">
      <c r="A96" s="49">
        <v>94</v>
      </c>
      <c r="B96" s="45">
        <v>123100</v>
      </c>
      <c r="C96" s="114">
        <f t="shared" si="4"/>
        <v>2446700</v>
      </c>
      <c r="E96" s="49">
        <v>94</v>
      </c>
      <c r="F96" s="45">
        <v>296100</v>
      </c>
      <c r="G96" s="114">
        <f t="shared" si="5"/>
        <v>8038500</v>
      </c>
      <c r="I96" s="49">
        <v>94</v>
      </c>
      <c r="J96" s="45">
        <v>444000</v>
      </c>
      <c r="K96" s="114">
        <f t="shared" si="6"/>
        <v>12058000</v>
      </c>
      <c r="M96" s="49">
        <v>94</v>
      </c>
      <c r="N96" s="45">
        <v>123300</v>
      </c>
      <c r="O96" s="114">
        <f t="shared" si="7"/>
        <v>2439800</v>
      </c>
    </row>
    <row r="97" spans="1:119" x14ac:dyDescent="0.25">
      <c r="A97" s="49">
        <v>95</v>
      </c>
      <c r="B97" s="45">
        <v>126700</v>
      </c>
      <c r="C97" s="114">
        <f t="shared" si="4"/>
        <v>2573400</v>
      </c>
      <c r="E97" s="49">
        <v>95</v>
      </c>
      <c r="F97" s="45">
        <v>304100</v>
      </c>
      <c r="G97" s="114">
        <f t="shared" si="5"/>
        <v>8342600</v>
      </c>
      <c r="I97" s="49">
        <v>95</v>
      </c>
      <c r="J97" s="45">
        <v>456000</v>
      </c>
      <c r="K97" s="114">
        <f t="shared" si="6"/>
        <v>12514000</v>
      </c>
      <c r="M97" s="49">
        <v>95</v>
      </c>
      <c r="N97" s="45">
        <v>126800</v>
      </c>
      <c r="O97" s="114">
        <f t="shared" si="7"/>
        <v>2566600</v>
      </c>
    </row>
    <row r="98" spans="1:119" x14ac:dyDescent="0.25">
      <c r="A98" s="49">
        <v>96</v>
      </c>
      <c r="B98" s="45">
        <v>130400</v>
      </c>
      <c r="C98" s="114">
        <f t="shared" si="4"/>
        <v>2703800</v>
      </c>
      <c r="E98" s="49">
        <v>96</v>
      </c>
      <c r="F98" s="45">
        <v>312300</v>
      </c>
      <c r="G98" s="114">
        <f t="shared" si="5"/>
        <v>8654900</v>
      </c>
      <c r="I98" s="49">
        <v>96</v>
      </c>
      <c r="J98" s="45">
        <v>469000</v>
      </c>
      <c r="K98" s="114">
        <f t="shared" si="6"/>
        <v>12983000</v>
      </c>
      <c r="M98" s="49">
        <v>96</v>
      </c>
      <c r="N98" s="45">
        <v>130400</v>
      </c>
      <c r="O98" s="114">
        <f t="shared" si="7"/>
        <v>2697000</v>
      </c>
    </row>
    <row r="99" spans="1:119" x14ac:dyDescent="0.25">
      <c r="A99" s="49">
        <v>97</v>
      </c>
      <c r="B99" s="45">
        <v>134100</v>
      </c>
      <c r="C99" s="114">
        <f t="shared" si="4"/>
        <v>2837900</v>
      </c>
      <c r="E99" s="49">
        <v>97</v>
      </c>
      <c r="F99" s="45">
        <v>320600</v>
      </c>
      <c r="G99" s="114">
        <f t="shared" si="5"/>
        <v>8975500</v>
      </c>
      <c r="I99" s="49">
        <v>97</v>
      </c>
      <c r="J99" s="45">
        <v>481000</v>
      </c>
      <c r="K99" s="114">
        <f t="shared" si="6"/>
        <v>13464000</v>
      </c>
      <c r="M99" s="49">
        <v>97</v>
      </c>
      <c r="N99" s="45">
        <v>134000</v>
      </c>
      <c r="O99" s="114">
        <f t="shared" si="7"/>
        <v>2831000</v>
      </c>
    </row>
    <row r="100" spans="1:119" x14ac:dyDescent="0.25">
      <c r="A100" s="49">
        <v>98</v>
      </c>
      <c r="B100" s="45">
        <v>137900</v>
      </c>
      <c r="C100" s="114">
        <f t="shared" si="4"/>
        <v>2975800</v>
      </c>
      <c r="E100" s="49">
        <v>98</v>
      </c>
      <c r="F100" s="45">
        <v>329000</v>
      </c>
      <c r="G100" s="114">
        <f t="shared" si="5"/>
        <v>9304500</v>
      </c>
      <c r="I100" s="49">
        <v>98</v>
      </c>
      <c r="J100" s="45">
        <v>493000</v>
      </c>
      <c r="K100" s="114">
        <f t="shared" si="6"/>
        <v>13957000</v>
      </c>
      <c r="M100" s="49">
        <v>98</v>
      </c>
      <c r="N100" s="45">
        <v>137700</v>
      </c>
      <c r="O100" s="114">
        <f t="shared" si="7"/>
        <v>2968700</v>
      </c>
    </row>
    <row r="101" spans="1:119" x14ac:dyDescent="0.25">
      <c r="A101" s="49">
        <v>99</v>
      </c>
      <c r="B101" s="45">
        <v>141800</v>
      </c>
      <c r="C101" s="114">
        <f t="shared" si="4"/>
        <v>3117600</v>
      </c>
      <c r="E101" s="49">
        <v>99</v>
      </c>
      <c r="F101" s="45">
        <v>337500</v>
      </c>
      <c r="G101" s="114">
        <f t="shared" si="5"/>
        <v>9642000</v>
      </c>
      <c r="I101" s="49">
        <v>99</v>
      </c>
      <c r="J101" s="45">
        <v>506000</v>
      </c>
      <c r="K101" s="114">
        <f t="shared" si="6"/>
        <v>14463000</v>
      </c>
      <c r="M101" s="49">
        <v>99</v>
      </c>
      <c r="N101" s="45">
        <v>141500</v>
      </c>
      <c r="O101" s="114">
        <f t="shared" si="7"/>
        <v>3110200</v>
      </c>
    </row>
    <row r="102" spans="1:119" x14ac:dyDescent="0.25">
      <c r="A102" s="49">
        <v>100</v>
      </c>
      <c r="B102" s="45">
        <v>145700</v>
      </c>
      <c r="C102" s="114">
        <f t="shared" si="4"/>
        <v>3263300</v>
      </c>
      <c r="E102" s="50">
        <v>100</v>
      </c>
      <c r="F102" s="47">
        <v>357000</v>
      </c>
      <c r="G102" s="64">
        <f t="shared" si="5"/>
        <v>9999000</v>
      </c>
      <c r="I102" s="50">
        <v>100</v>
      </c>
      <c r="J102" s="47">
        <v>537000</v>
      </c>
      <c r="K102" s="64">
        <f t="shared" si="6"/>
        <v>15000000</v>
      </c>
      <c r="M102" s="50">
        <v>100</v>
      </c>
      <c r="N102" s="47">
        <v>145300</v>
      </c>
      <c r="O102" s="64">
        <f t="shared" si="7"/>
        <v>3255500</v>
      </c>
    </row>
    <row r="103" spans="1:119" x14ac:dyDescent="0.25">
      <c r="A103" s="49">
        <v>101</v>
      </c>
      <c r="B103" s="45">
        <v>100000</v>
      </c>
      <c r="C103" s="114">
        <f t="shared" si="4"/>
        <v>3363300</v>
      </c>
    </row>
    <row r="104" spans="1:119" x14ac:dyDescent="0.25">
      <c r="A104" s="49">
        <v>102</v>
      </c>
      <c r="B104" s="45">
        <v>120000</v>
      </c>
      <c r="C104" s="114">
        <f t="shared" si="4"/>
        <v>3483300</v>
      </c>
    </row>
    <row r="105" spans="1:119" x14ac:dyDescent="0.25">
      <c r="A105" s="49">
        <v>103</v>
      </c>
      <c r="B105" s="45">
        <v>140000</v>
      </c>
      <c r="C105" s="114">
        <f t="shared" si="4"/>
        <v>3623300</v>
      </c>
    </row>
    <row r="106" spans="1:119" x14ac:dyDescent="0.25">
      <c r="A106" s="49">
        <v>104</v>
      </c>
      <c r="B106" s="45">
        <v>160000</v>
      </c>
      <c r="C106" s="114">
        <f t="shared" si="4"/>
        <v>3783300</v>
      </c>
    </row>
    <row r="107" spans="1:119" x14ac:dyDescent="0.25">
      <c r="A107" s="49">
        <v>105</v>
      </c>
      <c r="B107" s="45">
        <v>180000</v>
      </c>
      <c r="C107" s="114">
        <f t="shared" si="4"/>
        <v>3963300</v>
      </c>
    </row>
    <row r="108" spans="1:119" x14ac:dyDescent="0.25">
      <c r="A108" s="49">
        <v>106</v>
      </c>
      <c r="B108" s="45">
        <v>200000</v>
      </c>
      <c r="C108" s="114">
        <f t="shared" si="4"/>
        <v>4163300</v>
      </c>
      <c r="T108" s="101"/>
    </row>
    <row r="109" spans="1:119" x14ac:dyDescent="0.25">
      <c r="A109" s="49">
        <v>107</v>
      </c>
      <c r="B109" s="45">
        <v>220000</v>
      </c>
      <c r="C109" s="114">
        <f t="shared" si="4"/>
        <v>4383300</v>
      </c>
    </row>
    <row r="110" spans="1:119" x14ac:dyDescent="0.25">
      <c r="A110" s="49">
        <v>108</v>
      </c>
      <c r="B110" s="45">
        <v>240000</v>
      </c>
      <c r="C110" s="114">
        <f t="shared" si="4"/>
        <v>4623300</v>
      </c>
      <c r="T110" s="101"/>
      <c r="DO110" s="40" t="s">
        <v>896</v>
      </c>
    </row>
    <row r="111" spans="1:119" x14ac:dyDescent="0.25">
      <c r="A111" s="49">
        <v>109</v>
      </c>
      <c r="B111" s="45">
        <v>280000</v>
      </c>
      <c r="C111" s="114">
        <f t="shared" si="4"/>
        <v>4903300</v>
      </c>
    </row>
    <row r="112" spans="1:119" x14ac:dyDescent="0.25">
      <c r="A112" s="49">
        <v>110</v>
      </c>
      <c r="B112" s="45">
        <v>360000</v>
      </c>
      <c r="C112" s="114">
        <f t="shared" si="4"/>
        <v>5263300</v>
      </c>
    </row>
    <row r="113" spans="1:3" x14ac:dyDescent="0.25">
      <c r="A113" s="49">
        <v>111</v>
      </c>
      <c r="B113" s="45">
        <v>480000</v>
      </c>
      <c r="C113" s="114">
        <f t="shared" si="4"/>
        <v>5743300</v>
      </c>
    </row>
    <row r="114" spans="1:3" x14ac:dyDescent="0.25">
      <c r="A114" s="49">
        <v>112</v>
      </c>
      <c r="B114" s="45">
        <v>640000</v>
      </c>
      <c r="C114" s="114">
        <f t="shared" si="4"/>
        <v>6383300</v>
      </c>
    </row>
    <row r="115" spans="1:3" x14ac:dyDescent="0.25">
      <c r="A115" s="49">
        <v>113</v>
      </c>
      <c r="B115" s="45">
        <v>900000</v>
      </c>
      <c r="C115" s="114">
        <f t="shared" si="4"/>
        <v>7283300</v>
      </c>
    </row>
    <row r="116" spans="1:3" x14ac:dyDescent="0.25">
      <c r="A116" s="49">
        <v>114</v>
      </c>
      <c r="B116" s="45">
        <v>1200000</v>
      </c>
      <c r="C116" s="114">
        <f t="shared" si="4"/>
        <v>8483300</v>
      </c>
    </row>
    <row r="117" spans="1:3" x14ac:dyDescent="0.25">
      <c r="A117" s="49">
        <v>115</v>
      </c>
      <c r="B117" s="45">
        <v>1600000</v>
      </c>
      <c r="C117" s="114">
        <f t="shared" si="4"/>
        <v>10083300</v>
      </c>
    </row>
    <row r="118" spans="1:3" x14ac:dyDescent="0.25">
      <c r="A118" s="49">
        <v>116</v>
      </c>
      <c r="B118" s="45">
        <v>2200000</v>
      </c>
      <c r="C118" s="114">
        <f t="shared" si="4"/>
        <v>12283300</v>
      </c>
    </row>
    <row r="119" spans="1:3" x14ac:dyDescent="0.25">
      <c r="A119" s="49">
        <v>117</v>
      </c>
      <c r="B119" s="45">
        <v>3000000</v>
      </c>
      <c r="C119" s="114">
        <f t="shared" si="4"/>
        <v>15283300</v>
      </c>
    </row>
    <row r="120" spans="1:3" x14ac:dyDescent="0.25">
      <c r="A120" s="49">
        <v>118</v>
      </c>
      <c r="B120" s="45">
        <v>4000000</v>
      </c>
      <c r="C120" s="114">
        <f t="shared" si="4"/>
        <v>19283300</v>
      </c>
    </row>
    <row r="121" spans="1:3" x14ac:dyDescent="0.25">
      <c r="A121" s="49">
        <v>119</v>
      </c>
      <c r="B121" s="45">
        <v>5000000</v>
      </c>
      <c r="C121" s="114">
        <f t="shared" si="4"/>
        <v>24283300</v>
      </c>
    </row>
    <row r="122" spans="1:3" x14ac:dyDescent="0.25">
      <c r="A122" s="50">
        <v>120</v>
      </c>
      <c r="B122" s="47">
        <v>6000000</v>
      </c>
      <c r="C122" s="50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0"/>
  <sheetViews>
    <sheetView topLeftCell="A13" workbookViewId="0">
      <selection activeCell="A2" sqref="A2"/>
    </sheetView>
  </sheetViews>
  <sheetFormatPr defaultRowHeight="15" x14ac:dyDescent="0.25"/>
  <cols>
    <col min="1" max="1" width="9.140625" style="165"/>
  </cols>
  <sheetData>
    <row r="1" spans="2:11" customFormat="1" x14ac:dyDescent="0.25"/>
    <row r="2" spans="2:11" customFormat="1" x14ac:dyDescent="0.25">
      <c r="B2" s="10" t="s">
        <v>905</v>
      </c>
    </row>
    <row r="3" spans="2:11" customFormat="1" x14ac:dyDescent="0.25">
      <c r="B3" s="48">
        <v>9</v>
      </c>
      <c r="C3" s="48">
        <v>14</v>
      </c>
      <c r="D3" s="65">
        <v>19</v>
      </c>
    </row>
    <row r="4" spans="2:11" customFormat="1" x14ac:dyDescent="0.25">
      <c r="B4" s="48">
        <v>8</v>
      </c>
      <c r="C4" s="48">
        <v>13</v>
      </c>
      <c r="D4" s="65">
        <v>18</v>
      </c>
    </row>
    <row r="5" spans="2:11" customFormat="1" x14ac:dyDescent="0.25">
      <c r="B5" s="48">
        <v>7</v>
      </c>
      <c r="C5" s="48">
        <v>12</v>
      </c>
      <c r="D5" s="65">
        <v>17</v>
      </c>
    </row>
    <row r="6" spans="2:11" customFormat="1" x14ac:dyDescent="0.25"/>
    <row r="7" spans="2:11" customFormat="1" x14ac:dyDescent="0.25">
      <c r="B7" s="10" t="s">
        <v>906</v>
      </c>
    </row>
    <row r="8" spans="2:11" customFormat="1" x14ac:dyDescent="0.25">
      <c r="B8" s="16" t="s">
        <v>1128</v>
      </c>
      <c r="C8" t="s">
        <v>1130</v>
      </c>
      <c r="G8" s="142" t="s">
        <v>1107</v>
      </c>
      <c r="H8" s="143" t="s">
        <v>1108</v>
      </c>
    </row>
    <row r="9" spans="2:11" customFormat="1" x14ac:dyDescent="0.25">
      <c r="B9" t="s">
        <v>1123</v>
      </c>
      <c r="C9" t="s">
        <v>1113</v>
      </c>
      <c r="G9" s="144" t="str">
        <f>IFERROR(INDEX('Strat Buff Data'!B:B,MATCH(Main!$B64,'Strat Buff Data'!$A:$A,0)),"N/A")</f>
        <v>N/A</v>
      </c>
      <c r="H9" s="145" t="str">
        <f>IFERROR(INDEX('Strat Buff Data'!C:C,MATCH(Main!$B64,'Strat Buff Data'!$A:$A,0)),"N/A")</f>
        <v>N/A</v>
      </c>
      <c r="K9" s="1"/>
    </row>
    <row r="10" spans="2:11" customFormat="1" x14ac:dyDescent="0.25">
      <c r="B10" t="s">
        <v>1124</v>
      </c>
      <c r="C10" t="s">
        <v>1114</v>
      </c>
      <c r="G10" s="144" t="str">
        <f>IFERROR(INDEX('Strat Buff Data'!B:B,MATCH(Main!$B65,'Strat Buff Data'!$A:$A,0)),"N/A")</f>
        <v>N/A</v>
      </c>
      <c r="H10" s="145" t="str">
        <f>IFERROR(INDEX('Strat Buff Data'!C:C,MATCH(Main!$B65,'Strat Buff Data'!$A:$A,0)),"N/A")</f>
        <v>N/A</v>
      </c>
      <c r="K10" s="1"/>
    </row>
    <row r="11" spans="2:11" customFormat="1" x14ac:dyDescent="0.25">
      <c r="B11" t="s">
        <v>1125</v>
      </c>
      <c r="C11" t="s">
        <v>1115</v>
      </c>
      <c r="G11" s="146" t="str">
        <f>IFERROR(INDEX('Strat Buff Data'!B:B,MATCH(Main!$B66,'Strat Buff Data'!$A:$A,0)),"N/A")</f>
        <v>N/A</v>
      </c>
      <c r="H11" s="147" t="str">
        <f>IFERROR(INDEX('Strat Buff Data'!C:C,MATCH(Main!$B66,'Strat Buff Data'!$A:$A,0)),"N/A")</f>
        <v>N/A</v>
      </c>
    </row>
    <row r="12" spans="2:11" customFormat="1" x14ac:dyDescent="0.25"/>
    <row r="13" spans="2:11" customFormat="1" x14ac:dyDescent="0.25">
      <c r="B13" t="s">
        <v>1126</v>
      </c>
      <c r="C13" t="str">
        <f>INDEX($C$8:$C$11,COUNTA(Main!$B$64:$B$66)+1)</f>
        <v>"fairy_skill_on_team": "[]",</v>
      </c>
      <c r="K13" s="1"/>
    </row>
    <row r="14" spans="2:11" customFormat="1" x14ac:dyDescent="0.25">
      <c r="B14" t="s">
        <v>1112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1116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1127</v>
      </c>
      <c r="C16" t="str">
        <f>SUBSTITUTE(SUBSTITUTE(SUBSTITUTE(C15,"skill1",StratSL1),"skill2",StratSL2),"skill3",StratSL3)</f>
        <v>"fairy_skill_on_team": "[]",</v>
      </c>
      <c r="I16" s="9"/>
      <c r="J16" s="1"/>
      <c r="K16" s="1"/>
    </row>
    <row r="17" spans="1:3" x14ac:dyDescent="0.25">
      <c r="A17"/>
      <c r="B17" s="9" t="s">
        <v>897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102" t="s">
        <v>908</v>
      </c>
    </row>
    <row r="20" spans="1:3" x14ac:dyDescent="0.25">
      <c r="A20"/>
      <c r="B20" t="s">
        <v>1128</v>
      </c>
      <c r="C20" t="s">
        <v>1129</v>
      </c>
    </row>
    <row r="21" spans="1:3" x14ac:dyDescent="0.25">
      <c r="A21"/>
      <c r="B21" t="s">
        <v>1013</v>
      </c>
      <c r="C21" t="s">
        <v>1014</v>
      </c>
    </row>
    <row r="22" spans="1:3" x14ac:dyDescent="0.25">
      <c r="A22"/>
      <c r="B22" t="s">
        <v>1131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102" t="s">
        <v>1132</v>
      </c>
    </row>
    <row r="25" spans="1:3" x14ac:dyDescent="0.25">
      <c r="A25"/>
      <c r="B25" t="s">
        <v>1128</v>
      </c>
      <c r="C25" t="s">
        <v>1129</v>
      </c>
    </row>
    <row r="26" spans="1:3" x14ac:dyDescent="0.25">
      <c r="A26"/>
      <c r="B26" t="s">
        <v>1013</v>
      </c>
      <c r="C26" t="s">
        <v>1133</v>
      </c>
    </row>
    <row r="27" spans="1:3" x14ac:dyDescent="0.25">
      <c r="A27"/>
      <c r="B27" t="s">
        <v>1131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1135</v>
      </c>
      <c r="C28" t="str">
        <f>SUBSTITUTE(C27,1801,18&amp;Main!C71)</f>
        <v>"fairy_skill_on_enemy":"{\"1\":{\"1\":{\"enemy_instance_id\":1,\"buff_id\":\"1811\",\"source_type\":2,\"source_value\":90325,\"start_turn\":\"8\",\"battle_count\":0,\"battle_finish_count\":0,\"person_move_count\":0,\"mission_skill_config_id\":\"18\"}}}",</v>
      </c>
    </row>
    <row r="29" spans="1:3" x14ac:dyDescent="0.25">
      <c r="A29"/>
    </row>
    <row r="30" spans="1:3" s="165" customFormat="1" x14ac:dyDescent="0.25">
      <c r="B30" s="163" t="s">
        <v>1012</v>
      </c>
      <c r="C30" s="164"/>
    </row>
    <row r="31" spans="1:3" s="165" customFormat="1" x14ac:dyDescent="0.25">
      <c r="B31" s="161" t="s">
        <v>893</v>
      </c>
      <c r="C31" s="162" t="str">
        <f ca="1">LEFT(CELL("filename",Main!$A$1),FIND("[",CELL("filename",Main!$A$1))-1)&amp;"Preset\gun_with_user_info.json"</f>
        <v>C:\GFLBattleSim\Preset\gun_with_user_info.json</v>
      </c>
    </row>
    <row r="32" spans="1:3" s="165" customFormat="1" x14ac:dyDescent="0.25">
      <c r="B32" s="161" t="s">
        <v>894</v>
      </c>
      <c r="C32" s="162" t="str">
        <f ca="1">LEFT(CELL("filename",Main!$A$1),FIND("[",CELL("filename",Main!$A$1))-1)&amp;"Preset\equip_with_user_info.json"</f>
        <v>C:\GFLBattleSim\Preset\equip_with_user_info.json</v>
      </c>
    </row>
    <row r="33" spans="2:3" s="165" customFormat="1" x14ac:dyDescent="0.25">
      <c r="B33" s="161" t="s">
        <v>1043</v>
      </c>
      <c r="C33" s="162" t="str">
        <f ca="1">LEFT(CELL("filename",Main!$A$1),FIND("[",CELL("filename",Main!$A$1))-1)&amp;"Preset\squad_with_user_info.json"</f>
        <v>C:\GFLBattleSim\Preset\squad_with_user_info.json</v>
      </c>
    </row>
    <row r="34" spans="2:3" s="165" customFormat="1" x14ac:dyDescent="0.25">
      <c r="B34" s="161" t="s">
        <v>1044</v>
      </c>
      <c r="C34" s="162" t="str">
        <f ca="1">LEFT(CELL("filename",Main!$A$1),FIND("[",CELL("filename",Main!$A$1))-1)&amp;"Preset\chip_with_user_info.json"</f>
        <v>C:\GFLBattleSim\Preset\chip_with_user_info.json</v>
      </c>
    </row>
    <row r="35" spans="2:3" s="165" customFormat="1" x14ac:dyDescent="0.25">
      <c r="B35" s="40" t="s">
        <v>895</v>
      </c>
      <c r="C35" s="162" t="str">
        <f ca="1">LEFT(CELL("filename",Main!$A$1),FIND("[",CELL("filename",Main!$A$1))-1)&amp;"Preset\fairy_with_user_info.json"</f>
        <v>C:\GFLBattleSim\Preset\fairy_with_user_info.json</v>
      </c>
    </row>
    <row r="36" spans="2:3" s="165" customFormat="1" x14ac:dyDescent="0.25">
      <c r="B36" s="40" t="s">
        <v>898</v>
      </c>
      <c r="C36" s="162" t="str">
        <f ca="1">LEFT(CELL("filename",Main!$A$1),FIND("[",CELL("filename",Main!$A$1))-1)&amp;"Preset\"&amp;IF(DayNight="Day","battle_day\","battle_night_new\")&amp;"mission_act_info.json"</f>
        <v>C:\GFLBattleSim\Preset\battle_day\mission_act_info.json</v>
      </c>
    </row>
    <row r="37" spans="2:3" s="165" customFormat="1" x14ac:dyDescent="0.25">
      <c r="B37" s="40" t="s">
        <v>1311</v>
      </c>
      <c r="C37" s="162" t="str">
        <f ca="1">LEFT(CELL("filename",Main!$A$1),FIND("[",CELL("filename",Main!$A$1))-1)&amp;"Preset\sangvis_with_user_info.json"</f>
        <v>C:\GFLBattleSim\Preset\sangvis_with_user_info.json</v>
      </c>
    </row>
    <row r="38" spans="2:3" s="165" customFormat="1" x14ac:dyDescent="0.25">
      <c r="B38" s="40" t="s">
        <v>1312</v>
      </c>
      <c r="C38" s="162" t="str">
        <f ca="1">LEFT(CELL("filename",Main!$A$1),FIND("[",CELL("filename",Main!$A$1))-1)&amp;"Preset\sangvis_team_with_user_info.json"</f>
        <v>C:\GFLBattleSim\Preset\sangvis_team_with_user_info.json</v>
      </c>
    </row>
    <row r="39" spans="2:3" s="165" customFormat="1" x14ac:dyDescent="0.25">
      <c r="B39" s="40" t="s">
        <v>1313</v>
      </c>
      <c r="C39" s="162" t="str">
        <f ca="1">LEFT(CELL("filename",Main!$A$1),FIND("[",CELL("filename",Main!$A$1))-1)&amp;"Preset\sangvis_chip_with_user_info.json"</f>
        <v>C:\GFLBattleSim\Preset\sangvis_chip_with_user_info.json</v>
      </c>
    </row>
    <row r="40" spans="2:3" s="165" customFormat="1" x14ac:dyDescent="0.25">
      <c r="B40" s="40" t="s">
        <v>910</v>
      </c>
      <c r="C40" s="162" t="str">
        <f ca="1">LEFT(CELL("filename",Main!$A$1),FIND("[",CELL("filename",Main!$A$1))-1)&amp;"GFBattleSimulator.json"</f>
        <v>C:\GFLBattleSim\GFBattleSimulator.json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137"/>
  <sheetViews>
    <sheetView workbookViewId="0">
      <pane ySplit="1" topLeftCell="A2" activePane="bottomLeft" state="frozen"/>
      <selection activeCell="A207" sqref="A207"/>
      <selection pane="bottomLeft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385</v>
      </c>
      <c r="B1" s="10" t="s">
        <v>370</v>
      </c>
      <c r="C1" s="43" t="s">
        <v>386</v>
      </c>
      <c r="D1" s="43" t="s">
        <v>387</v>
      </c>
      <c r="E1" s="43" t="s">
        <v>388</v>
      </c>
      <c r="F1" s="43" t="s">
        <v>389</v>
      </c>
      <c r="G1" s="43" t="s">
        <v>409</v>
      </c>
      <c r="H1" s="43" t="s">
        <v>390</v>
      </c>
      <c r="I1" s="43" t="s">
        <v>391</v>
      </c>
      <c r="J1" s="43" t="s">
        <v>392</v>
      </c>
      <c r="K1" s="43" t="s">
        <v>393</v>
      </c>
      <c r="L1" s="43" t="s">
        <v>410</v>
      </c>
      <c r="M1" s="43" t="s">
        <v>394</v>
      </c>
      <c r="N1" s="43" t="s">
        <v>395</v>
      </c>
      <c r="O1" s="43" t="s">
        <v>396</v>
      </c>
      <c r="P1" s="43" t="s">
        <v>397</v>
      </c>
      <c r="Q1" s="43" t="s">
        <v>411</v>
      </c>
      <c r="R1" s="43" t="s">
        <v>398</v>
      </c>
      <c r="S1" s="43" t="s">
        <v>399</v>
      </c>
      <c r="T1" s="43" t="s">
        <v>400</v>
      </c>
      <c r="U1" s="43" t="s">
        <v>401</v>
      </c>
      <c r="V1" s="43" t="s">
        <v>412</v>
      </c>
      <c r="W1" s="43" t="s">
        <v>402</v>
      </c>
      <c r="X1" s="43" t="s">
        <v>134</v>
      </c>
      <c r="Y1" s="43" t="s">
        <v>403</v>
      </c>
      <c r="Z1" s="43" t="s">
        <v>404</v>
      </c>
      <c r="AA1" s="43" t="s">
        <v>413</v>
      </c>
      <c r="AB1" s="43" t="s">
        <v>405</v>
      </c>
      <c r="AC1" s="43" t="s">
        <v>406</v>
      </c>
      <c r="AD1" s="43" t="s">
        <v>407</v>
      </c>
      <c r="AE1" s="43" t="s">
        <v>408</v>
      </c>
      <c r="AF1" s="43" t="s">
        <v>414</v>
      </c>
      <c r="AG1" s="104"/>
      <c r="AH1" s="43" t="s">
        <v>825</v>
      </c>
      <c r="AI1" s="43" t="s">
        <v>826</v>
      </c>
      <c r="AJ1" s="43" t="s">
        <v>828</v>
      </c>
      <c r="AK1" s="43" t="s">
        <v>875</v>
      </c>
      <c r="AL1" s="43" t="s">
        <v>833</v>
      </c>
      <c r="AM1" s="43" t="s">
        <v>835</v>
      </c>
      <c r="AN1" s="43" t="s">
        <v>9</v>
      </c>
      <c r="AO1" s="43" t="s">
        <v>845</v>
      </c>
      <c r="AP1" s="43" t="s">
        <v>874</v>
      </c>
      <c r="AQ1" s="43" t="s">
        <v>850</v>
      </c>
      <c r="AR1" s="43" t="s">
        <v>747</v>
      </c>
      <c r="AS1" s="43" t="s">
        <v>860</v>
      </c>
      <c r="AT1" s="43" t="s">
        <v>861</v>
      </c>
      <c r="AU1" s="43" t="s">
        <v>1080</v>
      </c>
      <c r="AV1" s="43" t="s">
        <v>811</v>
      </c>
      <c r="AW1" s="43"/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866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956</v>
      </c>
      <c r="K2" s="9" t="s">
        <v>873</v>
      </c>
      <c r="L2" s="9" t="s">
        <v>970</v>
      </c>
      <c r="M2" s="9" t="s">
        <v>105</v>
      </c>
      <c r="N2" s="9" t="s">
        <v>936</v>
      </c>
      <c r="O2" s="9" t="s">
        <v>988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985</v>
      </c>
      <c r="V2" s="9" t="s">
        <v>977</v>
      </c>
      <c r="W2" s="9" t="s">
        <v>155</v>
      </c>
      <c r="X2" s="9" t="s">
        <v>135</v>
      </c>
      <c r="Y2" s="9" t="s">
        <v>187</v>
      </c>
      <c r="Z2" s="9" t="s">
        <v>340</v>
      </c>
      <c r="AA2" s="9" t="s">
        <v>1095</v>
      </c>
      <c r="AC2" s="9" t="s">
        <v>335</v>
      </c>
      <c r="AD2" s="9" t="s">
        <v>930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1074</v>
      </c>
      <c r="AV2" t="s">
        <v>873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960</v>
      </c>
      <c r="F3" s="9" t="s">
        <v>264</v>
      </c>
      <c r="G3" s="9" t="s">
        <v>982</v>
      </c>
      <c r="H3" s="9" t="s">
        <v>77</v>
      </c>
      <c r="I3" s="9" t="s">
        <v>334</v>
      </c>
      <c r="J3" s="9" t="s">
        <v>924</v>
      </c>
      <c r="K3" s="9" t="s">
        <v>838</v>
      </c>
      <c r="M3" s="9" t="s">
        <v>102</v>
      </c>
      <c r="N3" s="9" t="s">
        <v>272</v>
      </c>
      <c r="O3" s="9" t="s">
        <v>306</v>
      </c>
      <c r="P3" s="9" t="s">
        <v>966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928</v>
      </c>
      <c r="Y3" s="9" t="s">
        <v>217</v>
      </c>
      <c r="Z3" s="9" t="s">
        <v>345</v>
      </c>
      <c r="AC3" s="9" t="s">
        <v>196</v>
      </c>
      <c r="AD3" s="9" t="s">
        <v>954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1073</v>
      </c>
      <c r="AV3" t="s">
        <v>830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862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1072</v>
      </c>
      <c r="AV4" t="s">
        <v>840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981</v>
      </c>
      <c r="F5" s="9" t="s">
        <v>204</v>
      </c>
      <c r="H5" s="9" t="s">
        <v>91</v>
      </c>
      <c r="I5" s="9" t="s">
        <v>211</v>
      </c>
      <c r="J5" s="9" t="s">
        <v>971</v>
      </c>
      <c r="K5" s="9" t="s">
        <v>943</v>
      </c>
      <c r="M5" s="9" t="s">
        <v>348</v>
      </c>
      <c r="N5" s="9" t="s">
        <v>948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823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T5" t="s">
        <v>681</v>
      </c>
      <c r="AU5" t="s">
        <v>1071</v>
      </c>
      <c r="AV5" t="s">
        <v>1085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1055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841</v>
      </c>
      <c r="AE6" s="9" t="s">
        <v>292</v>
      </c>
      <c r="AP6" t="s">
        <v>674</v>
      </c>
      <c r="AQ6" t="s">
        <v>656</v>
      </c>
      <c r="AU6" t="s">
        <v>1070</v>
      </c>
      <c r="AV6" t="s">
        <v>1084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312</v>
      </c>
      <c r="R7" s="9" t="s">
        <v>173</v>
      </c>
      <c r="S7" s="9" t="s">
        <v>152</v>
      </c>
      <c r="T7" s="9" t="s">
        <v>232</v>
      </c>
      <c r="U7" s="9" t="s">
        <v>922</v>
      </c>
      <c r="X7" s="9" t="s">
        <v>127</v>
      </c>
      <c r="Y7" s="9" t="s">
        <v>984</v>
      </c>
      <c r="Z7" s="9" t="s">
        <v>286</v>
      </c>
      <c r="AC7" s="9" t="s">
        <v>197</v>
      </c>
      <c r="AD7" s="9" t="s">
        <v>191</v>
      </c>
      <c r="AE7" s="9" t="s">
        <v>263</v>
      </c>
      <c r="AP7" t="s">
        <v>675</v>
      </c>
      <c r="AQ7" t="s">
        <v>657</v>
      </c>
      <c r="AU7" t="s">
        <v>1079</v>
      </c>
      <c r="AV7" t="s">
        <v>1086</v>
      </c>
    </row>
    <row r="8" spans="1:51" x14ac:dyDescent="0.25">
      <c r="A8" s="9"/>
      <c r="C8" s="9" t="s">
        <v>69</v>
      </c>
      <c r="D8" s="9" t="s">
        <v>63</v>
      </c>
      <c r="E8" s="9" t="s">
        <v>911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914</v>
      </c>
      <c r="P8" s="9" t="s">
        <v>319</v>
      </c>
      <c r="S8" s="9" t="s">
        <v>120</v>
      </c>
      <c r="T8" s="9" t="s">
        <v>276</v>
      </c>
      <c r="U8" s="9" t="s">
        <v>934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829</v>
      </c>
      <c r="AE8" s="9" t="s">
        <v>202</v>
      </c>
      <c r="AP8" t="s">
        <v>676</v>
      </c>
      <c r="AQ8" t="s">
        <v>658</v>
      </c>
      <c r="AU8" t="s">
        <v>1069</v>
      </c>
      <c r="AV8" t="s">
        <v>1081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929</v>
      </c>
      <c r="J9" s="9" t="s">
        <v>332</v>
      </c>
      <c r="K9" s="9" t="s">
        <v>986</v>
      </c>
      <c r="N9" s="9" t="s">
        <v>95</v>
      </c>
      <c r="O9" s="9" t="s">
        <v>945</v>
      </c>
      <c r="P9" s="9" t="s">
        <v>944</v>
      </c>
      <c r="S9" s="9" t="s">
        <v>279</v>
      </c>
      <c r="T9" s="9" t="s">
        <v>963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949</v>
      </c>
      <c r="AD9" s="9" t="s">
        <v>193</v>
      </c>
      <c r="AE9" s="9" t="s">
        <v>951</v>
      </c>
      <c r="AP9" t="s">
        <v>677</v>
      </c>
      <c r="AQ9" t="s">
        <v>659</v>
      </c>
      <c r="AU9" t="s">
        <v>1087</v>
      </c>
      <c r="AV9" t="s">
        <v>1083</v>
      </c>
    </row>
    <row r="10" spans="1:51" x14ac:dyDescent="0.25">
      <c r="A10" s="9"/>
      <c r="C10" s="9"/>
      <c r="D10" s="9" t="s">
        <v>242</v>
      </c>
      <c r="E10" s="9" t="s">
        <v>1106</v>
      </c>
      <c r="F10" s="9" t="s">
        <v>931</v>
      </c>
      <c r="G10" s="9"/>
      <c r="H10" s="9" t="s">
        <v>140</v>
      </c>
      <c r="I10" s="9" t="s">
        <v>90</v>
      </c>
      <c r="J10" s="9" t="s">
        <v>827</v>
      </c>
      <c r="K10" s="9" t="s">
        <v>342</v>
      </c>
      <c r="N10" s="9" t="s">
        <v>249</v>
      </c>
      <c r="O10" s="9" t="s">
        <v>96</v>
      </c>
      <c r="P10" s="9" t="s">
        <v>186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1096</v>
      </c>
      <c r="AE10" s="9" t="s">
        <v>189</v>
      </c>
      <c r="AU10" t="s">
        <v>1088</v>
      </c>
      <c r="AV10" t="s">
        <v>1082</v>
      </c>
    </row>
    <row r="11" spans="1:51" x14ac:dyDescent="0.25">
      <c r="A11" s="9"/>
      <c r="C11" s="9"/>
      <c r="D11" s="9" t="s">
        <v>251</v>
      </c>
      <c r="E11" s="9" t="s">
        <v>363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223</v>
      </c>
      <c r="S11" s="9" t="s">
        <v>273</v>
      </c>
      <c r="T11" s="9" t="s">
        <v>958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200</v>
      </c>
      <c r="AE11" s="9" t="s">
        <v>952</v>
      </c>
      <c r="AL11" s="40"/>
      <c r="AU11" t="s">
        <v>1089</v>
      </c>
      <c r="AV11" t="s">
        <v>817</v>
      </c>
    </row>
    <row r="12" spans="1:51" x14ac:dyDescent="0.25">
      <c r="A12" s="9"/>
      <c r="C12" s="9"/>
      <c r="D12" s="9" t="s">
        <v>71</v>
      </c>
      <c r="E12" s="9" t="s">
        <v>282</v>
      </c>
      <c r="F12" s="9" t="s">
        <v>336</v>
      </c>
      <c r="G12" s="9"/>
      <c r="I12" s="9" t="s">
        <v>183</v>
      </c>
      <c r="J12" s="9" t="s">
        <v>352</v>
      </c>
      <c r="K12" s="9" t="s">
        <v>939</v>
      </c>
      <c r="N12" s="9" t="s">
        <v>257</v>
      </c>
      <c r="O12" s="9" t="s">
        <v>212</v>
      </c>
      <c r="P12" s="9" t="s">
        <v>101</v>
      </c>
      <c r="S12" s="9" t="s">
        <v>245</v>
      </c>
      <c r="T12" s="9" t="s">
        <v>976</v>
      </c>
      <c r="U12" s="9" t="s">
        <v>359</v>
      </c>
      <c r="Y12" s="9" t="s">
        <v>163</v>
      </c>
      <c r="Z12" s="9" t="s">
        <v>207</v>
      </c>
      <c r="AD12" s="9" t="s">
        <v>194</v>
      </c>
      <c r="AE12" s="9" t="s">
        <v>321</v>
      </c>
      <c r="AL12" s="40"/>
      <c r="AU12" t="s">
        <v>1076</v>
      </c>
      <c r="AV12" t="s">
        <v>818</v>
      </c>
    </row>
    <row r="13" spans="1:51" x14ac:dyDescent="0.25">
      <c r="A13" s="9"/>
      <c r="C13" s="9"/>
      <c r="D13" s="9" t="s">
        <v>218</v>
      </c>
      <c r="E13" s="9" t="s">
        <v>146</v>
      </c>
      <c r="F13" s="9" t="s">
        <v>964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368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912</v>
      </c>
      <c r="AD13" s="9" t="s">
        <v>199</v>
      </c>
      <c r="AE13" s="9" t="s">
        <v>219</v>
      </c>
      <c r="AL13" s="40"/>
      <c r="AU13" t="s">
        <v>1075</v>
      </c>
      <c r="AV13" t="s">
        <v>819</v>
      </c>
    </row>
    <row r="14" spans="1:51" x14ac:dyDescent="0.25">
      <c r="A14" s="9"/>
      <c r="C14" s="9"/>
      <c r="D14" s="9" t="s">
        <v>165</v>
      </c>
      <c r="E14" s="9" t="s">
        <v>938</v>
      </c>
      <c r="F14" s="9" t="s">
        <v>959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104</v>
      </c>
      <c r="S14" s="9" t="s">
        <v>113</v>
      </c>
      <c r="T14" s="9" t="s">
        <v>989</v>
      </c>
      <c r="U14" s="9" t="s">
        <v>150</v>
      </c>
      <c r="Y14" s="9" t="s">
        <v>947</v>
      </c>
      <c r="Z14" s="9" t="s">
        <v>921</v>
      </c>
      <c r="AD14" s="9" t="s">
        <v>220</v>
      </c>
      <c r="AE14" s="9" t="s">
        <v>198</v>
      </c>
      <c r="AL14" s="40"/>
      <c r="AM14" s="40"/>
      <c r="AU14" t="s">
        <v>1078</v>
      </c>
      <c r="AV14" t="s">
        <v>856</v>
      </c>
    </row>
    <row r="15" spans="1:51" x14ac:dyDescent="0.25">
      <c r="A15" s="9"/>
      <c r="C15" s="9"/>
      <c r="D15" s="9" t="s">
        <v>179</v>
      </c>
      <c r="E15" s="9" t="s">
        <v>19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271</v>
      </c>
      <c r="S15" s="9" t="s">
        <v>942</v>
      </c>
      <c r="T15" s="9" t="s">
        <v>108</v>
      </c>
      <c r="U15" s="9" t="s">
        <v>164</v>
      </c>
      <c r="Y15" s="9" t="s">
        <v>913</v>
      </c>
      <c r="Z15" s="9" t="s">
        <v>1054</v>
      </c>
      <c r="AD15" s="9" t="s">
        <v>953</v>
      </c>
      <c r="AE15" s="9" t="s">
        <v>969</v>
      </c>
      <c r="AL15" s="40"/>
      <c r="AM15" s="40"/>
      <c r="AP15" s="40"/>
      <c r="AU15" t="s">
        <v>1077</v>
      </c>
      <c r="AV15" t="s">
        <v>217</v>
      </c>
    </row>
    <row r="16" spans="1:51" x14ac:dyDescent="0.25">
      <c r="A16" s="9"/>
      <c r="C16" s="9"/>
      <c r="D16" s="9" t="s">
        <v>950</v>
      </c>
      <c r="E16" s="9" t="s">
        <v>205</v>
      </c>
      <c r="F16" s="9" t="s">
        <v>262</v>
      </c>
      <c r="G16" s="9"/>
      <c r="I16" s="9" t="s">
        <v>972</v>
      </c>
      <c r="J16" s="9" t="s">
        <v>83</v>
      </c>
      <c r="K16" s="9" t="s">
        <v>918</v>
      </c>
      <c r="N16" s="9" t="s">
        <v>166</v>
      </c>
      <c r="O16" s="9" t="s">
        <v>978</v>
      </c>
      <c r="P16" s="9" t="s">
        <v>250</v>
      </c>
      <c r="S16" s="9" t="s">
        <v>224</v>
      </c>
      <c r="T16" s="9" t="s">
        <v>109</v>
      </c>
      <c r="U16" s="9" t="s">
        <v>990</v>
      </c>
      <c r="Y16" s="9" t="s">
        <v>269</v>
      </c>
      <c r="Z16" s="9" t="s">
        <v>980</v>
      </c>
      <c r="AE16" s="9" t="s">
        <v>344</v>
      </c>
      <c r="AL16" s="40"/>
      <c r="AM16" s="40"/>
      <c r="AP16" s="40"/>
      <c r="AV16" t="s">
        <v>346</v>
      </c>
    </row>
    <row r="17" spans="1:48" x14ac:dyDescent="0.25">
      <c r="A17" s="9"/>
      <c r="C17" s="9"/>
      <c r="D17" s="9" t="s">
        <v>302</v>
      </c>
      <c r="E17" s="9" t="s">
        <v>144</v>
      </c>
      <c r="F17" s="9" t="s">
        <v>168</v>
      </c>
      <c r="G17" s="9"/>
      <c r="I17" s="9" t="s">
        <v>955</v>
      </c>
      <c r="J17" s="9" t="s">
        <v>1052</v>
      </c>
      <c r="K17" s="9" t="s">
        <v>979</v>
      </c>
      <c r="N17" s="9" t="s">
        <v>100</v>
      </c>
      <c r="O17" s="9" t="s">
        <v>354</v>
      </c>
      <c r="P17" s="9" t="s">
        <v>169</v>
      </c>
      <c r="S17" s="9" t="s">
        <v>323</v>
      </c>
      <c r="T17" s="9" t="s">
        <v>22</v>
      </c>
      <c r="U17" s="9" t="s">
        <v>114</v>
      </c>
      <c r="Z17" s="9" t="s">
        <v>935</v>
      </c>
      <c r="AE17" s="9" t="s">
        <v>852</v>
      </c>
      <c r="AV17" t="s">
        <v>359</v>
      </c>
    </row>
    <row r="18" spans="1:48" x14ac:dyDescent="0.25">
      <c r="A18" s="9"/>
      <c r="C18" s="9"/>
      <c r="D18" s="9" t="s">
        <v>258</v>
      </c>
      <c r="E18" s="9" t="s">
        <v>67</v>
      </c>
      <c r="F18" s="9" t="s">
        <v>266</v>
      </c>
      <c r="G18" s="9"/>
      <c r="I18" s="9" t="s">
        <v>241</v>
      </c>
      <c r="J18" s="9" t="s">
        <v>932</v>
      </c>
      <c r="K18" s="9" t="s">
        <v>182</v>
      </c>
      <c r="N18" s="9" t="s">
        <v>284</v>
      </c>
      <c r="O18" s="9" t="s">
        <v>99</v>
      </c>
      <c r="P18" s="9" t="s">
        <v>965</v>
      </c>
      <c r="S18" s="9" t="s">
        <v>927</v>
      </c>
      <c r="T18" s="9" t="s">
        <v>926</v>
      </c>
      <c r="U18" s="9" t="s">
        <v>968</v>
      </c>
      <c r="AV18" t="s">
        <v>74</v>
      </c>
    </row>
    <row r="19" spans="1:48" x14ac:dyDescent="0.25">
      <c r="A19" s="9"/>
      <c r="C19" s="9"/>
      <c r="D19" s="9" t="s">
        <v>66</v>
      </c>
      <c r="E19" s="9" t="s">
        <v>315</v>
      </c>
      <c r="F19" s="9" t="s">
        <v>278</v>
      </c>
      <c r="G19" s="9"/>
      <c r="I19" s="9" t="s">
        <v>209</v>
      </c>
      <c r="J19" s="9" t="s">
        <v>188</v>
      </c>
      <c r="K19" s="9" t="s">
        <v>175</v>
      </c>
      <c r="N19" s="9" t="s">
        <v>299</v>
      </c>
      <c r="O19" s="9" t="s">
        <v>216</v>
      </c>
      <c r="P19" s="9" t="s">
        <v>987</v>
      </c>
      <c r="T19" s="9" t="s">
        <v>309</v>
      </c>
      <c r="U19" s="9" t="s">
        <v>301</v>
      </c>
      <c r="AV19" t="s">
        <v>876</v>
      </c>
    </row>
    <row r="20" spans="1:48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973</v>
      </c>
      <c r="K20" s="9" t="s">
        <v>157</v>
      </c>
      <c r="N20" s="9" t="s">
        <v>311</v>
      </c>
      <c r="O20" s="9" t="s">
        <v>933</v>
      </c>
      <c r="P20" s="9" t="s">
        <v>107</v>
      </c>
      <c r="T20" s="9" t="s">
        <v>255</v>
      </c>
      <c r="U20" s="9" t="s">
        <v>254</v>
      </c>
      <c r="AV20" t="s">
        <v>864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859</v>
      </c>
      <c r="K21" s="9" t="s">
        <v>76</v>
      </c>
      <c r="N21" s="9" t="s">
        <v>141</v>
      </c>
      <c r="O21" s="9" t="s">
        <v>327</v>
      </c>
      <c r="P21" s="9" t="s">
        <v>277</v>
      </c>
      <c r="T21" s="9" t="s">
        <v>110</v>
      </c>
      <c r="U21" s="9" t="s">
        <v>225</v>
      </c>
      <c r="AV21" t="s">
        <v>862</v>
      </c>
    </row>
    <row r="22" spans="1:48" x14ac:dyDescent="0.25">
      <c r="A22" s="9"/>
      <c r="C22" s="9"/>
      <c r="D22" s="9" t="s">
        <v>288</v>
      </c>
      <c r="E22" s="9"/>
      <c r="F22" s="9" t="s">
        <v>369</v>
      </c>
      <c r="J22" s="9" t="s">
        <v>24</v>
      </c>
      <c r="K22" s="9" t="s">
        <v>303</v>
      </c>
      <c r="N22" s="9" t="s">
        <v>214</v>
      </c>
      <c r="O22" s="9" t="s">
        <v>974</v>
      </c>
      <c r="P22" s="9" t="s">
        <v>280</v>
      </c>
      <c r="T22" s="9" t="s">
        <v>975</v>
      </c>
      <c r="U22" s="9" t="s">
        <v>357</v>
      </c>
      <c r="AV22" t="s">
        <v>866</v>
      </c>
    </row>
    <row r="23" spans="1:48" x14ac:dyDescent="0.25">
      <c r="A23" s="9"/>
      <c r="C23" s="9"/>
      <c r="D23" s="9" t="s">
        <v>937</v>
      </c>
      <c r="E23" s="9"/>
      <c r="F23" s="9" t="s">
        <v>337</v>
      </c>
      <c r="J23" s="9" t="s">
        <v>23</v>
      </c>
      <c r="K23" s="9" t="s">
        <v>367</v>
      </c>
      <c r="N23" s="9" t="s">
        <v>293</v>
      </c>
      <c r="O23" s="9" t="s">
        <v>991</v>
      </c>
      <c r="P23" s="9" t="s">
        <v>343</v>
      </c>
      <c r="T23" s="9" t="s">
        <v>121</v>
      </c>
      <c r="U23" s="9" t="s">
        <v>356</v>
      </c>
      <c r="AV23" t="s">
        <v>868</v>
      </c>
    </row>
    <row r="24" spans="1:48" x14ac:dyDescent="0.25">
      <c r="A24" s="9"/>
      <c r="C24" s="9"/>
      <c r="D24" s="9"/>
      <c r="E24" s="9"/>
      <c r="F24" s="9" t="s">
        <v>858</v>
      </c>
      <c r="J24" s="9" t="s">
        <v>147</v>
      </c>
      <c r="K24" s="9" t="s">
        <v>366</v>
      </c>
      <c r="O24" s="9" t="s">
        <v>229</v>
      </c>
      <c r="P24" s="9" t="s">
        <v>962</v>
      </c>
      <c r="T24" s="9" t="s">
        <v>117</v>
      </c>
      <c r="U24" s="9" t="s">
        <v>238</v>
      </c>
      <c r="AQ24" s="9"/>
      <c r="AV24" t="s">
        <v>867</v>
      </c>
    </row>
    <row r="25" spans="1:48" x14ac:dyDescent="0.25">
      <c r="A25" s="9"/>
      <c r="C25" s="9"/>
      <c r="D25" s="9"/>
      <c r="E25" s="9"/>
      <c r="F25" s="9" t="s">
        <v>967</v>
      </c>
      <c r="K25" s="9" t="s">
        <v>80</v>
      </c>
      <c r="P25" s="9" t="s">
        <v>925</v>
      </c>
      <c r="T25" s="9" t="s">
        <v>239</v>
      </c>
      <c r="U25" s="9" t="s">
        <v>161</v>
      </c>
      <c r="AQ25" s="9"/>
      <c r="AV25" t="s">
        <v>869</v>
      </c>
    </row>
    <row r="26" spans="1:48" x14ac:dyDescent="0.25">
      <c r="A26" s="9"/>
      <c r="C26" s="9"/>
      <c r="D26" s="9"/>
      <c r="E26" s="9"/>
      <c r="F26" s="9" t="s">
        <v>923</v>
      </c>
      <c r="K26" s="9" t="s">
        <v>961</v>
      </c>
      <c r="P26" s="9" t="s">
        <v>339</v>
      </c>
      <c r="U26" s="9" t="s">
        <v>919</v>
      </c>
      <c r="AQ26" s="9"/>
      <c r="AV26" t="s">
        <v>831</v>
      </c>
    </row>
    <row r="27" spans="1:48" x14ac:dyDescent="0.25">
      <c r="A27" s="9"/>
      <c r="C27" s="9"/>
      <c r="D27" s="9"/>
      <c r="E27" s="9"/>
      <c r="F27" s="9" t="s">
        <v>983</v>
      </c>
      <c r="K27" s="9" t="s">
        <v>267</v>
      </c>
      <c r="P27" s="9" t="s">
        <v>957</v>
      </c>
      <c r="U27" s="9" t="s">
        <v>310</v>
      </c>
      <c r="AQ27" s="9"/>
      <c r="AV27" t="s">
        <v>930</v>
      </c>
    </row>
    <row r="28" spans="1:48" x14ac:dyDescent="0.25">
      <c r="A28" s="9"/>
      <c r="C28" s="9"/>
      <c r="D28" s="9"/>
      <c r="E28" s="9"/>
      <c r="F28" s="9"/>
      <c r="P28" s="9" t="s">
        <v>244</v>
      </c>
      <c r="U28" s="9" t="s">
        <v>941</v>
      </c>
      <c r="AV28" t="s">
        <v>854</v>
      </c>
    </row>
    <row r="29" spans="1:48" x14ac:dyDescent="0.25">
      <c r="A29" s="9"/>
      <c r="C29" s="9"/>
      <c r="D29" s="9"/>
      <c r="E29" s="9"/>
      <c r="P29" s="9" t="s">
        <v>940</v>
      </c>
      <c r="U29" s="9" t="s">
        <v>1053</v>
      </c>
      <c r="AV29" t="s">
        <v>836</v>
      </c>
    </row>
    <row r="30" spans="1:48" x14ac:dyDescent="0.25">
      <c r="A30" s="9"/>
      <c r="C30" s="9"/>
      <c r="D30" s="9"/>
      <c r="E30" s="9"/>
      <c r="P30" s="9" t="s">
        <v>103</v>
      </c>
      <c r="U30" s="9" t="s">
        <v>333</v>
      </c>
      <c r="AV30" t="s">
        <v>971</v>
      </c>
    </row>
    <row r="31" spans="1:48" x14ac:dyDescent="0.25">
      <c r="A31" s="9"/>
      <c r="C31" s="9"/>
      <c r="D31" s="9"/>
      <c r="E31" s="9"/>
      <c r="P31" s="9" t="s">
        <v>1097</v>
      </c>
      <c r="U31" s="9" t="s">
        <v>358</v>
      </c>
      <c r="AV31" t="s">
        <v>832</v>
      </c>
    </row>
    <row r="32" spans="1:48" x14ac:dyDescent="0.25">
      <c r="A32" s="9"/>
      <c r="C32" s="9"/>
      <c r="D32" s="9"/>
      <c r="E32" s="9"/>
      <c r="U32" s="9" t="s">
        <v>213</v>
      </c>
      <c r="AV32" t="s">
        <v>820</v>
      </c>
    </row>
    <row r="33" spans="1:48" x14ac:dyDescent="0.25">
      <c r="A33" s="9"/>
      <c r="C33" s="9"/>
      <c r="D33" s="9"/>
      <c r="E33" s="9"/>
      <c r="U33" s="9" t="s">
        <v>920</v>
      </c>
      <c r="AV33" t="s">
        <v>988</v>
      </c>
    </row>
    <row r="34" spans="1:48" x14ac:dyDescent="0.25">
      <c r="A34" s="9"/>
      <c r="C34" s="9"/>
      <c r="D34" s="9"/>
      <c r="E34" s="9"/>
      <c r="U34" s="9" t="s">
        <v>170</v>
      </c>
      <c r="AV34" t="s">
        <v>154</v>
      </c>
    </row>
    <row r="35" spans="1:48" x14ac:dyDescent="0.25">
      <c r="A35" s="9"/>
      <c r="C35" s="9"/>
      <c r="D35" s="9"/>
      <c r="E35" s="9"/>
      <c r="U35" s="9" t="s">
        <v>171</v>
      </c>
      <c r="AV35" t="s">
        <v>853</v>
      </c>
    </row>
    <row r="36" spans="1:48" x14ac:dyDescent="0.25">
      <c r="A36" s="9"/>
      <c r="C36" s="9"/>
      <c r="D36" s="9"/>
      <c r="E36" s="9"/>
      <c r="U36" s="9" t="s">
        <v>946</v>
      </c>
      <c r="AV36" t="s">
        <v>976</v>
      </c>
    </row>
    <row r="37" spans="1:48" x14ac:dyDescent="0.25">
      <c r="A37" s="9"/>
      <c r="C37" s="9"/>
      <c r="D37" s="9"/>
      <c r="E37" s="9"/>
      <c r="U37" s="9" t="s">
        <v>226</v>
      </c>
      <c r="AV37" t="s">
        <v>977</v>
      </c>
    </row>
    <row r="38" spans="1:48" x14ac:dyDescent="0.25">
      <c r="A38" s="9"/>
      <c r="C38" s="9"/>
      <c r="D38" s="9"/>
      <c r="E38" s="9"/>
      <c r="AV38" t="s">
        <v>990</v>
      </c>
    </row>
    <row r="39" spans="1:48" x14ac:dyDescent="0.25">
      <c r="A39" s="9"/>
      <c r="C39" s="9"/>
      <c r="D39" s="9"/>
      <c r="E39" s="9"/>
      <c r="AV39" t="s">
        <v>989</v>
      </c>
    </row>
    <row r="40" spans="1:48" x14ac:dyDescent="0.25">
      <c r="A40" s="9"/>
      <c r="C40" s="9"/>
      <c r="D40" s="9"/>
      <c r="E40" s="9"/>
      <c r="AV40" t="s">
        <v>986</v>
      </c>
    </row>
    <row r="41" spans="1:48" x14ac:dyDescent="0.25">
      <c r="A41" s="9"/>
      <c r="C41" s="9"/>
      <c r="D41" s="9"/>
      <c r="E41" s="9"/>
      <c r="AV41" t="s">
        <v>142</v>
      </c>
    </row>
    <row r="42" spans="1:48" x14ac:dyDescent="0.25">
      <c r="A42" s="9"/>
      <c r="C42" s="9"/>
      <c r="D42" s="9"/>
      <c r="AV42" t="s">
        <v>981</v>
      </c>
    </row>
    <row r="43" spans="1:48" x14ac:dyDescent="0.25">
      <c r="A43" s="9"/>
      <c r="C43" s="9"/>
      <c r="D43" s="9"/>
      <c r="AV43" t="s">
        <v>342</v>
      </c>
    </row>
    <row r="44" spans="1:48" x14ac:dyDescent="0.25">
      <c r="A44" s="9"/>
      <c r="C44" s="9"/>
      <c r="D44" s="9"/>
      <c r="AV44" t="s">
        <v>301</v>
      </c>
    </row>
    <row r="45" spans="1:48" x14ac:dyDescent="0.25">
      <c r="A45" s="9"/>
      <c r="C45" s="9"/>
      <c r="D45" s="9"/>
      <c r="AV45" t="s">
        <v>360</v>
      </c>
    </row>
    <row r="46" spans="1:48" x14ac:dyDescent="0.25">
      <c r="A46" s="9"/>
      <c r="C46" s="9"/>
      <c r="D46" s="9"/>
      <c r="AV46" t="s">
        <v>364</v>
      </c>
    </row>
    <row r="47" spans="1:48" x14ac:dyDescent="0.25">
      <c r="A47" s="9"/>
      <c r="C47" s="9"/>
      <c r="D47" s="9"/>
      <c r="AV47" t="s">
        <v>878</v>
      </c>
    </row>
    <row r="48" spans="1:48" x14ac:dyDescent="0.25">
      <c r="A48" s="9"/>
      <c r="C48" s="9"/>
      <c r="D48" s="9"/>
      <c r="AV48" t="s">
        <v>881</v>
      </c>
    </row>
    <row r="49" spans="1:48" x14ac:dyDescent="0.25">
      <c r="A49" s="9"/>
      <c r="C49" s="9"/>
      <c r="D49" s="9"/>
      <c r="AV49" t="s">
        <v>882</v>
      </c>
    </row>
    <row r="50" spans="1:48" x14ac:dyDescent="0.25">
      <c r="A50" s="9"/>
      <c r="C50" s="9"/>
      <c r="D50" s="9"/>
      <c r="AV50" t="s">
        <v>879</v>
      </c>
    </row>
    <row r="51" spans="1:48" x14ac:dyDescent="0.25">
      <c r="A51" s="9"/>
      <c r="C51" s="9"/>
      <c r="D51" s="9"/>
      <c r="AV51" t="s">
        <v>877</v>
      </c>
    </row>
    <row r="52" spans="1:48" x14ac:dyDescent="0.25">
      <c r="A52" s="9"/>
      <c r="C52" s="9"/>
      <c r="D52" s="9"/>
      <c r="AV52" t="s">
        <v>880</v>
      </c>
    </row>
    <row r="53" spans="1:48" x14ac:dyDescent="0.25">
      <c r="A53" s="9"/>
      <c r="C53" s="9"/>
      <c r="D53" s="9"/>
      <c r="AV53" t="s">
        <v>883</v>
      </c>
    </row>
    <row r="54" spans="1:48" x14ac:dyDescent="0.25">
      <c r="A54" s="9"/>
      <c r="C54" s="9"/>
      <c r="D54" s="9"/>
      <c r="AV54" t="s">
        <v>994</v>
      </c>
    </row>
    <row r="55" spans="1:48" x14ac:dyDescent="0.25">
      <c r="A55" s="9"/>
      <c r="C55" s="9"/>
      <c r="D55" s="9"/>
      <c r="AV55" t="s">
        <v>101</v>
      </c>
    </row>
    <row r="56" spans="1:48" x14ac:dyDescent="0.25">
      <c r="A56" s="9"/>
      <c r="C56" s="9"/>
      <c r="D56" s="9"/>
      <c r="AV56" t="s">
        <v>839</v>
      </c>
    </row>
    <row r="57" spans="1:48" x14ac:dyDescent="0.25">
      <c r="A57" s="9"/>
      <c r="C57" s="9"/>
      <c r="D57" s="9"/>
      <c r="AV57" t="s">
        <v>368</v>
      </c>
    </row>
    <row r="58" spans="1:48" x14ac:dyDescent="0.25">
      <c r="A58" s="9"/>
      <c r="C58" s="9"/>
      <c r="D58" s="9"/>
      <c r="AV58" t="s">
        <v>821</v>
      </c>
    </row>
    <row r="59" spans="1:48" x14ac:dyDescent="0.25">
      <c r="A59" s="9"/>
      <c r="C59" s="9"/>
      <c r="D59" s="9"/>
      <c r="AV59" t="s">
        <v>362</v>
      </c>
    </row>
    <row r="60" spans="1:48" x14ac:dyDescent="0.25">
      <c r="A60" s="9"/>
      <c r="C60" s="9"/>
      <c r="D60" s="9"/>
      <c r="AV60" t="s">
        <v>353</v>
      </c>
    </row>
    <row r="61" spans="1:48" x14ac:dyDescent="0.25">
      <c r="A61" s="9"/>
      <c r="C61" s="9"/>
      <c r="D61" s="9"/>
      <c r="AV61" t="s">
        <v>851</v>
      </c>
    </row>
    <row r="62" spans="1:48" x14ac:dyDescent="0.25">
      <c r="A62" s="9"/>
      <c r="C62" s="9"/>
      <c r="D62" s="9"/>
      <c r="AV62" t="s">
        <v>911</v>
      </c>
    </row>
    <row r="63" spans="1:48" x14ac:dyDescent="0.25">
      <c r="A63" s="9"/>
      <c r="C63" s="9"/>
      <c r="D63" s="9"/>
      <c r="AV63" t="s">
        <v>841</v>
      </c>
    </row>
    <row r="64" spans="1:48" x14ac:dyDescent="0.25">
      <c r="C64" s="9"/>
      <c r="D64" s="9"/>
      <c r="AV64" t="s">
        <v>351</v>
      </c>
    </row>
    <row r="65" spans="3:48" x14ac:dyDescent="0.25">
      <c r="C65" s="9"/>
      <c r="D65" s="9"/>
      <c r="AV65" t="s">
        <v>361</v>
      </c>
    </row>
    <row r="66" spans="3:48" x14ac:dyDescent="0.25">
      <c r="C66" s="9"/>
      <c r="D66" s="9"/>
      <c r="AV66" t="s">
        <v>127</v>
      </c>
    </row>
    <row r="67" spans="3:48" x14ac:dyDescent="0.25">
      <c r="C67" s="9"/>
      <c r="D67" s="9"/>
      <c r="AV67" t="s">
        <v>95</v>
      </c>
    </row>
    <row r="68" spans="3:48" x14ac:dyDescent="0.25">
      <c r="D68" s="9"/>
      <c r="AV68" t="s">
        <v>77</v>
      </c>
    </row>
    <row r="69" spans="3:48" x14ac:dyDescent="0.25">
      <c r="D69" s="9"/>
      <c r="AV69" t="s">
        <v>827</v>
      </c>
    </row>
    <row r="70" spans="3:48" x14ac:dyDescent="0.25">
      <c r="D70" s="9"/>
      <c r="AV70" t="s">
        <v>357</v>
      </c>
    </row>
    <row r="71" spans="3:48" x14ac:dyDescent="0.25">
      <c r="AV71" t="s">
        <v>356</v>
      </c>
    </row>
    <row r="72" spans="3:48" x14ac:dyDescent="0.25">
      <c r="AV72" t="s">
        <v>829</v>
      </c>
    </row>
    <row r="73" spans="3:48" x14ac:dyDescent="0.25">
      <c r="AV73" t="s">
        <v>63</v>
      </c>
    </row>
    <row r="74" spans="3:48" x14ac:dyDescent="0.25">
      <c r="AV74" t="s">
        <v>365</v>
      </c>
    </row>
    <row r="75" spans="3:48" x14ac:dyDescent="0.25">
      <c r="AV75" t="s">
        <v>865</v>
      </c>
    </row>
    <row r="76" spans="3:48" x14ac:dyDescent="0.25">
      <c r="AV76" t="s">
        <v>68</v>
      </c>
    </row>
    <row r="77" spans="3:48" x14ac:dyDescent="0.25">
      <c r="AV77" t="s">
        <v>1106</v>
      </c>
    </row>
    <row r="78" spans="3:48" x14ac:dyDescent="0.25">
      <c r="AV78" t="s">
        <v>238</v>
      </c>
    </row>
    <row r="79" spans="3:48" x14ac:dyDescent="0.25">
      <c r="AV79" t="s">
        <v>134</v>
      </c>
    </row>
    <row r="80" spans="3:48" x14ac:dyDescent="0.25">
      <c r="AV80" t="s">
        <v>403</v>
      </c>
    </row>
    <row r="81" spans="48:48" x14ac:dyDescent="0.25">
      <c r="AV81" t="s">
        <v>1095</v>
      </c>
    </row>
    <row r="82" spans="48:48" x14ac:dyDescent="0.25">
      <c r="AV82" t="s">
        <v>352</v>
      </c>
    </row>
    <row r="83" spans="48:48" x14ac:dyDescent="0.25">
      <c r="AV83" t="s">
        <v>846</v>
      </c>
    </row>
    <row r="84" spans="48:48" x14ac:dyDescent="0.25">
      <c r="AV84" t="s">
        <v>987</v>
      </c>
    </row>
    <row r="85" spans="48:48" x14ac:dyDescent="0.25">
      <c r="AV85" t="s">
        <v>363</v>
      </c>
    </row>
    <row r="86" spans="48:48" x14ac:dyDescent="0.25">
      <c r="AV86" t="s">
        <v>847</v>
      </c>
    </row>
    <row r="87" spans="48:48" x14ac:dyDescent="0.25">
      <c r="AV87" t="s">
        <v>355</v>
      </c>
    </row>
    <row r="88" spans="48:48" x14ac:dyDescent="0.25">
      <c r="AV88" t="s">
        <v>168</v>
      </c>
    </row>
    <row r="89" spans="48:48" x14ac:dyDescent="0.25">
      <c r="AV89" t="s">
        <v>844</v>
      </c>
    </row>
    <row r="90" spans="48:48" x14ac:dyDescent="0.25">
      <c r="AV90" t="s">
        <v>824</v>
      </c>
    </row>
    <row r="91" spans="48:48" x14ac:dyDescent="0.25">
      <c r="AV91" t="s">
        <v>979</v>
      </c>
    </row>
    <row r="92" spans="48:48" x14ac:dyDescent="0.25">
      <c r="AV92" t="s">
        <v>70</v>
      </c>
    </row>
    <row r="93" spans="48:48" x14ac:dyDescent="0.25">
      <c r="AV93" t="s">
        <v>1068</v>
      </c>
    </row>
    <row r="94" spans="48:48" x14ac:dyDescent="0.25">
      <c r="AV94" t="s">
        <v>98</v>
      </c>
    </row>
    <row r="95" spans="48:48" x14ac:dyDescent="0.25">
      <c r="AV95" t="s">
        <v>310</v>
      </c>
    </row>
    <row r="96" spans="48:48" x14ac:dyDescent="0.25">
      <c r="AV96" t="s">
        <v>343</v>
      </c>
    </row>
    <row r="97" spans="48:48" x14ac:dyDescent="0.25">
      <c r="AV97" t="s">
        <v>1096</v>
      </c>
    </row>
    <row r="98" spans="48:48" x14ac:dyDescent="0.25">
      <c r="AV98" t="s">
        <v>970</v>
      </c>
    </row>
    <row r="99" spans="48:48" x14ac:dyDescent="0.25">
      <c r="AV99" t="s">
        <v>130</v>
      </c>
    </row>
    <row r="100" spans="48:48" x14ac:dyDescent="0.25">
      <c r="AV100" t="s">
        <v>369</v>
      </c>
    </row>
    <row r="101" spans="48:48" x14ac:dyDescent="0.25">
      <c r="AV101" t="s">
        <v>872</v>
      </c>
    </row>
    <row r="102" spans="48:48" x14ac:dyDescent="0.25">
      <c r="AV102" t="s">
        <v>849</v>
      </c>
    </row>
    <row r="103" spans="48:48" x14ac:dyDescent="0.25">
      <c r="AV103" t="s">
        <v>870</v>
      </c>
    </row>
    <row r="104" spans="48:48" x14ac:dyDescent="0.25">
      <c r="AV104" t="s">
        <v>863</v>
      </c>
    </row>
    <row r="105" spans="48:48" x14ac:dyDescent="0.25">
      <c r="AV105" t="s">
        <v>87</v>
      </c>
    </row>
    <row r="106" spans="48:48" x14ac:dyDescent="0.25">
      <c r="AV106" t="s">
        <v>871</v>
      </c>
    </row>
    <row r="107" spans="48:48" x14ac:dyDescent="0.25">
      <c r="AV107" t="s">
        <v>93</v>
      </c>
    </row>
    <row r="108" spans="48:48" x14ac:dyDescent="0.25">
      <c r="AV108" t="s">
        <v>358</v>
      </c>
    </row>
    <row r="109" spans="48:48" x14ac:dyDescent="0.25">
      <c r="AV109" t="s">
        <v>842</v>
      </c>
    </row>
    <row r="110" spans="48:48" x14ac:dyDescent="0.25">
      <c r="AV110" t="s">
        <v>67</v>
      </c>
    </row>
    <row r="111" spans="48:48" x14ac:dyDescent="0.25">
      <c r="AV111" t="s">
        <v>858</v>
      </c>
    </row>
    <row r="112" spans="48:48" x14ac:dyDescent="0.25">
      <c r="AV112" t="s">
        <v>855</v>
      </c>
    </row>
    <row r="113" spans="48:48" x14ac:dyDescent="0.25">
      <c r="AV113" t="s">
        <v>973</v>
      </c>
    </row>
    <row r="114" spans="48:48" x14ac:dyDescent="0.25">
      <c r="AV114" t="s">
        <v>843</v>
      </c>
    </row>
    <row r="115" spans="48:48" x14ac:dyDescent="0.25">
      <c r="AV115" t="s">
        <v>157</v>
      </c>
    </row>
    <row r="116" spans="48:48" x14ac:dyDescent="0.25">
      <c r="AV116" t="s">
        <v>978</v>
      </c>
    </row>
    <row r="117" spans="48:48" x14ac:dyDescent="0.25">
      <c r="AV117" t="s">
        <v>354</v>
      </c>
    </row>
    <row r="118" spans="48:48" x14ac:dyDescent="0.25">
      <c r="AV118" t="s">
        <v>857</v>
      </c>
    </row>
    <row r="119" spans="48:48" x14ac:dyDescent="0.25">
      <c r="AV119" t="s">
        <v>76</v>
      </c>
    </row>
    <row r="120" spans="48:48" x14ac:dyDescent="0.25">
      <c r="AV120" t="s">
        <v>344</v>
      </c>
    </row>
    <row r="121" spans="48:48" x14ac:dyDescent="0.25">
      <c r="AV121" t="s">
        <v>974</v>
      </c>
    </row>
    <row r="122" spans="48:48" x14ac:dyDescent="0.25">
      <c r="AV122" t="s">
        <v>834</v>
      </c>
    </row>
    <row r="123" spans="48:48" x14ac:dyDescent="0.25">
      <c r="AV123" t="s">
        <v>173</v>
      </c>
    </row>
    <row r="124" spans="48:48" x14ac:dyDescent="0.25">
      <c r="AV124" t="s">
        <v>140</v>
      </c>
    </row>
    <row r="125" spans="48:48" x14ac:dyDescent="0.25">
      <c r="AV125" t="s">
        <v>859</v>
      </c>
    </row>
    <row r="126" spans="48:48" x14ac:dyDescent="0.25">
      <c r="AV126" t="s">
        <v>837</v>
      </c>
    </row>
    <row r="127" spans="48:48" x14ac:dyDescent="0.25">
      <c r="AV127" t="s">
        <v>980</v>
      </c>
    </row>
    <row r="128" spans="48:48" x14ac:dyDescent="0.25">
      <c r="AV128" t="s">
        <v>141</v>
      </c>
    </row>
    <row r="129" spans="48:48" x14ac:dyDescent="0.25">
      <c r="AV129" t="s">
        <v>991</v>
      </c>
    </row>
    <row r="130" spans="48:48" x14ac:dyDescent="0.25">
      <c r="AV130" t="s">
        <v>822</v>
      </c>
    </row>
    <row r="131" spans="48:48" x14ac:dyDescent="0.25">
      <c r="AV131" t="s">
        <v>852</v>
      </c>
    </row>
    <row r="132" spans="48:48" x14ac:dyDescent="0.25">
      <c r="AV132" t="s">
        <v>848</v>
      </c>
    </row>
    <row r="133" spans="48:48" x14ac:dyDescent="0.25">
      <c r="AV133" t="s">
        <v>367</v>
      </c>
    </row>
    <row r="134" spans="48:48" x14ac:dyDescent="0.25">
      <c r="AV134" t="s">
        <v>366</v>
      </c>
    </row>
    <row r="135" spans="48:48" x14ac:dyDescent="0.25">
      <c r="AV135" t="s">
        <v>103</v>
      </c>
    </row>
    <row r="136" spans="48:48" x14ac:dyDescent="0.25">
      <c r="AV136" t="s">
        <v>982</v>
      </c>
    </row>
    <row r="137" spans="48:48" x14ac:dyDescent="0.25">
      <c r="AV137" t="s">
        <v>1097</v>
      </c>
    </row>
  </sheetData>
  <sortState ref="AV2:AV137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D5C8AE6-BDCF-4999-9F5A-215CC458DF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37</vt:i4>
      </vt:variant>
    </vt:vector>
  </HeadingPairs>
  <TitlesOfParts>
    <vt:vector size="61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EchelonInput</vt:lpstr>
      <vt:lpstr>EchType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SFChipJSONPath</vt:lpstr>
      <vt:lpstr>SFJSONPath</vt:lpstr>
      <vt:lpstr>SFTeamJSONPath</vt:lpstr>
      <vt:lpstr>SimJSON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2021-07-01T03:40:40Z</dcterms:modified>
</cp:coreProperties>
</file>