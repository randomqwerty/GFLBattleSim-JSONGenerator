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6189569-BB32-4C98-AA56-D08ECE74F718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r:id="rId24"/>
  </sheets>
  <definedNames>
    <definedName name="_xlnm._FilterDatabase" localSheetId="17" hidden="1">'Doll Data'!$A$1:$K$398</definedName>
    <definedName name="_xlnm._FilterDatabase" localSheetId="16" hidden="1">'Equip Data'!$A$1:$V$202</definedName>
    <definedName name="_xlnm._FilterDatabase" localSheetId="13" hidden="1">'Fairy Data'!$A$1:$K$37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Main!$C$64</definedName>
    <definedName name="StratSL1">Main!$C$64</definedName>
    <definedName name="StratSL2">Main!$C$65</definedName>
    <definedName name="StratSL3">Main!$C$66</definedName>
    <definedName name="ThreeStack">'Misc Inputs'!$C$11</definedName>
    <definedName name="TurnNum">Main!$B$12</definedName>
    <definedName name="TwoStack">'Misc Inputs'!$C$10</definedName>
    <definedName name="UseCustomStats">Main!$AD$21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A2" i="7"/>
  <c r="A3" i="7"/>
  <c r="A4" i="7"/>
  <c r="A5" i="7"/>
  <c r="A6" i="7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C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<sst xmlns="http://schemas.openxmlformats.org/spreadsheetml/2006/main" count="5936" uniqueCount="1325">
  <si>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</si>
  <si>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</si>
  <si>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</si>
  <si>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</si>
  <si>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</si>
  <si>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</si>
  <si>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</si>
  <si>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</si>
  <si>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</si>
  <si>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</si>
  <si>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</si>
  <si>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</si>
  <si>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</si>
  <si>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</si>
  <si>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</si>
  <si>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</si>
  <si>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</si>
  <si>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</si>
  <si>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</si>
  <si>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</si>
  <si>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</si>
  <si>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</si>
  <si>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</si>
  <si>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</si>
  <si>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</si>
  <si>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</si>
  <si>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</si>
  <si>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</si>
  <si>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</si>
  <si>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</si>
  <si>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</si>
  <si>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</si>
  <si>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</si>
  <si>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</si>
  <si>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</si>
  <si>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</si>
  <si>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</si>
  <si>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</si>
  <si>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</si>
  <si>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</si>
  <si>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</si>
  <si>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</si>
  <si>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</si>
  <si>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</si>
  <si>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</si>
  <si>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</si>
  <si>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</si>
  <si>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</si>
  <si>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</si>
  <si>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</si>
  <si>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</si>
  <si>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</si>
  <si>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</si>
  <si>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</si>
  <si>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</si>
  <si>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</si>
  <si>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</si>
  <si>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</si>
  <si>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</si>
  <si>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</si>
  <si>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</si>
  <si>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</si>
  <si>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</si>
  <si>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</si>
  <si>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</si>
  <si>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</si>
  <si>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</si>
  <si>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</si>
  <si>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</si>
  <si>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</si>
  <si>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</si>
  <si>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</si>
  <si>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</si>
  <si>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</si>
  <si>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</si>
  <si>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</si>
  <si>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</si>
  <si>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</si>
  <si>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</si>
  <si>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</si>
  <si>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</si>
  <si>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</si>
  <si>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</si>
  <si>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</si>
  <si>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</si>
  <si>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</si>
  <si>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</si>
  <si>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</si>
  <si>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</si>
  <si>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</si>
  <si>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</si>
  <si>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</si>
  <si>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</si>
  <si>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</si>
  <si>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</si>
  <si>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</si>
  <si>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</si>
  <si>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</si>
  <si>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</si>
  <si>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</si>
  <si>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</si>
  <si>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</si>
  <si>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</si>
  <si>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</si>
  <si>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</si>
  <si>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</si>
  <si>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</si>
  <si>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</si>
  <si>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</si>
  <si>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</si>
  <si>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</si>
  <si>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</si>
  <si>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</si>
  <si>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</si>
  <si>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</si>
  <si>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</si>
  <si>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</si>
  <si>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</si>
  <si>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</si>
  <si>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</si>
  <si>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</si>
  <si>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</si>
  <si>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</si>
  <si>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</si>
  <si>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</si>
  <si>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</si>
  <si>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</si>
  <si>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</si>
  <si>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</si>
  <si>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</si>
  <si>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</si>
  <si>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</si>
  <si>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</si>
  <si>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</si>
  <si>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</si>
  <si>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</si>
  <si>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</si>
  <si>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</si>
  <si>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</si>
  <si>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</si>
  <si>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</si>
  <si>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</si>
  <si>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</si>
  <si>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</si>
  <si>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</si>
  <si>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</si>
  <si>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</si>
  <si>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</si>
  <si>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</si>
  <si>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</si>
  <si>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</si>
  <si>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</si>
  <si>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</si>
  <si>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</si>
  <si>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</si>
  <si>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</si>
  <si>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</si>
  <si>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</si>
  <si>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</si>
  <si>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</si>
  <si>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</si>
  <si>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</si>
  <si>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</si>
  <si>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</si>
  <si>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</si>
  <si>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</si>
  <si>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</si>
  <si>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</si>
  <si>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</si>
  <si>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</si>
  <si>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</si>
  <si>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</si>
  <si>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</si>
  <si>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</si>
  <si>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</si>
  <si>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</si>
  <si>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</si>
  <si>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</si>
  <si>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</si>
  <si>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</si>
  <si>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</si>
  <si>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</si>
  <si>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</si>
  <si>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</si>
  <si>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</si>
  <si>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</si>
  <si>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</si>
  <si>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</si>
  <si>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</si>
  <si>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</si>
  <si>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</si>
  <si>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</si>
  <si>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</si>
  <si>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</si>
  <si>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</si>
  <si>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</si>
  <si>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</si>
  <si>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</si>
  <si>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</si>
  <si>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</si>
  <si>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</si>
  <si>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</si>
  <si>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</si>
  <si>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</si>
  <si>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</si>
  <si>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</si>
  <si>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</si>
  <si>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</si>
  <si>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</si>
  <si>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</si>
  <si>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</si>
  <si>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</si>
  <si>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</si>
  <si>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</si>
  <si>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</si>
  <si>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</si>
  <si>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</si>
  <si>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</si>
  <si>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</si>
  <si>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</si>
  <si>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</si>
  <si>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</si>
  <si>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</si>
  <si>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</si>
  <si>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</si>
  <si>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</si>
  <si>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</si>
  <si>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</si>
  <si>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</si>
  <si>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</si>
  <si>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</si>
  <si>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</si>
  <si>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</si>
  <si>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</si>
  <si>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</si>
  <si>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</si>
  <si>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</si>
  <si>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</si>
  <si>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</si>
  <si>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</si>
  <si>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</si>
  <si>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</si>
  <si>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</si>
  <si>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</si>
  <si>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</si>
  <si>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</si>
  <si>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</si>
  <si>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</si>
  <si>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</si>
  <si>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</si>
  <si>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</si>
  <si>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</si>
  <si>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</si>
  <si>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</si>
  <si>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</si>
  <si>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</si>
  <si>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</si>
  <si>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</si>
  <si>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</si>
  <si>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</si>
  <si>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</si>
  <si>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</si>
  <si>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</si>
  <si>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</si>
  <si>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</si>
  <si>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</si>
  <si>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</si>
  <si>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</si>
  <si>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</si>
  <si>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</si>
  <si>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</si>
  <si>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</si>
  <si>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</si>
  <si>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</si>
  <si>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</si>
  <si>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</si>
  <si>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</si>
  <si>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</si>
  <si>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</si>
  <si>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</si>
  <si>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</si>
  <si>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</si>
  <si>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</si>
  <si>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</si>
  <si>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</si>
  <si>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</si>
  <si>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</si>
  <si>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</si>
  <si>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</si>
  <si>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</si>
  <si>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</si>
  <si>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</si>
  <si>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</si>
  <si>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</si>
  <si>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</si>
  <si>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</si>
  <si>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</si>
  <si>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</si>
  <si>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</si>
  <si>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</si>
  <si>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</si>
  <si>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</si>
  <si>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</si>
  <si>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</si>
  <si>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</si>
  <si>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</si>
  <si>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</si>
  <si>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</si>
  <si>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</si>
  <si>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</si>
  <si>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</si>
  <si>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</si>
  <si>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</si>
  <si>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</si>
  <si>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</si>
  <si>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</si>
  <si>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</si>
  <si>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</si>
  <si>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</si>
  <si>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</si>
  <si>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</si>
  <si>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</si>
  <si>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</si>
  <si>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</si>
  <si>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</si>
  <si>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</si>
  <si>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</si>
  <si>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</si>
  <si>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</si>
  <si>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</si>
  <si>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</si>
  <si>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</si>
  <si>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</si>
  <si>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</si>
  <si>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</si>
  <si>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</si>
  <si>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</si>
  <si>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</si>
  <si>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</si>
  <si>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</si>
  <si>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</si>
  <si>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</si>
  <si>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</si>
  <si>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</si>
  <si>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</si>
  <si>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</si>
  <si>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</si>
  <si>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</si>
  <si>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</si>
  <si>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</si>
  <si>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</si>
  <si>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</si>
  <si>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</si>
  <si>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</si>
  <si>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</si>
  <si>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</si>
  <si>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</si>
  <si>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</si>
  <si>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</si>
  <si>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</si>
  <si>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</si>
  <si>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</si>
  <si>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</si>
  <si>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</si>
  <si>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</si>
  <si>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</si>
  <si>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</si>
  <si>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</si>
  <si>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</si>
  <si>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</si>
  <si>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</si>
  <si>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</si>
  <si>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</si>
  <si>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</si>
  <si>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</si>
  <si>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</si>
  <si>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</si>
  <si>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</si>
  <si>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</si>
  <si>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</si>
  <si>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</si>
  <si>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</si>
  <si>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</si>
  <si>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</si>
  <si>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</si>
  <si>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</si>
  <si>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</si>
  <si>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</si>
  <si>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</si>
  <si>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</si>
  <si>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</si>
  <si>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</si>
  <si>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</si>
  <si>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</si>
  <si>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</si>
  <si>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</si>
  <si>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</si>
  <si>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</si>
  <si>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</si>
  <si>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</si>
  <si>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</si>
  <si>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</si>
  <si>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</si>
  <si>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</si>
  <si>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</si>
  <si>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</si>
  <si>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</si>
  <si>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</si>
  <si>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</si>
  <si>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</si>
  <si>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</si>
  <si>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</si>
  <si>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</si>
  <si>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</si>
  <si>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</si>
  <si>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</si>
  <si>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</si>
  <si>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</si>
  <si>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</si>
  <si>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</si>
  <si>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</si>
  <si>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</si>
  <si>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</si>
  <si>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</si>
  <si>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</si>
  <si>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</si>
  <si>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</si>
  <si>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</si>
  <si>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</si>
  <si>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</si>
  <si>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</si>
  <si>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</si>
  <si>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</si>
  <si>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</si>
  <si>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</si>
  <si>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</si>
  <si>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</si>
  <si>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</si>
  <si>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</si>
  <si>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</si>
  <si>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</si>
  <si>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</si>
  <si>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</si>
  <si>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</si>
  <si>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</si>
  <si>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</si>
  <si>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</si>
  <si>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</si>
  <si>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</si>
  <si>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</si>
  <si>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</si>
  <si>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</si>
  <si>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</si>
  <si>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</si>
  <si>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</si>
  <si>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</si>
  <si>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</si>
  <si>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</si>
  <si>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</si>
  <si>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</si>
  <si>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</si>
  <si>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</si>
  <si>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</si>
  <si>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</si>
  <si>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</si>
  <si>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</si>
  <si>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</si>
  <si>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</si>
  <si>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</si>
  <si>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</si>
  <si>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</si>
  <si>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</si>
  <si>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</si>
  <si>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</si>
  <si>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</si>
  <si>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</si>
  <si>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</si>
  <si>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</si>
  <si>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</si>
  <si>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</si>
  <si>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</si>
  <si>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</si>
  <si>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</si>
  <si>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</si>
  <si>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</si>
  <si>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</si>
  <si>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</si>
  <si>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</si>
  <si>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</si>
  <si>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</si>
  <si>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</si>
  <si>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</si>
  <si>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</si>
  <si>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</si>
  <si>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</si>
  <si>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</si>
  <si>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</si>
  <si>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</si>
  <si>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</si>
  <si>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</si>
  <si>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</si>
  <si>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</si>
  <si>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</si>
  <si>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</si>
  <si>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</si>
  <si>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</si>
  <si>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</si>
  <si>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</si>
  <si>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</si>
  <si>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</si>
  <si>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</si>
  <si>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</si>
  <si>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</si>
  <si>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</si>
  <si>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</si>
  <si>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</si>
  <si>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</si>
  <si>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</si>
  <si>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</si>
  <si>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</si>
  <si>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</si>
  <si>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</si>
  <si>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</si>
  <si>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</si>
  <si>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</si>
  <si>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</si>
  <si>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</si>
  <si>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</si>
  <si>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</si>
  <si>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</si>
  <si>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</si>
  <si>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</si>
  <si>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</si>
  <si>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</si>
  <si>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</si>
  <si>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</si>
  <si>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</si>
  <si>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</si>
  <si>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</si>
  <si>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</si>
  <si>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</si>
  <si>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</si>
  <si>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</si>
  <si>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</si>
  <si>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</si>
  <si>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</si>
  <si>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</si>
  <si>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</si>
  <si>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</si>
  <si>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</si>
  <si>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</si>
  <si>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</si>
  <si>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</si>
  <si>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</si>
  <si>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</si>
  <si>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</si>
  <si>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</si>
  <si>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</si>
  <si>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</si>
  <si>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</si>
  <si>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</si>
  <si>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</si>
  <si>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</si>
  <si>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</si>
  <si>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</si>
  <si>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</si>
  <si>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</si>
  <si>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</si>
  <si>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</si>
  <si>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</si>
  <si>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</si>
  <si>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</si>
  <si>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</si>
  <si>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</si>
  <si>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</si>
  <si>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</si>
  <si>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</si>
  <si>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</si>
  <si>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</si>
  <si>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</si>
  <si>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</si>
  <si>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</si>
  <si>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</si>
  <si>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</si>
  <si>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</si>
  <si>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</si>
  <si>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</si>
  <si>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</si>
  <si>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</si>
  <si>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</si>
  <si>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</si>
  <si>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</si>
  <si>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</si>
  <si>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</si>
  <si>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</si>
  <si>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</si>
  <si>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</si>
  <si>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</si>
  <si>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</si>
  <si>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</si>
  <si>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</si>
  <si>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</si>
  <si>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</si>
  <si>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</si>
  <si>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</si>
  <si>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</si>
  <si>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</si>
  <si>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</si>
  <si>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</si>
  <si>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</si>
  <si>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</si>
  <si>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</si>
  <si>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</si>
  <si>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</si>
  <si>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</si>
  <si>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</si>
  <si>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</si>
  <si>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</si>
  <si>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</si>
  <si>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</si>
  <si>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</si>
  <si>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</si>
  <si>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</si>
  <si>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</si>
  <si>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</si>
  <si>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</si>
  <si>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</si>
  <si>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</si>
  <si>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</si>
  <si>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</si>
  <si>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</si>
  <si>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</si>
  <si>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</si>
  <si>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</si>
  <si>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</si>
  <si>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</si>
  <si>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</si>
  <si>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</si>
  <si>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</si>
  <si>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</si>
  <si>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</si>
  <si>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</si>
  <si>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</si>
  <si>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</si>
  <si>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</si>
  <si>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</si>
  <si>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</si>
  <si>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</si>
  <si>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</si>
  <si>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</si>
  <si>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</si>
  <si>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</si>
  <si>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</si>
  <si>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</si>
  <si>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</si>
  <si>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</si>
  <si>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</si>
  <si>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</si>
  <si>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</si>
  <si>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</si>
  <si>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</si>
  <si>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</si>
  <si>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</si>
  <si>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</si>
  <si>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</si>
  <si>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</si>
  <si>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</si>
  <si>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</si>
  <si>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</si>
  <si>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</si>
  <si>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</si>
  <si>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</si>
  <si>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</si>
  <si>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</si>
  <si>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</si>
  <si>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</si>
  <si>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</si>
  <si>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</si>
  <si>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</si>
  <si>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</si>
  <si>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</si>
  <si>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</si>
  <si>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</si>
  <si>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</si>
  <si>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</si>
  <si>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</si>
  <si>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</si>
  <si>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</si>
  <si>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</si>
  <si>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</si>
  <si>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</si>
  <si>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</si>
  <si>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</si>
  <si>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</si>
  <si>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</si>
  <si>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</si>
  <si>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</si>
  <si>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</si>
  <si>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</si>
  <si>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</si>
  <si>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</si>
  <si>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</si>
  <si>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</si>
  <si>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</si>
  <si>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</si>
  <si>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</si>
  <si>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</si>
  <si>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</si>
  <si>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</si>
  <si>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</si>
  <si>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</si>
  <si>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</si>
  <si>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</si>
  <si>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</si>
  <si>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</si>
  <si>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</si>
  <si>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</si>
  <si>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</si>
  <si>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</si>
  <si>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</si>
  <si>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</si>
  <si>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</si>
  <si>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</si>
  <si>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</si>
  <si>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</si>
  <si>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</si>
  <si>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</si>
  <si>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</si>
  <si>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</si>
  <si>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</si>
  <si>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</si>
  <si>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</si>
  <si>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</si>
  <si>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</si>
  <si>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</si>
  <si>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</si>
  <si>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</si>
  <si>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</si>
  <si>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</si>
  <si>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</si>
  <si>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</si>
  <si>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</si>
  <si>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</si>
  <si>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</si>
  <si>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</si>
  <si>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</si>
  <si>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</si>
  <si>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</si>
  <si>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</si>
  <si>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</si>
  <si>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</si>
  <si>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</si>
  <si>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</si>
  <si>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</si>
  <si>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</si>
  <si>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</si>
  <si>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</si>
  <si>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</si>
  <si>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</si>
  <si>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</si>
  <si>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</si>
  <si>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</si>
  <si>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</si>
  <si>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</si>
  <si>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</si>
  <si>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</si>
  <si>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</si>
  <si>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</si>
  <si>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</si>
  <si>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</si>
  <si>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</si>
  <si>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</si>
  <si>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</si>
  <si>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</si>
  <si>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</si>
  <si>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</si>
  <si>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</si>
  <si>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</si>
  <si>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</si>
  <si>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</si>
  <si>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</si>
  <si>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</si>
  <si>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</si>
  <si>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</si>
  <si>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</si>
  <si>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</si>
  <si>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</si>
  <si>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</si>
  <si>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</si>
  <si>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</si>
  <si>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</si>
  <si>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</si>
  <si>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</si>
  <si>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</si>
  <si>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</si>
  <si>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</si>
  <si>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</si>
  <si>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</si>
  <si>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</si>
  <si>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</si>
  <si>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</si>
  <si>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</si>
  <si>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</si>
  <si>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</si>
  <si>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</si>
  <si>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</si>
  <si>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</si>
  <si>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</si>
  <si>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</si>
  <si>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</si>
  <si>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</si>
  <si>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</si>
  <si>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</si>
  <si>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</si>
  <si>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</si>
  <si>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</si>
  <si>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</si>
  <si>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</si>
  <si>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</si>
  <si>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</si>
  <si>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</si>
  <si>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</si>
  <si>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</si>
  <si>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</si>
  <si>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</si>
  <si>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</si>
  <si>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</si>
  <si>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</si>
  <si>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</si>
  <si>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</si>
  <si>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</si>
  <si>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</si>
  <si>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</si>
  <si>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</si>
  <si>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</si>
  <si>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</si>
  <si>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</si>
  <si>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</si>
  <si>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</si>
  <si>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</si>
  <si>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</si>
  <si>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</si>
  <si>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</si>
  <si>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</si>
  <si>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</si>
  <si>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</si>
  <si>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</si>
  <si>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</si>
  <si>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</si>
  <si>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</si>
  <si>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</si>
  <si>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</si>
  <si>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</si>
  <si>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</si>
  <si>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</si>
  <si>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</si>
  <si>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</si>
  <si>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</si>
  <si>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</si>
  <si>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</si>
  <si>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</si>
  <si>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</si>
  <si>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</si>
  <si>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</si>
  <si>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</si>
  <si>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</si>
  <si>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</si>
  <si>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</si>
  <si>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</si>
  <si>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</si>
  <si>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</si>
  <si>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</si>
  <si>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</si>
  <si>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</si>
  <si>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</si>
  <si>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</si>
  <si>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</si>
  <si>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</si>
  <si>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</si>
  <si>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</si>
  <si>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</si>
  <si>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</si>
  <si>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</si>
  <si>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</si>
  <si>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</si>
  <si>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</si>
  <si>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</si>
  <si>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</si>
  <si>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</si>
  <si>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</si>
  <si>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</si>
  <si>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</si>
  <si>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</si>
  <si>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</si>
  <si>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</si>
  <si>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</si>
  <si>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</si>
  <si>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</si>
  <si>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</si>
  <si>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</si>
  <si>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</si>
  <si>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</si>
  <si>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</si>
  <si>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</si>
  <si>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</si>
  <si>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</si>
  <si>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</si>
  <si>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</si>
  <si>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</si>
  <si>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</si>
  <si>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</si>
  <si>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</si>
  <si>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</si>
  <si>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</si>
  <si>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</si>
  <si>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</si>
  <si>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</si>
  <si>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</si>
  <si>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</si>
  <si>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</si>
  <si>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</si>
  <si>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</si>
  <si>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</si>
  <si>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</si>
  <si>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</si>
  <si>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</si>
  <si>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</si>
  <si>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</si>
  <si>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</si>
  <si>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</si>
  <si>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</si>
  <si>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</si>
  <si>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</si>
  <si>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</si>
  <si>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</si>
  <si>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</si>
  <si>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</si>
  <si>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</si>
  <si>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</si>
  <si>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</si>
  <si>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</si>
  <si>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</si>
  <si>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</si>
  <si>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</si>
  <si>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</si>
  <si>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</si>
  <si>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</si>
  <si>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</si>
  <si>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</si>
  <si>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</si>
  <si>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</si>
  <si>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</si>
  <si>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</si>
  <si>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</si>
  <si>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</si>
  <si>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</si>
  <si>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</si>
  <si>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</si>
  <si>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</si>
  <si>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</si>
  <si>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</si>
  <si>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</si>
  <si>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</si>
  <si>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</si>
  <si>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</si>
  <si>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</si>
  <si>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</si>
  <si>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</si>
  <si>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</si>
  <si>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</si>
  <si>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</si>
  <si>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</si>
  <si>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</si>
  <si>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</si>
  <si>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</si>
  <si>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</si>
  <si>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</si>
  <si>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</si>
  <si>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</si>
  <si>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</si>
  <si>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</si>
  <si>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</si>
  <si>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</si>
  <si>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</si>
  <si>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</si>
  <si>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</si>
  <si>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</si>
  <si>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</si>
  <si>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</si>
  <si>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</si>
  <si>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</si>
  <si>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</si>
  <si>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</si>
  <si>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</si>
  <si>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</si>
  <si>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</si>
  <si>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</si>
  <si>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</si>
  <si>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</si>
  <si>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</si>
  <si>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</si>
  <si>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</si>
  <si>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</si>
  <si>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</si>
  <si>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</si>
  <si>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</si>
  <si>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</si>
  <si>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</si>
  <si>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</si>
  <si>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</si>
  <si>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</si>
  <si>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</si>
  <si>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</si>
  <si>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</si>
  <si>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</si>
  <si>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</si>
  <si>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</si>
  <si>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</si>
  <si>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</si>
  <si>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</si>
  <si>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</si>
  <si>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</si>
  <si>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</si>
  <si>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</si>
  <si>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</si>
  <si>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</si>
  <si>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</si>
  <si>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</si>
  <si>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</si>
  <si>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</si>
  <si>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</si>
  <si>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</si>
  <si>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</si>
  <si>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</si>
  <si>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</si>
  <si>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</si>
  <si>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</si>
  <si>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</si>
  <si>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</si>
  <si>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</si>
  <si>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</si>
  <si>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</si>
  <si>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</si>
  <si>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</si>
  <si>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</si>
  <si>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</si>
  <si>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</si>
  <si>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</si>
  <si>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</si>
  <si>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</si>
  <si>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</si>
  <si>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</si>
  <si>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</si>
  <si>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</si>
  <si>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</si>
  <si>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</si>
  <si>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</si>
  <si>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</si>
  <si>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</si>
  <si>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</si>
  <si>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</si>
  <si>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</si>
  <si>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</si>
  <si>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</si>
  <si>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</si>
  <si>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</si>
  <si>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</si>
  <si>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</si>
  <si>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</si>
  <si>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</si>
  <si>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</si>
  <si>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</si>
  <si>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</si>
  <si>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</si>
  <si>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</si>
  <si>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</si>
  <si>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</si>
  <si>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</si>
  <si>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</si>
  <si>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</si>
  <si>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</si>
  <si>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</si>
  <si>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</si>
  <si>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</si>
  <si>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</si>
  <si>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</si>
  <si>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</si>
  <si>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</si>
  <si>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</si>
  <si>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</si>
  <si>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</si>
  <si>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</si>
  <si>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</si>
  <si>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</si>
  <si>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</si>
  <si>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</si>
  <si>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</si>
  <si>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</si>
  <si>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</si>
  <si>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</si>
  <si>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</si>
  <si>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</si>
  <si>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</si>
  <si>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</si>
  <si>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</si>
  <si>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</si>
  <si>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</si>
  <si>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</si>
  <si>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</si>
  <si>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</si>
  <si>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</si>
  <si>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</si>
  <si>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</si>
  <si>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</si>
  <si>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</si>
  <si>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</si>
  <si>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</si>
  <si>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</si>
  <si>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</si>
  <si>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</si>
  <si>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</si>
  <si>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</si>
  <si>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</si>
  <si>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</si>
  <si>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</si>
  <si>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</si>
  <si>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</si>
  <si>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</si>
  <si>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</si>
  <si>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</si>
  <si>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</si>
  <si>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</si>
  <si>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</si>
  <si>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</si>
  <si>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</si>
  <si>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</si>
  <si>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</si>
  <si>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</si>
  <si>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</si>
  <si>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</si>
  <si>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</si>
  <si>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</si>
  <si>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</si>
  <si>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</si>
  <si>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</si>
  <si>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</si>
  <si>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</si>
  <si>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</si>
  <si>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</si>
  <si>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</si>
  <si>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</si>
  <si>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</si>
  <si>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</si>
  <si>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900906</t>
  </si>
  <si>
    <t>902385</t>
  </si>
  <si>
    <t>910118</t>
  </si>
  <si>
    <t>910119</t>
  </si>
  <si>
    <t>910120</t>
  </si>
  <si>
    <t>910121</t>
  </si>
  <si>
    <t>910122</t>
  </si>
  <si>
    <t>910124</t>
  </si>
  <si>
    <t>Flex talent</t>
  </si>
  <si>
    <t>DR - Armor Stack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</si>
  <si>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</si>
  <si>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</si>
  <si>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</si>
  <si>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</si>
  <si>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</si>
  <si>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</si>
  <si>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</si>
  <si>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</si>
  <si>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</si>
  <si>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</si>
  <si>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</si>
  <si>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</si>
  <si>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</si>
  <si>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</si>
  <si>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</si>
  <si>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BossArchitect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</si>
  <si>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</si>
  <si>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</si>
  <si>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</si>
  <si>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</si>
  <si>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</si>
  <si>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</si>
  <si>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</si>
  <si>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</si>
  <si>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</si>
  <si>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</si>
  <si>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</si>
  <si>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</si>
  <si>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</si>
  <si>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</si>
  <si>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</si>
  <si>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</si>
  <si>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</si>
  <si>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</si>
  <si>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</si>
  <si>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</si>
  <si>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</si>
  <si>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</si>
  <si>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</si>
  <si>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</si>
  <si>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</si>
  <si>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</si>
  <si>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</si>
  <si>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</si>
  <si>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</si>
  <si>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</si>
  <si>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</si>
  <si>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</si>
  <si>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</si>
  <si>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</si>
  <si>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</si>
  <si>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</si>
  <si>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</si>
  <si>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</si>
  <si>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</si>
  <si>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</si>
  <si>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</si>
  <si>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</si>
  <si>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</si>
  <si>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</si>
  <si>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</si>
  <si>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</si>
  <si>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</si>
  <si>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</si>
  <si>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</si>
  <si>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</si>
  <si>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</si>
  <si>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</si>
  <si>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</si>
  <si>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</si>
  <si>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</si>
  <si>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</si>
  <si>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</si>
  <si>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</si>
  <si>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</si>
  <si>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</si>
  <si>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</si>
  <si>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</si>
  <si>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</si>
  <si>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</si>
  <si>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</si>
  <si>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</si>
  <si>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</si>
  <si>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</si>
  <si>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</si>
  <si>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</si>
  <si>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</si>
  <si>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</si>
  <si>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</si>
  <si>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</si>
  <si>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</si>
  <si>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</si>
  <si>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</si>
  <si>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</si>
  <si>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</si>
  <si>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</si>
  <si>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</si>
  <si>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</si>
  <si>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</si>
  <si>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</si>
  <si>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</si>
  <si>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</si>
  <si>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</si>
  <si>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</si>
  <si>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</si>
  <si>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</si>
  <si>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</si>
  <si>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</si>
  <si>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</si>
  <si>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</si>
  <si>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</si>
  <si>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</si>
  <si>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</si>
  <si>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</si>
  <si>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</si>
  <si>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</si>
  <si>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</si>
  <si>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</si>
  <si>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</si>
  <si>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</si>
  <si>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</si>
  <si>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</si>
  <si>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</si>
  <si>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</si>
  <si>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</si>
  <si>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</si>
  <si>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</si>
  <si>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</si>
  <si>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</si>
  <si>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</si>
  <si>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</si>
  <si>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</si>
  <si>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</si>
  <si>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</si>
  <si>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</si>
  <si>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</si>
  <si>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</si>
  <si>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</si>
  <si>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</si>
  <si>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</si>
  <si>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</si>
  <si>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</si>
  <si>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</si>
  <si>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</si>
  <si>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</si>
  <si>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</si>
  <si>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</si>
  <si>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</si>
  <si>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</si>
  <si>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</si>
  <si>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</si>
  <si>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</si>
  <si>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</si>
  <si>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</si>
  <si>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</si>
  <si>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G&amp;K</t>
  </si>
  <si>
    <t>Enter up to 3 strategy skills below (no dupes):</t>
  </si>
  <si>
    <t>Enter "X" below to enable enemy debuffs (max 1):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</si>
  <si>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June 30, 2021)</t>
    </r>
  </si>
  <si>
    <t>Enter SF info below - recommended to use dropdowns where available, read comments for more details on inputs</t>
  </si>
  <si>
    <t>PPG</t>
  </si>
  <si>
    <t>M4/Rico/Webley/Calico/Stech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</si>
</sst>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D73"/>
  <sheetViews>
    <sheetView tabSelected="1" zoomScaleNormal="100" workbookViewId="0"/>
  </sheetViews>
  <sheetFormatPr defaultRowHeight="15" outlineLevelRow="1" x14ac:dyDescent="0.25"/>
  <cols>
    <col min="1" max="1" width="10.85546875" style="167" customWidth="1"/>
    <col min="2" max="2" width="13.140625" style="167" customWidth="1"/>
    <col min="3" max="3" width="10.42578125" style="167" customWidth="1"/>
    <col min="4" max="4" width="13.85546875" style="167" bestFit="1" customWidth="1"/>
    <col min="5" max="5" width="10.140625" style="167" customWidth="1"/>
    <col min="6" max="6" width="11.28515625" style="167" customWidth="1"/>
    <col min="7" max="11" width="9.140625" style="167"/>
    <col min="12" max="12" width="10.85546875" style="167" customWidth="1"/>
    <col min="13" max="14" width="13.5703125" style="167" customWidth="1"/>
    <col min="15" max="15" width="9.140625" style="167"/>
    <col min="16" max="16" width="11.7109375" style="167" customWidth="1"/>
    <col min="17" max="16384" width="9.140625" style="167"/>
  </cols>
  <sheetData>
    <row r="1" spans="1:5" ht="26.25" x14ac:dyDescent="0.4">
      <c r="A1" s="166" t="s">
        <v>1321</v>
      </c>
    </row>
    <row r="2" spans="1:5" x14ac:dyDescent="0.25">
      <c r="A2" s="167" t="s">
        <v>1007</v>
      </c>
    </row>
    <row r="3" spans="1:5" x14ac:dyDescent="0.25">
      <c r="A3" s="167" t="s">
        <v>1008</v>
      </c>
    </row>
    <row r="4" spans="1:5" x14ac:dyDescent="0.25">
      <c r="A4" s="167" t="s">
        <v>1090</v>
      </c>
    </row>
    <row r="5" spans="1:5" x14ac:dyDescent="0.25">
      <c r="A5" s="167" t="s">
        <v>1093</v>
      </c>
      <c r="B5" s="168" t="s">
        <v>1092</v>
      </c>
    </row>
    <row r="6" spans="1:5" x14ac:dyDescent="0.25">
      <c r="A6" s="167" t="s">
        <v>1136</v>
      </c>
      <c r="B6" s="168" t="s">
        <v>1137</v>
      </c>
    </row>
    <row r="7" spans="1:5" x14ac:dyDescent="0.25">
      <c r="A7" s="167" t="s">
        <v>1146</v>
      </c>
      <c r="B7" s="168" t="s">
        <v>1147</v>
      </c>
    </row>
    <row r="9" spans="1:5" x14ac:dyDescent="0.25">
      <c r="A9" s="169" t="s">
        <v>892</v>
      </c>
      <c r="B9" s="170">
        <v>562858</v>
      </c>
      <c r="D9" s="169" t="s">
        <v>909</v>
      </c>
      <c r="E9" s="170">
        <v>9411321</v>
      </c>
    </row>
    <row r="10" spans="1:5" x14ac:dyDescent="0.25">
      <c r="A10" s="171" t="s">
        <v>1009</v>
      </c>
      <c r="B10" s="172" t="s">
        <v>1010</v>
      </c>
      <c r="D10" s="171" t="s">
        <v>1000</v>
      </c>
      <c r="E10" s="172">
        <v>178000</v>
      </c>
    </row>
    <row r="11" spans="1:5" x14ac:dyDescent="0.25">
      <c r="A11" s="171" t="s">
        <v>999</v>
      </c>
      <c r="B11" s="172" t="s">
        <v>1138</v>
      </c>
      <c r="D11" s="171" t="s">
        <v>1001</v>
      </c>
      <c r="E11" s="172" t="b">
        <v>1</v>
      </c>
    </row>
    <row r="12" spans="1:5" x14ac:dyDescent="0.25">
      <c r="A12" s="171" t="s">
        <v>897</v>
      </c>
      <c r="B12" s="172">
        <v>8</v>
      </c>
      <c r="D12" s="171" t="s">
        <v>1002</v>
      </c>
      <c r="E12" s="172" t="b">
        <v>1</v>
      </c>
    </row>
    <row r="14" spans="1:5" x14ac:dyDescent="0.25">
      <c r="A14" s="173" t="s">
        <v>1247</v>
      </c>
      <c r="B14" s="174" t="s">
        <v>1318</v>
      </c>
    </row>
    <row r="16" spans="1:5" ht="18.75" x14ac:dyDescent="0.3">
      <c r="A16" s="175" t="s">
        <v>1245</v>
      </c>
      <c r="B16" s="176"/>
    </row>
    <row r="17" spans="1:30" hidden="1" outlineLevel="1" x14ac:dyDescent="0.25">
      <c r="A17" s="173"/>
      <c r="B17" s="176"/>
    </row>
    <row r="18" spans="1:30" hidden="1" outlineLevel="1" x14ac:dyDescent="0.25">
      <c r="A18" s="173" t="s">
        <v>1148</v>
      </c>
      <c r="B18" s="230" t="s">
        <v>1163</v>
      </c>
      <c r="C18" s="231"/>
    </row>
    <row r="19" spans="1:30" hidden="1" outlineLevel="1" x14ac:dyDescent="0.25">
      <c r="A19" s="173"/>
      <c r="B19" s="176"/>
    </row>
    <row r="20" spans="1:30" hidden="1" outlineLevel="1" x14ac:dyDescent="0.25">
      <c r="A20" s="177" t="s">
        <v>1120</v>
      </c>
      <c r="B20" s="177"/>
      <c r="C20" s="177"/>
      <c r="D20" s="177"/>
      <c r="E20" s="177"/>
      <c r="F20" s="177"/>
      <c r="G20" s="177"/>
      <c r="H20" s="177"/>
      <c r="I20" s="177"/>
      <c r="J20" s="177"/>
      <c r="L20" s="177" t="s">
        <v>1119</v>
      </c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Y20" s="173"/>
    </row>
    <row r="21" spans="1:30" hidden="1" outlineLevel="1" x14ac:dyDescent="0.25">
      <c r="A21" s="178"/>
      <c r="B21" s="179" t="s">
        <v>682</v>
      </c>
      <c r="C21" s="179"/>
      <c r="D21" s="179"/>
      <c r="E21" s="179"/>
      <c r="F21" s="179"/>
      <c r="G21" s="179"/>
      <c r="H21" s="179"/>
      <c r="I21" s="179"/>
      <c r="J21" s="180"/>
      <c r="L21" s="181" t="s">
        <v>814</v>
      </c>
      <c r="M21" s="179"/>
      <c r="N21" s="179"/>
      <c r="O21" s="180"/>
      <c r="P21" s="179" t="s">
        <v>815</v>
      </c>
      <c r="Q21" s="179"/>
      <c r="R21" s="179"/>
      <c r="S21" s="180"/>
      <c r="T21" s="179" t="s">
        <v>816</v>
      </c>
      <c r="U21" s="179"/>
      <c r="V21" s="179"/>
      <c r="W21" s="180"/>
      <c r="Y21" s="178"/>
      <c r="Z21" s="181" t="s">
        <v>1133</v>
      </c>
      <c r="AA21" s="179"/>
      <c r="AB21" s="179"/>
      <c r="AC21" s="180"/>
      <c r="AD21" s="197" t="b">
        <v>1</v>
      </c>
    </row>
    <row r="22" spans="1:30" hidden="1" outlineLevel="1" x14ac:dyDescent="0.25">
      <c r="A22" s="182" t="s">
        <v>0</v>
      </c>
      <c r="B22" s="183" t="s">
        <v>1279</v>
      </c>
      <c r="C22" s="183" t="s">
        <v>1</v>
      </c>
      <c r="D22" s="183" t="s">
        <v>8</v>
      </c>
      <c r="E22" s="183" t="s">
        <v>18</v>
      </c>
      <c r="F22" s="183" t="s">
        <v>384</v>
      </c>
      <c r="G22" s="183" t="s">
        <v>58</v>
      </c>
      <c r="H22" s="183" t="s">
        <v>59</v>
      </c>
      <c r="I22" s="183" t="s">
        <v>371</v>
      </c>
      <c r="J22" s="184" t="s">
        <v>60</v>
      </c>
      <c r="L22" s="185" t="s">
        <v>812</v>
      </c>
      <c r="M22" s="183" t="s">
        <v>8</v>
      </c>
      <c r="N22" s="183" t="s">
        <v>18</v>
      </c>
      <c r="O22" s="184" t="s">
        <v>813</v>
      </c>
      <c r="P22" s="183" t="s">
        <v>812</v>
      </c>
      <c r="Q22" s="183" t="s">
        <v>8</v>
      </c>
      <c r="R22" s="183" t="s">
        <v>18</v>
      </c>
      <c r="S22" s="184" t="s">
        <v>813</v>
      </c>
      <c r="T22" s="183" t="s">
        <v>812</v>
      </c>
      <c r="U22" s="183" t="s">
        <v>8</v>
      </c>
      <c r="V22" s="183" t="s">
        <v>18</v>
      </c>
      <c r="W22" s="184" t="s">
        <v>813</v>
      </c>
      <c r="Y22" s="182" t="s">
        <v>0</v>
      </c>
      <c r="Z22" s="198" t="s">
        <v>1135</v>
      </c>
      <c r="AA22" s="199" t="s">
        <v>10</v>
      </c>
      <c r="AB22" s="199" t="s">
        <v>11</v>
      </c>
      <c r="AC22" s="199" t="s">
        <v>12</v>
      </c>
      <c r="AD22" s="200" t="s">
        <v>13</v>
      </c>
    </row>
    <row r="23" spans="1:30" hidden="1" outlineLevel="1" x14ac:dyDescent="0.25">
      <c r="A23" s="226">
        <v>1</v>
      </c>
      <c r="B23" s="186">
        <v>6</v>
      </c>
      <c r="C23" s="187" t="s">
        <v>2</v>
      </c>
      <c r="D23" s="188" t="s">
        <v>360</v>
      </c>
      <c r="E23" s="187">
        <v>120</v>
      </c>
      <c r="F23" s="187">
        <v>5</v>
      </c>
      <c r="G23" s="187">
        <v>10</v>
      </c>
      <c r="H23" s="187">
        <v>10</v>
      </c>
      <c r="I23" s="187">
        <v>3</v>
      </c>
      <c r="J23" s="188">
        <v>100</v>
      </c>
      <c r="K23" s="189"/>
      <c r="L23" s="190" t="s">
        <v>811</v>
      </c>
      <c r="M23" s="191" t="s">
        <v>301</v>
      </c>
      <c r="N23" s="191">
        <v>10</v>
      </c>
      <c r="O23" s="192">
        <v>1</v>
      </c>
      <c r="P23" s="190" t="s">
        <v>845</v>
      </c>
      <c r="Q23" s="191" t="s">
        <v>648</v>
      </c>
      <c r="R23" s="191">
        <v>10</v>
      </c>
      <c r="S23" s="192">
        <v>1</v>
      </c>
      <c r="T23" s="190"/>
      <c r="U23" s="191"/>
      <c r="V23" s="191"/>
      <c r="W23" s="192"/>
      <c r="Y23" s="226">
        <v>1</v>
      </c>
      <c r="Z23" s="190"/>
      <c r="AA23" s="191"/>
      <c r="AB23" s="191"/>
      <c r="AC23" s="191"/>
      <c r="AD23" s="192"/>
    </row>
    <row r="24" spans="1:30" hidden="1" outlineLevel="1" x14ac:dyDescent="0.25">
      <c r="A24" s="226">
        <v>2</v>
      </c>
      <c r="B24" s="190">
        <v>5</v>
      </c>
      <c r="C24" s="191" t="s">
        <v>4</v>
      </c>
      <c r="D24" s="193" t="s">
        <v>286</v>
      </c>
      <c r="E24" s="191">
        <v>100</v>
      </c>
      <c r="F24" s="191">
        <v>5</v>
      </c>
      <c r="G24" s="191">
        <v>10</v>
      </c>
      <c r="H24" s="191">
        <v>0</v>
      </c>
      <c r="I24" s="191">
        <v>0</v>
      </c>
      <c r="J24" s="193">
        <v>100</v>
      </c>
      <c r="K24" s="189"/>
      <c r="L24" s="190" t="s">
        <v>825</v>
      </c>
      <c r="M24" s="191" t="s">
        <v>628</v>
      </c>
      <c r="N24" s="191">
        <v>10</v>
      </c>
      <c r="O24" s="192">
        <v>1</v>
      </c>
      <c r="P24" s="190" t="s">
        <v>835</v>
      </c>
      <c r="Q24" s="191" t="s">
        <v>644</v>
      </c>
      <c r="R24" s="191">
        <v>10</v>
      </c>
      <c r="S24" s="192">
        <v>1</v>
      </c>
      <c r="T24" s="190" t="s">
        <v>860</v>
      </c>
      <c r="U24" s="191" t="s">
        <v>665</v>
      </c>
      <c r="V24" s="191">
        <v>10</v>
      </c>
      <c r="W24" s="192">
        <v>1</v>
      </c>
      <c r="Y24" s="226">
        <v>2</v>
      </c>
      <c r="Z24" s="190"/>
      <c r="AA24" s="191"/>
      <c r="AB24" s="191"/>
      <c r="AC24" s="191"/>
      <c r="AD24" s="192"/>
    </row>
    <row r="25" spans="1:30" hidden="1" outlineLevel="1" x14ac:dyDescent="0.25">
      <c r="A25" s="226">
        <v>3</v>
      </c>
      <c r="B25" s="190">
        <v>5</v>
      </c>
      <c r="C25" s="191" t="s">
        <v>6</v>
      </c>
      <c r="D25" s="193" t="s">
        <v>228</v>
      </c>
      <c r="E25" s="191">
        <v>100</v>
      </c>
      <c r="F25" s="191">
        <v>5</v>
      </c>
      <c r="G25" s="191">
        <v>10</v>
      </c>
      <c r="H25" s="191">
        <v>0</v>
      </c>
      <c r="I25" s="191">
        <v>0</v>
      </c>
      <c r="J25" s="193">
        <v>100</v>
      </c>
      <c r="K25" s="189"/>
      <c r="L25" s="190" t="s">
        <v>825</v>
      </c>
      <c r="M25" s="191" t="s">
        <v>628</v>
      </c>
      <c r="N25" s="191">
        <v>10</v>
      </c>
      <c r="O25" s="192">
        <v>1</v>
      </c>
      <c r="P25" s="190" t="s">
        <v>835</v>
      </c>
      <c r="Q25" s="191" t="s">
        <v>644</v>
      </c>
      <c r="R25" s="191">
        <v>10</v>
      </c>
      <c r="S25" s="192">
        <v>1</v>
      </c>
      <c r="T25" s="190" t="s">
        <v>861</v>
      </c>
      <c r="U25" s="191" t="s">
        <v>681</v>
      </c>
      <c r="V25" s="191">
        <v>10</v>
      </c>
      <c r="W25" s="192">
        <v>1</v>
      </c>
      <c r="Y25" s="226">
        <v>3</v>
      </c>
      <c r="Z25" s="190"/>
      <c r="AA25" s="191"/>
      <c r="AB25" s="191"/>
      <c r="AC25" s="191"/>
      <c r="AD25" s="192"/>
    </row>
    <row r="26" spans="1:30" hidden="1" outlineLevel="1" x14ac:dyDescent="0.25">
      <c r="A26" s="226">
        <v>4</v>
      </c>
      <c r="B26" s="190">
        <v>4</v>
      </c>
      <c r="C26" s="191" t="s">
        <v>3</v>
      </c>
      <c r="D26" s="193" t="s">
        <v>145</v>
      </c>
      <c r="E26" s="191">
        <v>100</v>
      </c>
      <c r="F26" s="191">
        <v>5</v>
      </c>
      <c r="G26" s="191">
        <v>10</v>
      </c>
      <c r="H26" s="191">
        <v>0</v>
      </c>
      <c r="I26" s="191">
        <v>0</v>
      </c>
      <c r="J26" s="193">
        <v>100</v>
      </c>
      <c r="K26" s="189"/>
      <c r="L26" s="190" t="s">
        <v>875</v>
      </c>
      <c r="M26" s="191" t="s">
        <v>663</v>
      </c>
      <c r="N26" s="191">
        <v>10</v>
      </c>
      <c r="O26" s="192">
        <v>1</v>
      </c>
      <c r="P26" s="190" t="s">
        <v>9</v>
      </c>
      <c r="Q26" s="191" t="s">
        <v>669</v>
      </c>
      <c r="R26" s="191">
        <v>10</v>
      </c>
      <c r="S26" s="192">
        <v>1</v>
      </c>
      <c r="T26" s="190" t="s">
        <v>850</v>
      </c>
      <c r="U26" s="191" t="s">
        <v>652</v>
      </c>
      <c r="V26" s="191">
        <v>10</v>
      </c>
      <c r="W26" s="192">
        <v>1</v>
      </c>
      <c r="Y26" s="226">
        <v>4</v>
      </c>
      <c r="Z26" s="190"/>
      <c r="AA26" s="191"/>
      <c r="AB26" s="191"/>
      <c r="AC26" s="191"/>
      <c r="AD26" s="192"/>
    </row>
    <row r="27" spans="1:30" hidden="1" outlineLevel="1" x14ac:dyDescent="0.25">
      <c r="A27" s="227">
        <v>5</v>
      </c>
      <c r="B27" s="194">
        <v>5</v>
      </c>
      <c r="C27" s="195" t="s">
        <v>3</v>
      </c>
      <c r="D27" s="172" t="s">
        <v>266</v>
      </c>
      <c r="E27" s="195">
        <v>100</v>
      </c>
      <c r="F27" s="195">
        <v>5</v>
      </c>
      <c r="G27" s="195">
        <v>10</v>
      </c>
      <c r="H27" s="195">
        <v>0</v>
      </c>
      <c r="I27" s="195">
        <v>0</v>
      </c>
      <c r="J27" s="172">
        <v>100</v>
      </c>
      <c r="K27" s="189"/>
      <c r="L27" s="194" t="s">
        <v>875</v>
      </c>
      <c r="M27" s="195" t="s">
        <v>663</v>
      </c>
      <c r="N27" s="195">
        <v>10</v>
      </c>
      <c r="O27" s="196">
        <v>1</v>
      </c>
      <c r="P27" s="194" t="s">
        <v>9</v>
      </c>
      <c r="Q27" s="195" t="s">
        <v>669</v>
      </c>
      <c r="R27" s="195">
        <v>10</v>
      </c>
      <c r="S27" s="196">
        <v>1</v>
      </c>
      <c r="T27" s="194" t="s">
        <v>850</v>
      </c>
      <c r="U27" s="195" t="s">
        <v>652</v>
      </c>
      <c r="V27" s="195">
        <v>10</v>
      </c>
      <c r="W27" s="196">
        <v>1</v>
      </c>
      <c r="Y27" s="227">
        <v>5</v>
      </c>
      <c r="Z27" s="194"/>
      <c r="AA27" s="195"/>
      <c r="AB27" s="195"/>
      <c r="AC27" s="195"/>
      <c r="AD27" s="196"/>
    </row>
    <row r="28" spans="1:30" hidden="1" outlineLevel="1" x14ac:dyDescent="0.25"/>
    <row r="29" spans="1:30" hidden="1" outlineLevel="1" x14ac:dyDescent="0.25">
      <c r="A29" s="177" t="s">
        <v>1118</v>
      </c>
      <c r="B29" s="177"/>
      <c r="C29" s="177"/>
      <c r="D29" s="177"/>
      <c r="E29" s="177"/>
      <c r="F29" s="177"/>
      <c r="H29" s="177" t="s">
        <v>1121</v>
      </c>
      <c r="I29" s="177"/>
      <c r="J29" s="177"/>
    </row>
    <row r="30" spans="1:30" hidden="1" outlineLevel="1" x14ac:dyDescent="0.25">
      <c r="A30" s="178"/>
      <c r="B30" s="181" t="s">
        <v>886</v>
      </c>
      <c r="C30" s="179"/>
      <c r="D30" s="179"/>
      <c r="E30" s="179"/>
      <c r="F30" s="180"/>
      <c r="H30" s="174">
        <v>1</v>
      </c>
      <c r="I30" s="174"/>
      <c r="J30" s="174"/>
    </row>
    <row r="31" spans="1:30" hidden="1" outlineLevel="1" x14ac:dyDescent="0.25">
      <c r="A31" s="182" t="s">
        <v>890</v>
      </c>
      <c r="B31" s="185" t="s">
        <v>8</v>
      </c>
      <c r="C31" s="183" t="s">
        <v>1279</v>
      </c>
      <c r="D31" s="183" t="s">
        <v>18</v>
      </c>
      <c r="E31" s="183" t="s">
        <v>891</v>
      </c>
      <c r="F31" s="184" t="s">
        <v>689</v>
      </c>
      <c r="H31" s="174">
        <v>2</v>
      </c>
      <c r="I31" s="174">
        <v>4</v>
      </c>
      <c r="J31" s="174"/>
    </row>
    <row r="32" spans="1:30" hidden="1" outlineLevel="1" x14ac:dyDescent="0.25">
      <c r="A32" s="227">
        <v>1</v>
      </c>
      <c r="B32" s="194" t="s">
        <v>765</v>
      </c>
      <c r="C32" s="195">
        <v>5</v>
      </c>
      <c r="D32" s="195">
        <v>100</v>
      </c>
      <c r="E32" s="195">
        <v>10</v>
      </c>
      <c r="F32" s="172" t="s">
        <v>777</v>
      </c>
      <c r="H32" s="174">
        <v>3</v>
      </c>
      <c r="I32" s="174">
        <v>5</v>
      </c>
      <c r="J32" s="174"/>
    </row>
    <row r="33" spans="1:20" hidden="1" outlineLevel="1" x14ac:dyDescent="0.25"/>
    <row r="34" spans="1:20" collapsed="1" x14ac:dyDescent="0.25"/>
    <row r="35" spans="1:20" ht="18.75" x14ac:dyDescent="0.3">
      <c r="A35" s="201" t="s">
        <v>1246</v>
      </c>
      <c r="B35" s="201"/>
      <c r="C35" s="201"/>
      <c r="D35" s="201"/>
      <c r="E35" s="201"/>
      <c r="F35" s="201"/>
      <c r="G35" s="201"/>
      <c r="H35" s="201"/>
      <c r="I35" s="201"/>
      <c r="J35" s="201"/>
    </row>
    <row r="36" spans="1:20" s="202" customFormat="1" ht="15" hidden="1" customHeight="1" outlineLevel="1" x14ac:dyDescent="0.3">
      <c r="A36" s="229" t="s">
        <v>1322</v>
      </c>
      <c r="B36" s="201"/>
      <c r="C36" s="201"/>
      <c r="D36" s="201"/>
      <c r="E36" s="201"/>
      <c r="F36" s="201"/>
      <c r="G36" s="201"/>
      <c r="H36" s="201"/>
      <c r="I36" s="228"/>
      <c r="J36" s="228"/>
      <c r="K36" s="228"/>
      <c r="L36" s="201"/>
      <c r="M36" s="201"/>
    </row>
    <row r="37" spans="1:20" hidden="1" outlineLevel="1" x14ac:dyDescent="0.25">
      <c r="A37" s="203"/>
      <c r="B37" s="181" t="s">
        <v>1242</v>
      </c>
      <c r="C37" s="179"/>
      <c r="D37" s="179"/>
      <c r="E37" s="179"/>
      <c r="F37" s="179"/>
      <c r="G37" s="179"/>
      <c r="H37" s="179"/>
      <c r="I37" s="181" t="s">
        <v>891</v>
      </c>
      <c r="J37" s="179"/>
      <c r="K37" s="179"/>
      <c r="L37" s="180"/>
      <c r="M37" s="181" t="s">
        <v>1235</v>
      </c>
      <c r="N37" s="180"/>
      <c r="P37" s="204" t="s">
        <v>1317</v>
      </c>
    </row>
    <row r="38" spans="1:20" hidden="1" outlineLevel="1" x14ac:dyDescent="0.25">
      <c r="A38" s="182" t="s">
        <v>1234</v>
      </c>
      <c r="B38" s="183" t="s">
        <v>1278</v>
      </c>
      <c r="C38" s="228" t="s">
        <v>8</v>
      </c>
      <c r="D38" s="228" t="s">
        <v>18</v>
      </c>
      <c r="E38" s="228" t="s">
        <v>1280</v>
      </c>
      <c r="F38" s="228" t="s">
        <v>1237</v>
      </c>
      <c r="G38" s="228" t="s">
        <v>1239</v>
      </c>
      <c r="H38" s="228" t="s">
        <v>60</v>
      </c>
      <c r="I38" s="185">
        <v>1</v>
      </c>
      <c r="J38" s="183">
        <v>2</v>
      </c>
      <c r="K38" s="183">
        <v>3</v>
      </c>
      <c r="L38" s="184">
        <v>4</v>
      </c>
      <c r="M38" s="185">
        <v>1</v>
      </c>
      <c r="N38" s="184">
        <v>2</v>
      </c>
      <c r="P38" s="174" t="b">
        <v>0</v>
      </c>
    </row>
    <row r="39" spans="1:20" hidden="1" outlineLevel="1" x14ac:dyDescent="0.25">
      <c r="A39" s="224">
        <v>1</v>
      </c>
      <c r="B39" s="225">
        <f>IFERROR(4-INDEX('SF Data'!C:C,MATCH(C39,'SF Data'!B:B,0)),"")</f>
        <v>3</v>
      </c>
      <c r="C39" s="186" t="s">
        <v>1180</v>
      </c>
      <c r="D39" s="187">
        <v>100</v>
      </c>
      <c r="E39" s="187">
        <v>5</v>
      </c>
      <c r="F39" s="187">
        <v>4</v>
      </c>
      <c r="G39" s="187"/>
      <c r="H39" s="188">
        <v>100</v>
      </c>
      <c r="I39" s="191">
        <v>10</v>
      </c>
      <c r="J39" s="191">
        <v>10</v>
      </c>
      <c r="K39" s="191">
        <v>5</v>
      </c>
      <c r="L39" s="193">
        <v>5</v>
      </c>
      <c r="M39" s="190" t="s">
        <v>1286</v>
      </c>
      <c r="N39" s="193" t="s">
        <v>1281</v>
      </c>
      <c r="P39" s="205"/>
      <c r="R39" s="232" t="s">
        <v>1308</v>
      </c>
      <c r="S39" s="232"/>
      <c r="T39" s="232"/>
    </row>
    <row r="40" spans="1:20" hidden="1" outlineLevel="1" x14ac:dyDescent="0.25">
      <c r="A40" s="226">
        <v>2</v>
      </c>
      <c r="B40" s="218">
        <f>IFERROR(4-INDEX('SF Data'!C:C,MATCH(C40,'SF Data'!B:B,0)),"")</f>
        <v>2</v>
      </c>
      <c r="C40" s="190" t="s">
        <v>1196</v>
      </c>
      <c r="D40" s="191">
        <v>100</v>
      </c>
      <c r="E40" s="191">
        <v>5</v>
      </c>
      <c r="F40" s="191">
        <v>4</v>
      </c>
      <c r="G40" s="191" t="s">
        <v>1238</v>
      </c>
      <c r="H40" s="193">
        <v>100</v>
      </c>
      <c r="I40" s="191">
        <v>5</v>
      </c>
      <c r="J40" s="191">
        <v>5</v>
      </c>
      <c r="K40" s="191"/>
      <c r="L40" s="193"/>
      <c r="M40" s="190"/>
      <c r="N40" s="193"/>
      <c r="P40" s="205"/>
      <c r="R40" s="174">
        <v>2</v>
      </c>
      <c r="S40" s="174">
        <v>3</v>
      </c>
      <c r="T40" s="174">
        <v>4</v>
      </c>
    </row>
    <row r="41" spans="1:20" hidden="1" outlineLevel="1" x14ac:dyDescent="0.25">
      <c r="A41" s="226">
        <v>3</v>
      </c>
      <c r="B41" s="218">
        <f>IFERROR(4-INDEX('SF Data'!C:C,MATCH(C41,'SF Data'!B:B,0)),"")</f>
        <v>2</v>
      </c>
      <c r="C41" s="190" t="s">
        <v>1196</v>
      </c>
      <c r="D41" s="191">
        <v>100</v>
      </c>
      <c r="E41" s="191">
        <v>5</v>
      </c>
      <c r="F41" s="191">
        <v>4</v>
      </c>
      <c r="G41" s="191" t="s">
        <v>1238</v>
      </c>
      <c r="H41" s="193">
        <v>100</v>
      </c>
      <c r="I41" s="191">
        <v>5</v>
      </c>
      <c r="J41" s="191">
        <v>5</v>
      </c>
      <c r="K41" s="191"/>
      <c r="L41" s="193"/>
      <c r="M41" s="190"/>
      <c r="N41" s="193"/>
      <c r="P41" s="205"/>
      <c r="R41" s="174">
        <v>5</v>
      </c>
      <c r="S41" s="174">
        <v>1</v>
      </c>
      <c r="T41" s="174">
        <v>6</v>
      </c>
    </row>
    <row r="42" spans="1:20" hidden="1" outlineLevel="1" x14ac:dyDescent="0.25">
      <c r="A42" s="226">
        <v>4</v>
      </c>
      <c r="B42" s="218">
        <f>IFERROR(4-INDEX('SF Data'!C:C,MATCH(C42,'SF Data'!B:B,0)),"")</f>
        <v>2</v>
      </c>
      <c r="C42" s="190" t="s">
        <v>1196</v>
      </c>
      <c r="D42" s="191">
        <v>100</v>
      </c>
      <c r="E42" s="191">
        <v>5</v>
      </c>
      <c r="F42" s="191">
        <v>4</v>
      </c>
      <c r="G42" s="191" t="s">
        <v>1238</v>
      </c>
      <c r="H42" s="193">
        <v>100</v>
      </c>
      <c r="I42" s="191">
        <v>5</v>
      </c>
      <c r="J42" s="191">
        <v>5</v>
      </c>
      <c r="K42" s="191"/>
      <c r="L42" s="193"/>
      <c r="M42" s="190"/>
      <c r="N42" s="193"/>
      <c r="P42" s="205"/>
      <c r="R42" s="174">
        <v>7</v>
      </c>
      <c r="S42" s="174">
        <v>8</v>
      </c>
      <c r="T42" s="174">
        <v>9</v>
      </c>
    </row>
    <row r="43" spans="1:20" hidden="1" outlineLevel="1" x14ac:dyDescent="0.25">
      <c r="A43" s="226">
        <v>5</v>
      </c>
      <c r="B43" s="218">
        <f>IFERROR(4-INDEX('SF Data'!C:C,MATCH(C43,'SF Data'!B:B,0)),"")</f>
        <v>2</v>
      </c>
      <c r="C43" s="190" t="s">
        <v>1196</v>
      </c>
      <c r="D43" s="191">
        <v>100</v>
      </c>
      <c r="E43" s="191">
        <v>5</v>
      </c>
      <c r="F43" s="191">
        <v>4</v>
      </c>
      <c r="G43" s="191" t="s">
        <v>1238</v>
      </c>
      <c r="H43" s="193">
        <v>100</v>
      </c>
      <c r="I43" s="191">
        <v>5</v>
      </c>
      <c r="J43" s="191">
        <v>5</v>
      </c>
      <c r="K43" s="191"/>
      <c r="L43" s="193"/>
      <c r="M43" s="190"/>
      <c r="N43" s="193"/>
      <c r="P43" s="205"/>
    </row>
    <row r="44" spans="1:20" hidden="1" outlineLevel="1" x14ac:dyDescent="0.25">
      <c r="A44" s="226">
        <v>6</v>
      </c>
      <c r="B44" s="218">
        <f>IFERROR(4-INDEX('SF Data'!C:C,MATCH(C44,'SF Data'!B:B,0)),"")</f>
        <v>2</v>
      </c>
      <c r="C44" s="190" t="s">
        <v>1196</v>
      </c>
      <c r="D44" s="191">
        <v>100</v>
      </c>
      <c r="E44" s="191">
        <v>5</v>
      </c>
      <c r="F44" s="191">
        <v>4</v>
      </c>
      <c r="G44" s="191" t="s">
        <v>1238</v>
      </c>
      <c r="H44" s="193">
        <v>100</v>
      </c>
      <c r="I44" s="191">
        <v>5</v>
      </c>
      <c r="J44" s="191">
        <v>5</v>
      </c>
      <c r="K44" s="191"/>
      <c r="L44" s="193"/>
      <c r="M44" s="190"/>
      <c r="N44" s="193"/>
      <c r="P44" s="205"/>
    </row>
    <row r="45" spans="1:20" hidden="1" outlineLevel="1" x14ac:dyDescent="0.25">
      <c r="A45" s="226">
        <v>7</v>
      </c>
      <c r="B45" s="218">
        <f>IFERROR(4-INDEX('SF Data'!C:C,MATCH(C45,'SF Data'!B:B,0)),"")</f>
        <v>2</v>
      </c>
      <c r="C45" s="190" t="s">
        <v>1196</v>
      </c>
      <c r="D45" s="191">
        <v>100</v>
      </c>
      <c r="E45" s="191">
        <v>5</v>
      </c>
      <c r="F45" s="191">
        <v>4</v>
      </c>
      <c r="G45" s="191" t="s">
        <v>1238</v>
      </c>
      <c r="H45" s="193">
        <v>100</v>
      </c>
      <c r="I45" s="191">
        <v>5</v>
      </c>
      <c r="J45" s="191">
        <v>5</v>
      </c>
      <c r="K45" s="191"/>
      <c r="L45" s="193"/>
      <c r="M45" s="190"/>
      <c r="N45" s="193"/>
      <c r="P45" s="205"/>
    </row>
    <row r="46" spans="1:20" hidden="1" outlineLevel="1" x14ac:dyDescent="0.25">
      <c r="A46" s="226">
        <v>8</v>
      </c>
      <c r="B46" s="218">
        <f>IFERROR(4-INDEX('SF Data'!C:C,MATCH(C46,'SF Data'!B:B,0)),"")</f>
        <v>2</v>
      </c>
      <c r="C46" s="190" t="s">
        <v>1196</v>
      </c>
      <c r="D46" s="191">
        <v>100</v>
      </c>
      <c r="E46" s="191">
        <v>5</v>
      </c>
      <c r="F46" s="191">
        <v>4</v>
      </c>
      <c r="G46" s="191" t="s">
        <v>1238</v>
      </c>
      <c r="H46" s="193">
        <v>100</v>
      </c>
      <c r="I46" s="191">
        <v>5</v>
      </c>
      <c r="J46" s="191">
        <v>5</v>
      </c>
      <c r="K46" s="191"/>
      <c r="L46" s="193"/>
      <c r="M46" s="190"/>
      <c r="N46" s="193"/>
      <c r="P46" s="205"/>
    </row>
    <row r="47" spans="1:20" hidden="1" outlineLevel="1" x14ac:dyDescent="0.25">
      <c r="A47" s="227">
        <v>9</v>
      </c>
      <c r="B47" s="220">
        <f>IFERROR(4-INDEX('SF Data'!C:C,MATCH(C47,'SF Data'!B:B,0)),"")</f>
        <v>2</v>
      </c>
      <c r="C47" s="194" t="s">
        <v>1196</v>
      </c>
      <c r="D47" s="195">
        <v>100</v>
      </c>
      <c r="E47" s="195">
        <v>5</v>
      </c>
      <c r="F47" s="195">
        <v>4</v>
      </c>
      <c r="G47" s="195" t="s">
        <v>1238</v>
      </c>
      <c r="H47" s="172">
        <v>100</v>
      </c>
      <c r="I47" s="195">
        <v>5</v>
      </c>
      <c r="J47" s="195">
        <v>5</v>
      </c>
      <c r="K47" s="195"/>
      <c r="L47" s="172"/>
      <c r="M47" s="194"/>
      <c r="N47" s="172"/>
      <c r="P47" s="206"/>
    </row>
    <row r="48" spans="1:20" hidden="1" outlineLevel="1" x14ac:dyDescent="0.25"/>
    <row r="49" spans="1:10" collapsed="1" x14ac:dyDescent="0.25"/>
    <row r="50" spans="1:10" ht="18.75" x14ac:dyDescent="0.3">
      <c r="A50" s="201" t="s">
        <v>1309</v>
      </c>
    </row>
    <row r="51" spans="1:10" hidden="1" outlineLevel="1" x14ac:dyDescent="0.25">
      <c r="A51" s="177" t="s">
        <v>1091</v>
      </c>
      <c r="B51" s="177"/>
      <c r="C51" s="177"/>
      <c r="D51" s="177"/>
      <c r="E51" s="177"/>
      <c r="F51" s="177"/>
      <c r="G51" s="177"/>
      <c r="H51" s="177"/>
      <c r="I51" s="177"/>
      <c r="J51" s="177"/>
    </row>
    <row r="52" spans="1:10" hidden="1" outlineLevel="1" x14ac:dyDescent="0.25">
      <c r="A52" s="208"/>
      <c r="B52" s="209"/>
      <c r="C52" s="210"/>
      <c r="D52" s="181" t="s">
        <v>1041</v>
      </c>
      <c r="E52" s="179"/>
      <c r="F52" s="179"/>
      <c r="G52" s="180"/>
      <c r="H52" s="181" t="s">
        <v>891</v>
      </c>
      <c r="I52" s="179"/>
      <c r="J52" s="180"/>
    </row>
    <row r="53" spans="1:10" hidden="1" outlineLevel="1" x14ac:dyDescent="0.25">
      <c r="A53" s="185" t="s">
        <v>1006</v>
      </c>
      <c r="B53" s="185" t="s">
        <v>1014</v>
      </c>
      <c r="C53" s="184" t="s">
        <v>8</v>
      </c>
      <c r="D53" s="183" t="s">
        <v>1024</v>
      </c>
      <c r="E53" s="183" t="s">
        <v>1023</v>
      </c>
      <c r="F53" s="183" t="s">
        <v>1025</v>
      </c>
      <c r="G53" s="184" t="s">
        <v>1026</v>
      </c>
      <c r="H53" s="183">
        <v>1</v>
      </c>
      <c r="I53" s="183">
        <v>2</v>
      </c>
      <c r="J53" s="184">
        <v>3</v>
      </c>
    </row>
    <row r="54" spans="1:10" hidden="1" outlineLevel="1" x14ac:dyDescent="0.25">
      <c r="A54" s="190"/>
      <c r="B54" s="218">
        <v>1</v>
      </c>
      <c r="C54" s="219" t="s">
        <v>1015</v>
      </c>
      <c r="D54" s="191">
        <v>462</v>
      </c>
      <c r="E54" s="191">
        <v>795</v>
      </c>
      <c r="F54" s="191">
        <v>568</v>
      </c>
      <c r="G54" s="193">
        <v>133</v>
      </c>
      <c r="H54" s="191">
        <v>10</v>
      </c>
      <c r="I54" s="191">
        <v>10</v>
      </c>
      <c r="J54" s="193">
        <v>10</v>
      </c>
    </row>
    <row r="55" spans="1:10" hidden="1" outlineLevel="1" x14ac:dyDescent="0.25">
      <c r="A55" s="190"/>
      <c r="B55" s="218">
        <v>2</v>
      </c>
      <c r="C55" s="219" t="s">
        <v>1016</v>
      </c>
      <c r="D55" s="191">
        <v>284</v>
      </c>
      <c r="E55" s="191">
        <v>336</v>
      </c>
      <c r="F55" s="191">
        <v>381</v>
      </c>
      <c r="G55" s="193">
        <v>726</v>
      </c>
      <c r="H55" s="191">
        <v>10</v>
      </c>
      <c r="I55" s="191">
        <v>10</v>
      </c>
      <c r="J55" s="193">
        <v>10</v>
      </c>
    </row>
    <row r="56" spans="1:10" hidden="1" outlineLevel="1" x14ac:dyDescent="0.25">
      <c r="A56" s="190"/>
      <c r="B56" s="218">
        <v>3</v>
      </c>
      <c r="C56" s="219" t="s">
        <v>1017</v>
      </c>
      <c r="D56" s="191">
        <v>620</v>
      </c>
      <c r="E56" s="191">
        <v>121</v>
      </c>
      <c r="F56" s="191">
        <v>276</v>
      </c>
      <c r="G56" s="193">
        <v>306</v>
      </c>
      <c r="H56" s="191">
        <v>10</v>
      </c>
      <c r="I56" s="191">
        <v>10</v>
      </c>
      <c r="J56" s="193">
        <v>10</v>
      </c>
    </row>
    <row r="57" spans="1:10" hidden="1" outlineLevel="1" x14ac:dyDescent="0.25">
      <c r="A57" s="190"/>
      <c r="B57" s="218">
        <v>4</v>
      </c>
      <c r="C57" s="219" t="s">
        <v>1018</v>
      </c>
      <c r="D57" s="191">
        <v>519</v>
      </c>
      <c r="E57" s="191">
        <v>138</v>
      </c>
      <c r="F57" s="191">
        <v>266</v>
      </c>
      <c r="G57" s="193">
        <v>401</v>
      </c>
      <c r="H57" s="191">
        <v>10</v>
      </c>
      <c r="I57" s="191">
        <v>10</v>
      </c>
      <c r="J57" s="193">
        <v>10</v>
      </c>
    </row>
    <row r="58" spans="1:10" hidden="1" outlineLevel="1" x14ac:dyDescent="0.25">
      <c r="A58" s="190"/>
      <c r="B58" s="218">
        <v>5</v>
      </c>
      <c r="C58" s="219" t="s">
        <v>1019</v>
      </c>
      <c r="D58" s="191">
        <v>423</v>
      </c>
      <c r="E58" s="191">
        <v>603</v>
      </c>
      <c r="F58" s="191">
        <v>533</v>
      </c>
      <c r="G58" s="193">
        <v>249</v>
      </c>
      <c r="H58" s="191">
        <v>10</v>
      </c>
      <c r="I58" s="191">
        <v>10</v>
      </c>
      <c r="J58" s="193">
        <v>10</v>
      </c>
    </row>
    <row r="59" spans="1:10" hidden="1" outlineLevel="1" x14ac:dyDescent="0.25">
      <c r="A59" s="190"/>
      <c r="B59" s="218">
        <v>6</v>
      </c>
      <c r="C59" s="219" t="s">
        <v>1020</v>
      </c>
      <c r="D59" s="191">
        <v>77</v>
      </c>
      <c r="E59" s="191">
        <v>136</v>
      </c>
      <c r="F59" s="191">
        <v>188</v>
      </c>
      <c r="G59" s="193">
        <v>331</v>
      </c>
      <c r="H59" s="191">
        <v>10</v>
      </c>
      <c r="I59" s="191">
        <v>10</v>
      </c>
      <c r="J59" s="193">
        <v>10</v>
      </c>
    </row>
    <row r="60" spans="1:10" hidden="1" outlineLevel="1" x14ac:dyDescent="0.25">
      <c r="A60" s="194"/>
      <c r="B60" s="220">
        <v>7</v>
      </c>
      <c r="C60" s="221" t="s">
        <v>1021</v>
      </c>
      <c r="D60" s="195">
        <v>414</v>
      </c>
      <c r="E60" s="195">
        <v>557</v>
      </c>
      <c r="F60" s="195">
        <v>459</v>
      </c>
      <c r="G60" s="172">
        <v>214</v>
      </c>
      <c r="H60" s="195">
        <v>10</v>
      </c>
      <c r="I60" s="195">
        <v>10</v>
      </c>
      <c r="J60" s="172">
        <v>10</v>
      </c>
    </row>
    <row r="61" spans="1:10" hidden="1" outlineLevel="1" x14ac:dyDescent="0.25"/>
    <row r="62" spans="1:10" hidden="1" outlineLevel="1" x14ac:dyDescent="0.25">
      <c r="A62" s="177" t="s">
        <v>1319</v>
      </c>
      <c r="B62" s="177"/>
      <c r="C62" s="177"/>
    </row>
    <row r="63" spans="1:10" hidden="1" outlineLevel="1" x14ac:dyDescent="0.25">
      <c r="A63" s="211" t="s">
        <v>1116</v>
      </c>
      <c r="B63" s="199" t="s">
        <v>907</v>
      </c>
      <c r="C63" s="200" t="s">
        <v>891</v>
      </c>
    </row>
    <row r="64" spans="1:10" hidden="1" outlineLevel="1" x14ac:dyDescent="0.25">
      <c r="A64" s="218">
        <v>1</v>
      </c>
      <c r="B64" s="212"/>
      <c r="C64" s="193"/>
    </row>
    <row r="65" spans="1:3" hidden="1" outlineLevel="1" x14ac:dyDescent="0.25">
      <c r="A65" s="218">
        <v>2</v>
      </c>
      <c r="B65" s="213"/>
      <c r="C65" s="193"/>
    </row>
    <row r="66" spans="1:3" hidden="1" outlineLevel="1" x14ac:dyDescent="0.25">
      <c r="A66" s="220">
        <v>3</v>
      </c>
      <c r="B66" s="214"/>
      <c r="C66" s="172"/>
    </row>
    <row r="67" spans="1:3" hidden="1" outlineLevel="1" x14ac:dyDescent="0.25">
      <c r="A67" s="207"/>
      <c r="B67" s="207"/>
      <c r="C67" s="207"/>
    </row>
    <row r="68" spans="1:3" hidden="1" outlineLevel="1" x14ac:dyDescent="0.25">
      <c r="A68" s="173" t="s">
        <v>1320</v>
      </c>
    </row>
    <row r="69" spans="1:3" hidden="1" outlineLevel="1" x14ac:dyDescent="0.25">
      <c r="A69" s="204" t="s">
        <v>1006</v>
      </c>
      <c r="B69" s="203" t="s">
        <v>8</v>
      </c>
      <c r="C69" s="200" t="s">
        <v>891</v>
      </c>
    </row>
    <row r="70" spans="1:3" hidden="1" outlineLevel="1" x14ac:dyDescent="0.25">
      <c r="A70" s="215"/>
      <c r="B70" s="222" t="s">
        <v>1117</v>
      </c>
      <c r="C70" s="216"/>
    </row>
    <row r="71" spans="1:3" hidden="1" outlineLevel="1" x14ac:dyDescent="0.25">
      <c r="A71" s="217"/>
      <c r="B71" s="223" t="s">
        <v>769</v>
      </c>
      <c r="C71" s="217"/>
    </row>
    <row r="72" spans="1:3" hidden="1" outlineLevel="1" x14ac:dyDescent="0.25"/>
    <row r="73" spans="1:3" collapsed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0:C71 E32 H54:J60 C64:C66 G23:G27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D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54:G60 Z23:AD27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0:A71" xr:uid="{62DB8755-2FC7-45C4-9297-956FD36B9999}">
      <formula1>AND(A70="X",COUNTA($A$70:$A$71)&lt;=1)</formula1>
    </dataValidation>
    <dataValidation type="custom" allowBlank="1" showInputMessage="1" showErrorMessage="1" sqref="A54:A60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Data'!$B$2:$B$100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B64:B66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topLeftCell="A2" workbookViewId="0">
      <selection activeCell="A2" sqref="A2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3" t="s">
        <v>682</v>
      </c>
      <c r="E2" s="234"/>
      <c r="F2" s="234"/>
      <c r="G2" s="234"/>
      <c r="H2" s="234"/>
      <c r="I2" s="234"/>
      <c r="J2" s="234"/>
      <c r="K2" s="234"/>
      <c r="L2" s="235"/>
      <c r="M2" s="60"/>
      <c r="N2" s="233" t="s">
        <v>814</v>
      </c>
      <c r="O2" s="234"/>
      <c r="P2" s="234"/>
      <c r="Q2" s="235"/>
      <c r="R2" s="234" t="s">
        <v>815</v>
      </c>
      <c r="S2" s="234"/>
      <c r="T2" s="234"/>
      <c r="U2" s="235"/>
      <c r="V2" s="234" t="s">
        <v>816</v>
      </c>
      <c r="W2" s="234"/>
      <c r="X2" s="234"/>
      <c r="Y2" s="235"/>
    </row>
    <row r="3" spans="1:25" x14ac:dyDescent="0.25">
      <c r="A3" s="10" t="s">
        <v>1149</v>
      </c>
      <c r="D3" s="62" t="s">
        <v>385</v>
      </c>
      <c r="E3" s="63" t="s">
        <v>1</v>
      </c>
      <c r="F3" s="63" t="s">
        <v>8</v>
      </c>
      <c r="G3" s="63" t="s">
        <v>18</v>
      </c>
      <c r="H3" s="63" t="s">
        <v>384</v>
      </c>
      <c r="I3" s="63" t="s">
        <v>58</v>
      </c>
      <c r="J3" s="63" t="s">
        <v>59</v>
      </c>
      <c r="K3" s="63" t="s">
        <v>371</v>
      </c>
      <c r="L3" s="64" t="s">
        <v>60</v>
      </c>
      <c r="M3" s="60"/>
      <c r="N3" s="62" t="s">
        <v>812</v>
      </c>
      <c r="O3" s="63" t="s">
        <v>8</v>
      </c>
      <c r="P3" s="63" t="s">
        <v>18</v>
      </c>
      <c r="Q3" s="64" t="s">
        <v>813</v>
      </c>
      <c r="R3" s="63" t="s">
        <v>812</v>
      </c>
      <c r="S3" s="63" t="s">
        <v>8</v>
      </c>
      <c r="T3" s="63" t="s">
        <v>18</v>
      </c>
      <c r="U3" s="64" t="s">
        <v>813</v>
      </c>
      <c r="V3" s="63" t="s">
        <v>812</v>
      </c>
      <c r="W3" s="63" t="s">
        <v>8</v>
      </c>
      <c r="X3" s="63" t="s">
        <v>18</v>
      </c>
      <c r="Y3" s="64" t="s">
        <v>813</v>
      </c>
    </row>
    <row r="4" spans="1:25" x14ac:dyDescent="0.25">
      <c r="A4" t="s">
        <v>1142</v>
      </c>
      <c r="C4" t="s">
        <v>1139</v>
      </c>
      <c r="D4" s="106">
        <v>5</v>
      </c>
      <c r="E4" s="107" t="s">
        <v>6</v>
      </c>
      <c r="F4" s="108" t="s">
        <v>368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825</v>
      </c>
      <c r="O4" s="44" t="s">
        <v>628</v>
      </c>
      <c r="P4" s="44">
        <v>10</v>
      </c>
      <c r="Q4" s="54">
        <v>1</v>
      </c>
      <c r="R4" s="52" t="s">
        <v>811</v>
      </c>
      <c r="S4" s="44" t="s">
        <v>368</v>
      </c>
      <c r="T4" s="44">
        <v>10</v>
      </c>
      <c r="U4" s="54">
        <v>1</v>
      </c>
      <c r="V4" s="52" t="s">
        <v>861</v>
      </c>
      <c r="W4" s="44" t="s">
        <v>681</v>
      </c>
      <c r="X4" s="44">
        <v>10</v>
      </c>
      <c r="Y4" s="54">
        <v>1</v>
      </c>
    </row>
    <row r="5" spans="1:25" x14ac:dyDescent="0.25">
      <c r="A5" t="s">
        <v>1143</v>
      </c>
      <c r="D5" s="52">
        <v>4</v>
      </c>
      <c r="E5" s="44" t="s">
        <v>6</v>
      </c>
      <c r="F5" s="45" t="s">
        <v>990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811</v>
      </c>
      <c r="O5" s="44" t="s">
        <v>990</v>
      </c>
      <c r="P5" s="44">
        <v>10</v>
      </c>
      <c r="Q5" s="54">
        <v>1</v>
      </c>
      <c r="R5" s="52" t="s">
        <v>835</v>
      </c>
      <c r="S5" s="44" t="s">
        <v>644</v>
      </c>
      <c r="T5" s="44">
        <v>10</v>
      </c>
      <c r="U5" s="54">
        <v>1</v>
      </c>
      <c r="V5" s="52" t="s">
        <v>861</v>
      </c>
      <c r="W5" s="44" t="s">
        <v>681</v>
      </c>
      <c r="X5" s="44">
        <v>10</v>
      </c>
      <c r="Y5" s="54">
        <v>1</v>
      </c>
    </row>
    <row r="6" spans="1:25" x14ac:dyDescent="0.25">
      <c r="A6" t="s">
        <v>1144</v>
      </c>
      <c r="D6" s="52">
        <v>6</v>
      </c>
      <c r="E6" s="44" t="s">
        <v>3</v>
      </c>
      <c r="F6" s="45" t="s">
        <v>365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875</v>
      </c>
      <c r="O6" s="44" t="s">
        <v>663</v>
      </c>
      <c r="P6" s="44">
        <v>10</v>
      </c>
      <c r="Q6" s="54">
        <v>1</v>
      </c>
      <c r="R6" s="52" t="s">
        <v>9</v>
      </c>
      <c r="S6" s="44" t="s">
        <v>669</v>
      </c>
      <c r="T6" s="44">
        <v>10</v>
      </c>
      <c r="U6" s="54">
        <v>1</v>
      </c>
      <c r="V6" s="52" t="s">
        <v>850</v>
      </c>
      <c r="W6" s="44" t="s">
        <v>652</v>
      </c>
      <c r="X6" s="44">
        <v>10</v>
      </c>
      <c r="Y6" s="54">
        <v>1</v>
      </c>
    </row>
    <row r="7" spans="1:25" x14ac:dyDescent="0.25">
      <c r="A7" t="s">
        <v>1163</v>
      </c>
      <c r="D7" s="52">
        <v>5</v>
      </c>
      <c r="E7" s="44" t="s">
        <v>3</v>
      </c>
      <c r="F7" s="45" t="s">
        <v>923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875</v>
      </c>
      <c r="O7" s="44" t="s">
        <v>663</v>
      </c>
      <c r="P7" s="44">
        <v>10</v>
      </c>
      <c r="Q7" s="54">
        <v>1</v>
      </c>
      <c r="R7" s="52" t="s">
        <v>9</v>
      </c>
      <c r="S7" s="44" t="s">
        <v>669</v>
      </c>
      <c r="T7" s="44">
        <v>10</v>
      </c>
      <c r="U7" s="54">
        <v>1</v>
      </c>
      <c r="V7" s="52" t="s">
        <v>850</v>
      </c>
      <c r="W7" s="44" t="s">
        <v>652</v>
      </c>
      <c r="X7" s="44">
        <v>10</v>
      </c>
      <c r="Y7" s="54">
        <v>1</v>
      </c>
    </row>
    <row r="8" spans="1:25" x14ac:dyDescent="0.25">
      <c r="A8" t="s">
        <v>1141</v>
      </c>
      <c r="D8" s="53">
        <v>5</v>
      </c>
      <c r="E8" s="46" t="s">
        <v>3</v>
      </c>
      <c r="F8" s="47" t="s">
        <v>142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875</v>
      </c>
      <c r="O8" s="46" t="s">
        <v>663</v>
      </c>
      <c r="P8" s="46">
        <v>10</v>
      </c>
      <c r="Q8" s="55">
        <v>1</v>
      </c>
      <c r="R8" s="53" t="s">
        <v>9</v>
      </c>
      <c r="S8" s="46" t="s">
        <v>669</v>
      </c>
      <c r="T8" s="46">
        <v>10</v>
      </c>
      <c r="U8" s="55">
        <v>1</v>
      </c>
      <c r="V8" s="53" t="s">
        <v>850</v>
      </c>
      <c r="W8" s="46" t="s">
        <v>652</v>
      </c>
      <c r="X8" s="46">
        <v>10</v>
      </c>
      <c r="Y8" s="55">
        <v>1</v>
      </c>
    </row>
    <row r="9" spans="1:25" x14ac:dyDescent="0.25">
      <c r="A9" t="s">
        <v>1162</v>
      </c>
      <c r="C9" t="s">
        <v>1142</v>
      </c>
      <c r="D9" s="106">
        <v>5</v>
      </c>
      <c r="E9" s="107" t="s">
        <v>4</v>
      </c>
      <c r="F9" s="108" t="s">
        <v>286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825</v>
      </c>
      <c r="O9" s="44" t="s">
        <v>628</v>
      </c>
      <c r="P9" s="44">
        <v>10</v>
      </c>
      <c r="Q9" s="54">
        <v>1</v>
      </c>
      <c r="R9" s="52" t="s">
        <v>835</v>
      </c>
      <c r="S9" s="44" t="s">
        <v>644</v>
      </c>
      <c r="T9" s="44">
        <v>10</v>
      </c>
      <c r="U9" s="54">
        <v>1</v>
      </c>
      <c r="V9" s="52" t="s">
        <v>860</v>
      </c>
      <c r="W9" s="44" t="s">
        <v>665</v>
      </c>
      <c r="X9" s="44">
        <v>10</v>
      </c>
      <c r="Y9" s="54">
        <v>1</v>
      </c>
    </row>
    <row r="10" spans="1:25" x14ac:dyDescent="0.25">
      <c r="A10" t="s">
        <v>1140</v>
      </c>
      <c r="D10" s="52">
        <v>4</v>
      </c>
      <c r="E10" s="44" t="s">
        <v>4</v>
      </c>
      <c r="F10" s="45" t="s">
        <v>983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825</v>
      </c>
      <c r="O10" s="44" t="s">
        <v>628</v>
      </c>
      <c r="P10" s="44">
        <v>10</v>
      </c>
      <c r="Q10" s="54">
        <v>1</v>
      </c>
      <c r="R10" s="52" t="s">
        <v>835</v>
      </c>
      <c r="S10" s="44" t="s">
        <v>644</v>
      </c>
      <c r="T10" s="44">
        <v>10</v>
      </c>
      <c r="U10" s="54">
        <v>1</v>
      </c>
      <c r="V10" s="52" t="s">
        <v>860</v>
      </c>
      <c r="W10" s="44" t="s">
        <v>665</v>
      </c>
      <c r="X10" s="44">
        <v>10</v>
      </c>
      <c r="Y10" s="54">
        <v>1</v>
      </c>
    </row>
    <row r="11" spans="1:25" x14ac:dyDescent="0.25">
      <c r="A11" t="s">
        <v>1145</v>
      </c>
      <c r="D11" s="52">
        <v>5</v>
      </c>
      <c r="E11" s="44" t="s">
        <v>3</v>
      </c>
      <c r="F11" s="45" t="s">
        <v>336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811</v>
      </c>
      <c r="O11" s="44" t="s">
        <v>877</v>
      </c>
      <c r="P11" s="44">
        <v>10</v>
      </c>
      <c r="Q11" s="54">
        <v>1</v>
      </c>
      <c r="R11" s="52" t="s">
        <v>811</v>
      </c>
      <c r="S11" s="44" t="s">
        <v>880</v>
      </c>
      <c r="T11" s="44">
        <v>10</v>
      </c>
      <c r="U11" s="54">
        <v>1</v>
      </c>
      <c r="V11" s="52" t="s">
        <v>811</v>
      </c>
      <c r="W11" s="44" t="s">
        <v>883</v>
      </c>
      <c r="X11" s="44">
        <v>10</v>
      </c>
      <c r="Y11" s="54">
        <v>1</v>
      </c>
    </row>
    <row r="12" spans="1:25" x14ac:dyDescent="0.25">
      <c r="A12" t="s">
        <v>1324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875</v>
      </c>
      <c r="O12" s="44" t="s">
        <v>663</v>
      </c>
      <c r="P12" s="44">
        <v>10</v>
      </c>
      <c r="Q12" s="54">
        <v>1</v>
      </c>
      <c r="R12" s="52" t="s">
        <v>9</v>
      </c>
      <c r="S12" s="44" t="s">
        <v>669</v>
      </c>
      <c r="T12" s="44">
        <v>10</v>
      </c>
      <c r="U12" s="54">
        <v>1</v>
      </c>
      <c r="V12" s="52" t="s">
        <v>850</v>
      </c>
      <c r="W12" s="44" t="s">
        <v>659</v>
      </c>
      <c r="X12" s="44">
        <v>10</v>
      </c>
      <c r="Y12" s="54">
        <v>1</v>
      </c>
    </row>
    <row r="13" spans="1:25" x14ac:dyDescent="0.25">
      <c r="A13" t="s">
        <v>1139</v>
      </c>
      <c r="D13" s="53">
        <v>5</v>
      </c>
      <c r="E13" s="46" t="s">
        <v>3</v>
      </c>
      <c r="F13" s="47" t="s">
        <v>266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875</v>
      </c>
      <c r="O13" s="46" t="s">
        <v>663</v>
      </c>
      <c r="P13" s="46">
        <v>10</v>
      </c>
      <c r="Q13" s="55">
        <v>1</v>
      </c>
      <c r="R13" s="53" t="s">
        <v>9</v>
      </c>
      <c r="S13" s="46" t="s">
        <v>669</v>
      </c>
      <c r="T13" s="46">
        <v>10</v>
      </c>
      <c r="U13" s="55">
        <v>1</v>
      </c>
      <c r="V13" s="53" t="s">
        <v>850</v>
      </c>
      <c r="W13" s="46" t="s">
        <v>652</v>
      </c>
      <c r="X13" s="46">
        <v>10</v>
      </c>
      <c r="Y13" s="55">
        <v>1</v>
      </c>
    </row>
    <row r="14" spans="1:25" x14ac:dyDescent="0.25">
      <c r="A14" t="s">
        <v>1323</v>
      </c>
      <c r="C14" t="s">
        <v>1143</v>
      </c>
      <c r="D14" s="106">
        <v>5</v>
      </c>
      <c r="E14" s="107" t="s">
        <v>4</v>
      </c>
      <c r="F14" s="108" t="s">
        <v>286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825</v>
      </c>
      <c r="O14" s="44" t="s">
        <v>628</v>
      </c>
      <c r="P14" s="44">
        <v>10</v>
      </c>
      <c r="Q14" s="54">
        <v>1</v>
      </c>
      <c r="R14" s="52" t="s">
        <v>835</v>
      </c>
      <c r="S14" s="44" t="s">
        <v>644</v>
      </c>
      <c r="T14" s="44">
        <v>10</v>
      </c>
      <c r="U14" s="54">
        <v>1</v>
      </c>
      <c r="V14" s="52" t="s">
        <v>860</v>
      </c>
      <c r="W14" s="44" t="s">
        <v>665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983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825</v>
      </c>
      <c r="O15" s="44" t="s">
        <v>628</v>
      </c>
      <c r="P15" s="44">
        <v>10</v>
      </c>
      <c r="Q15" s="54">
        <v>1</v>
      </c>
      <c r="R15" s="52" t="s">
        <v>835</v>
      </c>
      <c r="S15" s="44" t="s">
        <v>644</v>
      </c>
      <c r="T15" s="44">
        <v>10</v>
      </c>
      <c r="U15" s="54">
        <v>1</v>
      </c>
      <c r="V15" s="52" t="s">
        <v>860</v>
      </c>
      <c r="W15" s="44" t="s">
        <v>665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207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825</v>
      </c>
      <c r="O16" s="44" t="s">
        <v>628</v>
      </c>
      <c r="P16" s="44">
        <v>10</v>
      </c>
      <c r="Q16" s="54">
        <v>1</v>
      </c>
      <c r="R16" s="52" t="s">
        <v>835</v>
      </c>
      <c r="S16" s="44" t="s">
        <v>644</v>
      </c>
      <c r="T16" s="44">
        <v>10</v>
      </c>
      <c r="U16" s="54">
        <v>1</v>
      </c>
      <c r="V16" s="52" t="s">
        <v>860</v>
      </c>
      <c r="W16" s="44" t="s">
        <v>665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875</v>
      </c>
      <c r="O17" s="44" t="s">
        <v>663</v>
      </c>
      <c r="P17" s="44">
        <v>10</v>
      </c>
      <c r="Q17" s="54">
        <v>1</v>
      </c>
      <c r="R17" s="52" t="s">
        <v>9</v>
      </c>
      <c r="S17" s="44" t="s">
        <v>669</v>
      </c>
      <c r="T17" s="44">
        <v>10</v>
      </c>
      <c r="U17" s="54">
        <v>1</v>
      </c>
      <c r="V17" s="52" t="s">
        <v>850</v>
      </c>
      <c r="W17" s="44" t="s">
        <v>659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266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875</v>
      </c>
      <c r="O18" s="46" t="s">
        <v>663</v>
      </c>
      <c r="P18" s="46">
        <v>10</v>
      </c>
      <c r="Q18" s="55">
        <v>1</v>
      </c>
      <c r="R18" s="53" t="s">
        <v>9</v>
      </c>
      <c r="S18" s="46" t="s">
        <v>669</v>
      </c>
      <c r="T18" s="46">
        <v>10</v>
      </c>
      <c r="U18" s="55">
        <v>1</v>
      </c>
      <c r="V18" s="53" t="s">
        <v>850</v>
      </c>
      <c r="W18" s="46" t="s">
        <v>652</v>
      </c>
      <c r="X18" s="46">
        <v>10</v>
      </c>
      <c r="Y18" s="55">
        <v>1</v>
      </c>
    </row>
    <row r="19" spans="3:25" x14ac:dyDescent="0.25">
      <c r="C19" t="s">
        <v>1140</v>
      </c>
      <c r="D19" s="106">
        <v>5</v>
      </c>
      <c r="E19" s="107" t="s">
        <v>6</v>
      </c>
      <c r="F19" s="108" t="s">
        <v>368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825</v>
      </c>
      <c r="O19" s="44" t="s">
        <v>628</v>
      </c>
      <c r="P19" s="44">
        <v>10</v>
      </c>
      <c r="Q19" s="54">
        <v>1</v>
      </c>
      <c r="R19" s="52" t="s">
        <v>811</v>
      </c>
      <c r="S19" s="44" t="s">
        <v>368</v>
      </c>
      <c r="T19" s="44">
        <v>10</v>
      </c>
      <c r="U19" s="54">
        <v>1</v>
      </c>
      <c r="V19" s="52" t="s">
        <v>861</v>
      </c>
      <c r="W19" s="44" t="s">
        <v>681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943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825</v>
      </c>
      <c r="O20" s="44" t="s">
        <v>628</v>
      </c>
      <c r="P20" s="44">
        <v>10</v>
      </c>
      <c r="Q20" s="54">
        <v>1</v>
      </c>
      <c r="R20" s="52" t="s">
        <v>835</v>
      </c>
      <c r="S20" s="44" t="s">
        <v>644</v>
      </c>
      <c r="T20" s="44">
        <v>10</v>
      </c>
      <c r="U20" s="54">
        <v>1</v>
      </c>
      <c r="V20" s="52" t="s">
        <v>861</v>
      </c>
      <c r="W20" s="44" t="s">
        <v>681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365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875</v>
      </c>
      <c r="O21" s="44" t="s">
        <v>663</v>
      </c>
      <c r="P21" s="44">
        <v>10</v>
      </c>
      <c r="Q21" s="54">
        <v>1</v>
      </c>
      <c r="R21" s="52" t="s">
        <v>9</v>
      </c>
      <c r="S21" s="44" t="s">
        <v>669</v>
      </c>
      <c r="T21" s="44">
        <v>10</v>
      </c>
      <c r="U21" s="54">
        <v>1</v>
      </c>
      <c r="V21" s="52" t="s">
        <v>850</v>
      </c>
      <c r="W21" s="44" t="s">
        <v>652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363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875</v>
      </c>
      <c r="O22" s="44" t="s">
        <v>663</v>
      </c>
      <c r="P22" s="44">
        <v>10</v>
      </c>
      <c r="Q22" s="54">
        <v>1</v>
      </c>
      <c r="R22" s="52" t="s">
        <v>9</v>
      </c>
      <c r="S22" s="44" t="s">
        <v>669</v>
      </c>
      <c r="T22" s="44">
        <v>10</v>
      </c>
      <c r="U22" s="54">
        <v>1</v>
      </c>
      <c r="V22" s="52" t="s">
        <v>850</v>
      </c>
      <c r="W22" s="44" t="s">
        <v>652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969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875</v>
      </c>
      <c r="O23" s="46" t="s">
        <v>663</v>
      </c>
      <c r="P23" s="46">
        <v>10</v>
      </c>
      <c r="Q23" s="55">
        <v>1</v>
      </c>
      <c r="R23" s="53" t="s">
        <v>9</v>
      </c>
      <c r="S23" s="46" t="s">
        <v>669</v>
      </c>
      <c r="T23" s="46">
        <v>10</v>
      </c>
      <c r="U23" s="55">
        <v>1</v>
      </c>
      <c r="V23" s="53" t="s">
        <v>850</v>
      </c>
      <c r="W23" s="46" t="s">
        <v>652</v>
      </c>
      <c r="X23" s="46">
        <v>10</v>
      </c>
      <c r="Y23" s="55">
        <v>1</v>
      </c>
    </row>
    <row r="24" spans="3:25" x14ac:dyDescent="0.25">
      <c r="C24" t="s">
        <v>1141</v>
      </c>
      <c r="D24" s="106">
        <v>6</v>
      </c>
      <c r="E24" s="107" t="s">
        <v>2</v>
      </c>
      <c r="F24" s="108" t="s">
        <v>360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811</v>
      </c>
      <c r="O24" s="44" t="s">
        <v>301</v>
      </c>
      <c r="P24" s="44">
        <v>10</v>
      </c>
      <c r="Q24" s="54">
        <v>1</v>
      </c>
      <c r="R24" s="52" t="s">
        <v>845</v>
      </c>
      <c r="S24" s="44" t="s">
        <v>648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369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875</v>
      </c>
      <c r="O25" s="44" t="s">
        <v>663</v>
      </c>
      <c r="P25" s="44">
        <v>10</v>
      </c>
      <c r="Q25" s="54">
        <v>1</v>
      </c>
      <c r="R25" s="52" t="s">
        <v>9</v>
      </c>
      <c r="S25" s="44" t="s">
        <v>669</v>
      </c>
      <c r="T25" s="44">
        <v>10</v>
      </c>
      <c r="U25" s="54">
        <v>1</v>
      </c>
      <c r="V25" s="52" t="s">
        <v>850</v>
      </c>
      <c r="W25" s="44" t="s">
        <v>652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355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825</v>
      </c>
      <c r="O26" s="44" t="s">
        <v>628</v>
      </c>
      <c r="P26" s="44">
        <v>10</v>
      </c>
      <c r="Q26" s="54">
        <v>1</v>
      </c>
      <c r="R26" s="52" t="s">
        <v>811</v>
      </c>
      <c r="S26" s="44" t="s">
        <v>355</v>
      </c>
      <c r="T26" s="44">
        <v>10</v>
      </c>
      <c r="U26" s="54">
        <v>1</v>
      </c>
      <c r="V26" s="52" t="s">
        <v>861</v>
      </c>
      <c r="W26" s="44" t="s">
        <v>681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148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875</v>
      </c>
      <c r="O27" s="44" t="s">
        <v>663</v>
      </c>
      <c r="P27" s="44">
        <v>10</v>
      </c>
      <c r="Q27" s="54">
        <v>1</v>
      </c>
      <c r="R27" s="52" t="s">
        <v>9</v>
      </c>
      <c r="S27" s="44" t="s">
        <v>669</v>
      </c>
      <c r="T27" s="44">
        <v>10</v>
      </c>
      <c r="U27" s="54">
        <v>1</v>
      </c>
      <c r="V27" s="52" t="s">
        <v>850</v>
      </c>
      <c r="W27" s="44" t="s">
        <v>652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266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875</v>
      </c>
      <c r="O28" s="46" t="s">
        <v>663</v>
      </c>
      <c r="P28" s="46">
        <v>10</v>
      </c>
      <c r="Q28" s="55">
        <v>1</v>
      </c>
      <c r="R28" s="53" t="s">
        <v>9</v>
      </c>
      <c r="S28" s="46" t="s">
        <v>669</v>
      </c>
      <c r="T28" s="46">
        <v>10</v>
      </c>
      <c r="U28" s="55">
        <v>1</v>
      </c>
      <c r="V28" s="53" t="s">
        <v>850</v>
      </c>
      <c r="W28" s="46" t="s">
        <v>652</v>
      </c>
      <c r="X28" s="46">
        <v>10</v>
      </c>
      <c r="Y28" s="55">
        <v>1</v>
      </c>
    </row>
    <row r="29" spans="3:25" x14ac:dyDescent="0.25">
      <c r="C29" t="s">
        <v>1145</v>
      </c>
      <c r="D29" s="106">
        <v>5</v>
      </c>
      <c r="E29" s="107" t="s">
        <v>2</v>
      </c>
      <c r="F29" s="108" t="s">
        <v>356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825</v>
      </c>
      <c r="O29" s="44" t="s">
        <v>628</v>
      </c>
      <c r="P29" s="44">
        <v>10</v>
      </c>
      <c r="Q29" s="54">
        <v>1</v>
      </c>
      <c r="R29" s="52" t="s">
        <v>845</v>
      </c>
      <c r="S29" s="44" t="s">
        <v>648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228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825</v>
      </c>
      <c r="O30" s="44" t="s">
        <v>628</v>
      </c>
      <c r="P30" s="44">
        <v>10</v>
      </c>
      <c r="Q30" s="54">
        <v>1</v>
      </c>
      <c r="R30" s="52" t="s">
        <v>835</v>
      </c>
      <c r="S30" s="44" t="s">
        <v>644</v>
      </c>
      <c r="T30" s="44">
        <v>10</v>
      </c>
      <c r="U30" s="54">
        <v>1</v>
      </c>
      <c r="V30" s="52" t="s">
        <v>861</v>
      </c>
      <c r="W30" s="44" t="s">
        <v>681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365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875</v>
      </c>
      <c r="O31" s="44" t="s">
        <v>663</v>
      </c>
      <c r="P31" s="44">
        <v>10</v>
      </c>
      <c r="Q31" s="54">
        <v>1</v>
      </c>
      <c r="R31" s="52" t="s">
        <v>9</v>
      </c>
      <c r="S31" s="44" t="s">
        <v>669</v>
      </c>
      <c r="T31" s="44">
        <v>10</v>
      </c>
      <c r="U31" s="54">
        <v>1</v>
      </c>
      <c r="V31" s="52" t="s">
        <v>850</v>
      </c>
      <c r="W31" s="44" t="s">
        <v>652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266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875</v>
      </c>
      <c r="O32" s="44" t="s">
        <v>663</v>
      </c>
      <c r="P32" s="44">
        <v>10</v>
      </c>
      <c r="Q32" s="54">
        <v>1</v>
      </c>
      <c r="R32" s="52" t="s">
        <v>9</v>
      </c>
      <c r="S32" s="44" t="s">
        <v>669</v>
      </c>
      <c r="T32" s="44">
        <v>10</v>
      </c>
      <c r="U32" s="54">
        <v>1</v>
      </c>
      <c r="V32" s="52" t="s">
        <v>850</v>
      </c>
      <c r="W32" s="44" t="s">
        <v>652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858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811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669</v>
      </c>
      <c r="T33" s="46">
        <v>10</v>
      </c>
      <c r="U33" s="55">
        <v>1</v>
      </c>
      <c r="V33" s="53" t="s">
        <v>850</v>
      </c>
      <c r="W33" s="46" t="s">
        <v>652</v>
      </c>
      <c r="X33" s="46">
        <v>10</v>
      </c>
      <c r="Y33" s="55">
        <v>1</v>
      </c>
    </row>
    <row r="34" spans="3:25" x14ac:dyDescent="0.25">
      <c r="C34" t="s">
        <v>1144</v>
      </c>
      <c r="D34" s="106">
        <v>5</v>
      </c>
      <c r="E34" s="107" t="s">
        <v>3</v>
      </c>
      <c r="F34" s="108" t="s">
        <v>328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875</v>
      </c>
      <c r="O34" s="44" t="s">
        <v>663</v>
      </c>
      <c r="P34" s="44">
        <v>10</v>
      </c>
      <c r="Q34" s="54">
        <v>1</v>
      </c>
      <c r="R34" s="52" t="s">
        <v>9</v>
      </c>
      <c r="S34" s="44" t="s">
        <v>669</v>
      </c>
      <c r="T34" s="44">
        <v>10</v>
      </c>
      <c r="U34" s="54">
        <v>1</v>
      </c>
      <c r="V34" s="52" t="s">
        <v>850</v>
      </c>
      <c r="W34" s="44" t="s">
        <v>659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875</v>
      </c>
      <c r="O35" s="44" t="s">
        <v>663</v>
      </c>
      <c r="P35" s="44">
        <v>10</v>
      </c>
      <c r="Q35" s="54">
        <v>1</v>
      </c>
      <c r="R35" s="52" t="s">
        <v>9</v>
      </c>
      <c r="S35" s="44" t="s">
        <v>669</v>
      </c>
      <c r="T35" s="44">
        <v>10</v>
      </c>
      <c r="U35" s="54">
        <v>1</v>
      </c>
      <c r="V35" s="52" t="s">
        <v>850</v>
      </c>
      <c r="W35" s="44" t="s">
        <v>659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365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875</v>
      </c>
      <c r="O36" s="44" t="s">
        <v>663</v>
      </c>
      <c r="P36" s="44">
        <v>10</v>
      </c>
      <c r="Q36" s="54">
        <v>1</v>
      </c>
      <c r="R36" s="52" t="s">
        <v>9</v>
      </c>
      <c r="S36" s="44" t="s">
        <v>669</v>
      </c>
      <c r="T36" s="44">
        <v>10</v>
      </c>
      <c r="U36" s="54">
        <v>1</v>
      </c>
      <c r="V36" s="52" t="s">
        <v>850</v>
      </c>
      <c r="W36" s="44" t="s">
        <v>652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252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875</v>
      </c>
      <c r="O37" s="44" t="s">
        <v>663</v>
      </c>
      <c r="P37" s="44">
        <v>10</v>
      </c>
      <c r="Q37" s="54">
        <v>1</v>
      </c>
      <c r="R37" s="52" t="s">
        <v>9</v>
      </c>
      <c r="S37" s="44" t="s">
        <v>669</v>
      </c>
      <c r="T37" s="44">
        <v>10</v>
      </c>
      <c r="U37" s="54">
        <v>1</v>
      </c>
      <c r="V37" s="52" t="s">
        <v>850</v>
      </c>
      <c r="W37" s="44" t="s">
        <v>652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266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875</v>
      </c>
      <c r="O38" s="46" t="s">
        <v>663</v>
      </c>
      <c r="P38" s="46">
        <v>10</v>
      </c>
      <c r="Q38" s="55">
        <v>1</v>
      </c>
      <c r="R38" s="53" t="s">
        <v>9</v>
      </c>
      <c r="S38" s="46" t="s">
        <v>669</v>
      </c>
      <c r="T38" s="46">
        <v>10</v>
      </c>
      <c r="U38" s="55">
        <v>1</v>
      </c>
      <c r="V38" s="53" t="s">
        <v>850</v>
      </c>
      <c r="W38" s="46" t="s">
        <v>652</v>
      </c>
      <c r="X38" s="46">
        <v>10</v>
      </c>
      <c r="Y38" s="55">
        <v>1</v>
      </c>
    </row>
    <row r="39" spans="3:25" x14ac:dyDescent="0.25">
      <c r="C39" t="s">
        <v>1162</v>
      </c>
      <c r="D39" s="106">
        <v>5</v>
      </c>
      <c r="E39" s="107" t="s">
        <v>4</v>
      </c>
      <c r="F39" s="108" t="s">
        <v>286</v>
      </c>
      <c r="G39" s="107">
        <v>100</v>
      </c>
      <c r="H39" s="107">
        <v>5</v>
      </c>
      <c r="I39" s="107">
        <v>10</v>
      </c>
      <c r="J39" s="107">
        <v>0</v>
      </c>
      <c r="K39" s="107">
        <v>0</v>
      </c>
      <c r="L39" s="108">
        <v>100</v>
      </c>
      <c r="M39" s="61"/>
      <c r="N39" s="52" t="s">
        <v>825</v>
      </c>
      <c r="O39" s="44" t="s">
        <v>628</v>
      </c>
      <c r="P39" s="44">
        <v>10</v>
      </c>
      <c r="Q39" s="54">
        <v>1</v>
      </c>
      <c r="R39" s="52" t="s">
        <v>835</v>
      </c>
      <c r="S39" s="44" t="s">
        <v>644</v>
      </c>
      <c r="T39" s="44">
        <v>10</v>
      </c>
      <c r="U39" s="54">
        <v>1</v>
      </c>
      <c r="V39" s="52" t="s">
        <v>860</v>
      </c>
      <c r="W39" s="44" t="s">
        <v>665</v>
      </c>
      <c r="X39" s="44">
        <v>10</v>
      </c>
      <c r="Y39" s="54">
        <v>1</v>
      </c>
    </row>
    <row r="40" spans="3:25" x14ac:dyDescent="0.25">
      <c r="D40" s="52">
        <v>5</v>
      </c>
      <c r="E40" s="44" t="s">
        <v>4</v>
      </c>
      <c r="F40" s="45" t="s">
        <v>921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825</v>
      </c>
      <c r="O40" s="44" t="s">
        <v>628</v>
      </c>
      <c r="P40" s="44">
        <v>10</v>
      </c>
      <c r="Q40" s="54">
        <v>1</v>
      </c>
      <c r="R40" s="52" t="s">
        <v>835</v>
      </c>
      <c r="S40" s="44" t="s">
        <v>644</v>
      </c>
      <c r="T40" s="44">
        <v>10</v>
      </c>
      <c r="U40" s="54">
        <v>1</v>
      </c>
      <c r="V40" s="52" t="s">
        <v>860</v>
      </c>
      <c r="W40" s="44" t="s">
        <v>665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4</v>
      </c>
      <c r="F41" s="45" t="s">
        <v>156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825</v>
      </c>
      <c r="O41" s="44" t="s">
        <v>628</v>
      </c>
      <c r="P41" s="44">
        <v>10</v>
      </c>
      <c r="Q41" s="54">
        <v>1</v>
      </c>
      <c r="R41" s="52" t="s">
        <v>835</v>
      </c>
      <c r="S41" s="44" t="s">
        <v>644</v>
      </c>
      <c r="T41" s="44">
        <v>10</v>
      </c>
      <c r="U41" s="54">
        <v>1</v>
      </c>
      <c r="V41" s="52" t="s">
        <v>860</v>
      </c>
      <c r="W41" s="44" t="s">
        <v>665</v>
      </c>
      <c r="X41" s="44">
        <v>10</v>
      </c>
      <c r="Y41" s="54">
        <v>1</v>
      </c>
    </row>
    <row r="42" spans="3:25" x14ac:dyDescent="0.25">
      <c r="D42" s="52">
        <v>5</v>
      </c>
      <c r="E42" s="44" t="s">
        <v>5</v>
      </c>
      <c r="F42" s="45" t="s">
        <v>195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828</v>
      </c>
      <c r="O42" s="44" t="s">
        <v>636</v>
      </c>
      <c r="P42" s="44">
        <v>10</v>
      </c>
      <c r="Q42" s="54">
        <v>1</v>
      </c>
      <c r="R42" s="52" t="s">
        <v>874</v>
      </c>
      <c r="S42" s="44" t="s">
        <v>673</v>
      </c>
      <c r="T42" s="44">
        <v>10</v>
      </c>
      <c r="U42" s="54">
        <v>1</v>
      </c>
      <c r="V42" s="52" t="s">
        <v>747</v>
      </c>
      <c r="W42" s="44" t="s">
        <v>655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266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875</v>
      </c>
      <c r="O43" s="46" t="s">
        <v>663</v>
      </c>
      <c r="P43" s="46">
        <v>10</v>
      </c>
      <c r="Q43" s="55">
        <v>1</v>
      </c>
      <c r="R43" s="53" t="s">
        <v>9</v>
      </c>
      <c r="S43" s="46" t="s">
        <v>669</v>
      </c>
      <c r="T43" s="46">
        <v>10</v>
      </c>
      <c r="U43" s="55">
        <v>1</v>
      </c>
      <c r="V43" s="53" t="s">
        <v>850</v>
      </c>
      <c r="W43" s="46" t="s">
        <v>652</v>
      </c>
      <c r="X43" s="46">
        <v>10</v>
      </c>
      <c r="Y43" s="55">
        <v>1</v>
      </c>
    </row>
    <row r="44" spans="3:25" x14ac:dyDescent="0.25">
      <c r="C44" t="s">
        <v>1163</v>
      </c>
      <c r="D44" s="106">
        <v>6</v>
      </c>
      <c r="E44" s="107" t="s">
        <v>2</v>
      </c>
      <c r="F44" s="108" t="s">
        <v>360</v>
      </c>
      <c r="G44" s="107">
        <v>120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811</v>
      </c>
      <c r="O44" s="44" t="s">
        <v>301</v>
      </c>
      <c r="P44" s="44">
        <v>10</v>
      </c>
      <c r="Q44" s="54">
        <v>1</v>
      </c>
      <c r="R44" s="52" t="s">
        <v>845</v>
      </c>
      <c r="S44" s="44" t="s">
        <v>648</v>
      </c>
      <c r="T44" s="44">
        <v>10</v>
      </c>
      <c r="U44" s="54">
        <v>1</v>
      </c>
      <c r="V44" s="52"/>
      <c r="W44" s="44"/>
      <c r="X44" s="44"/>
      <c r="Y44" s="54"/>
    </row>
    <row r="45" spans="3:25" x14ac:dyDescent="0.25">
      <c r="D45" s="52">
        <v>5</v>
      </c>
      <c r="E45" s="44" t="s">
        <v>4</v>
      </c>
      <c r="F45" s="45" t="s">
        <v>286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825</v>
      </c>
      <c r="O45" s="44" t="s">
        <v>628</v>
      </c>
      <c r="P45" s="44">
        <v>10</v>
      </c>
      <c r="Q45" s="54">
        <v>1</v>
      </c>
      <c r="R45" s="52" t="s">
        <v>835</v>
      </c>
      <c r="S45" s="44" t="s">
        <v>644</v>
      </c>
      <c r="T45" s="44">
        <v>10</v>
      </c>
      <c r="U45" s="54">
        <v>1</v>
      </c>
      <c r="V45" s="52" t="s">
        <v>860</v>
      </c>
      <c r="W45" s="44" t="s">
        <v>665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6</v>
      </c>
      <c r="F46" s="45" t="s">
        <v>228</v>
      </c>
      <c r="G46" s="44">
        <v>100</v>
      </c>
      <c r="H46" s="44">
        <v>5</v>
      </c>
      <c r="I46" s="44">
        <v>10</v>
      </c>
      <c r="J46" s="44">
        <v>0</v>
      </c>
      <c r="K46" s="44">
        <v>0</v>
      </c>
      <c r="L46" s="45">
        <v>100</v>
      </c>
      <c r="M46" s="61"/>
      <c r="N46" s="52" t="s">
        <v>825</v>
      </c>
      <c r="O46" s="44" t="s">
        <v>628</v>
      </c>
      <c r="P46" s="44">
        <v>10</v>
      </c>
      <c r="Q46" s="54">
        <v>1</v>
      </c>
      <c r="R46" s="52" t="s">
        <v>835</v>
      </c>
      <c r="S46" s="44" t="s">
        <v>644</v>
      </c>
      <c r="T46" s="44">
        <v>10</v>
      </c>
      <c r="U46" s="54">
        <v>1</v>
      </c>
      <c r="V46" s="52" t="s">
        <v>861</v>
      </c>
      <c r="W46" s="44" t="s">
        <v>681</v>
      </c>
      <c r="X46" s="44">
        <v>10</v>
      </c>
      <c r="Y46" s="54">
        <v>1</v>
      </c>
    </row>
    <row r="47" spans="3:25" x14ac:dyDescent="0.25">
      <c r="D47" s="52">
        <v>4</v>
      </c>
      <c r="E47" s="44" t="s">
        <v>3</v>
      </c>
      <c r="F47" s="45" t="s">
        <v>145</v>
      </c>
      <c r="G47" s="44">
        <v>100</v>
      </c>
      <c r="H47" s="44">
        <v>5</v>
      </c>
      <c r="I47" s="44">
        <v>10</v>
      </c>
      <c r="J47" s="44">
        <v>0</v>
      </c>
      <c r="K47" s="44">
        <v>0</v>
      </c>
      <c r="L47" s="45">
        <v>100</v>
      </c>
      <c r="M47" s="61"/>
      <c r="N47" s="52" t="s">
        <v>875</v>
      </c>
      <c r="O47" s="44" t="s">
        <v>663</v>
      </c>
      <c r="P47" s="44">
        <v>10</v>
      </c>
      <c r="Q47" s="54">
        <v>1</v>
      </c>
      <c r="R47" s="52" t="s">
        <v>9</v>
      </c>
      <c r="S47" s="44" t="s">
        <v>669</v>
      </c>
      <c r="T47" s="44">
        <v>10</v>
      </c>
      <c r="U47" s="54">
        <v>1</v>
      </c>
      <c r="V47" s="52" t="s">
        <v>850</v>
      </c>
      <c r="W47" s="44" t="s">
        <v>652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266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875</v>
      </c>
      <c r="O48" s="46" t="s">
        <v>663</v>
      </c>
      <c r="P48" s="46">
        <v>10</v>
      </c>
      <c r="Q48" s="55">
        <v>1</v>
      </c>
      <c r="R48" s="53" t="s">
        <v>9</v>
      </c>
      <c r="S48" s="46" t="s">
        <v>669</v>
      </c>
      <c r="T48" s="46">
        <v>10</v>
      </c>
      <c r="U48" s="55">
        <v>1</v>
      </c>
      <c r="V48" s="53" t="s">
        <v>850</v>
      </c>
      <c r="W48" s="46" t="s">
        <v>652</v>
      </c>
      <c r="X48" s="46">
        <v>10</v>
      </c>
      <c r="Y48" s="55">
        <v>1</v>
      </c>
    </row>
    <row r="49" spans="3:25" x14ac:dyDescent="0.25">
      <c r="C49" t="s">
        <v>1323</v>
      </c>
      <c r="D49" s="186">
        <v>4</v>
      </c>
      <c r="E49" s="187" t="s">
        <v>6</v>
      </c>
      <c r="F49" s="188" t="s">
        <v>990</v>
      </c>
      <c r="G49" s="187">
        <v>115</v>
      </c>
      <c r="H49" s="187">
        <v>5</v>
      </c>
      <c r="I49" s="187">
        <v>10</v>
      </c>
      <c r="J49" s="187">
        <v>10</v>
      </c>
      <c r="K49" s="187">
        <v>3</v>
      </c>
      <c r="L49" s="188">
        <v>100</v>
      </c>
      <c r="M49" s="189"/>
      <c r="N49" s="190" t="s">
        <v>811</v>
      </c>
      <c r="O49" s="191" t="s">
        <v>990</v>
      </c>
      <c r="P49" s="191">
        <v>10</v>
      </c>
      <c r="Q49" s="192">
        <v>1</v>
      </c>
      <c r="R49" s="190" t="s">
        <v>835</v>
      </c>
      <c r="S49" s="191" t="s">
        <v>644</v>
      </c>
      <c r="T49" s="191">
        <v>10</v>
      </c>
      <c r="U49" s="192">
        <v>1</v>
      </c>
      <c r="V49" s="190" t="s">
        <v>861</v>
      </c>
      <c r="W49" s="191" t="s">
        <v>681</v>
      </c>
      <c r="X49" s="191">
        <v>10</v>
      </c>
      <c r="Y49" s="192">
        <v>1</v>
      </c>
    </row>
    <row r="50" spans="3:25" x14ac:dyDescent="0.25">
      <c r="D50" s="190">
        <v>5</v>
      </c>
      <c r="E50" s="191" t="s">
        <v>6</v>
      </c>
      <c r="F50" s="193" t="s">
        <v>228</v>
      </c>
      <c r="G50" s="191">
        <v>100</v>
      </c>
      <c r="H50" s="191">
        <v>5</v>
      </c>
      <c r="I50" s="191">
        <v>10</v>
      </c>
      <c r="J50" s="191">
        <v>0</v>
      </c>
      <c r="K50" s="191">
        <v>0</v>
      </c>
      <c r="L50" s="193">
        <v>100</v>
      </c>
      <c r="M50" s="189"/>
      <c r="N50" s="190" t="s">
        <v>825</v>
      </c>
      <c r="O50" s="191" t="s">
        <v>628</v>
      </c>
      <c r="P50" s="191">
        <v>10</v>
      </c>
      <c r="Q50" s="192">
        <v>1</v>
      </c>
      <c r="R50" s="190" t="s">
        <v>835</v>
      </c>
      <c r="S50" s="191" t="s">
        <v>644</v>
      </c>
      <c r="T50" s="191">
        <v>10</v>
      </c>
      <c r="U50" s="192">
        <v>1</v>
      </c>
      <c r="V50" s="190" t="s">
        <v>861</v>
      </c>
      <c r="W50" s="191" t="s">
        <v>681</v>
      </c>
      <c r="X50" s="191">
        <v>10</v>
      </c>
      <c r="Y50" s="192">
        <v>1</v>
      </c>
    </row>
    <row r="51" spans="3:25" x14ac:dyDescent="0.25">
      <c r="D51" s="190">
        <v>5</v>
      </c>
      <c r="E51" s="191" t="s">
        <v>7</v>
      </c>
      <c r="F51" s="193" t="s">
        <v>985</v>
      </c>
      <c r="G51" s="191">
        <v>110</v>
      </c>
      <c r="H51" s="191">
        <v>5</v>
      </c>
      <c r="I51" s="191">
        <v>10</v>
      </c>
      <c r="J51" s="191">
        <v>0</v>
      </c>
      <c r="K51" s="191">
        <v>2</v>
      </c>
      <c r="L51" s="193">
        <v>100</v>
      </c>
      <c r="M51" s="189"/>
      <c r="N51" s="190" t="s">
        <v>875</v>
      </c>
      <c r="O51" s="191" t="s">
        <v>663</v>
      </c>
      <c r="P51" s="191">
        <v>10</v>
      </c>
      <c r="Q51" s="192">
        <v>1</v>
      </c>
      <c r="R51" s="190" t="s">
        <v>9</v>
      </c>
      <c r="S51" s="191" t="s">
        <v>669</v>
      </c>
      <c r="T51" s="191">
        <v>10</v>
      </c>
      <c r="U51" s="192">
        <v>1</v>
      </c>
      <c r="V51" s="190" t="s">
        <v>850</v>
      </c>
      <c r="W51" s="191" t="s">
        <v>652</v>
      </c>
      <c r="X51" s="191">
        <v>10</v>
      </c>
      <c r="Y51" s="192">
        <v>1</v>
      </c>
    </row>
    <row r="52" spans="3:25" x14ac:dyDescent="0.25">
      <c r="D52" s="190">
        <v>5</v>
      </c>
      <c r="E52" s="191" t="s">
        <v>3</v>
      </c>
      <c r="F52" s="193" t="s">
        <v>858</v>
      </c>
      <c r="G52" s="191">
        <v>100</v>
      </c>
      <c r="H52" s="191">
        <v>5</v>
      </c>
      <c r="I52" s="191">
        <v>10</v>
      </c>
      <c r="J52" s="191">
        <v>10</v>
      </c>
      <c r="K52" s="191">
        <v>2</v>
      </c>
      <c r="L52" s="193">
        <v>100</v>
      </c>
      <c r="M52" s="189"/>
      <c r="N52" s="190" t="s">
        <v>811</v>
      </c>
      <c r="O52" s="191" t="s">
        <v>67</v>
      </c>
      <c r="P52" s="191">
        <v>10</v>
      </c>
      <c r="Q52" s="192">
        <v>1</v>
      </c>
      <c r="R52" s="190" t="s">
        <v>9</v>
      </c>
      <c r="S52" s="191" t="s">
        <v>669</v>
      </c>
      <c r="T52" s="191">
        <v>10</v>
      </c>
      <c r="U52" s="192">
        <v>1</v>
      </c>
      <c r="V52" s="190" t="s">
        <v>850</v>
      </c>
      <c r="W52" s="191" t="s">
        <v>652</v>
      </c>
      <c r="X52" s="191">
        <v>10</v>
      </c>
      <c r="Y52" s="192">
        <v>1</v>
      </c>
    </row>
    <row r="53" spans="3:25" x14ac:dyDescent="0.25">
      <c r="D53" s="194">
        <v>5</v>
      </c>
      <c r="E53" s="195" t="s">
        <v>3</v>
      </c>
      <c r="F53" s="172" t="s">
        <v>266</v>
      </c>
      <c r="G53" s="195">
        <v>100</v>
      </c>
      <c r="H53" s="195">
        <v>5</v>
      </c>
      <c r="I53" s="195">
        <v>10</v>
      </c>
      <c r="J53" s="195">
        <v>0</v>
      </c>
      <c r="K53" s="195">
        <v>0</v>
      </c>
      <c r="L53" s="172">
        <v>100</v>
      </c>
      <c r="M53" s="189"/>
      <c r="N53" s="194" t="s">
        <v>875</v>
      </c>
      <c r="O53" s="195" t="s">
        <v>663</v>
      </c>
      <c r="P53" s="195">
        <v>10</v>
      </c>
      <c r="Q53" s="196">
        <v>1</v>
      </c>
      <c r="R53" s="194" t="s">
        <v>9</v>
      </c>
      <c r="S53" s="195" t="s">
        <v>669</v>
      </c>
      <c r="T53" s="195">
        <v>10</v>
      </c>
      <c r="U53" s="196">
        <v>1</v>
      </c>
      <c r="V53" s="194" t="s">
        <v>850</v>
      </c>
      <c r="W53" s="195" t="s">
        <v>652</v>
      </c>
      <c r="X53" s="195">
        <v>10</v>
      </c>
      <c r="Y53" s="196">
        <v>1</v>
      </c>
    </row>
    <row r="54" spans="3:25" x14ac:dyDescent="0.25">
      <c r="C54" t="s">
        <v>1324</v>
      </c>
      <c r="D54" s="186">
        <v>5</v>
      </c>
      <c r="E54" s="187" t="s">
        <v>2</v>
      </c>
      <c r="F54" s="188" t="s">
        <v>356</v>
      </c>
      <c r="G54" s="187">
        <v>120</v>
      </c>
      <c r="H54" s="187">
        <v>5</v>
      </c>
      <c r="I54" s="187">
        <v>10</v>
      </c>
      <c r="J54" s="187">
        <v>10</v>
      </c>
      <c r="K54" s="187">
        <v>3</v>
      </c>
      <c r="L54" s="188">
        <v>100</v>
      </c>
      <c r="M54" s="189"/>
      <c r="N54" s="190" t="s">
        <v>825</v>
      </c>
      <c r="O54" s="191" t="s">
        <v>628</v>
      </c>
      <c r="P54" s="191">
        <v>10</v>
      </c>
      <c r="Q54" s="192">
        <v>1</v>
      </c>
      <c r="R54" s="190" t="s">
        <v>845</v>
      </c>
      <c r="S54" s="191" t="s">
        <v>648</v>
      </c>
      <c r="T54" s="191">
        <v>10</v>
      </c>
      <c r="U54" s="192">
        <v>1</v>
      </c>
      <c r="V54" s="190"/>
      <c r="W54" s="191"/>
      <c r="X54" s="191"/>
      <c r="Y54" s="192"/>
    </row>
    <row r="55" spans="3:25" x14ac:dyDescent="0.25">
      <c r="D55" s="190">
        <v>5</v>
      </c>
      <c r="E55" s="191" t="s">
        <v>6</v>
      </c>
      <c r="F55" s="193" t="s">
        <v>343</v>
      </c>
      <c r="G55" s="191">
        <v>100</v>
      </c>
      <c r="H55" s="191">
        <v>5</v>
      </c>
      <c r="I55" s="191">
        <v>10</v>
      </c>
      <c r="J55" s="191">
        <v>0</v>
      </c>
      <c r="K55" s="191">
        <v>0</v>
      </c>
      <c r="L55" s="193">
        <v>100</v>
      </c>
      <c r="M55" s="189"/>
      <c r="N55" s="190" t="s">
        <v>825</v>
      </c>
      <c r="O55" s="191" t="s">
        <v>628</v>
      </c>
      <c r="P55" s="191">
        <v>10</v>
      </c>
      <c r="Q55" s="192">
        <v>1</v>
      </c>
      <c r="R55" s="190" t="s">
        <v>835</v>
      </c>
      <c r="S55" s="191" t="s">
        <v>644</v>
      </c>
      <c r="T55" s="191">
        <v>10</v>
      </c>
      <c r="U55" s="192">
        <v>1</v>
      </c>
      <c r="V55" s="190" t="s">
        <v>811</v>
      </c>
      <c r="W55" s="191" t="s">
        <v>343</v>
      </c>
      <c r="X55" s="191">
        <v>10</v>
      </c>
      <c r="Y55" s="192">
        <v>1</v>
      </c>
    </row>
    <row r="56" spans="3:25" x14ac:dyDescent="0.25">
      <c r="D56" s="190">
        <v>5</v>
      </c>
      <c r="E56" s="191" t="s">
        <v>3</v>
      </c>
      <c r="F56" s="193" t="s">
        <v>923</v>
      </c>
      <c r="G56" s="191">
        <v>100</v>
      </c>
      <c r="H56" s="191">
        <v>5</v>
      </c>
      <c r="I56" s="191">
        <v>10</v>
      </c>
      <c r="J56" s="191">
        <v>0</v>
      </c>
      <c r="K56" s="191">
        <v>0</v>
      </c>
      <c r="L56" s="193">
        <v>100</v>
      </c>
      <c r="M56" s="189"/>
      <c r="N56" s="190" t="s">
        <v>875</v>
      </c>
      <c r="O56" s="191" t="s">
        <v>663</v>
      </c>
      <c r="P56" s="191">
        <v>10</v>
      </c>
      <c r="Q56" s="192">
        <v>1</v>
      </c>
      <c r="R56" s="190" t="s">
        <v>9</v>
      </c>
      <c r="S56" s="191" t="s">
        <v>669</v>
      </c>
      <c r="T56" s="191">
        <v>10</v>
      </c>
      <c r="U56" s="192">
        <v>1</v>
      </c>
      <c r="V56" s="190" t="s">
        <v>850</v>
      </c>
      <c r="W56" s="191" t="s">
        <v>652</v>
      </c>
      <c r="X56" s="191">
        <v>10</v>
      </c>
      <c r="Y56" s="192">
        <v>1</v>
      </c>
    </row>
    <row r="57" spans="3:25" x14ac:dyDescent="0.25">
      <c r="D57" s="190">
        <v>6</v>
      </c>
      <c r="E57" s="191" t="s">
        <v>3</v>
      </c>
      <c r="F57" s="193" t="s">
        <v>365</v>
      </c>
      <c r="G57" s="191">
        <v>110</v>
      </c>
      <c r="H57" s="191">
        <v>5</v>
      </c>
      <c r="I57" s="191">
        <v>10</v>
      </c>
      <c r="J57" s="191">
        <v>10</v>
      </c>
      <c r="K57" s="191">
        <v>2</v>
      </c>
      <c r="L57" s="193">
        <v>100</v>
      </c>
      <c r="M57" s="189"/>
      <c r="N57" s="190" t="s">
        <v>875</v>
      </c>
      <c r="O57" s="191" t="s">
        <v>663</v>
      </c>
      <c r="P57" s="191">
        <v>10</v>
      </c>
      <c r="Q57" s="192">
        <v>1</v>
      </c>
      <c r="R57" s="190" t="s">
        <v>9</v>
      </c>
      <c r="S57" s="191" t="s">
        <v>669</v>
      </c>
      <c r="T57" s="191">
        <v>10</v>
      </c>
      <c r="U57" s="192">
        <v>1</v>
      </c>
      <c r="V57" s="190" t="s">
        <v>850</v>
      </c>
      <c r="W57" s="191" t="s">
        <v>652</v>
      </c>
      <c r="X57" s="191">
        <v>10</v>
      </c>
      <c r="Y57" s="192">
        <v>1</v>
      </c>
    </row>
    <row r="58" spans="3:25" x14ac:dyDescent="0.25">
      <c r="D58" s="194">
        <v>5</v>
      </c>
      <c r="E58" s="195" t="s">
        <v>3</v>
      </c>
      <c r="F58" s="172" t="s">
        <v>858</v>
      </c>
      <c r="G58" s="195">
        <v>110</v>
      </c>
      <c r="H58" s="195">
        <v>5</v>
      </c>
      <c r="I58" s="195">
        <v>10</v>
      </c>
      <c r="J58" s="195">
        <v>10</v>
      </c>
      <c r="K58" s="195">
        <v>2</v>
      </c>
      <c r="L58" s="172">
        <v>100</v>
      </c>
      <c r="M58" s="189"/>
      <c r="N58" s="194" t="s">
        <v>811</v>
      </c>
      <c r="O58" s="195" t="s">
        <v>67</v>
      </c>
      <c r="P58" s="195">
        <v>10</v>
      </c>
      <c r="Q58" s="196">
        <v>1</v>
      </c>
      <c r="R58" s="194" t="s">
        <v>9</v>
      </c>
      <c r="S58" s="195" t="s">
        <v>669</v>
      </c>
      <c r="T58" s="195">
        <v>10</v>
      </c>
      <c r="U58" s="196">
        <v>1</v>
      </c>
      <c r="V58" s="194" t="s">
        <v>850</v>
      </c>
      <c r="W58" s="195" t="s">
        <v>652</v>
      </c>
      <c r="X58" s="195">
        <v>10</v>
      </c>
      <c r="Y58" s="196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 J39:J48 P39:P48 T39:T48 X39:X48" xr:uid="{B22891FB-9754-4FD6-8D2A-45B78D32A93E}">
      <formula1>"0,1,2,3,4,5,6,7,8,9,10"</formula1>
    </dataValidation>
    <dataValidation type="list" allowBlank="1" showInputMessage="1" showErrorMessage="1" sqref="O24:O28 S24:S28 W24:W28 O39:O48 S39:S48 W39:W48" xr:uid="{6D9FE268-71E4-48E8-A12F-B3FE8DD99E08}">
      <formula1>DollEq</formula1>
    </dataValidation>
    <dataValidation type="whole" allowBlank="1" showInputMessage="1" showErrorMessage="1" sqref="L24:L28 L39:L48" xr:uid="{2B807D8E-746A-460E-A7EA-1402E240A8D1}">
      <formula1>0</formula1>
      <formula2>200</formula2>
    </dataValidation>
    <dataValidation type="list" allowBlank="1" showInputMessage="1" showErrorMessage="1" sqref="K24:K28 K39:K48" xr:uid="{A1EECA0F-7CEE-427A-8704-616884A297ED}">
      <formula1>"0,1,2,3,4"</formula1>
    </dataValidation>
    <dataValidation type="list" allowBlank="1" showInputMessage="1" showErrorMessage="1" sqref="I24:I28 I39:I48" xr:uid="{00481E2F-F616-4F14-9392-A126A25B7814}">
      <formula1>"1,2,3,4,5,6,7,8,9,10"</formula1>
    </dataValidation>
    <dataValidation type="list" allowBlank="1" showInputMessage="1" showErrorMessage="1" sqref="H24:H28 H39:H48" xr:uid="{F8922C03-8B3E-40B6-B5E3-3EF0FBB27CF7}">
      <formula1>"1,2,3,4,5"</formula1>
    </dataValidation>
    <dataValidation type="whole" allowBlank="1" showInputMessage="1" showErrorMessage="1" sqref="G24:G28 G39:G48" xr:uid="{F298FFBB-208C-48F1-A2AE-EC7483436BD7}">
      <formula1>1</formula1>
      <formula2>120</formula2>
    </dataValidation>
    <dataValidation type="list" allowBlank="1" showInputMessage="1" showErrorMessage="1" sqref="F24:F28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20065</v>
      </c>
      <c r="D2" s="1">
        <f>VLOOKUP(Main!E23,'Exp Tables'!$A$3:$C$122,3,FALSE)</f>
        <v>30283300</v>
      </c>
      <c r="E2" s="1">
        <f>Main!E23</f>
        <v>120</v>
      </c>
      <c r="F2" s="1">
        <f>IF(EchType="SF",0,1)</f>
        <v>1</v>
      </c>
      <c r="G2" s="1">
        <f>Main!I23</f>
        <v>3</v>
      </c>
      <c r="H2" s="1">
        <f>Main!A23</f>
        <v>1</v>
      </c>
      <c r="I2" s="1">
        <f t="array" ref="I2">SUMPRODUCT((Main!$H$30:$J$32=H2)*'Misc Inputs'!$B$3:$D$5)</f>
        <v>9</v>
      </c>
      <c r="J2" s="1">
        <f>'G&amp;K Stat Calc'!AA3*Main!$F23</f>
        <v>620</v>
      </c>
      <c r="K2" s="1">
        <v>5</v>
      </c>
      <c r="L2" s="1">
        <v>10</v>
      </c>
      <c r="M2" s="39">
        <f>'G&amp;K Stat Calc'!AB17</f>
        <v>36</v>
      </c>
      <c r="N2" s="39">
        <f>'G&amp;K Stat Calc'!AD17</f>
        <v>45</v>
      </c>
      <c r="O2" s="39">
        <f>'G&amp;K Stat Calc'!AE17</f>
        <v>41</v>
      </c>
      <c r="P2" s="39">
        <f>'G&amp;K Stat Calc'!AC17</f>
        <v>26</v>
      </c>
      <c r="Q2" s="1">
        <f>Main!G23</f>
        <v>10</v>
      </c>
      <c r="R2" s="1">
        <f>Main!H23</f>
        <v>10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2000000</v>
      </c>
      <c r="AB2" s="1">
        <f>AA2</f>
        <v>2000000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276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8</v>
      </c>
      <c r="J3" s="1">
        <f>'G&amp;K Stat Calc'!AA4*Main!$F24</f>
        <v>990</v>
      </c>
      <c r="K3" s="1">
        <v>5</v>
      </c>
      <c r="L3" s="1">
        <v>10</v>
      </c>
      <c r="M3" s="39">
        <f>'G&amp;K Stat Calc'!AB18</f>
        <v>68</v>
      </c>
      <c r="N3" s="39">
        <f>'G&amp;K Stat Calc'!AD18</f>
        <v>19</v>
      </c>
      <c r="O3" s="39">
        <f>'G&amp;K Stat Calc'!AE18</f>
        <v>18</v>
      </c>
      <c r="P3" s="39">
        <f>'G&amp;K Stat Calc'!AC18</f>
        <v>34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198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365</v>
      </c>
      <c r="K4" s="1">
        <v>5</v>
      </c>
      <c r="L4" s="1">
        <v>10</v>
      </c>
      <c r="M4" s="39">
        <f>'G&amp;K Stat Calc'!AB19</f>
        <v>99</v>
      </c>
      <c r="N4" s="39">
        <f>'G&amp;K Stat Calc'!AD19</f>
        <v>80</v>
      </c>
      <c r="O4" s="39">
        <f>'G&amp;K Stat Calc'!AE19</f>
        <v>39</v>
      </c>
      <c r="P4" s="39">
        <f>'G&amp;K Stat Calc'!AC19</f>
        <v>12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Data'!$B:$B,0))</f>
        <v>99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13</v>
      </c>
      <c r="J5" s="1">
        <f>'G&amp;K Stat Calc'!AA6*Main!$F26</f>
        <v>400</v>
      </c>
      <c r="K5" s="1">
        <v>5</v>
      </c>
      <c r="L5" s="1">
        <v>10</v>
      </c>
      <c r="M5" s="39">
        <f>'G&amp;K Stat Calc'!AB20</f>
        <v>18</v>
      </c>
      <c r="N5" s="39">
        <f>'G&amp;K Stat Calc'!AD20</f>
        <v>46</v>
      </c>
      <c r="O5" s="39">
        <f>'G&amp;K Stat Calc'!AE20</f>
        <v>57</v>
      </c>
      <c r="P5" s="39">
        <f>'G&amp;K Stat Calc'!AC20</f>
        <v>19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242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12</v>
      </c>
      <c r="J6" s="1">
        <f>'G&amp;K Stat Calc'!AA7*Main!$F27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683</v>
      </c>
      <c r="D1" s="103" t="s">
        <v>684</v>
      </c>
      <c r="E1" s="103" t="s">
        <v>685</v>
      </c>
      <c r="F1" s="103" t="s">
        <v>686</v>
      </c>
      <c r="G1" s="103" t="s">
        <v>37</v>
      </c>
      <c r="H1" s="103" t="s">
        <v>38</v>
      </c>
      <c r="I1" s="103" t="s">
        <v>39</v>
      </c>
      <c r="J1" s="103" t="s">
        <v>416</v>
      </c>
      <c r="K1" s="103" t="s">
        <v>40</v>
      </c>
      <c r="L1" s="103" t="s">
        <v>417</v>
      </c>
      <c r="M1" s="103" t="s">
        <v>418</v>
      </c>
      <c r="N1" s="103" t="s">
        <v>298</v>
      </c>
      <c r="O1" s="103" t="s">
        <v>381</v>
      </c>
      <c r="P1" s="103" t="s">
        <v>419</v>
      </c>
      <c r="Q1" s="103" t="s">
        <v>420</v>
      </c>
      <c r="R1" s="103" t="s">
        <v>421</v>
      </c>
      <c r="S1" s="103" t="s">
        <v>422</v>
      </c>
      <c r="T1" s="103" t="s">
        <v>423</v>
      </c>
      <c r="U1" s="103" t="s">
        <v>687</v>
      </c>
      <c r="V1" s="103" t="s">
        <v>44</v>
      </c>
      <c r="W1" s="103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20065</v>
      </c>
      <c r="D2" s="56">
        <f>INDEX('Equip Data'!$A:$A,MATCH(Main!M23,'Equip Data'!$B:$B,0))</f>
        <v>106</v>
      </c>
      <c r="E2" s="56">
        <f>INDEX('Exp Tables'!$R$3:$V$13,MATCH(F2,'Exp Tables'!$Q$3:$Q$13,0),MATCH(INDEX('Equip Data'!$C:$C,MATCH(Main!M23,'Equip Data'!$B:$B,0)),'Exp Tables'!$R$2:$V$2,0))</f>
        <v>30000</v>
      </c>
      <c r="F2" s="56">
        <f>Main!N23</f>
        <v>10</v>
      </c>
      <c r="G2" s="56">
        <f>IF(INDEX('Equip Data'!F:F,MATCH($D2,'Equip Data'!$A:$A,0))="",0,Main!$O23*10000)</f>
        <v>10000</v>
      </c>
      <c r="H2" s="56">
        <f>IF(INDEX('Equip Data'!G:G,MATCH($D2,'Equip Data'!$A:$A,0))="",0,Main!$O23*10000)</f>
        <v>10000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276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198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>
        <f>Doll!C5</f>
        <v>99</v>
      </c>
      <c r="D5" s="56">
        <f>INDEX('Equip Data'!$A:$A,MATCH(Main!M26,'Equip Data'!$B:$B,0))</f>
        <v>66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0</v>
      </c>
      <c r="I5" s="56">
        <f>IF(INDEX('Equip Data'!H:H,MATCH($D5,'Equip Data'!$A:$A,0))="",0,Main!$O26*10000)</f>
        <v>10000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10000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242</v>
      </c>
      <c r="D6" s="57">
        <f>INDEX('Equip Data'!$A:$A,MATCH(Main!M27,'Equip Data'!$B:$B,0))</f>
        <v>66</v>
      </c>
      <c r="E6" s="57">
        <f>INDEX('Exp Tables'!$R$3:$V$13,MATCH(F6,'Exp Tables'!$Q$3:$Q$13,0),MATCH(INDEX('Equip Data'!$C:$C,MATCH(Main!M27,'Equip Data'!$B:$B,0)),'Exp Tables'!$R$2:$V$2,0))</f>
        <v>10000</v>
      </c>
      <c r="F6" s="57">
        <f>Main!N27</f>
        <v>10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10000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20065</v>
      </c>
      <c r="D7" s="56">
        <f>INDEX('Equip Data'!$A:$A,MATCH(Main!Q23,'Equip Data'!$B:$B,0))</f>
        <v>32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10000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276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198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>
        <f t="shared" si="0"/>
        <v>99</v>
      </c>
      <c r="D10" s="56">
        <f>INDEX('Equip Data'!$A:$A,MATCH(Main!Q26,'Equip Data'!$B:$B,0))</f>
        <v>72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10000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Data'!$A:$A,MATCH(Main!Q27,'Equip Data'!$B:$B,0))</f>
        <v>72</v>
      </c>
      <c r="E11" s="57">
        <f>INDEX('Exp Tables'!$R$3:$V$13,MATCH(F11,'Exp Tables'!$Q$3:$Q$13,0),MATCH(INDEX('Equip Data'!$C:$C,MATCH(Main!Q27,'Equip Data'!$B:$B,0)),'Exp Tables'!$R$2:$V$2,0))</f>
        <v>10000</v>
      </c>
      <c r="F11" s="57">
        <f>Main!R27</f>
        <v>10</v>
      </c>
      <c r="G11" s="57">
        <f>IF(INDEX('Equip Data'!F:F,MATCH($D11,'Equip Data'!$A:$A,0))="",0,Main!$S27*10000)</f>
        <v>10000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10000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 t="str">
        <f>IF(OR(Main!U23="",EchType="SF"),"",ROW()-1)</f>
        <v/>
      </c>
      <c r="B12" s="56">
        <f>Main!$B$9</f>
        <v>562858</v>
      </c>
      <c r="C12" s="58">
        <f t="shared" si="0"/>
        <v>20065</v>
      </c>
      <c r="D12" s="56" t="e">
        <f>INDEX('Equip Data'!$A:$A,MATCH(Main!U23,'Equip Data'!$B:$B,0))</f>
        <v>#N/A</v>
      </c>
      <c r="E12" s="56" t="e">
        <f>INDEX('Exp Tables'!$R$3:$V$13,MATCH(F12,'Exp Tables'!$Q$3:$Q$13,0),MATCH(INDEX('Equip Data'!$C:$C,MATCH(Main!U23,'Equip Data'!$B:$B,0)),'Exp Tables'!$R$2:$V$2,0))</f>
        <v>#N/A</v>
      </c>
      <c r="F12" s="56">
        <f>Main!V23</f>
        <v>0</v>
      </c>
      <c r="G12" s="56" t="e">
        <f>IF(INDEX('Equip Data'!F:F,MATCH($D12,'Equip Data'!$A:$A,0))="",0,Main!$W23*10000)</f>
        <v>#N/A</v>
      </c>
      <c r="H12" s="56" t="e">
        <f>IF(INDEX('Equip Data'!G:G,MATCH($D12,'Equip Data'!$A:$A,0))="",0,Main!$W23*10000)</f>
        <v>#N/A</v>
      </c>
      <c r="I12" s="56" t="e">
        <f>IF(INDEX('Equip Data'!H:H,MATCH($D12,'Equip Data'!$A:$A,0))="",0,Main!$W23*10000)</f>
        <v>#N/A</v>
      </c>
      <c r="J12" s="56" t="e">
        <f>IF(INDEX('Equip Data'!I:I,MATCH($D12,'Equip Data'!$A:$A,0))="",0,Main!$W23*10000)</f>
        <v>#N/A</v>
      </c>
      <c r="K12" s="56" t="e">
        <f>IF(INDEX('Equip Data'!J:J,MATCH($D12,'Equip Data'!$A:$A,0))="",0,Main!$W23*10000)</f>
        <v>#N/A</v>
      </c>
      <c r="L12" s="56" t="e">
        <f>IF(INDEX('Equip Data'!K:K,MATCH($D12,'Equip Data'!$A:$A,0))="",0,Main!$W23*10000)</f>
        <v>#N/A</v>
      </c>
      <c r="M12" s="56" t="e">
        <f>IF(INDEX('Equip Data'!L:L,MATCH($D12,'Equip Data'!$A:$A,0))="",0,Main!$W23*10000)</f>
        <v>#N/A</v>
      </c>
      <c r="N12" s="56" t="e">
        <f>IF(INDEX('Equip Data'!M:M,MATCH($D12,'Equip Data'!$A:$A,0))="",0,Main!$W23*10000)</f>
        <v>#N/A</v>
      </c>
      <c r="O12" s="56" t="e">
        <f>IF(INDEX('Equip Data'!N:N,MATCH($D12,'Equip Data'!$A:$A,0))="",0,Main!$W23*10000)</f>
        <v>#N/A</v>
      </c>
      <c r="P12" s="56" t="e">
        <f>IF(INDEX('Equip Data'!O:O,MATCH($D12,'Equip Data'!$A:$A,0))="",0,Main!$W23*10000)</f>
        <v>#N/A</v>
      </c>
      <c r="Q12" s="56" t="e">
        <f>IF(INDEX('Equip Data'!P:P,MATCH($D12,'Equip Data'!$A:$A,0))="",0,Main!$W23*10000)</f>
        <v>#N/A</v>
      </c>
      <c r="R12" s="56" t="e">
        <f>IF(INDEX('Equip Data'!Q:Q,MATCH($D12,'Equip Data'!$A:$A,0))="",0,Main!$W23*10000)</f>
        <v>#N/A</v>
      </c>
      <c r="S12" s="56" t="e">
        <f>IF(INDEX('Equip Data'!R:R,MATCH($D12,'Equip Data'!$A:$A,0))="",0,Main!$W23*10000)</f>
        <v>#N/A</v>
      </c>
      <c r="T12" s="56" t="e">
        <f>IF(INDEX('Equip Data'!S:S,MATCH($D12,'Equip Data'!$A:$A,0))="",0,10000)</f>
        <v>#N/A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276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198</v>
      </c>
      <c r="D14" s="56">
        <f>INDEX('Equip Data'!$A:$A,MATCH(Main!U25,'Equip Data'!$B:$B,0))</f>
        <v>90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0</v>
      </c>
      <c r="J14" s="56">
        <f>IF(INDEX('Equip Data'!I:I,MATCH($D14,'Equip Data'!$A:$A,0))="",0,Main!$W25*10000)</f>
        <v>10000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10000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>
        <f t="shared" si="0"/>
        <v>99</v>
      </c>
      <c r="D15" s="56">
        <f>INDEX('Equip Data'!$A:$A,MATCH(Main!U26,'Equip Data'!$B:$B,0))</f>
        <v>40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10000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Data'!$A:$A,MATCH(Main!U27,'Equip Data'!$B:$B,0))</f>
        <v>40</v>
      </c>
      <c r="E16" s="57">
        <f>INDEX('Exp Tables'!$R$3:$V$13,MATCH(F16,'Exp Tables'!$Q$3:$Q$13,0),MATCH(INDEX('Equip Data'!$C:$C,MATCH(Main!U27,'Equip Data'!$B:$B,0)),'Exp Tables'!$R$2:$V$2,0))</f>
        <v>10000</v>
      </c>
      <c r="F16" s="57">
        <f>Main!V27</f>
        <v>10</v>
      </c>
      <c r="G16" s="57">
        <f>IF(INDEX('Equip Data'!F:F,MATCH($D16,'Equip Data'!$A:$A,0))="",0,Main!$W27*10000)</f>
        <v>10000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734</v>
      </c>
      <c r="D1" s="103" t="s">
        <v>30</v>
      </c>
      <c r="E1" s="103" t="s">
        <v>735</v>
      </c>
      <c r="F1" s="103" t="s">
        <v>736</v>
      </c>
      <c r="G1" s="103" t="s">
        <v>737</v>
      </c>
      <c r="H1" s="103" t="s">
        <v>691</v>
      </c>
      <c r="I1" s="103" t="s">
        <v>738</v>
      </c>
      <c r="J1" s="103" t="s">
        <v>739</v>
      </c>
      <c r="K1" s="103" t="s">
        <v>44</v>
      </c>
      <c r="L1" s="103" t="s">
        <v>684</v>
      </c>
      <c r="M1" s="103" t="s">
        <v>687</v>
      </c>
      <c r="N1" s="103" t="s">
        <v>688</v>
      </c>
      <c r="O1" s="103" t="s">
        <v>740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22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Data'!$E$2:$I$100,MATCH(A2,'Fairy Data'!$A$2:$A$100,0),MATCH("exp"&amp;G2,'Fairy Data'!$E$1:$I$1,0))</f>
        <v>3000</v>
      </c>
      <c r="I2" s="1">
        <f>Main!E32</f>
        <v>10</v>
      </c>
      <c r="J2" s="1">
        <f>VLOOKUP(Main!F32,'Talent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1027</v>
      </c>
      <c r="C1" s="103" t="s">
        <v>1028</v>
      </c>
      <c r="D1" s="103" t="s">
        <v>1029</v>
      </c>
      <c r="E1" s="103" t="s">
        <v>297</v>
      </c>
      <c r="F1" s="103" t="s">
        <v>1030</v>
      </c>
      <c r="G1" s="103" t="s">
        <v>34</v>
      </c>
      <c r="H1" s="103" t="s">
        <v>1031</v>
      </c>
      <c r="I1" s="103" t="s">
        <v>35</v>
      </c>
      <c r="J1" s="103" t="s">
        <v>36</v>
      </c>
      <c r="K1" s="103" t="s">
        <v>1032</v>
      </c>
      <c r="L1" s="103" t="s">
        <v>1033</v>
      </c>
      <c r="M1" s="103" t="s">
        <v>1034</v>
      </c>
      <c r="N1" s="103" t="s">
        <v>1035</v>
      </c>
      <c r="O1" s="103" t="s">
        <v>1036</v>
      </c>
      <c r="P1" s="103" t="s">
        <v>1037</v>
      </c>
      <c r="Q1" s="103" t="s">
        <v>38</v>
      </c>
      <c r="R1" s="103" t="s">
        <v>1038</v>
      </c>
      <c r="S1" s="103" t="s">
        <v>41</v>
      </c>
      <c r="T1" s="103" t="s">
        <v>42</v>
      </c>
      <c r="U1" s="103" t="s">
        <v>1039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1221</v>
      </c>
      <c r="D1" s="103" t="s">
        <v>1222</v>
      </c>
      <c r="E1" s="103" t="s">
        <v>1223</v>
      </c>
      <c r="F1" s="103" t="s">
        <v>1224</v>
      </c>
      <c r="G1" s="103" t="s">
        <v>1225</v>
      </c>
      <c r="H1" s="103" t="s">
        <v>1226</v>
      </c>
      <c r="I1" s="103" t="s">
        <v>1227</v>
      </c>
      <c r="J1" s="103" t="s">
        <v>1228</v>
      </c>
      <c r="K1" s="103" t="s">
        <v>41</v>
      </c>
      <c r="L1" s="103" t="s">
        <v>42</v>
      </c>
      <c r="M1" s="103" t="s">
        <v>1039</v>
      </c>
      <c r="N1" s="103" t="s">
        <v>1169</v>
      </c>
      <c r="O1" s="103" t="s">
        <v>1229</v>
      </c>
      <c r="P1" s="103" t="s">
        <v>1230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1231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1313</v>
      </c>
      <c r="C1" s="103" t="s">
        <v>1216</v>
      </c>
      <c r="D1" s="103" t="s">
        <v>1314</v>
      </c>
      <c r="E1" s="103" t="s">
        <v>1315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1232</v>
      </c>
      <c r="D1" s="103" t="s">
        <v>30</v>
      </c>
      <c r="E1" s="103" t="s">
        <v>35</v>
      </c>
      <c r="F1" s="103" t="s">
        <v>36</v>
      </c>
      <c r="G1" s="103" t="s">
        <v>1233</v>
      </c>
      <c r="J1" s="160" t="s">
        <v>1314</v>
      </c>
      <c r="K1" s="160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1316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903</v>
      </c>
      <c r="B1" s="43" t="s">
        <v>899</v>
      </c>
      <c r="C1" s="43" t="s">
        <v>904</v>
      </c>
    </row>
    <row r="2" spans="1:3" x14ac:dyDescent="0.25">
      <c r="A2" t="s">
        <v>901</v>
      </c>
      <c r="B2" s="1">
        <f>IF(DayNight="Day",25,25)</f>
        <v>25</v>
      </c>
      <c r="C2" s="9" t="str">
        <f>IF(Main!A70="X",'Misc Inputs'!$C$22,IF(Main!A71="X",'Misc Inputs'!$C$28,'Misc Inputs'!$C$20))</f>
        <v>"fairy_skill_on_enemy": "[]",</v>
      </c>
    </row>
    <row r="3" spans="1:3" x14ac:dyDescent="0.25">
      <c r="A3" t="s">
        <v>900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902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903</v>
      </c>
      <c r="B1" s="43" t="s">
        <v>899</v>
      </c>
      <c r="C1" s="43" t="s">
        <v>904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996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994</v>
      </c>
      <c r="B4" s="1">
        <v>7</v>
      </c>
      <c r="C4" s="9" t="str">
        <f>CHAR(34)&amp;A4&amp;CHAR(34)&amp;": "&amp;EnemyID&amp;","</f>
        <v>"enemy_team_id": 9411321,</v>
      </c>
    </row>
    <row r="5" spans="1:3" x14ac:dyDescent="0.25">
      <c r="A5" t="s">
        <v>995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997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998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H1" workbookViewId="0">
      <selection activeCell="V4" sqref="V4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1003</v>
      </c>
      <c r="Q1" s="10" t="s">
        <v>1004</v>
      </c>
      <c r="Y1" s="10" t="s">
        <v>1005</v>
      </c>
      <c r="Z1" s="10"/>
      <c r="AH1" s="10" t="s">
        <v>1040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1024</v>
      </c>
      <c r="AJ2" s="112" t="s">
        <v>1026</v>
      </c>
      <c r="AK2" s="112" t="s">
        <v>1025</v>
      </c>
      <c r="AL2" s="113" t="s">
        <v>1023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</v>
      </c>
      <c r="K3" s="73">
        <f>INDEX($B$3:$G$8,MATCH(Main!$C23,$A$3:$A$8,0),MATCH(K$2,$B$2:$G$2,0))</f>
        <v>1</v>
      </c>
      <c r="L3" s="73">
        <f>INDEX($B$3:$G$8,MATCH(Main!$C23,$A$3:$A$8,0),MATCH(L$2,$B$2:$G$2,0))</f>
        <v>1</v>
      </c>
      <c r="M3" s="73">
        <f>INDEX($B$3:$G$8,MATCH(Main!$C23,$A$3:$A$8,0),MATCH(M$2,$B$2:$G$2,0))</f>
        <v>1</v>
      </c>
      <c r="N3" s="73">
        <f>INDEX($B$3:$G$8,MATCH(Main!$C23,$A$3:$A$8,0),MATCH(N$2,$B$2:$G$2,0))</f>
        <v>1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</v>
      </c>
      <c r="S3" s="73">
        <f t="shared" si="0"/>
        <v>1</v>
      </c>
      <c r="T3" s="73">
        <f t="shared" si="0"/>
        <v>1</v>
      </c>
      <c r="U3" s="73">
        <f t="shared" si="0"/>
        <v>1</v>
      </c>
      <c r="V3" s="73">
        <f t="shared" si="0"/>
        <v>1</v>
      </c>
      <c r="W3" s="74">
        <f t="shared" si="0"/>
        <v>0</v>
      </c>
      <c r="Y3" s="66">
        <v>1</v>
      </c>
      <c r="Z3" s="75">
        <f>Main!E23</f>
        <v>120</v>
      </c>
      <c r="AA3" s="141">
        <f>IF(AND(UseCustomStats,Main!Z23&lt;&gt;0),Main!Z23,_xlfn.CEILING.MATH((J10+($Z3-1)*J17)*J3*J38/100))</f>
        <v>124</v>
      </c>
      <c r="AB3" s="141">
        <f>IF(AND(UseCustomStats,Main!AA23&lt;&gt;0),Main!AA23,_xlfn.CEILING.MATH(K10*K3*K38/100)+_xlfn.CEILING.MATH((K31+($Z3-1)*K24)*K3*K38*$P38/100/100))</f>
        <v>55</v>
      </c>
      <c r="AC3" s="141">
        <f>IF(AND(UseCustomStats,Main!AB23&lt;&gt;0),Main!AB23,_xlfn.CEILING.MATH(L10*L3*L38/100)+_xlfn.CEILING.MATH((L31+($Z3-1)*L24)*L3*L38*$P38/100/100))</f>
        <v>79</v>
      </c>
      <c r="AD3" s="76">
        <f>IF(AND(UseCustomStats,Main!AC23&lt;&gt;0),Main!AC23,_xlfn.CEILING.MATH(M10*M3*M38/100)+_xlfn.CEILING.MATH((M31+($Z3-1)*M24)*M3*M38*$P38/100/100))</f>
        <v>51</v>
      </c>
      <c r="AE3" s="76">
        <f>IF(AND(UseCustomStats,Main!AD23&lt;&gt;0),Main!AD23,_xlfn.CEILING.MATH(N10*N3*N38/100)+_xlfn.CEILING.MATH((N31+($Z3-1)*N24)*N3*N38*$P38/100/100))</f>
        <v>47</v>
      </c>
      <c r="AF3" s="77">
        <f>_xlfn.CEILING.MATH((O10+($Z3-1)*O17)*O3*O38/100)</f>
        <v>0</v>
      </c>
      <c r="AH3" s="49" t="s">
        <v>1015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IF(AND(UseCustomStats,Main!Z24&lt;&gt;0),Main!Z24,_xlfn.CEILING.MATH((J11+($Z4-1)*J18)*J4*J39/100))</f>
        <v>198</v>
      </c>
      <c r="AB4" s="83">
        <f>IF(AND(UseCustomStats,Main!AA24&lt;&gt;0),Main!AA24,_xlfn.CEILING.MATH(K11*K4*K39/100)+_xlfn.CEILING.MATH((K32+($Z4-1)*K25)*K4*K39*$P39/100/100))</f>
        <v>109</v>
      </c>
      <c r="AC4" s="83">
        <f>IF(AND(UseCustomStats,Main!AB24&lt;&gt;0),Main!AB24,_xlfn.CEILING.MATH(L11*L4*L39/100)+_xlfn.CEILING.MATH((L32+($Z4-1)*L25)*L4*L39*$P39/100/100))</f>
        <v>110</v>
      </c>
      <c r="AD4" s="83">
        <f>IF(AND(UseCustomStats,Main!AC24&lt;&gt;0),Main!AC24,_xlfn.CEILING.MATH(M11*M4*M39/100)+_xlfn.CEILING.MATH((M32+($Z4-1)*M25)*M4*M39*$P39/100/100))</f>
        <v>22</v>
      </c>
      <c r="AE4" s="83">
        <f>IF(AND(UseCustomStats,Main!AD24&lt;&gt;0),Main!AD24,_xlfn.CEILING.MATH(N11*N4*N39/100)+_xlfn.CEILING.MATH((N32+($Z4-1)*N25)*N4*N39*$P39/100/100))</f>
        <v>21</v>
      </c>
      <c r="AF4" s="84">
        <f t="shared" ref="AF4:AF7" si="7">_xlfn.CEILING.MATH((O11+($Z4-1)*O18)*O4*O39/100)</f>
        <v>0</v>
      </c>
      <c r="AH4" s="49" t="s">
        <v>1016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0.8</v>
      </c>
      <c r="K5" s="80">
        <f>INDEX($B$3:$G$8,MATCH(Main!$C25,$A$3:$A$8,0),MATCH(K$2,$B$2:$G$2,0))</f>
        <v>2.4</v>
      </c>
      <c r="L5" s="80">
        <f>INDEX($B$3:$G$8,MATCH(Main!$C25,$A$3:$A$8,0),MATCH(L$2,$B$2:$G$2,0))</f>
        <v>0.5</v>
      </c>
      <c r="M5" s="80">
        <f>INDEX($B$3:$G$8,MATCH(Main!$C25,$A$3:$A$8,0),MATCH(M$2,$B$2:$G$2,0))</f>
        <v>1.6</v>
      </c>
      <c r="N5" s="80">
        <f>INDEX($B$3:$G$8,MATCH(Main!$C25,$A$3:$A$8,0),MATCH(N$2,$B$2:$G$2,0))</f>
        <v>0.8</v>
      </c>
      <c r="O5" s="81">
        <f>INDEX($B$3:$G$8,MATCH(Main!$C25,$A$3:$A$8,0),MATCH(O$2,$B$2:$G$2,0))</f>
        <v>0</v>
      </c>
      <c r="Q5" s="78">
        <v>7</v>
      </c>
      <c r="R5" s="79">
        <f t="shared" si="1"/>
        <v>0.8</v>
      </c>
      <c r="S5" s="80">
        <f t="shared" si="2"/>
        <v>2.4</v>
      </c>
      <c r="T5" s="80">
        <f t="shared" si="3"/>
        <v>0.5</v>
      </c>
      <c r="U5" s="80">
        <f t="shared" si="4"/>
        <v>1.6</v>
      </c>
      <c r="V5" s="80">
        <f t="shared" si="5"/>
        <v>0.8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IF(AND(UseCustomStats,Main!Z25&lt;&gt;0),Main!Z25,_xlfn.CEILING.MATH((J12+($Z5-1)*J19)*J5*J40/100))</f>
        <v>73</v>
      </c>
      <c r="AB5" s="83">
        <f>IF(AND(UseCustomStats,Main!AA25&lt;&gt;0),Main!AA25,_xlfn.CEILING.MATH(K12*K5*K40/100)+_xlfn.CEILING.MATH((K33+($Z5-1)*K26)*K5*K40*$P40/100/100))</f>
        <v>146</v>
      </c>
      <c r="AC5" s="83">
        <f>IF(AND(UseCustomStats,Main!AB25&lt;&gt;0),Main!AB25,_xlfn.CEILING.MATH(L12*L5*L40/100)+_xlfn.CEILING.MATH((L33+($Z5-1)*L26)*L5*L40*$P40/100/100))</f>
        <v>34</v>
      </c>
      <c r="AD5" s="83">
        <f>IF(AND(UseCustomStats,Main!AC25&lt;&gt;0),Main!AC25,_xlfn.CEILING.MATH(M12*M5*M40/100)+_xlfn.CEILING.MATH((M33+($Z5-1)*M26)*M5*M40*$P40/100/100))</f>
        <v>90</v>
      </c>
      <c r="AE5" s="83">
        <f>IF(AND(UseCustomStats,Main!AD25&lt;&gt;0),Main!AD25,_xlfn.CEILING.MATH(N12*N5*N40/100)+_xlfn.CEILING.MATH((N33+($Z5-1)*N26)*N5*N40*$P40/100/100))</f>
        <v>44</v>
      </c>
      <c r="AF5" s="84">
        <f t="shared" si="7"/>
        <v>0</v>
      </c>
      <c r="AH5" s="49" t="s">
        <v>1017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0.6</v>
      </c>
      <c r="K6" s="80">
        <f>INDEX($B$3:$G$8,MATCH(Main!$C26,$A$3:$A$8,0),MATCH(K$2,$B$2:$G$2,0))</f>
        <v>0.6</v>
      </c>
      <c r="L6" s="80">
        <f>INDEX($B$3:$G$8,MATCH(Main!$C26,$A$3:$A$8,0),MATCH(L$2,$B$2:$G$2,0))</f>
        <v>0.8</v>
      </c>
      <c r="M6" s="80">
        <f>INDEX($B$3:$G$8,MATCH(Main!$C26,$A$3:$A$8,0),MATCH(M$2,$B$2:$G$2,0))</f>
        <v>1.2</v>
      </c>
      <c r="N6" s="80">
        <f>INDEX($B$3:$G$8,MATCH(Main!$C26,$A$3:$A$8,0),MATCH(N$2,$B$2:$G$2,0))</f>
        <v>1.8</v>
      </c>
      <c r="O6" s="81">
        <f>INDEX($B$3:$G$8,MATCH(Main!$C26,$A$3:$A$8,0),MATCH(O$2,$B$2:$G$2,0))</f>
        <v>0</v>
      </c>
      <c r="Q6" s="78">
        <v>8</v>
      </c>
      <c r="R6" s="79">
        <f t="shared" si="1"/>
        <v>0.6</v>
      </c>
      <c r="S6" s="80">
        <f t="shared" si="2"/>
        <v>0.6</v>
      </c>
      <c r="T6" s="80">
        <f t="shared" si="3"/>
        <v>0.8</v>
      </c>
      <c r="U6" s="80">
        <f t="shared" si="4"/>
        <v>1.2</v>
      </c>
      <c r="V6" s="80">
        <f t="shared" si="5"/>
        <v>1.8</v>
      </c>
      <c r="W6" s="81">
        <f t="shared" si="6"/>
        <v>0</v>
      </c>
      <c r="Y6" s="78">
        <v>4</v>
      </c>
      <c r="Z6" s="82">
        <f>Main!E26</f>
        <v>100</v>
      </c>
      <c r="AA6" s="83">
        <f>IF(AND(UseCustomStats,Main!Z26&lt;&gt;0),Main!Z26,_xlfn.CEILING.MATH((J13+($Z6-1)*J20)*J6*J41/100))</f>
        <v>80</v>
      </c>
      <c r="AB6" s="83">
        <f>IF(AND(UseCustomStats,Main!AA26&lt;&gt;0),Main!AA26,_xlfn.CEILING.MATH(K13*K6*K41/100)+_xlfn.CEILING.MATH((K34+($Z6-1)*K27)*K6*K41*$P41/100/100))</f>
        <v>29</v>
      </c>
      <c r="AC6" s="83">
        <f>IF(AND(UseCustomStats,Main!AB26&lt;&gt;0),Main!AB26,_xlfn.CEILING.MATH(L13*L6*L41/100)+_xlfn.CEILING.MATH((L34+($Z6-1)*L27)*L6*L41*$P41/100/100))</f>
        <v>63</v>
      </c>
      <c r="AD6" s="83">
        <f>IF(AND(UseCustomStats,Main!AC26&lt;&gt;0),Main!AC26,_xlfn.CEILING.MATH(M13*M6*M41/100)+_xlfn.CEILING.MATH((M34+($Z6-1)*M27)*M6*M41*$P41/100/100))</f>
        <v>53</v>
      </c>
      <c r="AE6" s="83">
        <f>IF(AND(UseCustomStats,Main!AD26&lt;&gt;0),Main!AD26,_xlfn.CEILING.MATH(N13*N6*N41/100)+_xlfn.CEILING.MATH((N34+($Z6-1)*N27)*N6*N41*$P41/100/100))</f>
        <v>66</v>
      </c>
      <c r="AF6" s="84">
        <f t="shared" si="7"/>
        <v>0</v>
      </c>
      <c r="AH6" s="49" t="s">
        <v>1018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IF(AND(UseCustomStats,Main!Z27&lt;&gt;0),Main!Z27,_xlfn.CEILING.MATH((J14+($Z7-1)*J21)*J7*J42/100))</f>
        <v>70</v>
      </c>
      <c r="AB7" s="90">
        <f>IF(AND(UseCustomStats,Main!AA27&lt;&gt;0),Main!AA27,_xlfn.CEILING.MATH(K14*K7*K42/100)+_xlfn.CEILING.MATH((K35+($Z7-1)*K28)*K7*K42*$P42/100/100))</f>
        <v>28</v>
      </c>
      <c r="AC7" s="90">
        <f>IF(AND(UseCustomStats,Main!AB27&lt;&gt;0),Main!AB27,_xlfn.CEILING.MATH(L14*L7*L42/100)+_xlfn.CEILING.MATH((L35+($Z7-1)*L28)*L7*L42*$P42/100/100))</f>
        <v>62</v>
      </c>
      <c r="AD7" s="90">
        <f>IF(AND(UseCustomStats,Main!AC27&lt;&gt;0),Main!AC27,_xlfn.CEILING.MATH(M14*M7*M42/100)+_xlfn.CEILING.MATH((M35+($Z7-1)*M28)*M7*M42*$P42/100/100))</f>
        <v>66</v>
      </c>
      <c r="AE7" s="90">
        <f>IF(AND(UseCustomStats,Main!AD27&lt;&gt;0),Main!AD27,_xlfn.CEILING.MATH(N14*N7*N42/100)+_xlfn.CEILING.MATH((N35+($Z7-1)*N28)*N7*N42*$P42/100/100))</f>
        <v>110</v>
      </c>
      <c r="AF7" s="91">
        <f t="shared" si="7"/>
        <v>0</v>
      </c>
      <c r="AH7" s="49" t="s">
        <v>1019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1020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1021</v>
      </c>
      <c r="AI9" s="121">
        <v>36</v>
      </c>
      <c r="AJ9" s="122">
        <v>36</v>
      </c>
      <c r="AK9" s="122">
        <v>79</v>
      </c>
      <c r="AL9" s="123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96.283000000000001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13.978999999999999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61</v>
      </c>
      <c r="AB10" s="76">
        <f>_xlfn.CEILING.MATH(S10*S3*K38/100)+_xlfn.CEILING.MATH((S31+($Z10-1)*S24)*S3*K38*$P38/100/100)</f>
        <v>19</v>
      </c>
      <c r="AC10" s="76">
        <f>_xlfn.CEILING.MATH(T10*T3*L38/100)+_xlfn.CEILING.MATH((T31+($Z10-1)*T24)*T3*L38*$P38/100/100)</f>
        <v>53</v>
      </c>
      <c r="AD10" s="76">
        <f>_xlfn.CEILING.MATH(U10*U3*M38/100)+_xlfn.CEILING.MATH((U31+($Z10-1)*U24)*U3*M38*$P38/100/100)</f>
        <v>6</v>
      </c>
      <c r="AE10" s="76">
        <f>_xlfn.CEILING.MATH(V10*V3*N38/100)+_xlfn.CEILING.MATH((V31+($Z10-1)*V24)*V3*N38*$P38/100/100)</f>
        <v>6</v>
      </c>
      <c r="AF10" s="77">
        <f>_xlfn.CEILING.MATH((W10+($Z10-1)*W17)*W3*O38/100)</f>
        <v>0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99</v>
      </c>
      <c r="AB11" s="83">
        <f t="shared" ref="AB11:AE11" si="16">_xlfn.CEILING.MATH(S11*S4*K39/100)+_xlfn.CEILING.MATH((S32+($Z11-1)*S25)*S4*K39*$P39/100/100)</f>
        <v>41</v>
      </c>
      <c r="AC11" s="83">
        <f t="shared" si="16"/>
        <v>76</v>
      </c>
      <c r="AD11" s="83">
        <f t="shared" si="16"/>
        <v>3</v>
      </c>
      <c r="AE11" s="83">
        <f t="shared" si="16"/>
        <v>3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37</v>
      </c>
      <c r="AB12" s="83">
        <f t="shared" ref="AB12:AE12" si="18">_xlfn.CEILING.MATH(S12*S5*K40/100)+_xlfn.CEILING.MATH((S33+($Z12-1)*S26)*S5*K40*$P40/100/100)</f>
        <v>47</v>
      </c>
      <c r="AC12" s="83">
        <f t="shared" si="18"/>
        <v>22</v>
      </c>
      <c r="AD12" s="83">
        <f t="shared" si="18"/>
        <v>10</v>
      </c>
      <c r="AE12" s="83">
        <f t="shared" si="18"/>
        <v>5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40</v>
      </c>
      <c r="AB13" s="83">
        <f t="shared" ref="AB13:AE13" si="19">_xlfn.CEILING.MATH(S13*S6*K41/100)+_xlfn.CEILING.MATH((S34+($Z13-1)*S27)*S6*K41*$P41/100/100)</f>
        <v>11</v>
      </c>
      <c r="AC13" s="83">
        <f t="shared" si="19"/>
        <v>44</v>
      </c>
      <c r="AD13" s="83">
        <f t="shared" si="19"/>
        <v>7</v>
      </c>
      <c r="AE13" s="83">
        <f t="shared" si="19"/>
        <v>9</v>
      </c>
      <c r="AF13" s="84">
        <f t="shared" si="17"/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35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41</v>
      </c>
      <c r="AD14" s="90">
        <f t="shared" si="20"/>
        <v>8</v>
      </c>
      <c r="AE14" s="90">
        <f t="shared" si="20"/>
        <v>13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0.13800000000000001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0.04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36</v>
      </c>
      <c r="AC17" s="76">
        <f>AC3-AC10</f>
        <v>26</v>
      </c>
      <c r="AD17" s="76">
        <f>AD3-AD10</f>
        <v>45</v>
      </c>
      <c r="AE17" s="76">
        <f>AE3-AE10</f>
        <v>41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68</v>
      </c>
      <c r="AC18" s="83">
        <f t="shared" si="28"/>
        <v>34</v>
      </c>
      <c r="AD18" s="83">
        <f t="shared" si="28"/>
        <v>19</v>
      </c>
      <c r="AE18" s="83">
        <f t="shared" si="28"/>
        <v>18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99</v>
      </c>
      <c r="AC19" s="83">
        <f t="shared" si="29"/>
        <v>12</v>
      </c>
      <c r="AD19" s="83">
        <f t="shared" si="29"/>
        <v>80</v>
      </c>
      <c r="AE19" s="83">
        <f t="shared" si="29"/>
        <v>39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18</v>
      </c>
      <c r="AC20" s="83">
        <f t="shared" si="30"/>
        <v>19</v>
      </c>
      <c r="AD20" s="83">
        <f t="shared" si="30"/>
        <v>46</v>
      </c>
      <c r="AE20" s="83">
        <f t="shared" si="30"/>
        <v>57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18</v>
      </c>
      <c r="AC21" s="90">
        <f t="shared" si="31"/>
        <v>21</v>
      </c>
      <c r="AD21" s="90">
        <f t="shared" si="31"/>
        <v>58</v>
      </c>
      <c r="AE21" s="90">
        <f t="shared" si="31"/>
        <v>97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0.06</v>
      </c>
      <c r="L24" s="93">
        <f>IF(Main!$I23&gt;0,D$15,D$23)</f>
        <v>2.1999999999999999E-2</v>
      </c>
      <c r="M24" s="93">
        <f>IF(Main!$I23&gt;0,E$15,E$23)</f>
        <v>7.4999999999999997E-2</v>
      </c>
      <c r="N24" s="93">
        <f>IF(Main!$I23&gt;0,F$15,F$23)</f>
        <v>7.4999999999999997E-2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18.018000000000001</v>
      </c>
      <c r="L31" s="3">
        <f>IF(Main!$I23&gt;0,D$16,D$24)</f>
        <v>15.741</v>
      </c>
      <c r="M31" s="3">
        <f>IF(Main!$I23&gt;0,E$16,E$24)</f>
        <v>22.571999999999999</v>
      </c>
      <c r="N31" s="3">
        <f>IF(Main!$I23&gt;0,F$16,F$24)</f>
        <v>22.571999999999999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110</v>
      </c>
      <c r="K38" s="21">
        <f>INDEX('Doll Data'!$E$2:$K$1048576,MATCH(Main!$D23,'Doll Data'!$B$2:$B$1048576,0),MATCH(K$37,'Doll Data'!$E$1:$K$1,0))</f>
        <v>118</v>
      </c>
      <c r="L38" s="21">
        <f>INDEX('Doll Data'!$E$2:$K$1048576,MATCH(Main!$D23,'Doll Data'!$B$2:$B$1048576,0),MATCH(L$37,'Doll Data'!$E$1:$K$1,0))</f>
        <v>116</v>
      </c>
      <c r="M38" s="21">
        <f>INDEX('Doll Data'!$E$2:$K$1048576,MATCH(Main!$D23,'Doll Data'!$B$2:$B$1048576,0),MATCH(M$37,'Doll Data'!$E$1:$K$1,0))</f>
        <v>120</v>
      </c>
      <c r="N38" s="21">
        <f>INDEX('Doll Data'!$E$2:$K$1048576,MATCH(Main!$D23,'Doll Data'!$B$2:$B$1048576,0),MATCH(N$37,'Doll Data'!$E$1:$K$1,0))</f>
        <v>110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118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120</v>
      </c>
      <c r="K39" s="24">
        <f>INDEX('Doll Data'!$E$2:$K$1048576,MATCH(Main!$D24,'Doll Data'!$B$2:$B$1048576,0),MATCH(K$37,'Doll Data'!$E$1:$K$1,0))</f>
        <v>140</v>
      </c>
      <c r="L39" s="24">
        <f>INDEX('Doll Data'!$E$2:$K$1048576,MATCH(Main!$D24,'Doll Data'!$B$2:$B$1048576,0),MATCH(L$37,'Doll Data'!$E$1:$K$1,0))</f>
        <v>105</v>
      </c>
      <c r="M39" s="24">
        <f>INDEX('Doll Data'!$E$2:$K$1048576,MATCH(Main!$D24,'Doll Data'!$B$2:$B$1048576,0),MATCH(M$37,'Doll Data'!$E$1:$K$1,0))</f>
        <v>90</v>
      </c>
      <c r="N39" s="24">
        <f>INDEX('Doll Data'!$E$2:$K$1048576,MATCH(Main!$D24,'Doll Data'!$B$2:$B$1048576,0),MATCH(N$37,'Doll Data'!$E$1:$K$1,0))</f>
        <v>85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112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82</v>
      </c>
      <c r="K40" s="24">
        <f>INDEX('Doll Data'!$E$2:$K$1048576,MATCH(Main!$D25,'Doll Data'!$B$2:$B$1048576,0),MATCH(K$37,'Doll Data'!$E$1:$K$1,0))</f>
        <v>122</v>
      </c>
      <c r="L40" s="24">
        <f>INDEX('Doll Data'!$E$2:$K$1048576,MATCH(Main!$D25,'Doll Data'!$B$2:$B$1048576,0),MATCH(L$37,'Doll Data'!$E$1:$K$1,0))</f>
        <v>95</v>
      </c>
      <c r="M40" s="24">
        <f>INDEX('Doll Data'!$E$2:$K$1048576,MATCH(Main!$D25,'Doll Data'!$B$2:$B$1048576,0),MATCH(M$37,'Doll Data'!$E$1:$K$1,0))</f>
        <v>118</v>
      </c>
      <c r="N40" s="24">
        <f>INDEX('Doll Data'!$E$2:$K$1048576,MATCH(Main!$D25,'Doll Data'!$B$2:$B$1048576,0),MATCH(N$37,'Doll Data'!$E$1:$K$1,0))</f>
        <v>115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110</v>
      </c>
      <c r="L41" s="24">
        <f>INDEX('Doll Data'!$E$2:$K$1048576,MATCH(Main!$D26,'Doll Data'!$B$2:$B$1048576,0),MATCH(L$37,'Doll Data'!$E$1:$K$1,0))</f>
        <v>120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95</v>
      </c>
      <c r="O41" s="24">
        <f>INDEX('Doll Data'!$E$2:$K$1048576,MATCH(Main!$D26,'Doll Data'!$B$2:$B$1048576,0),MATCH(O$37,'Doll Data'!$E$1:$K$1,0))</f>
        <v>0</v>
      </c>
      <c r="P41" s="25">
        <f>INDEX('Doll Data'!$E$2:$K$1048576,MATCH(Main!$D26,'Doll Data'!$B$2:$B$1048576,0),MATCH(P$37,'Doll Data'!$E$1:$K$1,0))</f>
        <v>110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105</v>
      </c>
      <c r="K42" s="27">
        <f>INDEX('Doll Data'!$E$2:$K$1048576,MATCH(Main!$D27,'Doll Data'!$B$2:$B$1048576,0),MATCH(K$37,'Doll Data'!$E$1:$K$1,0))</f>
        <v>95</v>
      </c>
      <c r="L42" s="27">
        <f>INDEX('Doll Data'!$E$2:$K$1048576,MATCH(Main!$D27,'Doll Data'!$B$2:$B$1048576,0),MATCH(L$37,'Doll Data'!$E$1:$K$1,0))</f>
        <v>112</v>
      </c>
      <c r="M42" s="27">
        <f>INDEX('Doll Data'!$E$2:$K$1048576,MATCH(Main!$D27,'Doll Data'!$B$2:$B$1048576,0),MATCH(M$37,'Doll Data'!$E$1:$K$1,0))</f>
        <v>122</v>
      </c>
      <c r="N42" s="27">
        <f>INDEX('Doll Data'!$E$2:$K$1048576,MATCH(Main!$D27,'Doll Data'!$B$2:$B$1048576,0),MATCH(N$37,'Doll Data'!$E$1:$K$1,0))</f>
        <v>138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H1" workbookViewId="0">
      <selection activeCell="X4" sqref="X4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1275</v>
      </c>
      <c r="I1" s="10" t="s">
        <v>1269</v>
      </c>
      <c r="J1" s="151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</row>
    <row r="2" spans="1:26" x14ac:dyDescent="0.25">
      <c r="A2" s="66" t="s">
        <v>1268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3" t="s">
        <v>1234</v>
      </c>
      <c r="J2" s="67" t="s">
        <v>18</v>
      </c>
      <c r="K2" s="70" t="s">
        <v>1243</v>
      </c>
      <c r="L2" s="70" t="s">
        <v>1244</v>
      </c>
      <c r="M2" s="70" t="s">
        <v>1237</v>
      </c>
      <c r="N2" s="70" t="s">
        <v>1239</v>
      </c>
      <c r="O2" s="67" t="s">
        <v>1236</v>
      </c>
      <c r="P2" s="70" t="s">
        <v>1239</v>
      </c>
      <c r="Q2" s="70" t="s">
        <v>1271</v>
      </c>
      <c r="R2" s="70" t="s">
        <v>1272</v>
      </c>
      <c r="S2" s="70" t="s">
        <v>1270</v>
      </c>
      <c r="T2" s="70" t="s">
        <v>1304</v>
      </c>
      <c r="U2" s="70" t="s">
        <v>1306</v>
      </c>
      <c r="V2" s="71" t="s">
        <v>1305</v>
      </c>
      <c r="W2" s="152"/>
      <c r="X2" s="111" t="s">
        <v>1307</v>
      </c>
      <c r="Y2" s="152"/>
      <c r="Z2" s="152"/>
    </row>
    <row r="3" spans="1:26" x14ac:dyDescent="0.25">
      <c r="A3" s="67" t="s">
        <v>1250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3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9">
        <f t="shared" ref="X3:X11" si="0">_xlfn.CEILING.MATH(P3*Q3*R3*(J3+40-1)*S3*T3/U3/1000000,1)+V3*T3</f>
        <v>1205</v>
      </c>
      <c r="Y3" s="152"/>
      <c r="Z3" s="152"/>
    </row>
    <row r="4" spans="1:26" x14ac:dyDescent="0.25">
      <c r="A4" s="68" t="s">
        <v>1249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4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9">
        <f t="shared" si="0"/>
        <v>1604</v>
      </c>
      <c r="Y4" s="152"/>
      <c r="Z4" s="152"/>
    </row>
    <row r="5" spans="1:26" x14ac:dyDescent="0.25">
      <c r="A5" s="69" t="s">
        <v>1248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4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9">
        <f t="shared" si="0"/>
        <v>1604</v>
      </c>
      <c r="Y5" s="152"/>
      <c r="Z5" s="152"/>
    </row>
    <row r="6" spans="1:26" x14ac:dyDescent="0.25">
      <c r="I6" s="154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9">
        <f t="shared" si="0"/>
        <v>1604</v>
      </c>
      <c r="Y6" s="152"/>
      <c r="Z6" s="152"/>
    </row>
    <row r="7" spans="1:26" x14ac:dyDescent="0.25">
      <c r="A7" s="236" t="s">
        <v>1251</v>
      </c>
      <c r="B7" s="67" t="s">
        <v>1274</v>
      </c>
      <c r="C7" s="70" t="s">
        <v>1252</v>
      </c>
      <c r="D7" s="70" t="s">
        <v>1253</v>
      </c>
      <c r="E7" s="70" t="s">
        <v>1254</v>
      </c>
      <c r="F7" s="70" t="s">
        <v>1238</v>
      </c>
      <c r="G7" s="71" t="s">
        <v>1248</v>
      </c>
      <c r="I7" s="154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9">
        <f t="shared" si="0"/>
        <v>1604</v>
      </c>
      <c r="Y7" s="152"/>
      <c r="Z7" s="152"/>
    </row>
    <row r="8" spans="1:26" x14ac:dyDescent="0.25">
      <c r="A8" s="237"/>
      <c r="B8" s="156">
        <v>100</v>
      </c>
      <c r="C8" s="157">
        <v>102</v>
      </c>
      <c r="D8" s="157">
        <v>105</v>
      </c>
      <c r="E8" s="157">
        <v>108</v>
      </c>
      <c r="F8" s="157">
        <v>110.00000000000001</v>
      </c>
      <c r="G8" s="158">
        <v>100</v>
      </c>
      <c r="I8" s="154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9">
        <f t="shared" si="0"/>
        <v>1604</v>
      </c>
      <c r="Y8" s="152"/>
      <c r="Z8" s="152"/>
    </row>
    <row r="9" spans="1:26" x14ac:dyDescent="0.25">
      <c r="I9" s="154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9">
        <f t="shared" si="0"/>
        <v>1604</v>
      </c>
      <c r="Y9" s="152"/>
      <c r="Z9" s="152"/>
    </row>
    <row r="10" spans="1:26" x14ac:dyDescent="0.25">
      <c r="A10" s="66" t="s">
        <v>1273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4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9">
        <f t="shared" si="0"/>
        <v>1604</v>
      </c>
      <c r="Y10" s="152"/>
      <c r="Z10" s="152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5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50">
        <f t="shared" si="0"/>
        <v>1604</v>
      </c>
      <c r="Y11" s="152"/>
      <c r="Z11" s="152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8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1276</v>
      </c>
      <c r="T17" s="19"/>
      <c r="U17" s="11"/>
      <c r="X17" s="1"/>
      <c r="Y17" s="29"/>
    </row>
    <row r="18" spans="1:25" x14ac:dyDescent="0.25">
      <c r="A18" s="159" t="s">
        <v>1277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05" t="s">
        <v>61</v>
      </c>
      <c r="D1" s="43" t="s">
        <v>690</v>
      </c>
      <c r="E1" s="105" t="s">
        <v>741</v>
      </c>
      <c r="F1" s="105" t="s">
        <v>742</v>
      </c>
      <c r="G1" s="105" t="s">
        <v>743</v>
      </c>
      <c r="H1" s="105" t="s">
        <v>744</v>
      </c>
      <c r="I1" s="105" t="s">
        <v>745</v>
      </c>
      <c r="J1" s="105" t="s">
        <v>415</v>
      </c>
      <c r="K1" s="105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1089</v>
      </c>
      <c r="C7" s="1">
        <v>3</v>
      </c>
      <c r="D7" t="s">
        <v>718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09">
        <v>0</v>
      </c>
      <c r="F22" s="109">
        <v>100</v>
      </c>
      <c r="G22" s="109">
        <v>500</v>
      </c>
      <c r="H22" s="109">
        <v>1500</v>
      </c>
      <c r="I22" s="109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09">
        <v>0</v>
      </c>
      <c r="F23" s="109">
        <v>100</v>
      </c>
      <c r="G23" s="109">
        <v>200</v>
      </c>
      <c r="H23" s="109">
        <v>350</v>
      </c>
      <c r="I23" s="109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09">
        <v>0</v>
      </c>
      <c r="F24" s="109">
        <v>100</v>
      </c>
      <c r="G24" s="109">
        <v>500</v>
      </c>
      <c r="H24" s="109">
        <v>1500</v>
      </c>
      <c r="I24" s="109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09">
        <v>0</v>
      </c>
      <c r="F25" s="109">
        <v>100</v>
      </c>
      <c r="G25" s="109">
        <v>200</v>
      </c>
      <c r="H25" s="109">
        <v>350</v>
      </c>
      <c r="I25" s="109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09">
        <v>0</v>
      </c>
      <c r="F26" s="109">
        <v>100</v>
      </c>
      <c r="G26" s="109">
        <v>500</v>
      </c>
      <c r="H26" s="109">
        <v>1500</v>
      </c>
      <c r="I26" s="109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09">
        <v>0</v>
      </c>
      <c r="F30" s="109">
        <v>100</v>
      </c>
      <c r="G30" s="109">
        <v>200</v>
      </c>
      <c r="H30" s="109">
        <v>350</v>
      </c>
      <c r="I30" s="109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09">
        <v>0</v>
      </c>
      <c r="F32" s="109">
        <v>100</v>
      </c>
      <c r="G32" s="109">
        <v>500</v>
      </c>
      <c r="H32" s="109">
        <v>1500</v>
      </c>
      <c r="I32" s="109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09">
        <v>0</v>
      </c>
      <c r="F34" s="109">
        <v>100</v>
      </c>
      <c r="G34" s="109">
        <v>200</v>
      </c>
      <c r="H34" s="109">
        <v>350</v>
      </c>
      <c r="I34" s="109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09">
        <v>0</v>
      </c>
      <c r="F35" s="109">
        <v>100</v>
      </c>
      <c r="G35" s="109">
        <v>500</v>
      </c>
      <c r="H35" s="109">
        <v>1500</v>
      </c>
      <c r="I35" s="109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  <row r="19" spans="1:3" x14ac:dyDescent="0.25">
      <c r="A19" t="s">
        <v>769</v>
      </c>
      <c r="B19" s="1" t="s">
        <v>1160</v>
      </c>
      <c r="C19" t="s">
        <v>1161</v>
      </c>
    </row>
    <row r="20" spans="1:3" x14ac:dyDescent="0.25">
      <c r="A20" t="s">
        <v>765</v>
      </c>
      <c r="B20" s="1" t="s">
        <v>1159</v>
      </c>
      <c r="C20" t="s">
        <v>1161</v>
      </c>
    </row>
    <row r="21" spans="1:3" x14ac:dyDescent="0.25">
      <c r="A21" t="s">
        <v>1151</v>
      </c>
      <c r="B21" s="1" t="s">
        <v>1154</v>
      </c>
      <c r="C21" t="s">
        <v>1161</v>
      </c>
    </row>
    <row r="22" spans="1:3" x14ac:dyDescent="0.25">
      <c r="A22" t="s">
        <v>763</v>
      </c>
      <c r="B22" s="1" t="s">
        <v>1156</v>
      </c>
      <c r="C22" t="s">
        <v>1161</v>
      </c>
    </row>
    <row r="23" spans="1:3" x14ac:dyDescent="0.25">
      <c r="A23" t="s">
        <v>764</v>
      </c>
      <c r="B23" s="1" t="s">
        <v>1157</v>
      </c>
      <c r="C23" t="s">
        <v>1161</v>
      </c>
    </row>
    <row r="24" spans="1:3" x14ac:dyDescent="0.25">
      <c r="A24" t="s">
        <v>762</v>
      </c>
      <c r="B24" s="1" t="s">
        <v>1155</v>
      </c>
      <c r="C24" t="s">
        <v>1161</v>
      </c>
    </row>
    <row r="25" spans="1:3" x14ac:dyDescent="0.25">
      <c r="A25" t="s">
        <v>1150</v>
      </c>
      <c r="B25" s="1" t="s">
        <v>1153</v>
      </c>
      <c r="C25" t="s">
        <v>1161</v>
      </c>
    </row>
    <row r="26" spans="1:3" x14ac:dyDescent="0.25">
      <c r="A26" t="s">
        <v>1152</v>
      </c>
      <c r="B26" s="1" t="s">
        <v>1158</v>
      </c>
      <c r="C26" t="s">
        <v>1161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907</v>
      </c>
      <c r="B1" s="43" t="s">
        <v>1106</v>
      </c>
      <c r="C1" s="43" t="s">
        <v>1107</v>
      </c>
      <c r="E1" s="43"/>
      <c r="F1" s="43"/>
      <c r="G1" s="43"/>
    </row>
    <row r="2" spans="1:7" x14ac:dyDescent="0.25">
      <c r="A2" s="9" t="s">
        <v>755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758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772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749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1108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1109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1110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769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8"/>
  <sheetViews>
    <sheetView workbookViewId="0">
      <pane ySplit="1" topLeftCell="A186" activePane="bottomLeft" state="frozen"/>
      <selection pane="bottomLeft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987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986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911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988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972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989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974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993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985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990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980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976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977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969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1082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1080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1081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1083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1084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1085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975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978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39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39" t="s">
        <v>624</v>
      </c>
    </row>
    <row r="179" spans="1:23" x14ac:dyDescent="0.25">
      <c r="A179" s="1">
        <v>212</v>
      </c>
      <c r="B179" t="s">
        <v>973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39" t="s">
        <v>1045</v>
      </c>
    </row>
    <row r="180" spans="1:23" x14ac:dyDescent="0.25">
      <c r="A180" s="1">
        <v>213</v>
      </c>
      <c r="B180" t="s">
        <v>981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39" t="s">
        <v>1046</v>
      </c>
    </row>
    <row r="181" spans="1:23" x14ac:dyDescent="0.25">
      <c r="A181" s="1">
        <v>214</v>
      </c>
      <c r="B181" t="s">
        <v>970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39" t="s">
        <v>1047</v>
      </c>
    </row>
    <row r="182" spans="1:23" x14ac:dyDescent="0.25">
      <c r="A182" s="1">
        <v>215</v>
      </c>
      <c r="B182" t="s">
        <v>979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39" t="s">
        <v>1048</v>
      </c>
    </row>
    <row r="183" spans="1:23" x14ac:dyDescent="0.25">
      <c r="A183" s="1">
        <v>216</v>
      </c>
      <c r="B183" t="s">
        <v>930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39" t="s">
        <v>1049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39" t="s">
        <v>1044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39" t="s">
        <v>1057</v>
      </c>
      <c r="W185">
        <v>0</v>
      </c>
    </row>
    <row r="186" spans="1:23" x14ac:dyDescent="0.25">
      <c r="A186" s="1">
        <v>219</v>
      </c>
      <c r="B186" t="s">
        <v>1067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39" t="s">
        <v>1050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39" t="s">
        <v>1058</v>
      </c>
      <c r="W187">
        <v>0</v>
      </c>
    </row>
    <row r="188" spans="1:23" x14ac:dyDescent="0.25">
      <c r="A188" s="1">
        <v>222</v>
      </c>
      <c r="B188" t="s">
        <v>1086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39" t="s">
        <v>432</v>
      </c>
      <c r="W188">
        <v>0</v>
      </c>
    </row>
    <row r="189" spans="1:23" x14ac:dyDescent="0.25">
      <c r="A189" s="1">
        <v>223</v>
      </c>
      <c r="B189" t="s">
        <v>1087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39" t="s">
        <v>432</v>
      </c>
      <c r="W189">
        <v>0</v>
      </c>
    </row>
    <row r="190" spans="1:23" x14ac:dyDescent="0.25">
      <c r="A190" s="1">
        <v>224</v>
      </c>
      <c r="B190" t="s">
        <v>1088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1059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39" t="s">
        <v>432</v>
      </c>
      <c r="W190">
        <v>0</v>
      </c>
    </row>
    <row r="191" spans="1:23" x14ac:dyDescent="0.25">
      <c r="A191" s="1">
        <v>225</v>
      </c>
      <c r="B191" t="s">
        <v>1078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39" t="s">
        <v>432</v>
      </c>
      <c r="W191">
        <v>0</v>
      </c>
    </row>
    <row r="192" spans="1:23" x14ac:dyDescent="0.25">
      <c r="A192" s="1">
        <v>226</v>
      </c>
      <c r="B192" t="s">
        <v>1077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1060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39" t="s">
        <v>432</v>
      </c>
      <c r="W192">
        <v>0</v>
      </c>
    </row>
    <row r="193" spans="1:23" x14ac:dyDescent="0.25">
      <c r="A193" s="1">
        <v>227</v>
      </c>
      <c r="B193" t="s">
        <v>1076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1061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39" t="s">
        <v>432</v>
      </c>
      <c r="W193">
        <v>0</v>
      </c>
    </row>
    <row r="194" spans="1:23" x14ac:dyDescent="0.25">
      <c r="A194" s="1">
        <v>228</v>
      </c>
      <c r="B194" t="s">
        <v>1075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1062</v>
      </c>
      <c r="K194" s="1" t="s">
        <v>432</v>
      </c>
      <c r="L194" s="1" t="s">
        <v>432</v>
      </c>
      <c r="M194" s="1" t="s">
        <v>1063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39" t="s">
        <v>432</v>
      </c>
      <c r="W194">
        <v>0</v>
      </c>
    </row>
    <row r="195" spans="1:23" x14ac:dyDescent="0.25">
      <c r="A195" s="1">
        <v>229</v>
      </c>
      <c r="B195" t="s">
        <v>1074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1062</v>
      </c>
      <c r="K195" s="1" t="s">
        <v>432</v>
      </c>
      <c r="L195" s="1" t="s">
        <v>432</v>
      </c>
      <c r="M195" s="1" t="s">
        <v>1064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39" t="s">
        <v>432</v>
      </c>
      <c r="W195">
        <v>0</v>
      </c>
    </row>
    <row r="196" spans="1:23" x14ac:dyDescent="0.25">
      <c r="A196" s="1">
        <v>230</v>
      </c>
      <c r="B196" t="s">
        <v>1073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1056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39" t="s">
        <v>432</v>
      </c>
      <c r="W196">
        <v>0</v>
      </c>
    </row>
    <row r="197" spans="1:23" x14ac:dyDescent="0.25">
      <c r="A197" s="1">
        <v>231</v>
      </c>
      <c r="B197" t="s">
        <v>1072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1055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39" t="s">
        <v>432</v>
      </c>
      <c r="W197">
        <v>0</v>
      </c>
    </row>
    <row r="198" spans="1:23" x14ac:dyDescent="0.25">
      <c r="A198" s="1">
        <v>232</v>
      </c>
      <c r="B198" t="s">
        <v>1071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1065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39" t="s">
        <v>432</v>
      </c>
      <c r="W198">
        <v>0</v>
      </c>
    </row>
    <row r="199" spans="1:23" x14ac:dyDescent="0.25">
      <c r="A199" s="1">
        <v>233</v>
      </c>
      <c r="B199" t="s">
        <v>1070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1065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39" t="s">
        <v>432</v>
      </c>
      <c r="W199">
        <v>0</v>
      </c>
    </row>
    <row r="200" spans="1:23" x14ac:dyDescent="0.25">
      <c r="A200" s="1">
        <v>234</v>
      </c>
      <c r="B200" t="s">
        <v>1069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1065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39" t="s">
        <v>432</v>
      </c>
      <c r="W200">
        <v>0</v>
      </c>
    </row>
    <row r="201" spans="1:23" x14ac:dyDescent="0.25">
      <c r="A201" s="1">
        <v>235</v>
      </c>
      <c r="B201" t="s">
        <v>1068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39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39" t="s">
        <v>1066</v>
      </c>
      <c r="W202">
        <v>0</v>
      </c>
    </row>
    <row r="203" spans="1:23" x14ac:dyDescent="0.25">
      <c r="A203" s="1">
        <v>221</v>
      </c>
      <c r="B203" t="s">
        <v>141</v>
      </c>
      <c r="C203" s="1">
        <v>5</v>
      </c>
      <c r="D203" s="1">
        <v>2</v>
      </c>
      <c r="E203" s="1">
        <v>5</v>
      </c>
      <c r="F203" s="1" t="s">
        <v>438</v>
      </c>
      <c r="G203" s="1" t="s">
        <v>432</v>
      </c>
      <c r="H203" s="1" t="s">
        <v>432</v>
      </c>
      <c r="I203" s="1" t="s">
        <v>432</v>
      </c>
      <c r="J203" s="1" t="s">
        <v>432</v>
      </c>
      <c r="K203" s="1" t="s">
        <v>432</v>
      </c>
      <c r="L203" s="1" t="s">
        <v>432</v>
      </c>
      <c r="M203" s="1" t="s">
        <v>456</v>
      </c>
      <c r="N203" s="1" t="s">
        <v>432</v>
      </c>
      <c r="O203" s="1" t="s">
        <v>432</v>
      </c>
      <c r="P203" s="1" t="s">
        <v>432</v>
      </c>
      <c r="Q203" s="1" t="s">
        <v>432</v>
      </c>
      <c r="R203" s="1" t="s">
        <v>432</v>
      </c>
      <c r="S203" s="1" t="s">
        <v>432</v>
      </c>
      <c r="T203" s="1">
        <v>0</v>
      </c>
      <c r="U203" s="1">
        <v>3300</v>
      </c>
      <c r="V203" s="139" t="s">
        <v>1099</v>
      </c>
      <c r="W203">
        <v>0</v>
      </c>
    </row>
    <row r="204" spans="1:23" x14ac:dyDescent="0.25">
      <c r="A204" s="1">
        <v>237</v>
      </c>
      <c r="B204" t="s">
        <v>142</v>
      </c>
      <c r="C204" s="1">
        <v>5</v>
      </c>
      <c r="D204" s="1">
        <v>3</v>
      </c>
      <c r="E204" s="1">
        <v>10</v>
      </c>
      <c r="F204" s="1" t="s">
        <v>432</v>
      </c>
      <c r="G204" s="1" t="s">
        <v>432</v>
      </c>
      <c r="H204" s="1" t="s">
        <v>1100</v>
      </c>
      <c r="I204" s="1" t="s">
        <v>468</v>
      </c>
      <c r="J204" s="1" t="s">
        <v>432</v>
      </c>
      <c r="K204" s="1" t="s">
        <v>432</v>
      </c>
      <c r="L204" s="1" t="s">
        <v>432</v>
      </c>
      <c r="M204" s="1" t="s">
        <v>432</v>
      </c>
      <c r="N204" s="1" t="s">
        <v>432</v>
      </c>
      <c r="O204" s="1" t="s">
        <v>432</v>
      </c>
      <c r="P204" s="1" t="s">
        <v>432</v>
      </c>
      <c r="Q204" s="1" t="s">
        <v>432</v>
      </c>
      <c r="R204" s="1" t="s">
        <v>432</v>
      </c>
      <c r="S204" s="1" t="s">
        <v>432</v>
      </c>
      <c r="T204" s="1">
        <v>0</v>
      </c>
      <c r="U204" s="1">
        <v>3120</v>
      </c>
      <c r="V204" s="139" t="s">
        <v>1101</v>
      </c>
      <c r="W204">
        <v>0</v>
      </c>
    </row>
    <row r="205" spans="1:23" x14ac:dyDescent="0.25">
      <c r="A205" s="1">
        <v>238</v>
      </c>
      <c r="B205" t="s">
        <v>1105</v>
      </c>
      <c r="C205" s="1">
        <v>5</v>
      </c>
      <c r="D205" s="1">
        <v>2</v>
      </c>
      <c r="E205" s="1">
        <v>6</v>
      </c>
      <c r="F205" s="1" t="s">
        <v>428</v>
      </c>
      <c r="G205" s="1" t="s">
        <v>432</v>
      </c>
      <c r="H205" s="1" t="s">
        <v>432</v>
      </c>
      <c r="I205" s="1" t="s">
        <v>432</v>
      </c>
      <c r="J205" s="1" t="s">
        <v>432</v>
      </c>
      <c r="K205" s="1" t="s">
        <v>432</v>
      </c>
      <c r="L205" s="1" t="s">
        <v>432</v>
      </c>
      <c r="M205" s="1" t="s">
        <v>432</v>
      </c>
      <c r="N205" s="1" t="s">
        <v>432</v>
      </c>
      <c r="O205" s="1" t="s">
        <v>432</v>
      </c>
      <c r="P205" s="1" t="s">
        <v>432</v>
      </c>
      <c r="Q205" s="1" t="s">
        <v>432</v>
      </c>
      <c r="R205" s="1" t="s">
        <v>432</v>
      </c>
      <c r="S205" s="1" t="s">
        <v>432</v>
      </c>
      <c r="T205" s="1">
        <v>0</v>
      </c>
      <c r="U205" s="1">
        <v>3600</v>
      </c>
      <c r="V205" s="139" t="s">
        <v>1098</v>
      </c>
      <c r="W205">
        <v>0</v>
      </c>
    </row>
    <row r="206" spans="1:23" x14ac:dyDescent="0.25">
      <c r="A206" s="1">
        <v>239</v>
      </c>
      <c r="B206" t="s">
        <v>1094</v>
      </c>
      <c r="C206" s="1">
        <v>5</v>
      </c>
      <c r="D206" s="1">
        <v>2</v>
      </c>
      <c r="E206" s="1">
        <v>17</v>
      </c>
      <c r="F206" s="1" t="s">
        <v>480</v>
      </c>
      <c r="G206" s="1" t="s">
        <v>432</v>
      </c>
      <c r="H206" s="1" t="s">
        <v>432</v>
      </c>
      <c r="I206" s="1" t="s">
        <v>432</v>
      </c>
      <c r="J206" s="1" t="s">
        <v>432</v>
      </c>
      <c r="K206" s="1" t="s">
        <v>432</v>
      </c>
      <c r="L206" s="1" t="s">
        <v>432</v>
      </c>
      <c r="M206" s="1" t="s">
        <v>1102</v>
      </c>
      <c r="N206" s="1" t="s">
        <v>432</v>
      </c>
      <c r="O206" s="1" t="s">
        <v>432</v>
      </c>
      <c r="P206" s="1" t="s">
        <v>432</v>
      </c>
      <c r="Q206" s="1" t="s">
        <v>432</v>
      </c>
      <c r="R206" s="1" t="s">
        <v>432</v>
      </c>
      <c r="S206" s="1" t="s">
        <v>432</v>
      </c>
      <c r="T206" s="1">
        <v>0</v>
      </c>
      <c r="U206" s="1">
        <v>3300</v>
      </c>
      <c r="V206" s="139" t="s">
        <v>1097</v>
      </c>
      <c r="W206">
        <v>0</v>
      </c>
    </row>
    <row r="207" spans="1:23" x14ac:dyDescent="0.25">
      <c r="A207" s="1">
        <v>240</v>
      </c>
      <c r="B207" t="s">
        <v>1095</v>
      </c>
      <c r="C207" s="1">
        <v>5</v>
      </c>
      <c r="D207" s="1">
        <v>3</v>
      </c>
      <c r="E207" s="1">
        <v>11</v>
      </c>
      <c r="F207" s="1" t="s">
        <v>432</v>
      </c>
      <c r="G207" s="1" t="s">
        <v>432</v>
      </c>
      <c r="H207" s="1" t="s">
        <v>432</v>
      </c>
      <c r="I207" s="1" t="s">
        <v>468</v>
      </c>
      <c r="J207" s="1" t="s">
        <v>432</v>
      </c>
      <c r="K207" s="1" t="s">
        <v>432</v>
      </c>
      <c r="L207" s="1" t="s">
        <v>432</v>
      </c>
      <c r="M207" s="1" t="s">
        <v>432</v>
      </c>
      <c r="N207" s="1" t="s">
        <v>462</v>
      </c>
      <c r="O207" s="1" t="s">
        <v>432</v>
      </c>
      <c r="P207" s="1" t="s">
        <v>432</v>
      </c>
      <c r="Q207" s="1" t="s">
        <v>432</v>
      </c>
      <c r="R207" s="1" t="s">
        <v>432</v>
      </c>
      <c r="S207" s="1" t="s">
        <v>432</v>
      </c>
      <c r="T207" s="1">
        <v>0</v>
      </c>
      <c r="U207" s="1">
        <v>3060</v>
      </c>
      <c r="V207" s="139" t="s">
        <v>1103</v>
      </c>
      <c r="W207">
        <v>0</v>
      </c>
    </row>
    <row r="208" spans="1:23" x14ac:dyDescent="0.25">
      <c r="A208" s="1">
        <v>241</v>
      </c>
      <c r="B208" t="s">
        <v>1096</v>
      </c>
      <c r="C208" s="1">
        <v>5</v>
      </c>
      <c r="D208" s="1">
        <v>2</v>
      </c>
      <c r="E208" s="1">
        <v>5</v>
      </c>
      <c r="F208" s="1" t="s">
        <v>502</v>
      </c>
      <c r="G208" s="1" t="s">
        <v>510</v>
      </c>
      <c r="H208" s="1" t="s">
        <v>432</v>
      </c>
      <c r="I208" s="1" t="s">
        <v>432</v>
      </c>
      <c r="J208" s="1" t="s">
        <v>432</v>
      </c>
      <c r="K208" s="1" t="s">
        <v>432</v>
      </c>
      <c r="L208" s="1" t="s">
        <v>432</v>
      </c>
      <c r="M208" s="1" t="s">
        <v>456</v>
      </c>
      <c r="N208" s="1" t="s">
        <v>432</v>
      </c>
      <c r="O208" s="1" t="s">
        <v>432</v>
      </c>
      <c r="P208" s="1" t="s">
        <v>432</v>
      </c>
      <c r="Q208" s="1" t="s">
        <v>432</v>
      </c>
      <c r="R208" s="1" t="s">
        <v>432</v>
      </c>
      <c r="S208" s="1" t="s">
        <v>432</v>
      </c>
      <c r="T208" s="1">
        <v>0</v>
      </c>
      <c r="U208" s="1">
        <v>3300</v>
      </c>
      <c r="V208" s="139" t="s">
        <v>1104</v>
      </c>
      <c r="W208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971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915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916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991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917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982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913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914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912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984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918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983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919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920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921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922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923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924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925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926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927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928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929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930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931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932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933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934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935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936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937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938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939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940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941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942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992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943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944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945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946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947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948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949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950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951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952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953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954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955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956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957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958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959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960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961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962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1051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1054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1052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1053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963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964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965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966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967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968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911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985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972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986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973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987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974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988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989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975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990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981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976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977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978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969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970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979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980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  <row r="403" spans="1:11" x14ac:dyDescent="0.25">
      <c r="A403" s="1">
        <v>20008</v>
      </c>
      <c r="B403" s="9" t="s">
        <v>1105</v>
      </c>
      <c r="C403" s="1">
        <v>1</v>
      </c>
      <c r="D403" s="1">
        <v>4</v>
      </c>
      <c r="E403" s="1">
        <v>100</v>
      </c>
      <c r="F403" s="1">
        <v>97</v>
      </c>
      <c r="G403" s="1">
        <v>110</v>
      </c>
      <c r="H403" s="1">
        <v>115</v>
      </c>
      <c r="I403" s="1">
        <v>125</v>
      </c>
      <c r="J403" s="1">
        <v>0</v>
      </c>
      <c r="K403" s="1">
        <v>130</v>
      </c>
    </row>
    <row r="404" spans="1:11" x14ac:dyDescent="0.25">
      <c r="A404" s="1">
        <v>20125</v>
      </c>
      <c r="B404" s="9" t="s">
        <v>1094</v>
      </c>
      <c r="C404" s="1">
        <v>5</v>
      </c>
      <c r="D404" s="1">
        <v>6</v>
      </c>
      <c r="E404" s="1">
        <v>110</v>
      </c>
      <c r="F404" s="1">
        <v>102</v>
      </c>
      <c r="G404" s="1">
        <v>125</v>
      </c>
      <c r="H404" s="1">
        <v>130</v>
      </c>
      <c r="I404" s="1">
        <v>120</v>
      </c>
      <c r="J404" s="1">
        <v>0</v>
      </c>
      <c r="K404" s="1">
        <v>135</v>
      </c>
    </row>
    <row r="405" spans="1:11" x14ac:dyDescent="0.25">
      <c r="A405" s="1">
        <v>20159</v>
      </c>
      <c r="B405" s="9" t="s">
        <v>1095</v>
      </c>
      <c r="C405" s="1">
        <v>6</v>
      </c>
      <c r="D405" s="1">
        <v>4</v>
      </c>
      <c r="E405" s="1">
        <v>110</v>
      </c>
      <c r="F405" s="1">
        <v>112</v>
      </c>
      <c r="G405" s="1">
        <v>110</v>
      </c>
      <c r="H405" s="1">
        <v>106</v>
      </c>
      <c r="I405" s="1">
        <v>120</v>
      </c>
      <c r="J405" s="1">
        <v>120</v>
      </c>
      <c r="K405" s="1">
        <v>100</v>
      </c>
    </row>
    <row r="406" spans="1:11" x14ac:dyDescent="0.25">
      <c r="A406" s="1">
        <v>20200</v>
      </c>
      <c r="B406" s="9" t="s">
        <v>1096</v>
      </c>
      <c r="C406" s="1">
        <v>3</v>
      </c>
      <c r="D406" s="1">
        <v>5</v>
      </c>
      <c r="E406" s="1">
        <v>95</v>
      </c>
      <c r="F406" s="1">
        <v>120</v>
      </c>
      <c r="G406" s="1">
        <v>105</v>
      </c>
      <c r="H406" s="1">
        <v>128</v>
      </c>
      <c r="I406" s="1">
        <v>88</v>
      </c>
      <c r="J406" s="1">
        <v>0</v>
      </c>
      <c r="K406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39"/>
  <sheetViews>
    <sheetView workbookViewId="0">
      <pane ySplit="1" topLeftCell="A2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296</v>
      </c>
      <c r="C1" s="43" t="s">
        <v>61</v>
      </c>
      <c r="D1" s="43" t="s">
        <v>1164</v>
      </c>
      <c r="E1" s="43" t="s">
        <v>1165</v>
      </c>
      <c r="F1" s="43" t="s">
        <v>1166</v>
      </c>
      <c r="G1" s="43" t="s">
        <v>1167</v>
      </c>
      <c r="H1" s="43" t="s">
        <v>1168</v>
      </c>
      <c r="I1" s="43" t="s">
        <v>297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13</v>
      </c>
      <c r="O1" s="43" t="s">
        <v>14</v>
      </c>
      <c r="P1" s="43" t="s">
        <v>380</v>
      </c>
    </row>
    <row r="2" spans="1:16" x14ac:dyDescent="0.25">
      <c r="A2">
        <v>1012</v>
      </c>
      <c r="B2" t="s">
        <v>1185</v>
      </c>
      <c r="C2">
        <v>1</v>
      </c>
      <c r="D2" t="s">
        <v>1171</v>
      </c>
      <c r="E2">
        <v>1</v>
      </c>
      <c r="F2">
        <v>112</v>
      </c>
      <c r="G2" t="s">
        <v>1172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1180</v>
      </c>
      <c r="C3">
        <v>1</v>
      </c>
      <c r="D3" t="s">
        <v>1174</v>
      </c>
      <c r="E3">
        <v>1</v>
      </c>
      <c r="F3">
        <v>108</v>
      </c>
      <c r="G3" t="s">
        <v>1172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1178</v>
      </c>
      <c r="C4">
        <v>1</v>
      </c>
      <c r="D4" t="s">
        <v>1171</v>
      </c>
      <c r="E4">
        <v>1</v>
      </c>
      <c r="F4">
        <v>106</v>
      </c>
      <c r="G4" t="s">
        <v>1172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1005</v>
      </c>
      <c r="B5" t="s">
        <v>1177</v>
      </c>
      <c r="C5">
        <v>1</v>
      </c>
      <c r="D5" t="s">
        <v>1171</v>
      </c>
      <c r="E5">
        <v>1</v>
      </c>
      <c r="F5">
        <v>105</v>
      </c>
      <c r="G5" t="s">
        <v>1172</v>
      </c>
      <c r="H5">
        <v>10</v>
      </c>
      <c r="I5">
        <v>5</v>
      </c>
      <c r="J5">
        <v>110</v>
      </c>
      <c r="K5">
        <v>135</v>
      </c>
      <c r="L5">
        <v>70</v>
      </c>
      <c r="M5">
        <v>100</v>
      </c>
      <c r="N5">
        <v>95</v>
      </c>
      <c r="O5">
        <v>0</v>
      </c>
      <c r="P5">
        <v>100</v>
      </c>
    </row>
    <row r="6" spans="1:16" x14ac:dyDescent="0.25">
      <c r="A6">
        <v>1009</v>
      </c>
      <c r="B6" t="s">
        <v>1181</v>
      </c>
      <c r="C6">
        <v>1</v>
      </c>
      <c r="D6" t="s">
        <v>1171</v>
      </c>
      <c r="E6">
        <v>1</v>
      </c>
      <c r="F6">
        <v>109</v>
      </c>
      <c r="G6" t="s">
        <v>1172</v>
      </c>
      <c r="H6">
        <v>10</v>
      </c>
      <c r="I6">
        <v>5</v>
      </c>
      <c r="J6">
        <v>95</v>
      </c>
      <c r="K6">
        <v>125</v>
      </c>
      <c r="L6">
        <v>100</v>
      </c>
      <c r="M6">
        <v>110</v>
      </c>
      <c r="N6">
        <v>100</v>
      </c>
      <c r="O6">
        <v>0</v>
      </c>
      <c r="P6">
        <v>100</v>
      </c>
    </row>
    <row r="7" spans="1:16" x14ac:dyDescent="0.25">
      <c r="A7">
        <v>1002</v>
      </c>
      <c r="B7" t="s">
        <v>1173</v>
      </c>
      <c r="C7">
        <v>1</v>
      </c>
      <c r="D7" t="s">
        <v>1174</v>
      </c>
      <c r="E7">
        <v>1</v>
      </c>
      <c r="F7">
        <v>102</v>
      </c>
      <c r="G7" t="s">
        <v>1172</v>
      </c>
      <c r="H7">
        <v>10</v>
      </c>
      <c r="I7">
        <v>5</v>
      </c>
      <c r="J7">
        <v>125</v>
      </c>
      <c r="K7">
        <v>105</v>
      </c>
      <c r="L7">
        <v>88</v>
      </c>
      <c r="M7">
        <v>95</v>
      </c>
      <c r="N7">
        <v>95</v>
      </c>
      <c r="O7">
        <v>0</v>
      </c>
      <c r="P7">
        <v>100</v>
      </c>
    </row>
    <row r="8" spans="1:16" x14ac:dyDescent="0.25">
      <c r="A8">
        <v>1010</v>
      </c>
      <c r="B8" t="s">
        <v>1182</v>
      </c>
      <c r="C8">
        <v>1</v>
      </c>
      <c r="D8" t="s">
        <v>1171</v>
      </c>
      <c r="E8">
        <v>1</v>
      </c>
      <c r="F8">
        <v>110</v>
      </c>
      <c r="G8" t="s">
        <v>1172</v>
      </c>
      <c r="H8">
        <v>10</v>
      </c>
      <c r="I8">
        <v>5</v>
      </c>
      <c r="J8">
        <v>105</v>
      </c>
      <c r="K8">
        <v>100</v>
      </c>
      <c r="L8">
        <v>120</v>
      </c>
      <c r="M8">
        <v>125</v>
      </c>
      <c r="N8">
        <v>95</v>
      </c>
      <c r="O8">
        <v>0</v>
      </c>
      <c r="P8">
        <v>100</v>
      </c>
    </row>
    <row r="9" spans="1:16" x14ac:dyDescent="0.25">
      <c r="A9">
        <v>1003</v>
      </c>
      <c r="B9" t="s">
        <v>1175</v>
      </c>
      <c r="C9">
        <v>1</v>
      </c>
      <c r="D9" t="s">
        <v>1171</v>
      </c>
      <c r="E9">
        <v>1</v>
      </c>
      <c r="F9">
        <v>103</v>
      </c>
      <c r="G9" t="s">
        <v>1172</v>
      </c>
      <c r="H9">
        <v>10</v>
      </c>
      <c r="I9">
        <v>5</v>
      </c>
      <c r="J9">
        <v>100</v>
      </c>
      <c r="K9">
        <v>100</v>
      </c>
      <c r="L9">
        <v>110</v>
      </c>
      <c r="M9">
        <v>105</v>
      </c>
      <c r="N9">
        <v>105</v>
      </c>
      <c r="O9">
        <v>0</v>
      </c>
      <c r="P9">
        <v>100</v>
      </c>
    </row>
    <row r="10" spans="1:16" x14ac:dyDescent="0.25">
      <c r="A10">
        <v>1004</v>
      </c>
      <c r="B10" t="s">
        <v>1176</v>
      </c>
      <c r="C10">
        <v>1</v>
      </c>
      <c r="D10" t="s">
        <v>1171</v>
      </c>
      <c r="E10">
        <v>1</v>
      </c>
      <c r="F10">
        <v>104</v>
      </c>
      <c r="G10" t="s">
        <v>1172</v>
      </c>
      <c r="H10">
        <v>10</v>
      </c>
      <c r="I10">
        <v>5</v>
      </c>
      <c r="J10">
        <v>120</v>
      </c>
      <c r="K10">
        <v>105</v>
      </c>
      <c r="L10">
        <v>95</v>
      </c>
      <c r="M10">
        <v>95</v>
      </c>
      <c r="N10">
        <v>95</v>
      </c>
      <c r="O10">
        <v>0</v>
      </c>
      <c r="P10">
        <v>100</v>
      </c>
    </row>
    <row r="11" spans="1:16" x14ac:dyDescent="0.25">
      <c r="A11">
        <v>1011</v>
      </c>
      <c r="B11" t="s">
        <v>1183</v>
      </c>
      <c r="C11">
        <v>1</v>
      </c>
      <c r="D11" t="s">
        <v>1184</v>
      </c>
      <c r="E11">
        <v>1</v>
      </c>
      <c r="F11">
        <v>111</v>
      </c>
      <c r="G11" t="s">
        <v>1172</v>
      </c>
      <c r="H11">
        <v>10</v>
      </c>
      <c r="I11">
        <v>5</v>
      </c>
      <c r="J11">
        <v>130</v>
      </c>
      <c r="K11">
        <v>95</v>
      </c>
      <c r="L11">
        <v>110</v>
      </c>
      <c r="M11">
        <v>110</v>
      </c>
      <c r="N11">
        <v>80</v>
      </c>
      <c r="O11">
        <v>48</v>
      </c>
      <c r="P11">
        <v>100</v>
      </c>
    </row>
    <row r="12" spans="1:16" x14ac:dyDescent="0.25">
      <c r="A12">
        <v>1013</v>
      </c>
      <c r="B12" t="s">
        <v>1186</v>
      </c>
      <c r="C12">
        <v>1</v>
      </c>
      <c r="D12" t="s">
        <v>1171</v>
      </c>
      <c r="E12">
        <v>1</v>
      </c>
      <c r="F12">
        <v>113</v>
      </c>
      <c r="G12" t="s">
        <v>1172</v>
      </c>
      <c r="H12">
        <v>8</v>
      </c>
      <c r="I12">
        <v>5</v>
      </c>
      <c r="J12">
        <v>90</v>
      </c>
      <c r="K12">
        <v>132</v>
      </c>
      <c r="L12">
        <v>72</v>
      </c>
      <c r="M12">
        <v>128</v>
      </c>
      <c r="N12">
        <v>55</v>
      </c>
      <c r="O12">
        <v>0</v>
      </c>
      <c r="P12">
        <v>100</v>
      </c>
    </row>
    <row r="13" spans="1:16" x14ac:dyDescent="0.25">
      <c r="A13">
        <v>1014</v>
      </c>
      <c r="B13" t="s">
        <v>1187</v>
      </c>
      <c r="C13">
        <v>1</v>
      </c>
      <c r="D13" t="s">
        <v>1174</v>
      </c>
      <c r="E13">
        <v>1</v>
      </c>
      <c r="F13">
        <v>114</v>
      </c>
      <c r="G13" t="s">
        <v>1172</v>
      </c>
      <c r="H13">
        <v>8</v>
      </c>
      <c r="I13">
        <v>5</v>
      </c>
      <c r="J13">
        <v>105</v>
      </c>
      <c r="K13">
        <v>135</v>
      </c>
      <c r="L13">
        <v>55</v>
      </c>
      <c r="M13">
        <v>110</v>
      </c>
      <c r="N13">
        <v>90</v>
      </c>
      <c r="O13">
        <v>0</v>
      </c>
      <c r="P13">
        <v>100</v>
      </c>
    </row>
    <row r="14" spans="1:16" x14ac:dyDescent="0.25">
      <c r="A14">
        <v>1001</v>
      </c>
      <c r="B14" t="s">
        <v>1170</v>
      </c>
      <c r="C14">
        <v>1</v>
      </c>
      <c r="D14" t="s">
        <v>1171</v>
      </c>
      <c r="E14">
        <v>1</v>
      </c>
      <c r="F14">
        <v>101</v>
      </c>
      <c r="G14" t="s">
        <v>1172</v>
      </c>
      <c r="H14">
        <v>10</v>
      </c>
      <c r="I14">
        <v>5</v>
      </c>
      <c r="J14">
        <v>95</v>
      </c>
      <c r="K14">
        <v>95</v>
      </c>
      <c r="L14">
        <v>116</v>
      </c>
      <c r="M14">
        <v>90</v>
      </c>
      <c r="N14">
        <v>120</v>
      </c>
      <c r="O14">
        <v>0</v>
      </c>
      <c r="P14">
        <v>100</v>
      </c>
    </row>
    <row r="15" spans="1:16" x14ac:dyDescent="0.25">
      <c r="A15">
        <v>1007</v>
      </c>
      <c r="B15" t="s">
        <v>1179</v>
      </c>
      <c r="C15">
        <v>1</v>
      </c>
      <c r="D15" t="s">
        <v>1171</v>
      </c>
      <c r="E15">
        <v>1</v>
      </c>
      <c r="F15">
        <v>107</v>
      </c>
      <c r="G15" t="s">
        <v>1172</v>
      </c>
      <c r="H15">
        <v>10</v>
      </c>
      <c r="I15">
        <v>5</v>
      </c>
      <c r="J15">
        <v>105</v>
      </c>
      <c r="K15">
        <v>105</v>
      </c>
      <c r="L15">
        <v>105</v>
      </c>
      <c r="M15">
        <v>105</v>
      </c>
      <c r="N15">
        <v>105</v>
      </c>
      <c r="O15">
        <v>0</v>
      </c>
      <c r="P15">
        <v>100</v>
      </c>
    </row>
    <row r="16" spans="1:16" x14ac:dyDescent="0.25">
      <c r="A16">
        <v>9001</v>
      </c>
      <c r="B16" t="s">
        <v>1179</v>
      </c>
      <c r="C16">
        <v>1</v>
      </c>
      <c r="D16" t="s">
        <v>1171</v>
      </c>
      <c r="E16">
        <v>1</v>
      </c>
      <c r="F16">
        <v>107</v>
      </c>
      <c r="G16" t="s">
        <v>1172</v>
      </c>
      <c r="H16">
        <v>10</v>
      </c>
      <c r="I16">
        <v>5</v>
      </c>
      <c r="J16">
        <v>1200</v>
      </c>
      <c r="K16">
        <v>250</v>
      </c>
      <c r="L16">
        <v>150</v>
      </c>
      <c r="M16">
        <v>150</v>
      </c>
      <c r="N16">
        <v>105</v>
      </c>
      <c r="O16">
        <v>0</v>
      </c>
      <c r="P16">
        <v>100</v>
      </c>
    </row>
    <row r="17" spans="1:16" x14ac:dyDescent="0.25">
      <c r="A17">
        <v>2003</v>
      </c>
      <c r="B17" t="s">
        <v>1190</v>
      </c>
      <c r="C17">
        <v>2</v>
      </c>
      <c r="D17" t="s">
        <v>1191</v>
      </c>
      <c r="E17">
        <v>5</v>
      </c>
      <c r="F17">
        <v>203</v>
      </c>
      <c r="G17" t="s">
        <v>1172</v>
      </c>
      <c r="H17">
        <v>6</v>
      </c>
      <c r="I17">
        <v>4</v>
      </c>
      <c r="J17">
        <v>140</v>
      </c>
      <c r="K17">
        <v>90</v>
      </c>
      <c r="L17">
        <v>75</v>
      </c>
      <c r="M17">
        <v>110</v>
      </c>
      <c r="N17">
        <v>40</v>
      </c>
      <c r="O17">
        <v>100</v>
      </c>
      <c r="P17">
        <v>95</v>
      </c>
    </row>
    <row r="18" spans="1:16" x14ac:dyDescent="0.25">
      <c r="A18">
        <v>2014</v>
      </c>
      <c r="B18" t="s">
        <v>1204</v>
      </c>
      <c r="C18">
        <v>2</v>
      </c>
      <c r="D18" t="s">
        <v>1191</v>
      </c>
      <c r="E18">
        <v>5</v>
      </c>
      <c r="F18">
        <v>214</v>
      </c>
      <c r="G18" t="s">
        <v>1172</v>
      </c>
      <c r="H18">
        <v>6</v>
      </c>
      <c r="I18">
        <v>4</v>
      </c>
      <c r="J18">
        <v>180</v>
      </c>
      <c r="K18">
        <v>75</v>
      </c>
      <c r="L18">
        <v>50</v>
      </c>
      <c r="M18">
        <v>110</v>
      </c>
      <c r="N18">
        <v>50</v>
      </c>
      <c r="O18">
        <v>105</v>
      </c>
      <c r="P18">
        <v>95</v>
      </c>
    </row>
    <row r="19" spans="1:16" x14ac:dyDescent="0.25">
      <c r="A19">
        <v>2001</v>
      </c>
      <c r="B19" t="s">
        <v>1188</v>
      </c>
      <c r="C19">
        <v>2</v>
      </c>
      <c r="D19" t="s">
        <v>1174</v>
      </c>
      <c r="E19">
        <v>5</v>
      </c>
      <c r="F19">
        <v>201</v>
      </c>
      <c r="G19" t="s">
        <v>1172</v>
      </c>
      <c r="H19">
        <v>4</v>
      </c>
      <c r="I19">
        <v>4</v>
      </c>
      <c r="J19">
        <v>75</v>
      </c>
      <c r="K19">
        <v>62</v>
      </c>
      <c r="L19">
        <v>80</v>
      </c>
      <c r="M19">
        <v>100</v>
      </c>
      <c r="N19">
        <v>90</v>
      </c>
      <c r="O19">
        <v>0</v>
      </c>
      <c r="P19">
        <v>95</v>
      </c>
    </row>
    <row r="20" spans="1:16" x14ac:dyDescent="0.25">
      <c r="A20">
        <v>2002</v>
      </c>
      <c r="B20" t="s">
        <v>1189</v>
      </c>
      <c r="C20">
        <v>2</v>
      </c>
      <c r="D20" t="s">
        <v>1174</v>
      </c>
      <c r="E20">
        <v>5</v>
      </c>
      <c r="F20">
        <v>202</v>
      </c>
      <c r="G20" t="s">
        <v>1172</v>
      </c>
      <c r="H20">
        <v>6</v>
      </c>
      <c r="I20">
        <v>4</v>
      </c>
      <c r="J20">
        <v>132</v>
      </c>
      <c r="K20">
        <v>105</v>
      </c>
      <c r="L20">
        <v>65</v>
      </c>
      <c r="M20">
        <v>105</v>
      </c>
      <c r="N20">
        <v>75</v>
      </c>
      <c r="O20">
        <v>0</v>
      </c>
      <c r="P20">
        <v>95</v>
      </c>
    </row>
    <row r="21" spans="1:16" x14ac:dyDescent="0.25">
      <c r="A21">
        <v>2012</v>
      </c>
      <c r="B21" t="s">
        <v>1202</v>
      </c>
      <c r="C21">
        <v>2</v>
      </c>
      <c r="D21" t="s">
        <v>1174</v>
      </c>
      <c r="E21">
        <v>5</v>
      </c>
      <c r="F21">
        <v>212</v>
      </c>
      <c r="G21" t="s">
        <v>1172</v>
      </c>
      <c r="H21">
        <v>6</v>
      </c>
      <c r="I21">
        <v>4</v>
      </c>
      <c r="J21">
        <v>135</v>
      </c>
      <c r="K21">
        <v>122</v>
      </c>
      <c r="L21">
        <v>65</v>
      </c>
      <c r="M21">
        <v>115</v>
      </c>
      <c r="N21">
        <v>80</v>
      </c>
      <c r="O21">
        <v>0</v>
      </c>
      <c r="P21">
        <v>95</v>
      </c>
    </row>
    <row r="22" spans="1:16" x14ac:dyDescent="0.25">
      <c r="A22">
        <v>2008</v>
      </c>
      <c r="B22" t="s">
        <v>1197</v>
      </c>
      <c r="C22">
        <v>2</v>
      </c>
      <c r="D22" t="s">
        <v>1174</v>
      </c>
      <c r="E22">
        <v>5</v>
      </c>
      <c r="F22">
        <v>208</v>
      </c>
      <c r="G22" t="s">
        <v>1172</v>
      </c>
      <c r="H22">
        <v>6</v>
      </c>
      <c r="I22">
        <v>4</v>
      </c>
      <c r="J22">
        <v>140</v>
      </c>
      <c r="K22">
        <v>100</v>
      </c>
      <c r="L22">
        <v>75</v>
      </c>
      <c r="M22">
        <v>130</v>
      </c>
      <c r="N22">
        <v>80</v>
      </c>
      <c r="O22">
        <v>0</v>
      </c>
      <c r="P22">
        <v>95</v>
      </c>
    </row>
    <row r="23" spans="1:16" x14ac:dyDescent="0.25">
      <c r="A23">
        <v>2006</v>
      </c>
      <c r="B23" t="s">
        <v>1196</v>
      </c>
      <c r="C23">
        <v>2</v>
      </c>
      <c r="D23" t="s">
        <v>1193</v>
      </c>
      <c r="E23">
        <v>1</v>
      </c>
      <c r="F23">
        <v>206</v>
      </c>
      <c r="G23" t="s">
        <v>1172</v>
      </c>
      <c r="H23">
        <v>10</v>
      </c>
      <c r="I23">
        <v>4</v>
      </c>
      <c r="J23">
        <v>165</v>
      </c>
      <c r="K23">
        <v>130</v>
      </c>
      <c r="L23">
        <v>85</v>
      </c>
      <c r="M23">
        <v>110</v>
      </c>
      <c r="N23">
        <v>50</v>
      </c>
      <c r="O23">
        <v>120</v>
      </c>
      <c r="P23">
        <v>75</v>
      </c>
    </row>
    <row r="24" spans="1:16" x14ac:dyDescent="0.25">
      <c r="A24">
        <v>2004</v>
      </c>
      <c r="B24" t="s">
        <v>1192</v>
      </c>
      <c r="C24">
        <v>2</v>
      </c>
      <c r="D24" t="s">
        <v>1193</v>
      </c>
      <c r="E24">
        <v>5</v>
      </c>
      <c r="F24">
        <v>204</v>
      </c>
      <c r="G24" t="s">
        <v>1172</v>
      </c>
      <c r="H24">
        <v>6</v>
      </c>
      <c r="I24">
        <v>4</v>
      </c>
      <c r="J24">
        <v>98</v>
      </c>
      <c r="K24">
        <v>165</v>
      </c>
      <c r="L24">
        <v>60</v>
      </c>
      <c r="M24">
        <v>110</v>
      </c>
      <c r="N24">
        <v>30</v>
      </c>
      <c r="O24">
        <v>50</v>
      </c>
      <c r="P24">
        <v>95</v>
      </c>
    </row>
    <row r="25" spans="1:16" x14ac:dyDescent="0.25">
      <c r="A25">
        <v>2011</v>
      </c>
      <c r="B25" t="s">
        <v>1200</v>
      </c>
      <c r="C25">
        <v>2</v>
      </c>
      <c r="D25" t="s">
        <v>1201</v>
      </c>
      <c r="E25">
        <v>5</v>
      </c>
      <c r="F25">
        <v>211</v>
      </c>
      <c r="G25" t="s">
        <v>1172</v>
      </c>
      <c r="H25">
        <v>4</v>
      </c>
      <c r="I25">
        <v>4</v>
      </c>
      <c r="J25">
        <v>95</v>
      </c>
      <c r="K25">
        <v>75</v>
      </c>
      <c r="L25">
        <v>120</v>
      </c>
      <c r="M25">
        <v>110</v>
      </c>
      <c r="N25">
        <v>95</v>
      </c>
      <c r="O25">
        <v>0</v>
      </c>
      <c r="P25">
        <v>95</v>
      </c>
    </row>
    <row r="26" spans="1:16" x14ac:dyDescent="0.25">
      <c r="A26">
        <v>2009</v>
      </c>
      <c r="B26" t="s">
        <v>1198</v>
      </c>
      <c r="C26">
        <v>2</v>
      </c>
      <c r="D26" t="s">
        <v>1171</v>
      </c>
      <c r="E26">
        <v>5</v>
      </c>
      <c r="F26">
        <v>209</v>
      </c>
      <c r="G26" t="s">
        <v>1172</v>
      </c>
      <c r="H26">
        <v>6</v>
      </c>
      <c r="I26">
        <v>4</v>
      </c>
      <c r="J26">
        <v>115</v>
      </c>
      <c r="K26">
        <v>72</v>
      </c>
      <c r="L26">
        <v>100</v>
      </c>
      <c r="M26">
        <v>85</v>
      </c>
      <c r="N26">
        <v>140</v>
      </c>
      <c r="O26">
        <v>0</v>
      </c>
      <c r="P26">
        <v>95</v>
      </c>
    </row>
    <row r="27" spans="1:16" x14ac:dyDescent="0.25">
      <c r="A27">
        <v>2013</v>
      </c>
      <c r="B27" t="s">
        <v>1203</v>
      </c>
      <c r="C27">
        <v>2</v>
      </c>
      <c r="D27" t="s">
        <v>1171</v>
      </c>
      <c r="E27">
        <v>5</v>
      </c>
      <c r="F27">
        <v>213</v>
      </c>
      <c r="G27" t="s">
        <v>1172</v>
      </c>
      <c r="H27">
        <v>6</v>
      </c>
      <c r="I27">
        <v>4</v>
      </c>
      <c r="J27">
        <v>100</v>
      </c>
      <c r="K27">
        <v>100</v>
      </c>
      <c r="L27">
        <v>115</v>
      </c>
      <c r="M27">
        <v>80</v>
      </c>
      <c r="N27">
        <v>45</v>
      </c>
      <c r="O27">
        <v>0</v>
      </c>
      <c r="P27">
        <v>95</v>
      </c>
    </row>
    <row r="28" spans="1:16" x14ac:dyDescent="0.25">
      <c r="A28">
        <v>2005</v>
      </c>
      <c r="B28" t="s">
        <v>1194</v>
      </c>
      <c r="C28">
        <v>2</v>
      </c>
      <c r="D28" t="s">
        <v>1195</v>
      </c>
      <c r="E28">
        <v>5</v>
      </c>
      <c r="F28">
        <v>205</v>
      </c>
      <c r="G28" t="s">
        <v>1172</v>
      </c>
      <c r="H28">
        <v>3</v>
      </c>
      <c r="I28">
        <v>4</v>
      </c>
      <c r="J28">
        <v>36</v>
      </c>
      <c r="K28">
        <v>100</v>
      </c>
      <c r="L28">
        <v>105</v>
      </c>
      <c r="M28">
        <v>105</v>
      </c>
      <c r="N28">
        <v>50</v>
      </c>
      <c r="O28">
        <v>60</v>
      </c>
      <c r="P28">
        <v>95</v>
      </c>
    </row>
    <row r="29" spans="1:16" x14ac:dyDescent="0.25">
      <c r="A29">
        <v>2010</v>
      </c>
      <c r="B29" t="s">
        <v>1199</v>
      </c>
      <c r="C29">
        <v>2</v>
      </c>
      <c r="D29" t="s">
        <v>1171</v>
      </c>
      <c r="E29">
        <v>5</v>
      </c>
      <c r="F29">
        <v>210</v>
      </c>
      <c r="G29" t="s">
        <v>1172</v>
      </c>
      <c r="H29">
        <v>6</v>
      </c>
      <c r="I29">
        <v>4</v>
      </c>
      <c r="J29">
        <v>95</v>
      </c>
      <c r="K29">
        <v>95</v>
      </c>
      <c r="L29">
        <v>105</v>
      </c>
      <c r="M29">
        <v>115</v>
      </c>
      <c r="N29">
        <v>95</v>
      </c>
      <c r="O29">
        <v>0</v>
      </c>
      <c r="P29">
        <v>95</v>
      </c>
    </row>
    <row r="30" spans="1:16" x14ac:dyDescent="0.25">
      <c r="A30">
        <v>3006</v>
      </c>
      <c r="B30" t="s">
        <v>1210</v>
      </c>
      <c r="C30">
        <v>3</v>
      </c>
      <c r="D30" t="s">
        <v>1201</v>
      </c>
      <c r="E30">
        <v>5</v>
      </c>
      <c r="F30">
        <v>306</v>
      </c>
      <c r="G30" t="s">
        <v>1172</v>
      </c>
      <c r="H30">
        <v>2</v>
      </c>
      <c r="I30">
        <v>3</v>
      </c>
      <c r="J30">
        <v>36</v>
      </c>
      <c r="K30">
        <v>90</v>
      </c>
      <c r="L30">
        <v>100</v>
      </c>
      <c r="M30">
        <v>100</v>
      </c>
      <c r="N30">
        <v>100</v>
      </c>
      <c r="O30">
        <v>0</v>
      </c>
      <c r="P30">
        <v>95</v>
      </c>
    </row>
    <row r="31" spans="1:16" x14ac:dyDescent="0.25">
      <c r="A31">
        <v>3010</v>
      </c>
      <c r="B31" t="s">
        <v>1215</v>
      </c>
      <c r="C31">
        <v>3</v>
      </c>
      <c r="D31" t="s">
        <v>1193</v>
      </c>
      <c r="E31">
        <v>1</v>
      </c>
      <c r="F31">
        <v>310</v>
      </c>
      <c r="G31" t="s">
        <v>1172</v>
      </c>
      <c r="H31">
        <v>8</v>
      </c>
      <c r="I31">
        <v>3</v>
      </c>
      <c r="J31">
        <v>160</v>
      </c>
      <c r="K31">
        <v>320</v>
      </c>
      <c r="L31">
        <v>90</v>
      </c>
      <c r="M31">
        <v>350</v>
      </c>
      <c r="N31">
        <v>0</v>
      </c>
      <c r="O31">
        <v>90</v>
      </c>
      <c r="P31">
        <v>75</v>
      </c>
    </row>
    <row r="32" spans="1:16" x14ac:dyDescent="0.25">
      <c r="A32">
        <v>3003</v>
      </c>
      <c r="B32" t="s">
        <v>1207</v>
      </c>
      <c r="C32">
        <v>3</v>
      </c>
      <c r="D32" t="s">
        <v>1174</v>
      </c>
      <c r="E32">
        <v>5</v>
      </c>
      <c r="F32">
        <v>303</v>
      </c>
      <c r="G32" t="s">
        <v>1172</v>
      </c>
      <c r="H32">
        <v>4</v>
      </c>
      <c r="I32">
        <v>3</v>
      </c>
      <c r="J32">
        <v>135</v>
      </c>
      <c r="K32">
        <v>80</v>
      </c>
      <c r="L32">
        <v>75</v>
      </c>
      <c r="M32">
        <v>120</v>
      </c>
      <c r="N32">
        <v>80</v>
      </c>
      <c r="O32">
        <v>0</v>
      </c>
      <c r="P32">
        <v>95</v>
      </c>
    </row>
    <row r="33" spans="1:16" x14ac:dyDescent="0.25">
      <c r="A33">
        <v>3004</v>
      </c>
      <c r="B33" t="s">
        <v>1208</v>
      </c>
      <c r="C33">
        <v>3</v>
      </c>
      <c r="D33" t="s">
        <v>1171</v>
      </c>
      <c r="E33">
        <v>5</v>
      </c>
      <c r="F33">
        <v>304</v>
      </c>
      <c r="G33" t="s">
        <v>1172</v>
      </c>
      <c r="H33">
        <v>4</v>
      </c>
      <c r="I33">
        <v>3</v>
      </c>
      <c r="J33">
        <v>65</v>
      </c>
      <c r="K33">
        <v>105</v>
      </c>
      <c r="L33">
        <v>65</v>
      </c>
      <c r="M33">
        <v>125</v>
      </c>
      <c r="N33">
        <v>55</v>
      </c>
      <c r="O33">
        <v>0</v>
      </c>
      <c r="P33">
        <v>95</v>
      </c>
    </row>
    <row r="34" spans="1:16" x14ac:dyDescent="0.25">
      <c r="A34">
        <v>3009</v>
      </c>
      <c r="B34" t="s">
        <v>1213</v>
      </c>
      <c r="C34">
        <v>3</v>
      </c>
      <c r="D34" t="s">
        <v>1214</v>
      </c>
      <c r="E34">
        <v>5</v>
      </c>
      <c r="F34">
        <v>309</v>
      </c>
      <c r="G34" t="s">
        <v>1172</v>
      </c>
      <c r="H34">
        <v>4</v>
      </c>
      <c r="I34">
        <v>3</v>
      </c>
      <c r="J34">
        <v>55</v>
      </c>
      <c r="K34">
        <v>72</v>
      </c>
      <c r="L34">
        <v>50</v>
      </c>
      <c r="M34">
        <v>130</v>
      </c>
      <c r="N34">
        <v>90</v>
      </c>
      <c r="O34">
        <v>0</v>
      </c>
      <c r="P34">
        <v>95</v>
      </c>
    </row>
    <row r="35" spans="1:16" x14ac:dyDescent="0.25">
      <c r="A35">
        <v>3008</v>
      </c>
      <c r="B35" t="s">
        <v>1212</v>
      </c>
      <c r="C35">
        <v>3</v>
      </c>
      <c r="D35" t="s">
        <v>1201</v>
      </c>
      <c r="E35">
        <v>5</v>
      </c>
      <c r="F35">
        <v>308</v>
      </c>
      <c r="G35" t="s">
        <v>1172</v>
      </c>
      <c r="H35">
        <v>4</v>
      </c>
      <c r="I35">
        <v>3</v>
      </c>
      <c r="J35">
        <v>90</v>
      </c>
      <c r="K35">
        <v>68</v>
      </c>
      <c r="L35">
        <v>120</v>
      </c>
      <c r="M35">
        <v>110</v>
      </c>
      <c r="N35">
        <v>95</v>
      </c>
      <c r="O35">
        <v>0</v>
      </c>
      <c r="P35">
        <v>95</v>
      </c>
    </row>
    <row r="36" spans="1:16" x14ac:dyDescent="0.25">
      <c r="A36">
        <v>3001</v>
      </c>
      <c r="B36" t="s">
        <v>1205</v>
      </c>
      <c r="C36">
        <v>3</v>
      </c>
      <c r="D36" t="s">
        <v>1171</v>
      </c>
      <c r="E36">
        <v>5</v>
      </c>
      <c r="F36">
        <v>301</v>
      </c>
      <c r="G36" t="s">
        <v>1172</v>
      </c>
      <c r="H36">
        <v>4</v>
      </c>
      <c r="I36">
        <v>3</v>
      </c>
      <c r="J36">
        <v>100</v>
      </c>
      <c r="K36">
        <v>62</v>
      </c>
      <c r="L36">
        <v>100</v>
      </c>
      <c r="M36">
        <v>65</v>
      </c>
      <c r="N36">
        <v>130</v>
      </c>
      <c r="O36">
        <v>0</v>
      </c>
      <c r="P36">
        <v>95</v>
      </c>
    </row>
    <row r="37" spans="1:16" x14ac:dyDescent="0.25">
      <c r="A37">
        <v>3007</v>
      </c>
      <c r="B37" t="s">
        <v>1211</v>
      </c>
      <c r="C37">
        <v>3</v>
      </c>
      <c r="D37" t="s">
        <v>1201</v>
      </c>
      <c r="E37">
        <v>5</v>
      </c>
      <c r="F37">
        <v>307</v>
      </c>
      <c r="G37" t="s">
        <v>1172</v>
      </c>
      <c r="H37">
        <v>4</v>
      </c>
      <c r="I37">
        <v>3</v>
      </c>
      <c r="J37">
        <v>75</v>
      </c>
      <c r="K37">
        <v>72</v>
      </c>
      <c r="L37">
        <v>100</v>
      </c>
      <c r="M37">
        <v>100</v>
      </c>
      <c r="N37">
        <v>140</v>
      </c>
      <c r="O37">
        <v>0</v>
      </c>
      <c r="P37">
        <v>95</v>
      </c>
    </row>
    <row r="38" spans="1:16" x14ac:dyDescent="0.25">
      <c r="A38">
        <v>3005</v>
      </c>
      <c r="B38" t="s">
        <v>1209</v>
      </c>
      <c r="C38">
        <v>3</v>
      </c>
      <c r="D38" t="s">
        <v>1171</v>
      </c>
      <c r="E38">
        <v>5</v>
      </c>
      <c r="F38">
        <v>305</v>
      </c>
      <c r="G38" t="s">
        <v>1172</v>
      </c>
      <c r="H38">
        <v>4</v>
      </c>
      <c r="I38">
        <v>3</v>
      </c>
      <c r="J38">
        <v>80</v>
      </c>
      <c r="K38">
        <v>80</v>
      </c>
      <c r="L38">
        <v>115</v>
      </c>
      <c r="M38">
        <v>50</v>
      </c>
      <c r="N38">
        <v>45</v>
      </c>
      <c r="O38">
        <v>0</v>
      </c>
      <c r="P38">
        <v>95</v>
      </c>
    </row>
    <row r="39" spans="1:16" x14ac:dyDescent="0.25">
      <c r="A39">
        <v>3002</v>
      </c>
      <c r="B39" t="s">
        <v>1206</v>
      </c>
      <c r="C39">
        <v>3</v>
      </c>
      <c r="D39" t="s">
        <v>1171</v>
      </c>
      <c r="E39">
        <v>5</v>
      </c>
      <c r="F39">
        <v>302</v>
      </c>
      <c r="G39" t="s">
        <v>1172</v>
      </c>
      <c r="H39">
        <v>4</v>
      </c>
      <c r="I39">
        <v>3</v>
      </c>
      <c r="J39">
        <v>92</v>
      </c>
      <c r="K39">
        <v>85</v>
      </c>
      <c r="L39">
        <v>100</v>
      </c>
      <c r="M39">
        <v>110</v>
      </c>
      <c r="N39">
        <v>90</v>
      </c>
      <c r="O39">
        <v>0</v>
      </c>
      <c r="P39">
        <v>95</v>
      </c>
    </row>
  </sheetData>
  <autoFilter ref="A1:P39" xr:uid="{AB209710-2DD3-4889-ACDD-991CE41A91A1}">
    <sortState ref="A2:P39">
      <sortCondition ref="C2:C39"/>
      <sortCondition ref="B2:B39"/>
    </sortState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425</v>
      </c>
      <c r="C1" s="43" t="s">
        <v>1283</v>
      </c>
    </row>
    <row r="2" spans="1:3" x14ac:dyDescent="0.25">
      <c r="A2" s="1">
        <v>1001</v>
      </c>
      <c r="B2" t="s">
        <v>1286</v>
      </c>
      <c r="C2" t="s">
        <v>1284</v>
      </c>
    </row>
    <row r="3" spans="1:3" x14ac:dyDescent="0.25">
      <c r="A3" s="1">
        <v>1002</v>
      </c>
      <c r="B3" t="s">
        <v>1281</v>
      </c>
      <c r="C3" t="s">
        <v>1285</v>
      </c>
    </row>
    <row r="4" spans="1:3" x14ac:dyDescent="0.25">
      <c r="A4" s="1">
        <v>1003</v>
      </c>
      <c r="B4" t="s">
        <v>1282</v>
      </c>
      <c r="C4" t="s">
        <v>1293</v>
      </c>
    </row>
    <row r="5" spans="1:3" x14ac:dyDescent="0.25">
      <c r="A5" s="1">
        <v>1004</v>
      </c>
      <c r="B5" t="s">
        <v>1217</v>
      </c>
      <c r="C5" t="s">
        <v>1294</v>
      </c>
    </row>
    <row r="6" spans="1:3" x14ac:dyDescent="0.25">
      <c r="A6" s="1">
        <v>1005</v>
      </c>
      <c r="B6" t="s">
        <v>1218</v>
      </c>
      <c r="C6" t="s">
        <v>1295</v>
      </c>
    </row>
    <row r="8" spans="1:3" x14ac:dyDescent="0.25">
      <c r="A8" s="1">
        <v>2003</v>
      </c>
      <c r="B8" t="s">
        <v>1287</v>
      </c>
      <c r="C8" t="s">
        <v>1296</v>
      </c>
    </row>
    <row r="9" spans="1:3" x14ac:dyDescent="0.25">
      <c r="A9" s="1">
        <v>2004</v>
      </c>
      <c r="B9" t="s">
        <v>1288</v>
      </c>
      <c r="C9" t="s">
        <v>1297</v>
      </c>
    </row>
    <row r="11" spans="1:3" x14ac:dyDescent="0.25">
      <c r="A11" s="1">
        <v>3001</v>
      </c>
      <c r="B11" t="s">
        <v>1289</v>
      </c>
      <c r="C11" t="s">
        <v>1298</v>
      </c>
    </row>
    <row r="12" spans="1:3" x14ac:dyDescent="0.25">
      <c r="A12" s="1">
        <v>3002</v>
      </c>
      <c r="B12" t="s">
        <v>1291</v>
      </c>
      <c r="C12" t="s">
        <v>1299</v>
      </c>
    </row>
    <row r="13" spans="1:3" x14ac:dyDescent="0.25">
      <c r="A13" s="1">
        <v>3003</v>
      </c>
      <c r="B13" t="s">
        <v>1292</v>
      </c>
      <c r="C13" t="s">
        <v>1300</v>
      </c>
    </row>
    <row r="14" spans="1:3" x14ac:dyDescent="0.25">
      <c r="A14" s="1">
        <v>3004</v>
      </c>
      <c r="B14" t="s">
        <v>1290</v>
      </c>
      <c r="C14" t="s">
        <v>1301</v>
      </c>
    </row>
    <row r="15" spans="1:3" x14ac:dyDescent="0.25">
      <c r="A15" s="1">
        <v>3005</v>
      </c>
      <c r="B15" t="s">
        <v>1219</v>
      </c>
      <c r="C15" t="s">
        <v>1302</v>
      </c>
    </row>
    <row r="16" spans="1:3" x14ac:dyDescent="0.25">
      <c r="A16" s="1">
        <v>3006</v>
      </c>
      <c r="B16" t="s">
        <v>1220</v>
      </c>
      <c r="C16" t="s">
        <v>1303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16" x14ac:dyDescent="0.25">
      <c r="A1" s="43" t="s">
        <v>25</v>
      </c>
      <c r="B1" s="43" t="s">
        <v>1232</v>
      </c>
      <c r="C1" s="43" t="s">
        <v>1240</v>
      </c>
      <c r="D1" s="43" t="s">
        <v>1255</v>
      </c>
      <c r="E1" s="43" t="s">
        <v>1256</v>
      </c>
      <c r="F1" s="43" t="s">
        <v>1257</v>
      </c>
      <c r="G1" s="43" t="s">
        <v>1258</v>
      </c>
      <c r="H1" s="43" t="s">
        <v>1259</v>
      </c>
      <c r="I1" s="43" t="s">
        <v>1260</v>
      </c>
      <c r="J1" s="43" t="s">
        <v>1261</v>
      </c>
      <c r="K1" s="43" t="s">
        <v>1262</v>
      </c>
      <c r="L1" s="43" t="s">
        <v>1263</v>
      </c>
      <c r="M1" s="43" t="s">
        <v>1264</v>
      </c>
      <c r="N1" s="43" t="s">
        <v>1265</v>
      </c>
      <c r="O1" s="43" t="s">
        <v>1266</v>
      </c>
      <c r="P1" s="43" t="s">
        <v>1267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8" t="s">
        <v>887</v>
      </c>
      <c r="B1" s="238"/>
      <c r="C1" s="238"/>
      <c r="E1" s="238" t="s">
        <v>888</v>
      </c>
      <c r="F1" s="238"/>
      <c r="G1" s="238"/>
      <c r="I1" s="238" t="s">
        <v>1022</v>
      </c>
      <c r="J1" s="238"/>
      <c r="K1" s="238"/>
      <c r="M1" s="238" t="s">
        <v>1241</v>
      </c>
      <c r="N1" s="238"/>
      <c r="O1" s="238"/>
      <c r="Q1" s="239" t="s">
        <v>889</v>
      </c>
      <c r="R1" s="239"/>
      <c r="S1" s="239"/>
      <c r="T1" s="239"/>
      <c r="U1" s="239"/>
      <c r="V1" s="239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40" t="s">
        <v>20</v>
      </c>
      <c r="O2" s="140" t="s">
        <v>21</v>
      </c>
      <c r="Q2" s="48" t="s">
        <v>884</v>
      </c>
      <c r="R2" s="51">
        <v>2</v>
      </c>
      <c r="S2" s="51">
        <v>3</v>
      </c>
      <c r="T2" s="51">
        <v>4</v>
      </c>
      <c r="U2" s="51">
        <v>5</v>
      </c>
      <c r="V2" s="51" t="s">
        <v>811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896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topLeftCell="A13" workbookViewId="0">
      <selection activeCell="A2" sqref="A2"/>
    </sheetView>
  </sheetViews>
  <sheetFormatPr defaultRowHeight="15" x14ac:dyDescent="0.25"/>
  <cols>
    <col min="1" max="1" width="9.140625" style="165"/>
  </cols>
  <sheetData>
    <row r="1" spans="2:11" customFormat="1" x14ac:dyDescent="0.25"/>
    <row r="2" spans="2:11" customFormat="1" x14ac:dyDescent="0.25">
      <c r="B2" s="10" t="s">
        <v>905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906</v>
      </c>
    </row>
    <row r="8" spans="2:11" customFormat="1" x14ac:dyDescent="0.25">
      <c r="B8" s="16" t="s">
        <v>1127</v>
      </c>
      <c r="C8" t="s">
        <v>1129</v>
      </c>
      <c r="G8" s="142" t="s">
        <v>1106</v>
      </c>
      <c r="H8" s="143" t="s">
        <v>1107</v>
      </c>
    </row>
    <row r="9" spans="2:11" customFormat="1" x14ac:dyDescent="0.25">
      <c r="B9" t="s">
        <v>1122</v>
      </c>
      <c r="C9" t="s">
        <v>1112</v>
      </c>
      <c r="G9" s="144" t="str">
        <f>IFERROR(INDEX('Strat Buff Data'!B:B,MATCH(Main!$B64,'Strat Buff Data'!$A:$A,0)),"N/A")</f>
        <v>N/A</v>
      </c>
      <c r="H9" s="145" t="str">
        <f>IFERROR(INDEX('Strat Buff Data'!C:C,MATCH(Main!$B64,'Strat Buff Data'!$A:$A,0)),"N/A")</f>
        <v>N/A</v>
      </c>
      <c r="K9" s="1"/>
    </row>
    <row r="10" spans="2:11" customFormat="1" x14ac:dyDescent="0.25">
      <c r="B10" t="s">
        <v>1123</v>
      </c>
      <c r="C10" t="s">
        <v>1113</v>
      </c>
      <c r="G10" s="144" t="str">
        <f>IFERROR(INDEX('Strat Buff Data'!B:B,MATCH(Main!$B65,'Strat Buff Data'!$A:$A,0)),"N/A")</f>
        <v>N/A</v>
      </c>
      <c r="H10" s="145" t="str">
        <f>IFERROR(INDEX('Strat Buff Data'!C:C,MATCH(Main!$B65,'Strat Buff Data'!$A:$A,0)),"N/A")</f>
        <v>N/A</v>
      </c>
      <c r="K10" s="1"/>
    </row>
    <row r="11" spans="2:11" customFormat="1" x14ac:dyDescent="0.25">
      <c r="B11" t="s">
        <v>1124</v>
      </c>
      <c r="C11" t="s">
        <v>1114</v>
      </c>
      <c r="G11" s="146" t="str">
        <f>IFERROR(INDEX('Strat Buff Data'!B:B,MATCH(Main!$B66,'Strat Buff Data'!$A:$A,0)),"N/A")</f>
        <v>N/A</v>
      </c>
      <c r="H11" s="147" t="str">
        <f>IFERROR(INDEX('Strat Buff Data'!C:C,MATCH(Main!$B66,'Strat Buff Data'!$A:$A,0)),"N/A")</f>
        <v>N/A</v>
      </c>
    </row>
    <row r="12" spans="2:11" customFormat="1" x14ac:dyDescent="0.25"/>
    <row r="13" spans="2:11" customFormat="1" x14ac:dyDescent="0.25">
      <c r="B13" t="s">
        <v>1125</v>
      </c>
      <c r="C13" t="str">
        <f>INDEX($C$8:$C$11,COUNTA(Main!$B$64:$B$66)+1)</f>
        <v>"fairy_skill_on_team": "[]",</v>
      </c>
      <c r="K13" s="1"/>
    </row>
    <row r="14" spans="2:11" customFormat="1" x14ac:dyDescent="0.25">
      <c r="B14" t="s">
        <v>1111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1115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1126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1:3" x14ac:dyDescent="0.25">
      <c r="A17"/>
      <c r="B17" s="9" t="s">
        <v>897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908</v>
      </c>
    </row>
    <row r="20" spans="1:3" x14ac:dyDescent="0.25">
      <c r="A20"/>
      <c r="B20" t="s">
        <v>1127</v>
      </c>
      <c r="C20" t="s">
        <v>1128</v>
      </c>
    </row>
    <row r="21" spans="1:3" x14ac:dyDescent="0.25">
      <c r="A21"/>
      <c r="B21" t="s">
        <v>1012</v>
      </c>
      <c r="C21" t="s">
        <v>1013</v>
      </c>
    </row>
    <row r="22" spans="1:3" x14ac:dyDescent="0.25">
      <c r="A22"/>
      <c r="B22" t="s">
        <v>1130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1131</v>
      </c>
    </row>
    <row r="25" spans="1:3" x14ac:dyDescent="0.25">
      <c r="A25"/>
      <c r="B25" t="s">
        <v>1127</v>
      </c>
      <c r="C25" t="s">
        <v>1128</v>
      </c>
    </row>
    <row r="26" spans="1:3" x14ac:dyDescent="0.25">
      <c r="A26"/>
      <c r="B26" t="s">
        <v>1012</v>
      </c>
      <c r="C26" t="s">
        <v>1132</v>
      </c>
    </row>
    <row r="27" spans="1:3" x14ac:dyDescent="0.25">
      <c r="A27"/>
      <c r="B27" t="s">
        <v>1130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1134</v>
      </c>
      <c r="C28" t="str">
        <f>SUBSTITUTE(C27,1801,18&amp;Main!C71)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  <row r="29" spans="1:3" x14ac:dyDescent="0.25">
      <c r="A29"/>
    </row>
    <row r="30" spans="1:3" s="165" customFormat="1" x14ac:dyDescent="0.25">
      <c r="B30" s="163" t="s">
        <v>1011</v>
      </c>
      <c r="C30" s="164"/>
    </row>
    <row r="31" spans="1:3" s="165" customFormat="1" x14ac:dyDescent="0.25">
      <c r="B31" s="161" t="s">
        <v>893</v>
      </c>
      <c r="C31" s="162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5" customFormat="1" x14ac:dyDescent="0.25">
      <c r="B32" s="161" t="s">
        <v>894</v>
      </c>
      <c r="C32" s="162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5" customFormat="1" x14ac:dyDescent="0.25">
      <c r="B33" s="161" t="s">
        <v>1042</v>
      </c>
      <c r="C33" s="162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5" customFormat="1" x14ac:dyDescent="0.25">
      <c r="B34" s="161" t="s">
        <v>1043</v>
      </c>
      <c r="C34" s="162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5" customFormat="1" x14ac:dyDescent="0.25">
      <c r="B35" s="40" t="s">
        <v>895</v>
      </c>
      <c r="C35" s="162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5" customFormat="1" x14ac:dyDescent="0.25">
      <c r="B36" s="40" t="s">
        <v>898</v>
      </c>
      <c r="C36" s="162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C:\Users\danny\Documents\GitHub\GFLBattleSim-JSONGenerator\Preset\battle_day\mission_act_info.json</v>
      </c>
    </row>
    <row r="37" spans="2:3" s="165" customFormat="1" x14ac:dyDescent="0.25">
      <c r="B37" s="40" t="s">
        <v>1310</v>
      </c>
      <c r="C37" s="162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5" customFormat="1" x14ac:dyDescent="0.25">
      <c r="B38" s="40" t="s">
        <v>1311</v>
      </c>
      <c r="C38" s="162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5" customFormat="1" x14ac:dyDescent="0.25">
      <c r="B39" s="40" t="s">
        <v>1312</v>
      </c>
      <c r="C39" s="162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5" customFormat="1" x14ac:dyDescent="0.25">
      <c r="B40" s="40" t="s">
        <v>910</v>
      </c>
      <c r="C40" s="162" t="str">
        <f ca="1">LEFT(CELL("filename",Main!$A$1),FIND("[",CELL("filename",Main!$A$1))-1)&amp;"GFBattleSimulator.json"</f>
        <v>C:\Users\danny\Documents\GitHub\GFLBattleSim-JSONGenerator\GFBattleSimulator.json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7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04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1079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955</v>
      </c>
      <c r="K2" s="9" t="s">
        <v>873</v>
      </c>
      <c r="L2" s="9" t="s">
        <v>969</v>
      </c>
      <c r="M2" s="9" t="s">
        <v>105</v>
      </c>
      <c r="N2" s="9" t="s">
        <v>936</v>
      </c>
      <c r="O2" s="9" t="s">
        <v>987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984</v>
      </c>
      <c r="V2" s="9" t="s">
        <v>976</v>
      </c>
      <c r="W2" s="9" t="s">
        <v>155</v>
      </c>
      <c r="X2" s="9" t="s">
        <v>135</v>
      </c>
      <c r="Y2" s="9" t="s">
        <v>187</v>
      </c>
      <c r="Z2" s="9" t="s">
        <v>340</v>
      </c>
      <c r="AA2" s="9" t="s">
        <v>1094</v>
      </c>
      <c r="AC2" s="9" t="s">
        <v>335</v>
      </c>
      <c r="AD2" s="9" t="s">
        <v>930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1073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959</v>
      </c>
      <c r="F3" s="9" t="s">
        <v>264</v>
      </c>
      <c r="G3" s="9" t="s">
        <v>981</v>
      </c>
      <c r="H3" s="9" t="s">
        <v>77</v>
      </c>
      <c r="I3" s="9" t="s">
        <v>334</v>
      </c>
      <c r="J3" s="9" t="s">
        <v>924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965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928</v>
      </c>
      <c r="Y3" s="9" t="s">
        <v>217</v>
      </c>
      <c r="Z3" s="9" t="s">
        <v>345</v>
      </c>
      <c r="AC3" s="9" t="s">
        <v>196</v>
      </c>
      <c r="AD3" s="9" t="s">
        <v>953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1072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1071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980</v>
      </c>
      <c r="F5" s="9" t="s">
        <v>204</v>
      </c>
      <c r="H5" s="9" t="s">
        <v>91</v>
      </c>
      <c r="I5" s="9" t="s">
        <v>211</v>
      </c>
      <c r="J5" s="9" t="s">
        <v>970</v>
      </c>
      <c r="K5" s="9" t="s">
        <v>992</v>
      </c>
      <c r="M5" s="9" t="s">
        <v>348</v>
      </c>
      <c r="N5" s="9" t="s">
        <v>947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1070</v>
      </c>
      <c r="AV5" t="s">
        <v>1084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1054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1069</v>
      </c>
      <c r="AV6" t="s">
        <v>1083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922</v>
      </c>
      <c r="X7" s="9" t="s">
        <v>127</v>
      </c>
      <c r="Y7" s="9" t="s">
        <v>983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1078</v>
      </c>
      <c r="AV7" t="s">
        <v>1085</v>
      </c>
    </row>
    <row r="8" spans="1:51" x14ac:dyDescent="0.25">
      <c r="A8" s="9"/>
      <c r="C8" s="9" t="s">
        <v>69</v>
      </c>
      <c r="D8" s="9" t="s">
        <v>63</v>
      </c>
      <c r="E8" s="9" t="s">
        <v>911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914</v>
      </c>
      <c r="P8" s="9" t="s">
        <v>319</v>
      </c>
      <c r="S8" s="9" t="s">
        <v>120</v>
      </c>
      <c r="T8" s="9" t="s">
        <v>276</v>
      </c>
      <c r="U8" s="9" t="s">
        <v>934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1068</v>
      </c>
      <c r="AV8" t="s">
        <v>1080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929</v>
      </c>
      <c r="J9" s="9" t="s">
        <v>332</v>
      </c>
      <c r="K9" s="9" t="s">
        <v>985</v>
      </c>
      <c r="N9" s="9" t="s">
        <v>95</v>
      </c>
      <c r="O9" s="9" t="s">
        <v>944</v>
      </c>
      <c r="P9" s="9" t="s">
        <v>943</v>
      </c>
      <c r="S9" s="9" t="s">
        <v>279</v>
      </c>
      <c r="T9" s="9" t="s">
        <v>962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948</v>
      </c>
      <c r="AD9" s="9" t="s">
        <v>193</v>
      </c>
      <c r="AE9" s="9" t="s">
        <v>950</v>
      </c>
      <c r="AP9" t="s">
        <v>677</v>
      </c>
      <c r="AQ9" t="s">
        <v>659</v>
      </c>
      <c r="AU9" t="s">
        <v>1086</v>
      </c>
      <c r="AV9" t="s">
        <v>1082</v>
      </c>
    </row>
    <row r="10" spans="1:51" x14ac:dyDescent="0.25">
      <c r="A10" s="9"/>
      <c r="C10" s="9"/>
      <c r="D10" s="9" t="s">
        <v>242</v>
      </c>
      <c r="E10" s="9" t="s">
        <v>1105</v>
      </c>
      <c r="F10" s="9" t="s">
        <v>931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1095</v>
      </c>
      <c r="AE10" s="9" t="s">
        <v>189</v>
      </c>
      <c r="AU10" t="s">
        <v>1087</v>
      </c>
      <c r="AV10" t="s">
        <v>1081</v>
      </c>
    </row>
    <row r="11" spans="1:51" x14ac:dyDescent="0.25">
      <c r="A11" s="9"/>
      <c r="C11" s="9"/>
      <c r="D11" s="9" t="s">
        <v>251</v>
      </c>
      <c r="E11" s="9" t="s">
        <v>363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957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200</v>
      </c>
      <c r="AE11" s="9" t="s">
        <v>951</v>
      </c>
      <c r="AL11" s="40"/>
      <c r="AU11" t="s">
        <v>1088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282</v>
      </c>
      <c r="F12" s="9" t="s">
        <v>336</v>
      </c>
      <c r="G12" s="9"/>
      <c r="I12" s="9" t="s">
        <v>183</v>
      </c>
      <c r="J12" s="9" t="s">
        <v>352</v>
      </c>
      <c r="K12" s="9" t="s">
        <v>939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975</v>
      </c>
      <c r="U12" s="9" t="s">
        <v>359</v>
      </c>
      <c r="Y12" s="9" t="s">
        <v>163</v>
      </c>
      <c r="Z12" s="9" t="s">
        <v>207</v>
      </c>
      <c r="AD12" s="9" t="s">
        <v>194</v>
      </c>
      <c r="AE12" s="9" t="s">
        <v>321</v>
      </c>
      <c r="AL12" s="40"/>
      <c r="AU12" t="s">
        <v>1075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146</v>
      </c>
      <c r="F13" s="9" t="s">
        <v>963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912</v>
      </c>
      <c r="AD13" s="9" t="s">
        <v>199</v>
      </c>
      <c r="AE13" s="9" t="s">
        <v>219</v>
      </c>
      <c r="AL13" s="40"/>
      <c r="AU13" t="s">
        <v>1074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938</v>
      </c>
      <c r="F14" s="9" t="s">
        <v>958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988</v>
      </c>
      <c r="U14" s="9" t="s">
        <v>150</v>
      </c>
      <c r="Y14" s="9" t="s">
        <v>946</v>
      </c>
      <c r="Z14" s="9" t="s">
        <v>921</v>
      </c>
      <c r="AD14" s="9" t="s">
        <v>220</v>
      </c>
      <c r="AE14" s="9" t="s">
        <v>198</v>
      </c>
      <c r="AL14" s="40"/>
      <c r="AM14" s="40"/>
      <c r="AU14" t="s">
        <v>1077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19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942</v>
      </c>
      <c r="T15" s="9" t="s">
        <v>108</v>
      </c>
      <c r="U15" s="9" t="s">
        <v>164</v>
      </c>
      <c r="Y15" s="9" t="s">
        <v>913</v>
      </c>
      <c r="Z15" s="9" t="s">
        <v>1053</v>
      </c>
      <c r="AD15" s="9" t="s">
        <v>952</v>
      </c>
      <c r="AE15" s="9" t="s">
        <v>968</v>
      </c>
      <c r="AL15" s="40"/>
      <c r="AM15" s="40"/>
      <c r="AP15" s="40"/>
      <c r="AU15" t="s">
        <v>1076</v>
      </c>
      <c r="AV15" t="s">
        <v>217</v>
      </c>
    </row>
    <row r="16" spans="1:51" x14ac:dyDescent="0.25">
      <c r="A16" s="9"/>
      <c r="C16" s="9"/>
      <c r="D16" s="9" t="s">
        <v>949</v>
      </c>
      <c r="E16" s="9" t="s">
        <v>205</v>
      </c>
      <c r="F16" s="9" t="s">
        <v>262</v>
      </c>
      <c r="G16" s="9"/>
      <c r="I16" s="9" t="s">
        <v>971</v>
      </c>
      <c r="J16" s="9" t="s">
        <v>83</v>
      </c>
      <c r="K16" s="9" t="s">
        <v>918</v>
      </c>
      <c r="N16" s="9" t="s">
        <v>166</v>
      </c>
      <c r="O16" s="9" t="s">
        <v>977</v>
      </c>
      <c r="P16" s="9" t="s">
        <v>250</v>
      </c>
      <c r="S16" s="9" t="s">
        <v>224</v>
      </c>
      <c r="T16" s="9" t="s">
        <v>109</v>
      </c>
      <c r="U16" s="9" t="s">
        <v>989</v>
      </c>
      <c r="Y16" s="9" t="s">
        <v>269</v>
      </c>
      <c r="Z16" s="9" t="s">
        <v>979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144</v>
      </c>
      <c r="F17" s="9" t="s">
        <v>168</v>
      </c>
      <c r="G17" s="9"/>
      <c r="I17" s="9" t="s">
        <v>954</v>
      </c>
      <c r="J17" s="9" t="s">
        <v>1051</v>
      </c>
      <c r="K17" s="9" t="s">
        <v>978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935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67</v>
      </c>
      <c r="F18" s="9" t="s">
        <v>266</v>
      </c>
      <c r="G18" s="9"/>
      <c r="I18" s="9" t="s">
        <v>241</v>
      </c>
      <c r="J18" s="9" t="s">
        <v>932</v>
      </c>
      <c r="K18" s="9" t="s">
        <v>182</v>
      </c>
      <c r="N18" s="9" t="s">
        <v>284</v>
      </c>
      <c r="O18" s="9" t="s">
        <v>99</v>
      </c>
      <c r="P18" s="9" t="s">
        <v>964</v>
      </c>
      <c r="S18" s="9" t="s">
        <v>927</v>
      </c>
      <c r="T18" s="9" t="s">
        <v>926</v>
      </c>
      <c r="U18" s="9" t="s">
        <v>967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315</v>
      </c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986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972</v>
      </c>
      <c r="K20" s="9" t="s">
        <v>157</v>
      </c>
      <c r="N20" s="9" t="s">
        <v>311</v>
      </c>
      <c r="O20" s="9" t="s">
        <v>933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973</v>
      </c>
      <c r="P22" s="9" t="s">
        <v>280</v>
      </c>
      <c r="T22" s="9" t="s">
        <v>974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937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990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961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966</v>
      </c>
      <c r="K25" s="9" t="s">
        <v>80</v>
      </c>
      <c r="P25" s="9" t="s">
        <v>925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923</v>
      </c>
      <c r="K26" s="9" t="s">
        <v>960</v>
      </c>
      <c r="P26" s="9" t="s">
        <v>339</v>
      </c>
      <c r="U26" s="9" t="s">
        <v>919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982</v>
      </c>
      <c r="K27" s="9" t="s">
        <v>267</v>
      </c>
      <c r="P27" s="9" t="s">
        <v>956</v>
      </c>
      <c r="U27" s="9" t="s">
        <v>310</v>
      </c>
      <c r="AQ27" s="9"/>
      <c r="AV27" t="s">
        <v>930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941</v>
      </c>
      <c r="AV28" t="s">
        <v>854</v>
      </c>
    </row>
    <row r="29" spans="1:48" x14ac:dyDescent="0.25">
      <c r="A29" s="9"/>
      <c r="C29" s="9"/>
      <c r="D29" s="9"/>
      <c r="E29" s="9"/>
      <c r="P29" s="9" t="s">
        <v>940</v>
      </c>
      <c r="U29" s="9" t="s">
        <v>1052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970</v>
      </c>
    </row>
    <row r="31" spans="1:48" x14ac:dyDescent="0.25">
      <c r="A31" s="9"/>
      <c r="C31" s="9"/>
      <c r="D31" s="9"/>
      <c r="E31" s="9"/>
      <c r="P31" s="9" t="s">
        <v>1096</v>
      </c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920</v>
      </c>
      <c r="AV33" t="s">
        <v>987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945</v>
      </c>
      <c r="AV36" t="s">
        <v>975</v>
      </c>
    </row>
    <row r="37" spans="1:48" x14ac:dyDescent="0.25">
      <c r="A37" s="9"/>
      <c r="C37" s="9"/>
      <c r="D37" s="9"/>
      <c r="E37" s="9"/>
      <c r="U37" s="9" t="s">
        <v>226</v>
      </c>
      <c r="AV37" t="s">
        <v>976</v>
      </c>
    </row>
    <row r="38" spans="1:48" x14ac:dyDescent="0.25">
      <c r="A38" s="9"/>
      <c r="C38" s="9"/>
      <c r="D38" s="9"/>
      <c r="E38" s="9"/>
      <c r="AV38" t="s">
        <v>989</v>
      </c>
    </row>
    <row r="39" spans="1:48" x14ac:dyDescent="0.25">
      <c r="A39" s="9"/>
      <c r="C39" s="9"/>
      <c r="D39" s="9"/>
      <c r="E39" s="9"/>
      <c r="AV39" t="s">
        <v>988</v>
      </c>
    </row>
    <row r="40" spans="1:48" x14ac:dyDescent="0.25">
      <c r="A40" s="9"/>
      <c r="C40" s="9"/>
      <c r="D40" s="9"/>
      <c r="E40" s="9"/>
      <c r="AV40" t="s">
        <v>985</v>
      </c>
    </row>
    <row r="41" spans="1:48" x14ac:dyDescent="0.25">
      <c r="A41" s="9"/>
      <c r="C41" s="9"/>
      <c r="D41" s="9"/>
      <c r="E41" s="9"/>
      <c r="AV41" t="s">
        <v>142</v>
      </c>
    </row>
    <row r="42" spans="1:48" x14ac:dyDescent="0.25">
      <c r="A42" s="9"/>
      <c r="C42" s="9"/>
      <c r="D42" s="9"/>
      <c r="AV42" t="s">
        <v>980</v>
      </c>
    </row>
    <row r="43" spans="1:48" x14ac:dyDescent="0.25">
      <c r="A43" s="9"/>
      <c r="C43" s="9"/>
      <c r="D43" s="9"/>
      <c r="AV43" t="s">
        <v>342</v>
      </c>
    </row>
    <row r="44" spans="1:48" x14ac:dyDescent="0.25">
      <c r="A44" s="9"/>
      <c r="C44" s="9"/>
      <c r="D44" s="9"/>
      <c r="AV44" t="s">
        <v>301</v>
      </c>
    </row>
    <row r="45" spans="1:48" x14ac:dyDescent="0.25">
      <c r="A45" s="9"/>
      <c r="C45" s="9"/>
      <c r="D45" s="9"/>
      <c r="AV45" t="s">
        <v>360</v>
      </c>
    </row>
    <row r="46" spans="1:48" x14ac:dyDescent="0.25">
      <c r="A46" s="9"/>
      <c r="C46" s="9"/>
      <c r="D46" s="9"/>
      <c r="AV46" t="s">
        <v>364</v>
      </c>
    </row>
    <row r="47" spans="1:48" x14ac:dyDescent="0.25">
      <c r="A47" s="9"/>
      <c r="C47" s="9"/>
      <c r="D47" s="9"/>
      <c r="AV47" t="s">
        <v>878</v>
      </c>
    </row>
    <row r="48" spans="1:48" x14ac:dyDescent="0.25">
      <c r="A48" s="9"/>
      <c r="C48" s="9"/>
      <c r="D48" s="9"/>
      <c r="AV48" t="s">
        <v>881</v>
      </c>
    </row>
    <row r="49" spans="1:48" x14ac:dyDescent="0.25">
      <c r="A49" s="9"/>
      <c r="C49" s="9"/>
      <c r="D49" s="9"/>
      <c r="AV49" t="s">
        <v>882</v>
      </c>
    </row>
    <row r="50" spans="1:48" x14ac:dyDescent="0.25">
      <c r="A50" s="9"/>
      <c r="C50" s="9"/>
      <c r="D50" s="9"/>
      <c r="AV50" t="s">
        <v>879</v>
      </c>
    </row>
    <row r="51" spans="1:48" x14ac:dyDescent="0.25">
      <c r="A51" s="9"/>
      <c r="C51" s="9"/>
      <c r="D51" s="9"/>
      <c r="AV51" t="s">
        <v>877</v>
      </c>
    </row>
    <row r="52" spans="1:48" x14ac:dyDescent="0.25">
      <c r="A52" s="9"/>
      <c r="C52" s="9"/>
      <c r="D52" s="9"/>
      <c r="AV52" t="s">
        <v>880</v>
      </c>
    </row>
    <row r="53" spans="1:48" x14ac:dyDescent="0.25">
      <c r="A53" s="9"/>
      <c r="C53" s="9"/>
      <c r="D53" s="9"/>
      <c r="AV53" t="s">
        <v>883</v>
      </c>
    </row>
    <row r="54" spans="1:48" x14ac:dyDescent="0.25">
      <c r="A54" s="9"/>
      <c r="C54" s="9"/>
      <c r="D54" s="9"/>
      <c r="AV54" t="s">
        <v>993</v>
      </c>
    </row>
    <row r="55" spans="1:48" x14ac:dyDescent="0.25">
      <c r="A55" s="9"/>
      <c r="C55" s="9"/>
      <c r="D55" s="9"/>
      <c r="AV55" t="s">
        <v>101</v>
      </c>
    </row>
    <row r="56" spans="1:48" x14ac:dyDescent="0.25">
      <c r="A56" s="9"/>
      <c r="C56" s="9"/>
      <c r="D56" s="9"/>
      <c r="AV56" t="s">
        <v>839</v>
      </c>
    </row>
    <row r="57" spans="1:48" x14ac:dyDescent="0.25">
      <c r="A57" s="9"/>
      <c r="C57" s="9"/>
      <c r="D57" s="9"/>
      <c r="AV57" t="s">
        <v>368</v>
      </c>
    </row>
    <row r="58" spans="1:48" x14ac:dyDescent="0.25">
      <c r="A58" s="9"/>
      <c r="C58" s="9"/>
      <c r="D58" s="9"/>
      <c r="AV58" t="s">
        <v>821</v>
      </c>
    </row>
    <row r="59" spans="1:48" x14ac:dyDescent="0.25">
      <c r="A59" s="9"/>
      <c r="C59" s="9"/>
      <c r="D59" s="9"/>
      <c r="AV59" t="s">
        <v>362</v>
      </c>
    </row>
    <row r="60" spans="1:48" x14ac:dyDescent="0.25">
      <c r="A60" s="9"/>
      <c r="C60" s="9"/>
      <c r="D60" s="9"/>
      <c r="AV60" t="s">
        <v>353</v>
      </c>
    </row>
    <row r="61" spans="1:48" x14ac:dyDescent="0.25">
      <c r="A61" s="9"/>
      <c r="C61" s="9"/>
      <c r="D61" s="9"/>
      <c r="AV61" t="s">
        <v>851</v>
      </c>
    </row>
    <row r="62" spans="1:48" x14ac:dyDescent="0.25">
      <c r="A62" s="9"/>
      <c r="C62" s="9"/>
      <c r="D62" s="9"/>
      <c r="AV62" t="s">
        <v>911</v>
      </c>
    </row>
    <row r="63" spans="1:48" x14ac:dyDescent="0.25">
      <c r="A63" s="9"/>
      <c r="C63" s="9"/>
      <c r="D63" s="9"/>
      <c r="AV63" t="s">
        <v>841</v>
      </c>
    </row>
    <row r="64" spans="1:48" x14ac:dyDescent="0.25">
      <c r="C64" s="9"/>
      <c r="D64" s="9"/>
      <c r="AV64" t="s">
        <v>351</v>
      </c>
    </row>
    <row r="65" spans="3:48" x14ac:dyDescent="0.25">
      <c r="C65" s="9"/>
      <c r="D65" s="9"/>
      <c r="AV65" t="s">
        <v>361</v>
      </c>
    </row>
    <row r="66" spans="3:48" x14ac:dyDescent="0.25">
      <c r="C66" s="9"/>
      <c r="D66" s="9"/>
      <c r="AV66" t="s">
        <v>127</v>
      </c>
    </row>
    <row r="67" spans="3:48" x14ac:dyDescent="0.25">
      <c r="C67" s="9"/>
      <c r="D67" s="9"/>
      <c r="AV67" t="s">
        <v>95</v>
      </c>
    </row>
    <row r="68" spans="3:48" x14ac:dyDescent="0.25">
      <c r="D68" s="9"/>
      <c r="AV68" t="s">
        <v>77</v>
      </c>
    </row>
    <row r="69" spans="3:48" x14ac:dyDescent="0.25">
      <c r="D69" s="9"/>
      <c r="AV69" t="s">
        <v>827</v>
      </c>
    </row>
    <row r="70" spans="3:48" x14ac:dyDescent="0.25">
      <c r="D70" s="9"/>
      <c r="AV70" t="s">
        <v>357</v>
      </c>
    </row>
    <row r="71" spans="3:48" x14ac:dyDescent="0.25">
      <c r="AV71" t="s">
        <v>356</v>
      </c>
    </row>
    <row r="72" spans="3:48" x14ac:dyDescent="0.25">
      <c r="AV72" t="s">
        <v>829</v>
      </c>
    </row>
    <row r="73" spans="3:48" x14ac:dyDescent="0.25">
      <c r="AV73" t="s">
        <v>63</v>
      </c>
    </row>
    <row r="74" spans="3:48" x14ac:dyDescent="0.25">
      <c r="AV74" t="s">
        <v>365</v>
      </c>
    </row>
    <row r="75" spans="3:48" x14ac:dyDescent="0.25">
      <c r="AV75" t="s">
        <v>865</v>
      </c>
    </row>
    <row r="76" spans="3:48" x14ac:dyDescent="0.25">
      <c r="AV76" t="s">
        <v>68</v>
      </c>
    </row>
    <row r="77" spans="3:48" x14ac:dyDescent="0.25">
      <c r="AV77" t="s">
        <v>1105</v>
      </c>
    </row>
    <row r="78" spans="3:48" x14ac:dyDescent="0.25">
      <c r="AV78" t="s">
        <v>238</v>
      </c>
    </row>
    <row r="79" spans="3:48" x14ac:dyDescent="0.25">
      <c r="AV79" t="s">
        <v>134</v>
      </c>
    </row>
    <row r="80" spans="3:48" x14ac:dyDescent="0.25">
      <c r="AV80" t="s">
        <v>403</v>
      </c>
    </row>
    <row r="81" spans="48:48" x14ac:dyDescent="0.25">
      <c r="AV81" t="s">
        <v>1094</v>
      </c>
    </row>
    <row r="82" spans="48:48" x14ac:dyDescent="0.25">
      <c r="AV82" t="s">
        <v>352</v>
      </c>
    </row>
    <row r="83" spans="48:48" x14ac:dyDescent="0.25">
      <c r="AV83" t="s">
        <v>846</v>
      </c>
    </row>
    <row r="84" spans="48:48" x14ac:dyDescent="0.25">
      <c r="AV84" t="s">
        <v>986</v>
      </c>
    </row>
    <row r="85" spans="48:48" x14ac:dyDescent="0.25">
      <c r="AV85" t="s">
        <v>363</v>
      </c>
    </row>
    <row r="86" spans="48:48" x14ac:dyDescent="0.25">
      <c r="AV86" t="s">
        <v>847</v>
      </c>
    </row>
    <row r="87" spans="48:48" x14ac:dyDescent="0.25">
      <c r="AV87" t="s">
        <v>355</v>
      </c>
    </row>
    <row r="88" spans="48:48" x14ac:dyDescent="0.25">
      <c r="AV88" t="s">
        <v>168</v>
      </c>
    </row>
    <row r="89" spans="48:48" x14ac:dyDescent="0.25">
      <c r="AV89" t="s">
        <v>844</v>
      </c>
    </row>
    <row r="90" spans="48:48" x14ac:dyDescent="0.25">
      <c r="AV90" t="s">
        <v>824</v>
      </c>
    </row>
    <row r="91" spans="48:48" x14ac:dyDescent="0.25">
      <c r="AV91" t="s">
        <v>978</v>
      </c>
    </row>
    <row r="92" spans="48:48" x14ac:dyDescent="0.25">
      <c r="AV92" t="s">
        <v>70</v>
      </c>
    </row>
    <row r="93" spans="48:48" x14ac:dyDescent="0.25">
      <c r="AV93" t="s">
        <v>1067</v>
      </c>
    </row>
    <row r="94" spans="48:48" x14ac:dyDescent="0.25">
      <c r="AV94" t="s">
        <v>98</v>
      </c>
    </row>
    <row r="95" spans="48:48" x14ac:dyDescent="0.25">
      <c r="AV95" t="s">
        <v>310</v>
      </c>
    </row>
    <row r="96" spans="48:48" x14ac:dyDescent="0.25">
      <c r="AV96" t="s">
        <v>343</v>
      </c>
    </row>
    <row r="97" spans="48:48" x14ac:dyDescent="0.25">
      <c r="AV97" t="s">
        <v>1095</v>
      </c>
    </row>
    <row r="98" spans="48:48" x14ac:dyDescent="0.25">
      <c r="AV98" t="s">
        <v>969</v>
      </c>
    </row>
    <row r="99" spans="48:48" x14ac:dyDescent="0.25">
      <c r="AV99" t="s">
        <v>130</v>
      </c>
    </row>
    <row r="100" spans="48:48" x14ac:dyDescent="0.25">
      <c r="AV100" t="s">
        <v>369</v>
      </c>
    </row>
    <row r="101" spans="48:48" x14ac:dyDescent="0.25">
      <c r="AV101" t="s">
        <v>872</v>
      </c>
    </row>
    <row r="102" spans="48:48" x14ac:dyDescent="0.25">
      <c r="AV102" t="s">
        <v>849</v>
      </c>
    </row>
    <row r="103" spans="48:48" x14ac:dyDescent="0.25">
      <c r="AV103" t="s">
        <v>870</v>
      </c>
    </row>
    <row r="104" spans="48:48" x14ac:dyDescent="0.25">
      <c r="AV104" t="s">
        <v>863</v>
      </c>
    </row>
    <row r="105" spans="48:48" x14ac:dyDescent="0.25">
      <c r="AV105" t="s">
        <v>87</v>
      </c>
    </row>
    <row r="106" spans="48:48" x14ac:dyDescent="0.25">
      <c r="AV106" t="s">
        <v>871</v>
      </c>
    </row>
    <row r="107" spans="48:48" x14ac:dyDescent="0.25">
      <c r="AV107" t="s">
        <v>93</v>
      </c>
    </row>
    <row r="108" spans="48:48" x14ac:dyDescent="0.25">
      <c r="AV108" t="s">
        <v>358</v>
      </c>
    </row>
    <row r="109" spans="48:48" x14ac:dyDescent="0.25">
      <c r="AV109" t="s">
        <v>842</v>
      </c>
    </row>
    <row r="110" spans="48:48" x14ac:dyDescent="0.25">
      <c r="AV110" t="s">
        <v>67</v>
      </c>
    </row>
    <row r="111" spans="48:48" x14ac:dyDescent="0.25">
      <c r="AV111" t="s">
        <v>858</v>
      </c>
    </row>
    <row r="112" spans="48:48" x14ac:dyDescent="0.25">
      <c r="AV112" t="s">
        <v>855</v>
      </c>
    </row>
    <row r="113" spans="48:48" x14ac:dyDescent="0.25">
      <c r="AV113" t="s">
        <v>972</v>
      </c>
    </row>
    <row r="114" spans="48:48" x14ac:dyDescent="0.25">
      <c r="AV114" t="s">
        <v>843</v>
      </c>
    </row>
    <row r="115" spans="48:48" x14ac:dyDescent="0.25">
      <c r="AV115" t="s">
        <v>157</v>
      </c>
    </row>
    <row r="116" spans="48:48" x14ac:dyDescent="0.25">
      <c r="AV116" t="s">
        <v>977</v>
      </c>
    </row>
    <row r="117" spans="48:48" x14ac:dyDescent="0.25">
      <c r="AV117" t="s">
        <v>354</v>
      </c>
    </row>
    <row r="118" spans="48:48" x14ac:dyDescent="0.25">
      <c r="AV118" t="s">
        <v>857</v>
      </c>
    </row>
    <row r="119" spans="48:48" x14ac:dyDescent="0.25">
      <c r="AV119" t="s">
        <v>76</v>
      </c>
    </row>
    <row r="120" spans="48:48" x14ac:dyDescent="0.25">
      <c r="AV120" t="s">
        <v>344</v>
      </c>
    </row>
    <row r="121" spans="48:48" x14ac:dyDescent="0.25">
      <c r="AV121" t="s">
        <v>973</v>
      </c>
    </row>
    <row r="122" spans="48:48" x14ac:dyDescent="0.25">
      <c r="AV122" t="s">
        <v>834</v>
      </c>
    </row>
    <row r="123" spans="48:48" x14ac:dyDescent="0.25">
      <c r="AV123" t="s">
        <v>173</v>
      </c>
    </row>
    <row r="124" spans="48:48" x14ac:dyDescent="0.25">
      <c r="AV124" t="s">
        <v>140</v>
      </c>
    </row>
    <row r="125" spans="48:48" x14ac:dyDescent="0.25">
      <c r="AV125" t="s">
        <v>859</v>
      </c>
    </row>
    <row r="126" spans="48:48" x14ac:dyDescent="0.25">
      <c r="AV126" t="s">
        <v>837</v>
      </c>
    </row>
    <row r="127" spans="48:48" x14ac:dyDescent="0.25">
      <c r="AV127" t="s">
        <v>979</v>
      </c>
    </row>
    <row r="128" spans="48:48" x14ac:dyDescent="0.25">
      <c r="AV128" t="s">
        <v>141</v>
      </c>
    </row>
    <row r="129" spans="48:48" x14ac:dyDescent="0.25">
      <c r="AV129" t="s">
        <v>990</v>
      </c>
    </row>
    <row r="130" spans="48:48" x14ac:dyDescent="0.25">
      <c r="AV130" t="s">
        <v>822</v>
      </c>
    </row>
    <row r="131" spans="48:48" x14ac:dyDescent="0.25">
      <c r="AV131" t="s">
        <v>852</v>
      </c>
    </row>
    <row r="132" spans="48:48" x14ac:dyDescent="0.25">
      <c r="AV132" t="s">
        <v>848</v>
      </c>
    </row>
    <row r="133" spans="48:48" x14ac:dyDescent="0.25">
      <c r="AV133" t="s">
        <v>367</v>
      </c>
    </row>
    <row r="134" spans="48:48" x14ac:dyDescent="0.25">
      <c r="AV134" t="s">
        <v>366</v>
      </c>
    </row>
    <row r="135" spans="48:48" x14ac:dyDescent="0.25">
      <c r="AV135" t="s">
        <v>103</v>
      </c>
    </row>
    <row r="136" spans="48:48" x14ac:dyDescent="0.25">
      <c r="AV136" t="s">
        <v>981</v>
      </c>
    </row>
    <row r="137" spans="48:48" x14ac:dyDescent="0.25">
      <c r="AV137" t="s">
        <v>1096</v>
      </c>
    </row>
  </sheetData>
  <sortState ref="AV2:AV137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5C8AE6-BDCF-4999-9F5A-215CC458DF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2021-07-23T02:24:03Z</dcterms:modified>
</cp:coreProperties>
</file>