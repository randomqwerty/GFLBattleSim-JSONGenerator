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E3159A2-76E6-4CEB-AA2F-D6B62A3BAF76}" xr6:coauthVersionLast="36" xr6:coauthVersionMax="36" xr10:uidLastSave="{00000000-0000-0000-0000-000000000000}"/>
  <bookViews>
    <workbookView xWindow="0" yWindow="0" windowWidth="24000" windowHeight="89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Mission_Act_Info" sheetId="20" state="hidden" r:id="rId7"/>
    <sheet name="GFBattleSimulator" sheetId="24" state="hidden" r:id="rId8"/>
    <sheet name="Stat Calc" sheetId="3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Strategy Buff Data" sheetId="27" state="hidden" r:id="rId14"/>
    <sheet name="Dropdowns" sheetId="2" state="hidden" r:id="rId15"/>
    <sheet name="Doll Data" sheetId="4" state="hidden" r:id="rId16"/>
    <sheet name="Equip Data" sheetId="11" state="hidden" r:id="rId17"/>
  </sheets>
  <definedNames>
    <definedName name="_xlnm._FilterDatabase" localSheetId="15" hidden="1">'Doll Data'!$A$1:$K$398</definedName>
    <definedName name="_xlnm._FilterDatabase" localSheetId="16" hidden="1">'Equip Data'!$A$1:$V$202</definedName>
    <definedName name="_xlnm._FilterDatabase" localSheetId="9" hidden="1">'Fairy Data'!$A$1:$K$37</definedName>
    <definedName name="_xlnm._FilterDatabase" localSheetId="10" hidden="1">'Talent Data'!$A$1:$C$18</definedName>
    <definedName name="BossHP">Main!$E$10</definedName>
    <definedName name="ChipJSONPath">Main!$B$18</definedName>
    <definedName name="DayNight">Main!$B$10</definedName>
    <definedName name="DollEq">OFFSET(Dropdowns!$A$2,0,MATCH(Main!XFD1,Dropdowns!$B$1:$XFD$1,0),1000,1)</definedName>
    <definedName name="DollJSONPath">Main!$B$15</definedName>
    <definedName name="DollNames">OFFSET(Dropdowns!$A$2,0,MATCH(Main!XFD1&amp;Main!XFC1,Dropdowns!$B$1:$XFD$1,0),100,1)</definedName>
    <definedName name="EchelonInput">Main!$B$28:$W$32</definedName>
    <definedName name="EnemyID">Main!$E$9</definedName>
    <definedName name="EquipJSONPath">Main!$B$16</definedName>
    <definedName name="FairyJSONPath">Main!$B$19</definedName>
    <definedName name="FairySkill">Main!$E$11</definedName>
    <definedName name="HOCJSONPath">Main!$B$17</definedName>
    <definedName name="HOCSupport">Main!$E$12</definedName>
    <definedName name="ListOfPresets">'Preset Teams'!$A$4:$A$1048576</definedName>
    <definedName name="MissionJSON">Main!$B$20</definedName>
    <definedName name="Names2">OFFSET(Dropdowns!$A$2,0,MATCH(Main!$C$29&amp;Main!$B$29,Dropdowns!$B$1:$XFD$1,0),100,1)</definedName>
    <definedName name="Names3">OFFSET(Dropdowns!$A$2,0,MATCH(Main!$C$30&amp;Main!$B$30,Dropdowns!$B$1:$XFD$1,0),100,1)</definedName>
    <definedName name="Names4">OFFSET(Dropdowns!$A$2,0,MATCH(Main!$C$31&amp;Main!$B$31,Dropdowns!$B$1:$XFD$1,0),100,1)</definedName>
    <definedName name="Names5">OFFSET(Dropdowns!$A$2,0,MATCH(Main!$C$32&amp;Main!$B$32,Dropdowns!$B$1:$XFD$1,0),100,1)</definedName>
    <definedName name="NodeColor">Main!$B$11</definedName>
    <definedName name="OneStack">'Misc Inputs'!$C$9</definedName>
    <definedName name="Preset">Main!$B$23</definedName>
    <definedName name="PresetData">OFFSET('Preset Teams'!B1048558,MATCH(Preset,'Preset Teams'!B1048559:B1048555,0),1,5,22)</definedName>
    <definedName name="SimJSON">Main!$B$21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Main!$C$47</definedName>
    <definedName name="StratSL1">Main!$C$47</definedName>
    <definedName name="StratSL2">Main!$C$48</definedName>
    <definedName name="StratSL3">Main!$C$49</definedName>
    <definedName name="ThreeStack">'Misc Inputs'!$C$11</definedName>
    <definedName name="TurnNum">Main!$B$12</definedName>
    <definedName name="TwoStack">'Misc Inputs'!$C$10</definedName>
    <definedName name="UseCustomStats">Main!$AC$26</definedName>
    <definedName name="UserID">Main!$B$9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2" l="1"/>
  <c r="A14" i="12"/>
  <c r="A15" i="12"/>
  <c r="A16" i="12"/>
  <c r="A12" i="12"/>
  <c r="A8" i="12"/>
  <c r="A9" i="12"/>
  <c r="A10" i="12"/>
  <c r="A11" i="12"/>
  <c r="A7" i="12"/>
  <c r="A3" i="12"/>
  <c r="A4" i="12"/>
  <c r="A5" i="12"/>
  <c r="A6" i="12"/>
  <c r="A2" i="12"/>
  <c r="H11" i="18" l="1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B18" i="1"/>
  <c r="B17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B20" i="1"/>
  <c r="B21" i="1"/>
  <c r="B19" i="1" l="1"/>
  <c r="B16" i="1"/>
  <c r="B15" i="1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N6" i="3"/>
  <c r="M6" i="3"/>
  <c r="L6" i="3"/>
  <c r="K6" i="3"/>
  <c r="J6" i="3"/>
  <c r="Z5" i="3"/>
  <c r="O5" i="3"/>
  <c r="N5" i="3"/>
  <c r="M5" i="3"/>
  <c r="L5" i="3"/>
  <c r="K5" i="3"/>
  <c r="J5" i="3"/>
  <c r="Z4" i="3"/>
  <c r="O4" i="3"/>
  <c r="N4" i="3"/>
  <c r="M4" i="3"/>
  <c r="L4" i="3"/>
  <c r="K4" i="3"/>
  <c r="J4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7" i="3" l="1"/>
  <c r="AB4" i="3"/>
  <c r="AB7" i="3"/>
  <c r="AD7" i="3"/>
  <c r="AE7" i="3"/>
  <c r="AF7" i="3"/>
  <c r="AC7" i="3"/>
  <c r="AC5" i="3"/>
  <c r="S6" i="3"/>
  <c r="AB6" i="3"/>
  <c r="T6" i="3"/>
  <c r="AC13" i="3" s="1"/>
  <c r="AC6" i="3"/>
  <c r="U6" i="3"/>
  <c r="AD6" i="3"/>
  <c r="W6" i="3"/>
  <c r="AF13" i="3" s="1"/>
  <c r="AF6" i="3"/>
  <c r="R6" i="3"/>
  <c r="AA6" i="3"/>
  <c r="V6" i="3"/>
  <c r="AE6" i="3"/>
  <c r="AB5" i="3"/>
  <c r="V5" i="3"/>
  <c r="AE5" i="3"/>
  <c r="W5" i="3"/>
  <c r="AF12" i="3" s="1"/>
  <c r="AF5" i="3"/>
  <c r="R5" i="3"/>
  <c r="AA12" i="3" s="1"/>
  <c r="AA5" i="3"/>
  <c r="U5" i="3"/>
  <c r="AD12" i="3" s="1"/>
  <c r="AD5" i="3"/>
  <c r="AE4" i="3"/>
  <c r="R4" i="3"/>
  <c r="AA11" i="3" s="1"/>
  <c r="AA4" i="3"/>
  <c r="W4" i="3"/>
  <c r="AF4" i="3"/>
  <c r="U4" i="3"/>
  <c r="AD11" i="3" s="1"/>
  <c r="AD4" i="3"/>
  <c r="T4" i="3"/>
  <c r="AC11" i="3" s="1"/>
  <c r="AC4" i="3"/>
  <c r="T3" i="3"/>
  <c r="AC10" i="3" s="1"/>
  <c r="AC3" i="3"/>
  <c r="U3" i="3"/>
  <c r="AD3" i="3"/>
  <c r="V3" i="3"/>
  <c r="AE10" i="3" s="1"/>
  <c r="AE3" i="3"/>
  <c r="R3" i="3"/>
  <c r="AA10" i="3" s="1"/>
  <c r="AA3" i="3"/>
  <c r="S3" i="3"/>
  <c r="AB10" i="3" s="1"/>
  <c r="AB3" i="3"/>
  <c r="W3" i="3"/>
  <c r="AF3" i="3"/>
  <c r="AE12" i="3"/>
  <c r="N5" i="12"/>
  <c r="AF10" i="3"/>
  <c r="AB14" i="3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AD14" i="3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C14" i="3"/>
  <c r="AD10" i="3"/>
  <c r="D5" i="7"/>
  <c r="Q6" i="12"/>
  <c r="M6" i="12"/>
  <c r="I6" i="12"/>
  <c r="J6" i="12"/>
  <c r="O6" i="12"/>
  <c r="T6" i="12"/>
  <c r="S4" i="3"/>
  <c r="AB11" i="3" s="1"/>
  <c r="J2" i="12"/>
  <c r="N2" i="12"/>
  <c r="R2" i="12"/>
  <c r="K5" i="12"/>
  <c r="G6" i="12"/>
  <c r="L6" i="12"/>
  <c r="R6" i="12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S5" i="3"/>
  <c r="AB12" i="3" s="1"/>
  <c r="AF11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18" i="3" l="1"/>
  <c r="P3" i="7" s="1"/>
  <c r="AE19" i="3"/>
  <c r="O4" i="7" s="1"/>
  <c r="J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Y26" authorId="0" shapeId="0" xr:uid="{2D23161E-5F5B-494C-A5E7-54306DE30282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7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7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7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5" authorId="2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<sst xmlns="http://schemas.openxmlformats.org/spreadsheetml/2006/main" count="5472" uniqueCount="1166">
  <si>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</si>
  <si>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</si>
  <si>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</si>
  <si>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</si>
  <si>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</si>
  <si>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</si>
  <si>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</si>
  <si>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</si>
  <si>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</si>
  <si>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</si>
  <si>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</si>
  <si>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</si>
  <si>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</si>
  <si>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</si>
  <si>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</si>
  <si>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</si>
  <si>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</si>
  <si>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</si>
  <si>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</si>
  <si>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</si>
  <si>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</si>
  <si>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</si>
  <si>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</si>
  <si>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</si>
  <si>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</si>
  <si>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</si>
  <si>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</si>
  <si>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</si>
  <si>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</si>
  <si>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</si>
  <si>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</si>
  <si>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</si>
  <si>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</si>
  <si>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</si>
  <si>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</si>
  <si>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</si>
  <si>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</si>
  <si>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</si>
  <si>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</si>
  <si>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</si>
  <si>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</si>
  <si>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</si>
  <si>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</si>
  <si>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</si>
  <si>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</si>
  <si>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</si>
  <si>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</si>
  <si>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</si>
  <si>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</si>
  <si>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</si>
  <si>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</si>
  <si>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</si>
  <si>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</si>
  <si>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</si>
  <si>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</si>
  <si>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</si>
  <si>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</si>
  <si>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</si>
  <si>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</si>
  <si>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</si>
  <si>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</si>
  <si>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</si>
  <si>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</si>
  <si>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</si>
  <si>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</si>
  <si>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</si>
  <si>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</si>
  <si>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</si>
  <si>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</si>
  <si>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</si>
  <si>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</si>
  <si>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</si>
  <si>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</si>
  <si>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</si>
  <si>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</si>
  <si>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</si>
  <si>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</si>
  <si>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</si>
  <si>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</si>
  <si>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</si>
  <si>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</si>
  <si>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</si>
  <si>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</si>
  <si>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</si>
  <si>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</si>
  <si>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</si>
  <si>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</si>
  <si>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</si>
  <si>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</si>
  <si>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</si>
  <si>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</si>
  <si>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</si>
  <si>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</si>
  <si>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</si>
  <si>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</si>
  <si>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</si>
  <si>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</si>
  <si>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</si>
  <si>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</si>
  <si>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</si>
  <si>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</si>
  <si>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</si>
  <si>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</si>
  <si>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</si>
  <si>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</si>
  <si>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</si>
  <si>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</si>
  <si>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</si>
  <si>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</si>
  <si>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</si>
  <si>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</si>
  <si>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</si>
  <si>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</si>
  <si>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</si>
  <si>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</si>
  <si>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</si>
  <si>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</si>
  <si>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</si>
  <si>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</si>
  <si>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</si>
  <si>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</si>
  <si>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</si>
  <si>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</si>
  <si>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</si>
  <si>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</si>
  <si>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</si>
  <si>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</si>
  <si>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</si>
  <si>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</si>
  <si>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</si>
  <si>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</si>
  <si>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</si>
  <si>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</si>
  <si>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</si>
  <si>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</si>
  <si>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</si>
  <si>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</si>
  <si>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</si>
  <si>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</si>
  <si>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</si>
  <si>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</si>
  <si>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</si>
  <si>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</si>
  <si>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</si>
  <si>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</si>
  <si>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</si>
  <si>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</si>
  <si>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</si>
  <si>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</si>
  <si>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</si>
  <si>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</si>
  <si>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</si>
  <si>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</si>
  <si>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</si>
  <si>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</si>
  <si>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</si>
  <si>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</si>
  <si>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</si>
  <si>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</si>
  <si>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</si>
  <si>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</si>
  <si>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</si>
  <si>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</si>
  <si>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</si>
  <si>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</si>
  <si>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</si>
  <si>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</si>
  <si>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</si>
  <si>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</si>
  <si>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</si>
  <si>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</si>
  <si>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</si>
  <si>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</si>
  <si>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</si>
  <si>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</si>
  <si>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</si>
  <si>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</si>
  <si>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</si>
  <si>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</si>
  <si>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</si>
  <si>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</si>
  <si>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</si>
  <si>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</si>
  <si>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</si>
  <si>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</si>
  <si>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</si>
  <si>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</si>
  <si>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</si>
  <si>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</si>
  <si>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</si>
  <si>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</si>
  <si>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</si>
  <si>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</si>
  <si>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</si>
  <si>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</si>
  <si>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</si>
  <si>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</si>
  <si>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</si>
  <si>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</si>
  <si>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</si>
  <si>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</si>
  <si>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</si>
  <si>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</si>
  <si>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</si>
  <si>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</si>
  <si>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</si>
  <si>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</si>
  <si>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</si>
  <si>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</si>
  <si>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</si>
  <si>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</si>
  <si>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</si>
  <si>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</si>
  <si>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</si>
  <si>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</si>
  <si>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</si>
  <si>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</si>
  <si>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</si>
  <si>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</si>
  <si>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</si>
  <si>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</si>
  <si>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</si>
  <si>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</si>
  <si>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</si>
  <si>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</si>
  <si>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</si>
  <si>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</si>
  <si>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</si>
  <si>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</si>
  <si>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</si>
  <si>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</si>
  <si>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</si>
  <si>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</si>
  <si>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</si>
  <si>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</si>
  <si>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</si>
  <si>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</si>
  <si>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</si>
  <si>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</si>
  <si>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</si>
  <si>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</si>
  <si>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</si>
  <si>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</si>
  <si>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</si>
  <si>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</si>
  <si>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</si>
  <si>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</si>
  <si>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</si>
  <si>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</si>
  <si>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</si>
  <si>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</si>
  <si>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</si>
  <si>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</si>
  <si>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</si>
  <si>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</si>
  <si>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</si>
  <si>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</si>
  <si>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</si>
  <si>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</si>
  <si>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</si>
  <si>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</si>
  <si>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</si>
  <si>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</si>
  <si>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</si>
  <si>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</si>
  <si>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</si>
  <si>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</si>
  <si>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</si>
  <si>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</si>
  <si>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</si>
  <si>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</si>
  <si>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</si>
  <si>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</si>
  <si>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</si>
  <si>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</si>
  <si>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</si>
  <si>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</si>
  <si>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</si>
  <si>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</si>
  <si>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</si>
  <si>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</si>
  <si>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</si>
  <si>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</si>
  <si>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</si>
  <si>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</si>
  <si>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</si>
  <si>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</si>
  <si>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</si>
  <si>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</si>
  <si>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</si>
  <si>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</si>
  <si>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</si>
  <si>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</si>
  <si>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</si>
  <si>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</si>
  <si>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</si>
  <si>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</si>
  <si>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</si>
  <si>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</si>
  <si>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</si>
  <si>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</si>
  <si>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</si>
  <si>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</si>
  <si>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</si>
  <si>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</si>
  <si>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</si>
  <si>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</si>
  <si>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</si>
  <si>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</si>
  <si>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</si>
  <si>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</si>
  <si>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</si>
  <si>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</si>
  <si>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</si>
  <si>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</si>
  <si>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</si>
  <si>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</si>
  <si>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</si>
  <si>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</si>
  <si>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</si>
  <si>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</si>
  <si>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</si>
  <si>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</si>
  <si>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</si>
  <si>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</si>
  <si>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</si>
  <si>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</si>
  <si>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</si>
  <si>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</si>
  <si>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</si>
  <si>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</si>
  <si>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</si>
  <si>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</si>
  <si>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</si>
  <si>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</si>
  <si>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</si>
  <si>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</si>
  <si>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</si>
  <si>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</si>
  <si>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</si>
  <si>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</si>
  <si>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</si>
  <si>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</si>
  <si>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</si>
  <si>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</si>
  <si>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</si>
  <si>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</si>
  <si>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</si>
  <si>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</si>
  <si>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</si>
  <si>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</si>
  <si>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</si>
  <si>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</si>
  <si>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</si>
  <si>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</si>
  <si>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</si>
  <si>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</si>
  <si>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</si>
  <si>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</si>
  <si>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</si>
  <si>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</si>
  <si>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</si>
  <si>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</si>
  <si>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</si>
  <si>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</si>
  <si>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</si>
  <si>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</si>
  <si>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</si>
  <si>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</si>
  <si>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</si>
  <si>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</si>
  <si>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</si>
  <si>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</si>
  <si>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</si>
  <si>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</si>
  <si>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</si>
  <si>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</si>
  <si>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</si>
  <si>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</si>
  <si>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</si>
  <si>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</si>
  <si>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</si>
  <si>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</si>
  <si>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</si>
  <si>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</si>
  <si>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</si>
  <si>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</si>
  <si>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</si>
  <si>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</si>
  <si>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</si>
  <si>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</si>
  <si>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</si>
  <si>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</si>
  <si>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</si>
  <si>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</si>
  <si>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</si>
  <si>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</si>
  <si>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</si>
  <si>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</si>
  <si>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</si>
  <si>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</si>
  <si>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</si>
  <si>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</si>
  <si>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</si>
  <si>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</si>
  <si>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</si>
  <si>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</si>
  <si>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</si>
  <si>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</si>
  <si>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</si>
  <si>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</si>
  <si>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</si>
  <si>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</si>
  <si>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</si>
  <si>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</si>
  <si>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</si>
  <si>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</si>
  <si>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</si>
  <si>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</si>
  <si>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</si>
  <si>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</si>
  <si>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</si>
  <si>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</si>
  <si>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</si>
  <si>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</si>
  <si>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</si>
  <si>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</si>
  <si>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</si>
  <si>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</si>
  <si>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</si>
  <si>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</si>
  <si>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</si>
  <si>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</si>
  <si>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</si>
  <si>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</si>
  <si>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</si>
  <si>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</si>
  <si>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</si>
  <si>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</si>
  <si>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</si>
  <si>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</si>
  <si>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</si>
  <si>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</si>
  <si>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</si>
  <si>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</si>
  <si>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</si>
  <si>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</si>
  <si>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</si>
  <si>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</si>
  <si>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</si>
  <si>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</si>
  <si>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</si>
  <si>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</si>
  <si>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</si>
  <si>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</si>
  <si>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</si>
  <si>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</si>
  <si>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</si>
  <si>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</si>
  <si>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</si>
  <si>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</si>
  <si>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</si>
  <si>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</si>
  <si>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</si>
  <si>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</si>
  <si>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</si>
  <si>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</si>
  <si>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</si>
  <si>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</si>
  <si>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</si>
  <si>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</si>
  <si>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</si>
  <si>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</si>
  <si>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</si>
  <si>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</si>
  <si>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</si>
  <si>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</si>
  <si>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</si>
  <si>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</si>
  <si>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</si>
  <si>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</si>
  <si>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</si>
  <si>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</si>
  <si>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</si>
  <si>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</si>
  <si>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</si>
  <si>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</si>
  <si>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</si>
  <si>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</si>
  <si>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</si>
  <si>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</si>
  <si>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</si>
  <si>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</si>
  <si>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</si>
  <si>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</si>
  <si>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</si>
  <si>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</si>
  <si>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</si>
  <si>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</si>
  <si>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</si>
  <si>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</si>
  <si>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</si>
  <si>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</si>
  <si>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</si>
  <si>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</si>
  <si>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</si>
  <si>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</si>
  <si>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</si>
  <si>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</si>
  <si>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</si>
  <si>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</si>
  <si>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</si>
  <si>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</si>
  <si>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</si>
  <si>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</si>
  <si>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</si>
  <si>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</si>
  <si>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</si>
  <si>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</si>
  <si>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</si>
  <si>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</si>
  <si>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</si>
  <si>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</si>
  <si>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</si>
  <si>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</si>
  <si>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</si>
  <si>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</si>
  <si>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</si>
  <si>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</si>
  <si>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</si>
  <si>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</si>
  <si>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</si>
  <si>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</si>
  <si>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</si>
  <si>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</si>
  <si>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</si>
  <si>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</si>
  <si>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</si>
  <si>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</si>
  <si>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</si>
  <si>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</si>
  <si>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</si>
  <si>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</si>
  <si>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</si>
  <si>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</si>
  <si>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</si>
  <si>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</si>
  <si>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</si>
  <si>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</si>
  <si>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</si>
  <si>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</si>
  <si>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</si>
  <si>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</si>
  <si>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</si>
  <si>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</si>
  <si>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</si>
  <si>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</si>
  <si>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</si>
  <si>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</si>
  <si>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</si>
  <si>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</si>
  <si>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</si>
  <si>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</si>
  <si>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</si>
  <si>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</si>
  <si>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</si>
  <si>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</si>
  <si>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</si>
  <si>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</si>
  <si>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</si>
  <si>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</si>
  <si>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</si>
  <si>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</si>
  <si>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</si>
  <si>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</si>
  <si>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</si>
  <si>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</si>
  <si>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</si>
  <si>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</si>
  <si>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</si>
  <si>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</si>
  <si>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</si>
  <si>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</si>
  <si>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</si>
  <si>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</si>
  <si>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</si>
  <si>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</si>
  <si>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</si>
  <si>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</si>
  <si>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</si>
  <si>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</si>
  <si>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</si>
  <si>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</si>
  <si>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</si>
  <si>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</si>
  <si>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</si>
  <si>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</si>
  <si>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</si>
  <si>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</si>
  <si>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</si>
  <si>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</si>
  <si>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</si>
  <si>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</si>
  <si>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</si>
  <si>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</si>
  <si>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</si>
  <si>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</si>
  <si>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</si>
  <si>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</si>
  <si>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</si>
  <si>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</si>
  <si>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</si>
  <si>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</si>
  <si>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</si>
  <si>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</si>
  <si>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</si>
  <si>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</si>
  <si>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</si>
  <si>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</si>
  <si>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</si>
  <si>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</si>
  <si>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</si>
  <si>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</si>
  <si>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</si>
  <si>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</si>
  <si>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</si>
  <si>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</si>
  <si>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</si>
  <si>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</si>
  <si>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</si>
  <si>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</si>
  <si>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</si>
  <si>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</si>
  <si>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</si>
  <si>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</si>
  <si>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</si>
  <si>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</si>
  <si>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</si>
  <si>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</si>
  <si>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</si>
  <si>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</si>
  <si>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</si>
  <si>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</si>
  <si>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</si>
  <si>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</si>
  <si>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</si>
  <si>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</si>
  <si>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</si>
  <si>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</si>
  <si>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</si>
  <si>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</si>
  <si>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</si>
  <si>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</si>
  <si>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</si>
  <si>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</si>
  <si>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</si>
  <si>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</si>
  <si>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</si>
  <si>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</si>
  <si>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</si>
  <si>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</si>
  <si>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</si>
  <si>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</si>
  <si>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</si>
  <si>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</si>
  <si>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</si>
  <si>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</si>
  <si>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</si>
  <si>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</si>
  <si>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</si>
  <si>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</si>
  <si>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</si>
  <si>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</si>
  <si>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</si>
  <si>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</si>
  <si>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</si>
  <si>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</si>
  <si>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</si>
  <si>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</si>
  <si>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</si>
  <si>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</si>
  <si>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</si>
  <si>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</si>
  <si>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</si>
  <si>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</si>
  <si>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</si>
  <si>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</si>
  <si>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</si>
  <si>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</si>
  <si>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</si>
  <si>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</si>
  <si>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</si>
  <si>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</si>
  <si>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</si>
  <si>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</si>
  <si>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</si>
  <si>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</si>
  <si>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</si>
  <si>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</si>
  <si>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</si>
  <si>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</si>
  <si>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</si>
  <si>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</si>
  <si>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</si>
  <si>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</si>
  <si>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</si>
  <si>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</si>
  <si>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</si>
  <si>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</si>
  <si>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</si>
  <si>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</si>
  <si>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</si>
  <si>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</si>
  <si>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</si>
  <si>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</si>
  <si>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</si>
  <si>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</si>
  <si>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</si>
  <si>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</si>
  <si>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</si>
  <si>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</si>
  <si>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</si>
  <si>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</si>
  <si>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</si>
  <si>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</si>
  <si>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</si>
  <si>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</si>
  <si>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</si>
  <si>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</si>
  <si>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</si>
  <si>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</si>
  <si>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</si>
  <si>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</si>
  <si>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</si>
  <si>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</si>
  <si>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</si>
  <si>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</si>
  <si>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</si>
  <si>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</si>
  <si>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</si>
  <si>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</si>
  <si>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</si>
  <si>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</si>
  <si>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</si>
  <si>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</si>
  <si>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</si>
  <si>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</si>
  <si>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</si>
  <si>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</si>
  <si>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</si>
  <si>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</si>
  <si>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</si>
  <si>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</si>
  <si>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</si>
  <si>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</si>
  <si>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</si>
  <si>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</si>
  <si>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</si>
  <si>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</si>
  <si>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</si>
  <si>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</si>
  <si>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</si>
  <si>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</si>
  <si>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</si>
  <si>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</si>
  <si>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</si>
  <si>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</si>
  <si>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</si>
  <si>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</si>
  <si>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</si>
  <si>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</si>
  <si>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</si>
  <si>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</si>
  <si>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</si>
  <si>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</si>
  <si>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</si>
  <si>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</si>
  <si>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</si>
  <si>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</si>
  <si>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</si>
  <si>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</si>
  <si>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</si>
  <si>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</si>
  <si>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</si>
  <si>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</si>
  <si>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</si>
  <si>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</si>
  <si>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</si>
  <si>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</si>
  <si>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</si>
  <si>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</si>
  <si>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</si>
  <si>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</si>
  <si>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</si>
  <si>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</si>
  <si>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</si>
  <si>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</si>
  <si>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</si>
  <si>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</si>
  <si>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</si>
  <si>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</si>
  <si>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</si>
  <si>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</si>
  <si>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</si>
  <si>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</si>
  <si>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</si>
  <si>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</si>
  <si>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</si>
  <si>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</si>
  <si>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</si>
  <si>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</si>
  <si>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</si>
  <si>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</si>
  <si>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</si>
  <si>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</si>
  <si>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</si>
  <si>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</si>
  <si>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</si>
  <si>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</si>
  <si>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</si>
  <si>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</si>
  <si>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</si>
  <si>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</si>
  <si>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</si>
  <si>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</si>
  <si>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</si>
  <si>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</si>
  <si>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</si>
  <si>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</si>
  <si>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</si>
  <si>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</si>
  <si>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</si>
  <si>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</si>
  <si>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</si>
  <si>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</si>
  <si>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</si>
  <si>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</si>
  <si>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</si>
  <si>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</si>
  <si>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</si>
  <si>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</si>
  <si>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</si>
  <si>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</si>
  <si>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</si>
  <si>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</si>
  <si>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</si>
  <si>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</si>
  <si>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</si>
  <si>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</si>
  <si>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</si>
  <si>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</si>
  <si>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</si>
  <si>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</si>
  <si>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</si>
  <si>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</si>
  <si>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</si>
  <si>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</si>
  <si>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</si>
  <si>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</si>
  <si>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</si>
  <si>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</si>
  <si>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</si>
  <si>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</si>
  <si>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</si>
  <si>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</si>
  <si>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</si>
  <si>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</si>
  <si>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</si>
  <si>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</si>
  <si>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</si>
  <si>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</si>
  <si>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</si>
  <si>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</si>
  <si>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</si>
  <si>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</si>
  <si>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</si>
  <si>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</si>
  <si>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</si>
  <si>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</si>
  <si>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</si>
  <si>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</si>
  <si>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</si>
  <si>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</si>
  <si>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</si>
  <si>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</si>
  <si>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</si>
  <si>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</si>
  <si>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</si>
  <si>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</si>
  <si>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</si>
  <si>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</si>
  <si>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</si>
  <si>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</si>
  <si>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</si>
  <si>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</si>
  <si>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</si>
  <si>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</si>
  <si>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</si>
  <si>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</si>
  <si>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</si>
  <si>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</si>
  <si>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</si>
  <si>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</si>
  <si>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</si>
  <si>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</si>
  <si>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</si>
  <si>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</si>
  <si>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</si>
  <si>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</si>
  <si>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</si>
  <si>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</si>
  <si>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</si>
  <si>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</si>
  <si>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</si>
  <si>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</si>
  <si>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</si>
  <si>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</si>
  <si>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</si>
  <si>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</si>
  <si>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</si>
  <si>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</si>
  <si>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</si>
  <si>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</si>
  <si>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</si>
  <si>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</si>
  <si>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</si>
  <si>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</si>
  <si>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</si>
  <si>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</si>
  <si>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</si>
  <si>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</si>
  <si>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</si>
  <si>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</si>
  <si>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</si>
  <si>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</si>
  <si>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</si>
  <si>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</si>
  <si>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</si>
  <si>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</si>
  <si>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</si>
  <si>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</si>
  <si>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</si>
  <si>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</si>
  <si>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</si>
  <si>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</si>
  <si>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</si>
  <si>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</si>
  <si>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</si>
  <si>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</si>
  <si>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</si>
  <si>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</si>
  <si>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</si>
  <si>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</si>
  <si>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</si>
  <si>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</si>
  <si>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</si>
  <si>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</si>
  <si>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</si>
  <si>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</si>
  <si>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</si>
  <si>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</si>
  <si>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</si>
  <si>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</si>
  <si>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</si>
  <si>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</si>
  <si>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</si>
  <si>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</si>
  <si>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</si>
  <si>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</si>
  <si>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</si>
  <si>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</si>
  <si>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</si>
  <si>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</si>
  <si>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</si>
  <si>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</si>
  <si>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</si>
  <si>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</si>
  <si>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</si>
  <si>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</si>
  <si>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</si>
  <si>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</si>
  <si>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</si>
  <si>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</si>
  <si>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</si>
  <si>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</si>
  <si>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</si>
  <si>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</si>
  <si>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</si>
  <si>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</si>
  <si>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</si>
  <si>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</si>
  <si>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</si>
  <si>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</si>
  <si>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</si>
  <si>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</si>
  <si>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</si>
  <si>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</si>
  <si>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</si>
  <si>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</si>
  <si>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</si>
  <si>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</si>
  <si>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</si>
  <si>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</si>
  <si>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</si>
  <si>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</si>
  <si>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</si>
  <si>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</si>
  <si>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</si>
  <si>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"X" below to enable enemy debuffs: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</si>
  <si>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</si>
  <si>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</si>
  <si>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</si>
  <si>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</si>
  <si>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</si>
  <si>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</si>
  <si>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</si>
  <si>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</si>
  <si>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</si>
  <si>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</si>
  <si>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</si>
  <si>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</si>
  <si>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</si>
  <si>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</si>
  <si>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</si>
  <si>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</si>
  <si>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</si>
  <si>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</si>
  <si>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</si>
  <si>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</si>
  <si>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</si>
  <si>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</si>
  <si>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</si>
  <si>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</si>
  <si>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</si>
  <si>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</si>
  <si>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</si>
  <si>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</si>
  <si>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</si>
  <si>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</si>
  <si>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</si>
  <si>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</si>
  <si>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</si>
  <si>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</si>
  <si>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</si>
  <si>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</si>
  <si>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</si>
  <si>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</si>
  <si>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</si>
  <si>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</si>
  <si>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</si>
  <si>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</si>
  <si>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</si>
  <si>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</si>
  <si>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</si>
  <si>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</si>
  <si>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</si>
  <si>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</si>
  <si>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</si>
  <si>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</si>
  <si>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</si>
  <si>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</si>
  <si>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</si>
  <si>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</si>
  <si>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</si>
  <si>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</si>
  <si>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</si>
  <si>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</si>
  <si>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</si>
  <si>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</si>
  <si>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</si>
  <si>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</si>
  <si>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</si>
  <si>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</si>
  <si>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</si>
  <si>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</si>
  <si>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</si>
  <si>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</si>
  <si>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</si>
  <si>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</si>
  <si>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</si>
  <si>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</si>
  <si>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</si>
  <si>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</si>
  <si>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</si>
  <si>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</si>
  <si>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</si>
  <si>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</si>
  <si>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</si>
  <si>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</si>
  <si>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</si>
  <si>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</si>
  <si>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</si>
  <si>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</si>
  <si>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</si>
  <si>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</si>
  <si>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</si>
  <si>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</si>
  <si>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</si>
  <si>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</si>
  <si>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</si>
  <si>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</si>
  <si>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</si>
  <si>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</si>
  <si>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</si>
  <si>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</si>
  <si>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</si>
  <si>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</si>
  <si>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</si>
  <si>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</si>
  <si>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</si>
  <si>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</si>
  <si>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</si>
  <si>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</si>
  <si>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</si>
  <si>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</si>
  <si>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</si>
  <si>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</si>
  <si>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</si>
  <si>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</si>
  <si>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</si>
  <si>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</si>
  <si>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up to 3 strategy skills below: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</si>
  <si>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</si>
  <si>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</si>
  <si>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</si>
  <si>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</si>
  <si>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</si>
  <si>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</si>
  <si>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</si>
  <si>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</si>
  <si>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</si>
  <si>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</si>
  <si>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</si>
  <si>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</si>
  <si>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</si>
  <si>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</si>
  <si>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</si>
  <si>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</si>
  <si>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</si>
  <si>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</si>
  <si>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</si>
  <si>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</si>
  <si>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</si>
  <si>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</si>
  <si>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</si>
  <si>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</si>
  <si>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</si>
  <si>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</si>
  <si>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</si>
  <si>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</si>
  <si>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</si>
  <si>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</si>
  <si>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</si>
  <si>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</si>
  <si>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</si>
  <si>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</si>
  <si>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</si>
  <si>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900906</t>
  </si>
  <si>
    <t>902385</t>
  </si>
  <si>
    <t>910118</t>
  </si>
  <si>
    <t>910119</t>
  </si>
  <si>
    <t>910120</t>
  </si>
  <si>
    <t>910121</t>
  </si>
  <si>
    <t>910122</t>
  </si>
  <si>
    <t>910124</t>
  </si>
  <si>
    <t>Flex talent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</si>
</sst>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8" fillId="4" borderId="0" xfId="1" applyFill="1"/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9" xfId="0" applyFont="1" applyFill="1" applyBorder="1" applyAlignment="1"/>
    <xf numFmtId="0" fontId="0" fillId="4" borderId="0" xfId="0" applyFill="1"/>
    <xf numFmtId="0" fontId="2" fillId="4" borderId="1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/>
    <xf numFmtId="0" fontId="2" fillId="3" borderId="7" xfId="0" applyFont="1" applyFill="1" applyBorder="1" applyAlignment="1"/>
    <xf numFmtId="1" fontId="2" fillId="4" borderId="3" xfId="0" applyNumberFormat="1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3" borderId="4" xfId="0" applyFont="1" applyFill="1" applyBorder="1" applyAlignment="1"/>
    <xf numFmtId="0" fontId="2" fillId="2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left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104775</xdr:rowOff>
        </xdr:from>
        <xdr:to>
          <xdr:col>3</xdr:col>
          <xdr:colOff>819150</xdr:colOff>
          <xdr:row>23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104775</xdr:rowOff>
        </xdr:from>
        <xdr:to>
          <xdr:col>5</xdr:col>
          <xdr:colOff>76200</xdr:colOff>
          <xdr:row>23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21</xdr:row>
          <xdr:rowOff>104775</xdr:rowOff>
        </xdr:from>
        <xdr:to>
          <xdr:col>6</xdr:col>
          <xdr:colOff>247650</xdr:colOff>
          <xdr:row>23</xdr:row>
          <xdr:rowOff>133350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55"/>
  <sheetViews>
    <sheetView tabSelected="1" zoomScaleNormal="100" workbookViewId="0"/>
  </sheetViews>
  <sheetFormatPr defaultRowHeight="15" x14ac:dyDescent="0.25"/>
  <cols>
    <col min="1" max="1" width="10.85546875" style="60" customWidth="1"/>
    <col min="2" max="2" width="13.1406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1010</v>
      </c>
    </row>
    <row r="3" spans="1:5" x14ac:dyDescent="0.25">
      <c r="A3" s="60" t="s">
        <v>1011</v>
      </c>
    </row>
    <row r="4" spans="1:5" x14ac:dyDescent="0.25">
      <c r="A4" s="60" t="s">
        <v>1093</v>
      </c>
    </row>
    <row r="5" spans="1:5" x14ac:dyDescent="0.25">
      <c r="A5" s="60" t="s">
        <v>1096</v>
      </c>
      <c r="B5" s="158" t="s">
        <v>1095</v>
      </c>
    </row>
    <row r="6" spans="1:5" x14ac:dyDescent="0.25">
      <c r="A6" s="60" t="s">
        <v>1140</v>
      </c>
      <c r="B6" s="158" t="s">
        <v>1141</v>
      </c>
    </row>
    <row r="7" spans="1:5" x14ac:dyDescent="0.25">
      <c r="A7" s="60" t="s">
        <v>1150</v>
      </c>
      <c r="B7" s="158" t="s">
        <v>1151</v>
      </c>
    </row>
    <row r="9" spans="1:5" x14ac:dyDescent="0.25">
      <c r="A9" s="104" t="s">
        <v>892</v>
      </c>
      <c r="B9" s="118">
        <v>562858</v>
      </c>
      <c r="D9" s="104" t="s">
        <v>910</v>
      </c>
      <c r="E9" s="178">
        <v>950029</v>
      </c>
    </row>
    <row r="10" spans="1:5" x14ac:dyDescent="0.25">
      <c r="A10" s="122" t="s">
        <v>1012</v>
      </c>
      <c r="B10" s="47" t="s">
        <v>1013</v>
      </c>
      <c r="D10" s="122" t="s">
        <v>1002</v>
      </c>
      <c r="E10" s="47">
        <v>178000</v>
      </c>
    </row>
    <row r="11" spans="1:5" x14ac:dyDescent="0.25">
      <c r="A11" s="122" t="s">
        <v>1001</v>
      </c>
      <c r="B11" s="47" t="s">
        <v>1142</v>
      </c>
      <c r="D11" s="122" t="s">
        <v>1003</v>
      </c>
      <c r="E11" s="47" t="b">
        <v>1</v>
      </c>
    </row>
    <row r="12" spans="1:5" x14ac:dyDescent="0.25">
      <c r="A12" s="122" t="s">
        <v>898</v>
      </c>
      <c r="B12" s="47">
        <v>8</v>
      </c>
      <c r="D12" s="122" t="s">
        <v>1004</v>
      </c>
      <c r="E12" s="47" t="b">
        <v>1</v>
      </c>
    </row>
    <row r="14" spans="1:5" x14ac:dyDescent="0.25">
      <c r="A14" s="106" t="s">
        <v>1014</v>
      </c>
      <c r="B14" s="107"/>
    </row>
    <row r="15" spans="1:5" x14ac:dyDescent="0.25">
      <c r="A15" s="109" t="s">
        <v>894</v>
      </c>
      <c r="B15" s="108" t="str">
        <f ca="1">LEFT(CELL("filename",$A$1),FIND("[",CELL("filename",$A$1))-1)&amp;"Preset\gun_with_user_info.json"</f>
        <v>C:\Users\danny\Documents\GitHub\GFLBattleSim-JSONGenerator\Preset\gun_with_user_info.json</v>
      </c>
    </row>
    <row r="16" spans="1:5" x14ac:dyDescent="0.25">
      <c r="A16" s="109" t="s">
        <v>895</v>
      </c>
      <c r="B16" s="108" t="str">
        <f ca="1">LEFT(CELL("filename",$A$1),FIND("[",CELL("filename",$A$1))-1)&amp;"Preset\equip_with_user_info.json"</f>
        <v>C:\Users\danny\Documents\GitHub\GFLBattleSim-JSONGenerator\Preset\equip_with_user_info.json</v>
      </c>
    </row>
    <row r="17" spans="1:29" x14ac:dyDescent="0.25">
      <c r="A17" s="109" t="s">
        <v>1045</v>
      </c>
      <c r="B17" s="108" t="str">
        <f ca="1">LEFT(CELL("filename",$A$1),FIND("[",CELL("filename",$A$1))-1)&amp;"Preset\squad_with_user_info.json"</f>
        <v>C:\Users\danny\Documents\GitHub\GFLBattleSim-JSONGenerator\Preset\squad_with_user_info.json</v>
      </c>
    </row>
    <row r="18" spans="1:29" x14ac:dyDescent="0.25">
      <c r="A18" s="109" t="s">
        <v>1046</v>
      </c>
      <c r="B18" s="108" t="str">
        <f ca="1">LEFT(CELL("filename",$A$1),FIND("[",CELL("filename",$A$1))-1)&amp;"Preset\chip_with_user_info.json"</f>
        <v>C:\Users\danny\Documents\GitHub\GFLBattleSim-JSONGenerator\Preset\chip_with_user_info.json</v>
      </c>
    </row>
    <row r="19" spans="1:29" x14ac:dyDescent="0.25">
      <c r="A19" s="60" t="s">
        <v>896</v>
      </c>
      <c r="B19" s="108" t="str">
        <f ca="1">LEFT(CELL("filename",$A$1),FIND("[",CELL("filename",$A$1))-1)&amp;"Preset\fairy_with_user_info.json"</f>
        <v>C:\Users\danny\Documents\GitHub\GFLBattleSim-JSONGenerator\Preset\fairy_with_user_info.json</v>
      </c>
    </row>
    <row r="20" spans="1:29" x14ac:dyDescent="0.25">
      <c r="A20" s="60" t="s">
        <v>899</v>
      </c>
      <c r="B20" s="108" t="str">
        <f ca="1">LEFT(CELL("filename",$A$1),FIND("[",CELL("filename",$A$1))-1)&amp;"Preset\"&amp;IF(DayNight="Day","battle_day\","battle_night_new\")&amp;"mission_act_info.json"</f>
        <v>C:\Users\danny\Documents\GitHub\GFLBattleSim-JSONGenerator\Preset\battle_day\mission_act_info.json</v>
      </c>
    </row>
    <row r="21" spans="1:29" x14ac:dyDescent="0.25">
      <c r="A21" s="60" t="s">
        <v>911</v>
      </c>
      <c r="B21" s="108" t="str">
        <f ca="1">LEFT(CELL("filename",$A$1),FIND("[",CELL("filename",$A$1))-1)&amp;"GFBattleSimulator.json"</f>
        <v>C:\Users\danny\Documents\GitHub\GFLBattleSim-JSONGenerator\GFBattleSimulator.json</v>
      </c>
    </row>
    <row r="22" spans="1:29" x14ac:dyDescent="0.25">
      <c r="A22" s="103"/>
      <c r="B22" s="108"/>
    </row>
    <row r="23" spans="1:29" x14ac:dyDescent="0.25">
      <c r="A23" s="103" t="s">
        <v>1152</v>
      </c>
      <c r="B23" s="179" t="s">
        <v>1146</v>
      </c>
      <c r="C23" s="180"/>
    </row>
    <row r="24" spans="1:29" x14ac:dyDescent="0.25">
      <c r="A24" s="103"/>
      <c r="B24" s="108"/>
    </row>
    <row r="25" spans="1:29" x14ac:dyDescent="0.25">
      <c r="A25" s="185" t="s">
        <v>1124</v>
      </c>
      <c r="B25" s="185"/>
      <c r="C25" s="185"/>
      <c r="D25" s="185"/>
      <c r="E25" s="185"/>
      <c r="F25" s="185"/>
      <c r="G25" s="185"/>
      <c r="H25" s="185"/>
      <c r="I25" s="185"/>
      <c r="J25" s="185"/>
      <c r="L25" s="185" t="s">
        <v>1123</v>
      </c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Y25" s="103"/>
    </row>
    <row r="26" spans="1:29" x14ac:dyDescent="0.25">
      <c r="A26" s="101"/>
      <c r="B26" s="182" t="s">
        <v>682</v>
      </c>
      <c r="C26" s="182"/>
      <c r="D26" s="182"/>
      <c r="E26" s="182"/>
      <c r="F26" s="182"/>
      <c r="G26" s="182"/>
      <c r="H26" s="182"/>
      <c r="I26" s="182"/>
      <c r="J26" s="183"/>
      <c r="L26" s="181" t="s">
        <v>814</v>
      </c>
      <c r="M26" s="182"/>
      <c r="N26" s="182"/>
      <c r="O26" s="183"/>
      <c r="P26" s="182" t="s">
        <v>815</v>
      </c>
      <c r="Q26" s="182"/>
      <c r="R26" s="182"/>
      <c r="S26" s="183"/>
      <c r="T26" s="182" t="s">
        <v>816</v>
      </c>
      <c r="U26" s="182"/>
      <c r="V26" s="182"/>
      <c r="W26" s="183"/>
      <c r="Y26" s="181" t="s">
        <v>1137</v>
      </c>
      <c r="Z26" s="182"/>
      <c r="AA26" s="182"/>
      <c r="AB26" s="183"/>
      <c r="AC26" s="176" t="b">
        <v>1</v>
      </c>
    </row>
    <row r="27" spans="1:29" x14ac:dyDescent="0.25">
      <c r="A27" s="50" t="s">
        <v>0</v>
      </c>
      <c r="B27" s="63" t="s">
        <v>385</v>
      </c>
      <c r="C27" s="63" t="s">
        <v>1</v>
      </c>
      <c r="D27" s="63" t="s">
        <v>8</v>
      </c>
      <c r="E27" s="63" t="s">
        <v>18</v>
      </c>
      <c r="F27" s="63" t="s">
        <v>384</v>
      </c>
      <c r="G27" s="63" t="s">
        <v>58</v>
      </c>
      <c r="H27" s="63" t="s">
        <v>59</v>
      </c>
      <c r="I27" s="63" t="s">
        <v>371</v>
      </c>
      <c r="J27" s="64" t="s">
        <v>60</v>
      </c>
      <c r="L27" s="62" t="s">
        <v>812</v>
      </c>
      <c r="M27" s="63" t="s">
        <v>8</v>
      </c>
      <c r="N27" s="63" t="s">
        <v>18</v>
      </c>
      <c r="O27" s="64" t="s">
        <v>813</v>
      </c>
      <c r="P27" s="63" t="s">
        <v>812</v>
      </c>
      <c r="Q27" s="63" t="s">
        <v>8</v>
      </c>
      <c r="R27" s="63" t="s">
        <v>18</v>
      </c>
      <c r="S27" s="64" t="s">
        <v>813</v>
      </c>
      <c r="T27" s="63" t="s">
        <v>812</v>
      </c>
      <c r="U27" s="63" t="s">
        <v>8</v>
      </c>
      <c r="V27" s="63" t="s">
        <v>18</v>
      </c>
      <c r="W27" s="64" t="s">
        <v>813</v>
      </c>
      <c r="Y27" s="163" t="s">
        <v>1139</v>
      </c>
      <c r="Z27" s="159" t="s">
        <v>10</v>
      </c>
      <c r="AA27" s="159" t="s">
        <v>11</v>
      </c>
      <c r="AB27" s="159" t="s">
        <v>12</v>
      </c>
      <c r="AC27" s="160" t="s">
        <v>13</v>
      </c>
    </row>
    <row r="28" spans="1:29" x14ac:dyDescent="0.25">
      <c r="A28" s="49">
        <v>1</v>
      </c>
      <c r="B28" s="119">
        <v>5</v>
      </c>
      <c r="C28" s="120" t="s">
        <v>4</v>
      </c>
      <c r="D28" s="121" t="s">
        <v>286</v>
      </c>
      <c r="E28" s="120">
        <v>100</v>
      </c>
      <c r="F28" s="120">
        <v>5</v>
      </c>
      <c r="G28" s="120">
        <v>10</v>
      </c>
      <c r="H28" s="120">
        <v>0</v>
      </c>
      <c r="I28" s="120">
        <v>0</v>
      </c>
      <c r="J28" s="121">
        <v>100</v>
      </c>
      <c r="K28" s="61"/>
      <c r="L28" s="52" t="s">
        <v>825</v>
      </c>
      <c r="M28" s="44" t="s">
        <v>628</v>
      </c>
      <c r="N28" s="44">
        <v>10</v>
      </c>
      <c r="O28" s="54">
        <v>1</v>
      </c>
      <c r="P28" s="52" t="s">
        <v>835</v>
      </c>
      <c r="Q28" s="44" t="s">
        <v>644</v>
      </c>
      <c r="R28" s="44">
        <v>10</v>
      </c>
      <c r="S28" s="54">
        <v>1</v>
      </c>
      <c r="T28" s="52" t="s">
        <v>860</v>
      </c>
      <c r="U28" s="44" t="s">
        <v>665</v>
      </c>
      <c r="V28" s="44">
        <v>10</v>
      </c>
      <c r="W28" s="54">
        <v>1</v>
      </c>
      <c r="Y28" s="52"/>
      <c r="Z28" s="44"/>
      <c r="AA28" s="44"/>
      <c r="AB28" s="44"/>
      <c r="AC28" s="54"/>
    </row>
    <row r="29" spans="1:29" x14ac:dyDescent="0.25">
      <c r="A29" s="49">
        <v>2</v>
      </c>
      <c r="B29" s="52">
        <v>4</v>
      </c>
      <c r="C29" s="44" t="s">
        <v>4</v>
      </c>
      <c r="D29" s="45" t="s">
        <v>985</v>
      </c>
      <c r="E29" s="44">
        <v>100</v>
      </c>
      <c r="F29" s="44">
        <v>5</v>
      </c>
      <c r="G29" s="44">
        <v>10</v>
      </c>
      <c r="H29" s="44">
        <v>0</v>
      </c>
      <c r="I29" s="44">
        <v>0</v>
      </c>
      <c r="J29" s="45">
        <v>100</v>
      </c>
      <c r="K29" s="61"/>
      <c r="L29" s="52" t="s">
        <v>825</v>
      </c>
      <c r="M29" s="44" t="s">
        <v>628</v>
      </c>
      <c r="N29" s="44">
        <v>10</v>
      </c>
      <c r="O29" s="54">
        <v>1</v>
      </c>
      <c r="P29" s="52" t="s">
        <v>835</v>
      </c>
      <c r="Q29" s="44" t="s">
        <v>644</v>
      </c>
      <c r="R29" s="44">
        <v>10</v>
      </c>
      <c r="S29" s="54">
        <v>1</v>
      </c>
      <c r="T29" s="52" t="s">
        <v>860</v>
      </c>
      <c r="U29" s="44" t="s">
        <v>665</v>
      </c>
      <c r="V29" s="44">
        <v>10</v>
      </c>
      <c r="W29" s="54">
        <v>1</v>
      </c>
      <c r="Y29" s="52"/>
      <c r="Z29" s="44"/>
      <c r="AA29" s="44"/>
      <c r="AB29" s="44"/>
      <c r="AC29" s="54"/>
    </row>
    <row r="30" spans="1:29" x14ac:dyDescent="0.25">
      <c r="A30" s="49">
        <v>3</v>
      </c>
      <c r="B30" s="52">
        <v>5</v>
      </c>
      <c r="C30" s="44" t="s">
        <v>3</v>
      </c>
      <c r="D30" s="45" t="s">
        <v>336</v>
      </c>
      <c r="E30" s="44">
        <v>100</v>
      </c>
      <c r="F30" s="44">
        <v>5</v>
      </c>
      <c r="G30" s="44">
        <v>10</v>
      </c>
      <c r="H30" s="44">
        <v>0</v>
      </c>
      <c r="I30" s="44">
        <v>0</v>
      </c>
      <c r="J30" s="45">
        <v>100</v>
      </c>
      <c r="K30" s="61"/>
      <c r="L30" s="52" t="s">
        <v>811</v>
      </c>
      <c r="M30" s="44" t="s">
        <v>877</v>
      </c>
      <c r="N30" s="44">
        <v>10</v>
      </c>
      <c r="O30" s="54">
        <v>1</v>
      </c>
      <c r="P30" s="52" t="s">
        <v>811</v>
      </c>
      <c r="Q30" s="44" t="s">
        <v>880</v>
      </c>
      <c r="R30" s="44">
        <v>10</v>
      </c>
      <c r="S30" s="54">
        <v>1</v>
      </c>
      <c r="T30" s="52" t="s">
        <v>811</v>
      </c>
      <c r="U30" s="44" t="s">
        <v>883</v>
      </c>
      <c r="V30" s="44">
        <v>10</v>
      </c>
      <c r="W30" s="54">
        <v>1</v>
      </c>
      <c r="Y30" s="52"/>
      <c r="Z30" s="44"/>
      <c r="AA30" s="44"/>
      <c r="AB30" s="44"/>
      <c r="AC30" s="54"/>
    </row>
    <row r="31" spans="1:29" x14ac:dyDescent="0.25">
      <c r="A31" s="49">
        <v>4</v>
      </c>
      <c r="B31" s="52">
        <v>5</v>
      </c>
      <c r="C31" s="44" t="s">
        <v>3</v>
      </c>
      <c r="D31" s="45" t="s">
        <v>64</v>
      </c>
      <c r="E31" s="44">
        <v>100</v>
      </c>
      <c r="F31" s="44">
        <v>5</v>
      </c>
      <c r="G31" s="44">
        <v>10</v>
      </c>
      <c r="H31" s="44">
        <v>0</v>
      </c>
      <c r="I31" s="44">
        <v>0</v>
      </c>
      <c r="J31" s="45">
        <v>100</v>
      </c>
      <c r="K31" s="61"/>
      <c r="L31" s="52" t="s">
        <v>875</v>
      </c>
      <c r="M31" s="44" t="s">
        <v>663</v>
      </c>
      <c r="N31" s="44">
        <v>10</v>
      </c>
      <c r="O31" s="54">
        <v>1</v>
      </c>
      <c r="P31" s="52" t="s">
        <v>9</v>
      </c>
      <c r="Q31" s="44" t="s">
        <v>669</v>
      </c>
      <c r="R31" s="44">
        <v>10</v>
      </c>
      <c r="S31" s="54">
        <v>1</v>
      </c>
      <c r="T31" s="52" t="s">
        <v>850</v>
      </c>
      <c r="U31" s="44" t="s">
        <v>659</v>
      </c>
      <c r="V31" s="44">
        <v>10</v>
      </c>
      <c r="W31" s="54">
        <v>1</v>
      </c>
      <c r="Y31" s="52"/>
      <c r="Z31" s="44"/>
      <c r="AA31" s="44"/>
      <c r="AB31" s="44"/>
      <c r="AC31" s="54"/>
    </row>
    <row r="32" spans="1:29" x14ac:dyDescent="0.25">
      <c r="A32" s="50">
        <v>5</v>
      </c>
      <c r="B32" s="53">
        <v>5</v>
      </c>
      <c r="C32" s="46" t="s">
        <v>3</v>
      </c>
      <c r="D32" s="47" t="s">
        <v>266</v>
      </c>
      <c r="E32" s="46">
        <v>100</v>
      </c>
      <c r="F32" s="46">
        <v>5</v>
      </c>
      <c r="G32" s="46">
        <v>10</v>
      </c>
      <c r="H32" s="46">
        <v>0</v>
      </c>
      <c r="I32" s="46">
        <v>0</v>
      </c>
      <c r="J32" s="47">
        <v>100</v>
      </c>
      <c r="K32" s="61"/>
      <c r="L32" s="53" t="s">
        <v>875</v>
      </c>
      <c r="M32" s="46" t="s">
        <v>663</v>
      </c>
      <c r="N32" s="46">
        <v>10</v>
      </c>
      <c r="O32" s="55">
        <v>1</v>
      </c>
      <c r="P32" s="53" t="s">
        <v>9</v>
      </c>
      <c r="Q32" s="46" t="s">
        <v>669</v>
      </c>
      <c r="R32" s="46">
        <v>10</v>
      </c>
      <c r="S32" s="55">
        <v>1</v>
      </c>
      <c r="T32" s="53" t="s">
        <v>850</v>
      </c>
      <c r="U32" s="46" t="s">
        <v>652</v>
      </c>
      <c r="V32" s="46">
        <v>10</v>
      </c>
      <c r="W32" s="55">
        <v>1</v>
      </c>
      <c r="Y32" s="53"/>
      <c r="Z32" s="46"/>
      <c r="AA32" s="46"/>
      <c r="AB32" s="46"/>
      <c r="AC32" s="55"/>
    </row>
    <row r="34" spans="1:17" x14ac:dyDescent="0.25">
      <c r="A34" s="185" t="s">
        <v>1094</v>
      </c>
      <c r="B34" s="185"/>
      <c r="C34" s="185"/>
      <c r="D34" s="185"/>
      <c r="E34" s="185"/>
      <c r="F34" s="185"/>
      <c r="G34" s="185"/>
      <c r="H34" s="185"/>
      <c r="I34" s="185"/>
      <c r="J34" s="185"/>
      <c r="L34" s="185" t="s">
        <v>1122</v>
      </c>
      <c r="M34" s="185"/>
      <c r="N34" s="185"/>
      <c r="O34" s="185"/>
      <c r="P34" s="185"/>
      <c r="Q34" s="185"/>
    </row>
    <row r="35" spans="1:17" x14ac:dyDescent="0.25">
      <c r="A35" s="130"/>
      <c r="B35" s="128"/>
      <c r="C35" s="129"/>
      <c r="D35" s="181" t="s">
        <v>1044</v>
      </c>
      <c r="E35" s="182"/>
      <c r="F35" s="182"/>
      <c r="G35" s="183"/>
      <c r="H35" s="181" t="s">
        <v>891</v>
      </c>
      <c r="I35" s="182"/>
      <c r="J35" s="183"/>
      <c r="L35" s="101"/>
      <c r="M35" s="181" t="s">
        <v>886</v>
      </c>
      <c r="N35" s="182"/>
      <c r="O35" s="182"/>
      <c r="P35" s="182"/>
      <c r="Q35" s="183"/>
    </row>
    <row r="36" spans="1:17" x14ac:dyDescent="0.25">
      <c r="A36" s="62" t="s">
        <v>1009</v>
      </c>
      <c r="B36" s="62" t="s">
        <v>1017</v>
      </c>
      <c r="C36" s="64" t="s">
        <v>8</v>
      </c>
      <c r="D36" s="63" t="s">
        <v>1027</v>
      </c>
      <c r="E36" s="63" t="s">
        <v>1026</v>
      </c>
      <c r="F36" s="63" t="s">
        <v>1028</v>
      </c>
      <c r="G36" s="64" t="s">
        <v>1029</v>
      </c>
      <c r="H36" s="63">
        <v>1</v>
      </c>
      <c r="I36" s="63">
        <v>2</v>
      </c>
      <c r="J36" s="64">
        <v>3</v>
      </c>
      <c r="L36" s="50" t="s">
        <v>890</v>
      </c>
      <c r="M36" s="62" t="s">
        <v>8</v>
      </c>
      <c r="N36" s="63" t="s">
        <v>385</v>
      </c>
      <c r="O36" s="63" t="s">
        <v>18</v>
      </c>
      <c r="P36" s="63" t="s">
        <v>891</v>
      </c>
      <c r="Q36" s="64" t="s">
        <v>689</v>
      </c>
    </row>
    <row r="37" spans="1:17" x14ac:dyDescent="0.25">
      <c r="A37" s="52"/>
      <c r="B37" s="131">
        <v>1</v>
      </c>
      <c r="C37" s="132" t="s">
        <v>1018</v>
      </c>
      <c r="D37" s="44">
        <v>462</v>
      </c>
      <c r="E37" s="44">
        <v>795</v>
      </c>
      <c r="F37" s="44">
        <v>568</v>
      </c>
      <c r="G37" s="45">
        <v>133</v>
      </c>
      <c r="H37" s="44">
        <v>10</v>
      </c>
      <c r="I37" s="44">
        <v>10</v>
      </c>
      <c r="J37" s="45">
        <v>10</v>
      </c>
      <c r="L37" s="50">
        <v>1</v>
      </c>
      <c r="M37" s="53" t="s">
        <v>765</v>
      </c>
      <c r="N37" s="46">
        <v>5</v>
      </c>
      <c r="O37" s="46">
        <v>100</v>
      </c>
      <c r="P37" s="46">
        <v>10</v>
      </c>
      <c r="Q37" s="47" t="s">
        <v>777</v>
      </c>
    </row>
    <row r="38" spans="1:17" x14ac:dyDescent="0.25">
      <c r="A38" s="52"/>
      <c r="B38" s="131">
        <v>2</v>
      </c>
      <c r="C38" s="132" t="s">
        <v>1019</v>
      </c>
      <c r="D38" s="44">
        <v>284</v>
      </c>
      <c r="E38" s="44">
        <v>336</v>
      </c>
      <c r="F38" s="44">
        <v>381</v>
      </c>
      <c r="G38" s="45">
        <v>726</v>
      </c>
      <c r="H38" s="44">
        <v>10</v>
      </c>
      <c r="I38" s="44">
        <v>10</v>
      </c>
      <c r="J38" s="45">
        <v>10</v>
      </c>
    </row>
    <row r="39" spans="1:17" x14ac:dyDescent="0.25">
      <c r="A39" s="52"/>
      <c r="B39" s="131">
        <v>3</v>
      </c>
      <c r="C39" s="132" t="s">
        <v>1020</v>
      </c>
      <c r="D39" s="44">
        <v>620</v>
      </c>
      <c r="E39" s="44">
        <v>121</v>
      </c>
      <c r="F39" s="44">
        <v>276</v>
      </c>
      <c r="G39" s="45">
        <v>306</v>
      </c>
      <c r="H39" s="44">
        <v>10</v>
      </c>
      <c r="I39" s="44">
        <v>10</v>
      </c>
      <c r="J39" s="45">
        <v>10</v>
      </c>
      <c r="L39" s="185" t="s">
        <v>1125</v>
      </c>
      <c r="M39" s="185"/>
      <c r="N39" s="185"/>
    </row>
    <row r="40" spans="1:17" x14ac:dyDescent="0.25">
      <c r="A40" s="52"/>
      <c r="B40" s="131">
        <v>4</v>
      </c>
      <c r="C40" s="132" t="s">
        <v>1021</v>
      </c>
      <c r="D40" s="44">
        <v>519</v>
      </c>
      <c r="E40" s="44">
        <v>138</v>
      </c>
      <c r="F40" s="44">
        <v>266</v>
      </c>
      <c r="G40" s="45">
        <v>401</v>
      </c>
      <c r="H40" s="44">
        <v>10</v>
      </c>
      <c r="I40" s="44">
        <v>10</v>
      </c>
      <c r="J40" s="45">
        <v>10</v>
      </c>
      <c r="L40" s="102">
        <v>1</v>
      </c>
      <c r="M40" s="102"/>
      <c r="N40" s="102"/>
    </row>
    <row r="41" spans="1:17" x14ac:dyDescent="0.25">
      <c r="A41" s="52"/>
      <c r="B41" s="131">
        <v>5</v>
      </c>
      <c r="C41" s="132" t="s">
        <v>1022</v>
      </c>
      <c r="D41" s="44">
        <v>423</v>
      </c>
      <c r="E41" s="44">
        <v>603</v>
      </c>
      <c r="F41" s="44">
        <v>533</v>
      </c>
      <c r="G41" s="45">
        <v>249</v>
      </c>
      <c r="H41" s="44">
        <v>10</v>
      </c>
      <c r="I41" s="44">
        <v>10</v>
      </c>
      <c r="J41" s="45">
        <v>10</v>
      </c>
      <c r="L41" s="102">
        <v>4</v>
      </c>
      <c r="M41" s="102">
        <v>3</v>
      </c>
      <c r="N41" s="102"/>
    </row>
    <row r="42" spans="1:17" x14ac:dyDescent="0.25">
      <c r="A42" s="52"/>
      <c r="B42" s="131">
        <v>6</v>
      </c>
      <c r="C42" s="132" t="s">
        <v>1023</v>
      </c>
      <c r="D42" s="44">
        <v>77</v>
      </c>
      <c r="E42" s="44">
        <v>136</v>
      </c>
      <c r="F42" s="44">
        <v>188</v>
      </c>
      <c r="G42" s="45">
        <v>331</v>
      </c>
      <c r="H42" s="44">
        <v>10</v>
      </c>
      <c r="I42" s="44">
        <v>10</v>
      </c>
      <c r="J42" s="45">
        <v>10</v>
      </c>
      <c r="L42" s="102">
        <v>2</v>
      </c>
      <c r="M42" s="102">
        <v>5</v>
      </c>
      <c r="N42" s="102"/>
    </row>
    <row r="43" spans="1:17" x14ac:dyDescent="0.25">
      <c r="A43" s="53"/>
      <c r="B43" s="62">
        <v>7</v>
      </c>
      <c r="C43" s="64" t="s">
        <v>1024</v>
      </c>
      <c r="D43" s="46">
        <v>414</v>
      </c>
      <c r="E43" s="46">
        <v>557</v>
      </c>
      <c r="F43" s="46">
        <v>459</v>
      </c>
      <c r="G43" s="47">
        <v>214</v>
      </c>
      <c r="H43" s="46">
        <v>10</v>
      </c>
      <c r="I43" s="46">
        <v>10</v>
      </c>
      <c r="J43" s="47">
        <v>10</v>
      </c>
    </row>
    <row r="45" spans="1:17" x14ac:dyDescent="0.25">
      <c r="A45" s="184" t="s">
        <v>1121</v>
      </c>
      <c r="B45" s="184"/>
      <c r="C45" s="184"/>
      <c r="D45" s="117"/>
    </row>
    <row r="46" spans="1:17" x14ac:dyDescent="0.25">
      <c r="A46" s="48" t="s">
        <v>1119</v>
      </c>
      <c r="B46" s="159" t="s">
        <v>908</v>
      </c>
      <c r="C46" s="160" t="s">
        <v>891</v>
      </c>
    </row>
    <row r="47" spans="1:17" x14ac:dyDescent="0.25">
      <c r="A47" s="131">
        <v>1</v>
      </c>
      <c r="B47" s="164"/>
      <c r="C47" s="45"/>
    </row>
    <row r="48" spans="1:17" x14ac:dyDescent="0.25">
      <c r="A48" s="131">
        <v>2</v>
      </c>
      <c r="B48" s="165"/>
      <c r="C48" s="45"/>
    </row>
    <row r="49" spans="1:5" x14ac:dyDescent="0.25">
      <c r="A49" s="62">
        <v>3</v>
      </c>
      <c r="B49" s="166"/>
      <c r="C49" s="47"/>
    </row>
    <row r="50" spans="1:5" x14ac:dyDescent="0.25">
      <c r="A50" s="162"/>
      <c r="B50" s="162"/>
      <c r="C50" s="162"/>
      <c r="D50" s="162"/>
      <c r="E50" s="162"/>
    </row>
    <row r="51" spans="1:5" x14ac:dyDescent="0.25">
      <c r="A51" s="103" t="s">
        <v>1008</v>
      </c>
      <c r="E51" s="162"/>
    </row>
    <row r="52" spans="1:5" x14ac:dyDescent="0.25">
      <c r="A52" s="168" t="s">
        <v>1009</v>
      </c>
      <c r="B52" s="169" t="s">
        <v>8</v>
      </c>
      <c r="C52" s="160" t="s">
        <v>891</v>
      </c>
      <c r="D52" s="162"/>
      <c r="E52" s="162"/>
    </row>
    <row r="53" spans="1:5" x14ac:dyDescent="0.25">
      <c r="A53" s="113"/>
      <c r="B53" s="129" t="s">
        <v>1120</v>
      </c>
      <c r="C53" s="177"/>
      <c r="D53" s="162"/>
      <c r="E53" s="162"/>
    </row>
    <row r="54" spans="1:5" x14ac:dyDescent="0.25">
      <c r="A54" s="114"/>
      <c r="B54" s="161" t="s">
        <v>769</v>
      </c>
      <c r="C54" s="114"/>
      <c r="D54" s="162"/>
      <c r="E54" s="162"/>
    </row>
    <row r="55" spans="1:5" x14ac:dyDescent="0.25">
      <c r="E55" s="162"/>
    </row>
  </sheetData>
  <mergeCells count="15">
    <mergeCell ref="B23:C23"/>
    <mergeCell ref="Y26:AB26"/>
    <mergeCell ref="A45:C45"/>
    <mergeCell ref="A34:J34"/>
    <mergeCell ref="A25:J25"/>
    <mergeCell ref="L25:W25"/>
    <mergeCell ref="L34:Q34"/>
    <mergeCell ref="L39:N39"/>
    <mergeCell ref="P26:S26"/>
    <mergeCell ref="T26:W26"/>
    <mergeCell ref="L26:O26"/>
    <mergeCell ref="M35:Q35"/>
    <mergeCell ref="B26:J26"/>
    <mergeCell ref="D35:G35"/>
    <mergeCell ref="H35:J35"/>
  </mergeCells>
  <dataValidations count="17">
    <dataValidation type="list" allowBlank="1" showInputMessage="1" showErrorMessage="1" sqref="N37 F28:F32" xr:uid="{5328149F-3F1C-4230-85F4-CE5052AD7E13}">
      <formula1>"1,2,3,4,5"</formula1>
    </dataValidation>
    <dataValidation type="list" allowBlank="1" showInputMessage="1" showErrorMessage="1" sqref="C53:C54 P37 H37:J43 C47:C49 G28:G32" xr:uid="{3743B600-B2C7-4E16-92AE-52222B4EB2DD}">
      <formula1>"1,2,3,4,5,6,7,8,9,10"</formula1>
    </dataValidation>
    <dataValidation type="whole" allowBlank="1" showInputMessage="1" showErrorMessage="1" sqref="O37" xr:uid="{9D68526B-4976-49F8-9D3A-8045E8E154EC}">
      <formula1>1</formula1>
      <formula2>100</formula2>
    </dataValidation>
    <dataValidation type="custom" allowBlank="1" showInputMessage="1" showErrorMessage="1" sqref="L40:N42" xr:uid="{8BD1B429-50DC-4CFE-9F94-B9181AFDB81D}">
      <formula1>AND(COUNTA($L$40:$N$42)&lt;=5,COUNTIF($L$40:$N$42,1)&lt;=1,COUNTIF($L$40:$N$42,2)&lt;=1,COUNTIF($L$40:$N$42,3)&lt;=1,COUNTIF($L$40:$N$42,4)&lt;=1,COUNTIF($L$40:$N$42,5)&lt;=1)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6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37:G43 Y28:AC32" xr:uid="{7A4D5620-C6F3-48FA-8ED0-C1233ED4B5C1}">
      <formula1>0</formula1>
    </dataValidation>
    <dataValidation type="list" allowBlank="1" showInputMessage="1" showErrorMessage="1" sqref="B23" xr:uid="{8C81AB56-5941-466C-9037-6BA75B574054}">
      <formula1>ListOfPresets</formula1>
    </dataValidation>
    <dataValidation type="list" allowBlank="1" showInputMessage="1" showErrorMessage="1" sqref="D28:D32" xr:uid="{2CC08B4A-F11E-4FA0-8BB6-22F81C93073A}">
      <formula1>DollNames</formula1>
    </dataValidation>
    <dataValidation type="whole" allowBlank="1" showInputMessage="1" showErrorMessage="1" sqref="E28:E32" xr:uid="{1EF8C677-0158-4239-BFCC-96A923E7D05A}">
      <formula1>1</formula1>
      <formula2>120</formula2>
    </dataValidation>
    <dataValidation type="list" allowBlank="1" showInputMessage="1" showErrorMessage="1" sqref="I28:I32" xr:uid="{049FE36A-53B0-413F-BA95-A3F6789DE467}">
      <formula1>"0,1,2,3,4"</formula1>
    </dataValidation>
    <dataValidation type="whole" allowBlank="1" showInputMessage="1" showErrorMessage="1" sqref="J28:J32" xr:uid="{A99AA4F8-A263-447E-AD61-93C6E1841468}">
      <formula1>0</formula1>
      <formula2>200</formula2>
    </dataValidation>
    <dataValidation type="list" allowBlank="1" showInputMessage="1" showErrorMessage="1" sqref="M28:M32 Q28:Q32 U28:U32" xr:uid="{C1664AEA-435E-4C99-9C25-6713DDE97E3A}">
      <formula1>DollEq</formula1>
    </dataValidation>
    <dataValidation type="list" allowBlank="1" showInputMessage="1" showErrorMessage="1" sqref="H28:H32 N28:N32 R28:R32 V28:V32" xr:uid="{DFE258E1-D46B-49A8-8EB7-D0B3A09483F5}">
      <formula1>"0,1,2,3,4,5,6,7,8,9,10"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>
                  <from>
                    <xdr:col>3</xdr:col>
                    <xdr:colOff>209550</xdr:colOff>
                    <xdr:row>21</xdr:row>
                    <xdr:rowOff>104775</xdr:rowOff>
                  </from>
                  <to>
                    <xdr:col>3</xdr:col>
                    <xdr:colOff>819150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>
                  <from>
                    <xdr:col>4</xdr:col>
                    <xdr:colOff>142875</xdr:colOff>
                    <xdr:row>21</xdr:row>
                    <xdr:rowOff>104775</xdr:rowOff>
                  </from>
                  <to>
                    <xdr:col>5</xdr:col>
                    <xdr:colOff>76200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>
                  <from>
                    <xdr:col>5</xdr:col>
                    <xdr:colOff>323850</xdr:colOff>
                    <xdr:row>21</xdr:row>
                    <xdr:rowOff>104775</xdr:rowOff>
                  </from>
                  <to>
                    <xdr:col>6</xdr:col>
                    <xdr:colOff>247650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B4CB0A3-00B8-475A-92A0-1BA9CEC52A7B}">
          <x14:formula1>
            <xm:f>'Fairy Data'!$B$2:$B$100</xm:f>
          </x14:formula1>
          <xm:sqref>M37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Q37</xm:sqref>
        </x14:dataValidation>
        <x14:dataValidation type="list" allowBlank="1" showInputMessage="1" showErrorMessage="1" xr:uid="{06958826-BBF5-42AA-8A78-E17E90DFB84E}">
          <x14:formula1>
            <xm:f>'Strategy Buff Data'!$A$2:$A$1048576</xm:f>
          </x14:formula1>
          <xm:sqref>B47:B49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C28:C32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B28:B32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L28:L32 P28:P32 T28:T32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38"/>
  <sheetViews>
    <sheetView workbookViewId="0"/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181" t="s">
        <v>682</v>
      </c>
      <c r="E2" s="182"/>
      <c r="F2" s="182"/>
      <c r="G2" s="182"/>
      <c r="H2" s="182"/>
      <c r="I2" s="182"/>
      <c r="J2" s="182"/>
      <c r="K2" s="182"/>
      <c r="L2" s="183"/>
      <c r="M2" s="60"/>
      <c r="N2" s="181" t="s">
        <v>814</v>
      </c>
      <c r="O2" s="182"/>
      <c r="P2" s="182"/>
      <c r="Q2" s="183"/>
      <c r="R2" s="182" t="s">
        <v>815</v>
      </c>
      <c r="S2" s="182"/>
      <c r="T2" s="182"/>
      <c r="U2" s="183"/>
      <c r="V2" s="182" t="s">
        <v>816</v>
      </c>
      <c r="W2" s="182"/>
      <c r="X2" s="182"/>
      <c r="Y2" s="183"/>
    </row>
    <row r="3" spans="1:25" x14ac:dyDescent="0.25">
      <c r="A3" s="10" t="s">
        <v>1153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1146</v>
      </c>
      <c r="C4" t="s">
        <v>1143</v>
      </c>
      <c r="D4" s="119">
        <v>5</v>
      </c>
      <c r="E4" s="120" t="s">
        <v>6</v>
      </c>
      <c r="F4" s="121" t="s">
        <v>368</v>
      </c>
      <c r="G4" s="120">
        <v>115</v>
      </c>
      <c r="H4" s="120">
        <v>5</v>
      </c>
      <c r="I4" s="120">
        <v>10</v>
      </c>
      <c r="J4" s="120">
        <v>10</v>
      </c>
      <c r="K4" s="120">
        <v>3</v>
      </c>
      <c r="L4" s="121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1147</v>
      </c>
      <c r="D5" s="52">
        <v>4</v>
      </c>
      <c r="E5" s="44" t="s">
        <v>6</v>
      </c>
      <c r="F5" s="45" t="s">
        <v>992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992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1148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1145</v>
      </c>
      <c r="D7" s="52">
        <v>5</v>
      </c>
      <c r="E7" s="44" t="s">
        <v>3</v>
      </c>
      <c r="F7" s="45" t="s">
        <v>924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1144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1149</v>
      </c>
      <c r="C9" t="s">
        <v>1146</v>
      </c>
      <c r="D9" s="119">
        <v>5</v>
      </c>
      <c r="E9" s="120" t="s">
        <v>4</v>
      </c>
      <c r="F9" s="121" t="s">
        <v>286</v>
      </c>
      <c r="G9" s="120">
        <v>100</v>
      </c>
      <c r="H9" s="120">
        <v>5</v>
      </c>
      <c r="I9" s="120">
        <v>10</v>
      </c>
      <c r="J9" s="120">
        <v>0</v>
      </c>
      <c r="K9" s="120">
        <v>0</v>
      </c>
      <c r="L9" s="121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1143</v>
      </c>
      <c r="D10" s="52">
        <v>4</v>
      </c>
      <c r="E10" s="44" t="s">
        <v>4</v>
      </c>
      <c r="F10" s="45" t="s">
        <v>985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C14" t="s">
        <v>1147</v>
      </c>
      <c r="D14" s="119">
        <v>5</v>
      </c>
      <c r="E14" s="120" t="s">
        <v>4</v>
      </c>
      <c r="F14" s="121" t="s">
        <v>286</v>
      </c>
      <c r="G14" s="120">
        <v>100</v>
      </c>
      <c r="H14" s="120">
        <v>5</v>
      </c>
      <c r="I14" s="120">
        <v>10</v>
      </c>
      <c r="J14" s="120">
        <v>0</v>
      </c>
      <c r="K14" s="120">
        <v>0</v>
      </c>
      <c r="L14" s="121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985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1144</v>
      </c>
      <c r="D19" s="119">
        <v>5</v>
      </c>
      <c r="E19" s="120" t="s">
        <v>6</v>
      </c>
      <c r="F19" s="121" t="s">
        <v>368</v>
      </c>
      <c r="G19" s="120">
        <v>115</v>
      </c>
      <c r="H19" s="120">
        <v>5</v>
      </c>
      <c r="I19" s="120">
        <v>10</v>
      </c>
      <c r="J19" s="120">
        <v>10</v>
      </c>
      <c r="K19" s="120">
        <v>3</v>
      </c>
      <c r="L19" s="121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945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971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1145</v>
      </c>
      <c r="D24" s="119">
        <v>6</v>
      </c>
      <c r="E24" s="120" t="s">
        <v>2</v>
      </c>
      <c r="F24" s="121" t="s">
        <v>360</v>
      </c>
      <c r="G24" s="120">
        <v>120</v>
      </c>
      <c r="H24" s="120">
        <v>5</v>
      </c>
      <c r="I24" s="120">
        <v>10</v>
      </c>
      <c r="J24" s="120">
        <v>10</v>
      </c>
      <c r="K24" s="120">
        <v>3</v>
      </c>
      <c r="L24" s="121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 t="s">
        <v>811</v>
      </c>
      <c r="W24" s="44" t="s">
        <v>360</v>
      </c>
      <c r="X24" s="44">
        <v>10</v>
      </c>
      <c r="Y24" s="54">
        <v>1</v>
      </c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1149</v>
      </c>
      <c r="D29" s="119">
        <v>5</v>
      </c>
      <c r="E29" s="120" t="s">
        <v>2</v>
      </c>
      <c r="F29" s="121" t="s">
        <v>356</v>
      </c>
      <c r="G29" s="120">
        <v>115</v>
      </c>
      <c r="H29" s="120">
        <v>5</v>
      </c>
      <c r="I29" s="120">
        <v>10</v>
      </c>
      <c r="J29" s="120">
        <v>10</v>
      </c>
      <c r="K29" s="120">
        <v>3</v>
      </c>
      <c r="L29" s="121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 t="s">
        <v>811</v>
      </c>
      <c r="W29" s="44" t="s">
        <v>356</v>
      </c>
      <c r="X29" s="44">
        <v>10</v>
      </c>
      <c r="Y29" s="54">
        <v>1</v>
      </c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1148</v>
      </c>
      <c r="D34" s="119">
        <v>5</v>
      </c>
      <c r="E34" s="120" t="s">
        <v>3</v>
      </c>
      <c r="F34" s="121" t="s">
        <v>328</v>
      </c>
      <c r="G34" s="120">
        <v>100</v>
      </c>
      <c r="H34" s="120">
        <v>5</v>
      </c>
      <c r="I34" s="120">
        <v>10</v>
      </c>
      <c r="J34" s="120">
        <v>0</v>
      </c>
      <c r="K34" s="120">
        <v>0</v>
      </c>
      <c r="L34" s="121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</sheetData>
  <sortState ref="A4:A37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" xr:uid="{B22891FB-9754-4FD6-8D2A-45B78D32A93E}">
      <formula1>"0,1,2,3,4,5,6,7,8,9,10"</formula1>
    </dataValidation>
    <dataValidation type="list" allowBlank="1" showInputMessage="1" showErrorMessage="1" sqref="O24:O28 S24:S28 W24:W28" xr:uid="{6D9FE268-71E4-48E8-A12F-B3FE8DD99E08}">
      <formula1>DollEq</formula1>
    </dataValidation>
    <dataValidation type="whole" allowBlank="1" showInputMessage="1" showErrorMessage="1" sqref="L24:L28" xr:uid="{2B807D8E-746A-460E-A7EA-1402E240A8D1}">
      <formula1>0</formula1>
      <formula2>200</formula2>
    </dataValidation>
    <dataValidation type="list" allowBlank="1" showInputMessage="1" showErrorMessage="1" sqref="K24:K28" xr:uid="{A1EECA0F-7CEE-427A-8704-616884A297ED}">
      <formula1>"0,1,2,3,4"</formula1>
    </dataValidation>
    <dataValidation type="list" allowBlank="1" showInputMessage="1" showErrorMessage="1" sqref="I24:I28" xr:uid="{00481E2F-F616-4F14-9392-A126A25B7814}">
      <formula1>"1,2,3,4,5,6,7,8,9,10"</formula1>
    </dataValidation>
    <dataValidation type="list" allowBlank="1" showInputMessage="1" showErrorMessage="1" sqref="H24:H28" xr:uid="{F8922C03-8B3E-40B6-B5E3-3EF0FBB27CF7}">
      <formula1>"1,2,3,4,5"</formula1>
    </dataValidation>
    <dataValidation type="whole" allowBlank="1" showInputMessage="1" showErrorMessage="1" sqref="G24:G28" xr:uid="{F298FFBB-208C-48F1-A2AE-EC7483436BD7}">
      <formula1>1</formula1>
      <formula2>120</formula2>
    </dataValidation>
    <dataValidation type="list" allowBlank="1" showInputMessage="1" showErrorMessage="1" sqref="F24:F2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IF(Main!$B28="","",Main!A28)</f>
        <v>1</v>
      </c>
      <c r="B2" s="1">
        <f>Main!$B$9</f>
        <v>562858</v>
      </c>
      <c r="C2" s="1">
        <f>INDEX('Doll Data'!$A:$A,MATCH(Main!D28,'Doll Data'!$B:$B,0))</f>
        <v>276</v>
      </c>
      <c r="D2" s="1">
        <f>VLOOKUP(Main!E28,'Exp Tables'!$A$3:$C$122,3,FALSE)</f>
        <v>3263300</v>
      </c>
      <c r="E2" s="1">
        <f>Main!E28</f>
        <v>100</v>
      </c>
      <c r="F2" s="1">
        <v>1</v>
      </c>
      <c r="G2" s="1">
        <f>Main!I28</f>
        <v>0</v>
      </c>
      <c r="H2" s="1">
        <f>Main!A28</f>
        <v>1</v>
      </c>
      <c r="I2" s="1">
        <f t="array" ref="I2">SUMPRODUCT((Main!$L$40:$N$42=H2)*'Misc Inputs'!$B$3:$D$5)</f>
        <v>9</v>
      </c>
      <c r="J2" s="1">
        <f>'Stat Calc'!AA3*Main!$F28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Main!G28</f>
        <v>10</v>
      </c>
      <c r="R2" s="1">
        <f>Main!H28</f>
        <v>0</v>
      </c>
      <c r="S2" s="1">
        <v>0</v>
      </c>
      <c r="T2" s="1">
        <v>1</v>
      </c>
      <c r="U2" s="1">
        <f>Main!F28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Main!J28*10000</f>
        <v>1000000</v>
      </c>
      <c r="AA2" s="1">
        <f>IF(AND(Main!I28=0,Main!J28&lt;=100),1000000,IF(AND(Main!I28=0,Main!J28&gt;=100),1500000,2000000))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IF(Main!$B29="","",Main!A29)</f>
        <v>2</v>
      </c>
      <c r="B3" s="1">
        <f>Main!$B$9</f>
        <v>562858</v>
      </c>
      <c r="C3" s="1">
        <f>INDEX('Doll Data'!$A:$A,MATCH(Main!D29,'Doll Data'!$B:$B,0))</f>
        <v>275</v>
      </c>
      <c r="D3" s="1">
        <f>VLOOKUP(Main!E29,'Exp Tables'!$A$3:$C$122,3,FALSE)</f>
        <v>3263300</v>
      </c>
      <c r="E3" s="1">
        <f>Main!E29</f>
        <v>100</v>
      </c>
      <c r="F3" s="1">
        <v>1</v>
      </c>
      <c r="G3" s="1">
        <f>Main!I29</f>
        <v>0</v>
      </c>
      <c r="H3" s="1">
        <f>Main!A29</f>
        <v>2</v>
      </c>
      <c r="I3" s="1">
        <f t="array" ref="I3">SUMPRODUCT((Main!$L$40:$N$42=H3)*'Misc Inputs'!$B$3:$D$5)</f>
        <v>7</v>
      </c>
      <c r="J3" s="1">
        <f>'Stat Calc'!AA4*Main!$F29</f>
        <v>950</v>
      </c>
      <c r="K3" s="1">
        <v>5</v>
      </c>
      <c r="L3" s="1">
        <v>10</v>
      </c>
      <c r="M3" s="39">
        <f>'Stat Calc'!AB18</f>
        <v>56</v>
      </c>
      <c r="N3" s="39">
        <f>'Stat Calc'!AD18</f>
        <v>22</v>
      </c>
      <c r="O3" s="39">
        <f>'Stat Calc'!AE18</f>
        <v>20</v>
      </c>
      <c r="P3" s="39">
        <f>'Stat Calc'!AC18</f>
        <v>41</v>
      </c>
      <c r="Q3" s="1">
        <f>Main!G29</f>
        <v>10</v>
      </c>
      <c r="R3" s="1">
        <f>Main!H29</f>
        <v>0</v>
      </c>
      <c r="S3" s="1">
        <v>0</v>
      </c>
      <c r="T3" s="1">
        <v>1</v>
      </c>
      <c r="U3" s="1">
        <f>Main!F29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Main!J29*10000</f>
        <v>1000000</v>
      </c>
      <c r="AA3" s="1">
        <f>IF(AND(Main!I29=0,Main!J29&lt;=100),1000000,IF(AND(Main!I29=0,Main!J29&gt;=100),1500000,2000000))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IF(Main!$B30="","",Main!A30)</f>
        <v>3</v>
      </c>
      <c r="B4" s="1">
        <f>Main!$B$9</f>
        <v>562858</v>
      </c>
      <c r="C4" s="1">
        <f>INDEX('Doll Data'!$A:$A,MATCH(Main!D30,'Doll Data'!$B:$B,0))</f>
        <v>1017</v>
      </c>
      <c r="D4" s="1">
        <f>VLOOKUP(Main!E30,'Exp Tables'!$A$3:$C$122,3,FALSE)</f>
        <v>3263300</v>
      </c>
      <c r="E4" s="1">
        <f>Main!E30</f>
        <v>100</v>
      </c>
      <c r="F4" s="1">
        <v>1</v>
      </c>
      <c r="G4" s="1">
        <f>Main!I30</f>
        <v>0</v>
      </c>
      <c r="H4" s="1">
        <f>Main!A30</f>
        <v>3</v>
      </c>
      <c r="I4" s="1">
        <f t="array" ref="I4">SUMPRODUCT((Main!$L$40:$N$42=H4)*'Misc Inputs'!$B$3:$D$5)</f>
        <v>13</v>
      </c>
      <c r="J4" s="1">
        <f>'Stat Calc'!AA5*Main!$F30</f>
        <v>400</v>
      </c>
      <c r="K4" s="1">
        <v>5</v>
      </c>
      <c r="L4" s="1">
        <v>10</v>
      </c>
      <c r="M4" s="39">
        <f>'Stat Calc'!AB19</f>
        <v>20</v>
      </c>
      <c r="N4" s="39">
        <f>'Stat Calc'!AD19</f>
        <v>47</v>
      </c>
      <c r="O4" s="39">
        <f>'Stat Calc'!AE19</f>
        <v>85</v>
      </c>
      <c r="P4" s="39">
        <f>'Stat Calc'!AC19</f>
        <v>19</v>
      </c>
      <c r="Q4" s="1">
        <f>Main!G30</f>
        <v>10</v>
      </c>
      <c r="R4" s="1">
        <f>Main!H30</f>
        <v>0</v>
      </c>
      <c r="S4" s="1">
        <v>0</v>
      </c>
      <c r="T4" s="1">
        <v>1</v>
      </c>
      <c r="U4" s="1">
        <f>Main!F30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Main!J30*10000</f>
        <v>1000000</v>
      </c>
      <c r="AA4" s="1">
        <f>IF(AND(Main!I30=0,Main!J30&lt;=100),1000000,IF(AND(Main!I30=0,Main!J30&gt;=100),1500000,2000000))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IF(Main!$B31="","",Main!A31)</f>
        <v>4</v>
      </c>
      <c r="B5" s="1">
        <f>Main!$B$9</f>
        <v>562858</v>
      </c>
      <c r="C5" s="1">
        <f>INDEX('Doll Data'!$A:$A,MATCH(Main!D31,'Doll Data'!$B:$B,0))</f>
        <v>4</v>
      </c>
      <c r="D5" s="1">
        <f>VLOOKUP(Main!E31,'Exp Tables'!$A$3:$C$122,3,FALSE)</f>
        <v>3263300</v>
      </c>
      <c r="E5" s="1">
        <f>Main!E31</f>
        <v>100</v>
      </c>
      <c r="F5" s="1">
        <v>1</v>
      </c>
      <c r="G5" s="1">
        <f>Main!I31</f>
        <v>0</v>
      </c>
      <c r="H5" s="1">
        <f>Main!A31</f>
        <v>4</v>
      </c>
      <c r="I5" s="1">
        <f t="array" ref="I5">SUMPRODUCT((Main!$L$40:$N$42=H5)*'Misc Inputs'!$B$3:$D$5)</f>
        <v>8</v>
      </c>
      <c r="J5" s="1">
        <f>'Stat Calc'!AA6*Main!$F31</f>
        <v>350</v>
      </c>
      <c r="K5" s="1">
        <v>5</v>
      </c>
      <c r="L5" s="1">
        <v>10</v>
      </c>
      <c r="M5" s="39">
        <f>'Stat Calc'!AB20</f>
        <v>27</v>
      </c>
      <c r="N5" s="39">
        <f>'Stat Calc'!AD20</f>
        <v>72</v>
      </c>
      <c r="O5" s="39">
        <f>'Stat Calc'!AE20</f>
        <v>73</v>
      </c>
      <c r="P5" s="39">
        <f>'Stat Calc'!AC20</f>
        <v>18</v>
      </c>
      <c r="Q5" s="1">
        <f>Main!G31</f>
        <v>10</v>
      </c>
      <c r="R5" s="1">
        <f>Main!H31</f>
        <v>0</v>
      </c>
      <c r="S5" s="1">
        <v>0</v>
      </c>
      <c r="T5" s="1">
        <v>1</v>
      </c>
      <c r="U5" s="1">
        <f>Main!F31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Main!J31*10000</f>
        <v>1000000</v>
      </c>
      <c r="AA5" s="1">
        <f>IF(AND(Main!I31=0,Main!J31&lt;=100),1000000,IF(AND(Main!I31=0,Main!J31&gt;=100),1500000,2000000))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IF(Main!$B32="","",Main!A32)</f>
        <v>5</v>
      </c>
      <c r="B6" s="1">
        <f>Main!$B$9</f>
        <v>562858</v>
      </c>
      <c r="C6" s="1">
        <f>INDEX('Doll Data'!$A:$A,MATCH(Main!D32,'Doll Data'!$B:$B,0))</f>
        <v>242</v>
      </c>
      <c r="D6" s="1">
        <f>VLOOKUP(Main!E32,'Exp Tables'!$A$3:$C$122,3,FALSE)</f>
        <v>3263300</v>
      </c>
      <c r="E6" s="1">
        <f>Main!E32</f>
        <v>100</v>
      </c>
      <c r="F6" s="1">
        <v>1</v>
      </c>
      <c r="G6" s="1">
        <f>Main!I32</f>
        <v>0</v>
      </c>
      <c r="H6" s="1">
        <f>Main!A32</f>
        <v>5</v>
      </c>
      <c r="I6" s="1">
        <f t="array" ref="I6">SUMPRODUCT((Main!$L$40:$N$42=H6)*'Misc Inputs'!$B$3:$D$5)</f>
        <v>12</v>
      </c>
      <c r="J6" s="1">
        <f>'Stat Calc'!AA7*Main!$F32</f>
        <v>350</v>
      </c>
      <c r="K6" s="1">
        <v>5</v>
      </c>
      <c r="L6" s="1">
        <v>10</v>
      </c>
      <c r="M6" s="39">
        <f>'Stat Calc'!AB21</f>
        <v>18</v>
      </c>
      <c r="N6" s="39">
        <f>'Stat Calc'!AD21</f>
        <v>58</v>
      </c>
      <c r="O6" s="39">
        <f>'Stat Calc'!AE21</f>
        <v>97</v>
      </c>
      <c r="P6" s="39">
        <f>'Stat Calc'!AC21</f>
        <v>21</v>
      </c>
      <c r="Q6" s="1">
        <f>Main!G32</f>
        <v>10</v>
      </c>
      <c r="R6" s="1">
        <f>Main!H32</f>
        <v>0</v>
      </c>
      <c r="S6" s="1">
        <v>0</v>
      </c>
      <c r="T6" s="1">
        <v>1</v>
      </c>
      <c r="U6" s="1">
        <f>Main!F32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Main!J32*10000</f>
        <v>1000000</v>
      </c>
      <c r="AA6" s="1">
        <f>IF(AND(Main!I32=0,Main!J32&lt;=100),1000000,IF(AND(Main!I32=0,Main!J32&gt;=100),1500000,2000000))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IF(Main!M28="","",ROW()-1)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Data'!$A:$A,MATCH(Main!M28,'Equip Data'!$B:$B,0))</f>
        <v>4</v>
      </c>
      <c r="E2" s="56">
        <f>INDEX('Exp Tables'!$N$3:$R$13,MATCH(F2,'Exp Tables'!$M$3:$M$13,0),MATCH(INDEX('Equip Data'!$C:$C,MATCH(Main!M28,'Equip Data'!$B:$B,0)),'Exp Tables'!$N$2:$R$2,0))</f>
        <v>10000</v>
      </c>
      <c r="F2" s="56">
        <f>Main!N28</f>
        <v>10</v>
      </c>
      <c r="G2" s="56">
        <f>IF(INDEX('Equip Data'!F:F,MATCH($D2,'Equip Data'!$A:$A,0))="",0,Main!$O28*10000)</f>
        <v>0</v>
      </c>
      <c r="H2" s="56">
        <f>IF(INDEX('Equip Data'!G:G,MATCH($D2,'Equip Data'!$A:$A,0))="",0,Main!$O28*10000)</f>
        <v>0</v>
      </c>
      <c r="I2" s="56">
        <f>IF(INDEX('Equip Data'!H:H,MATCH($D2,'Equip Data'!$A:$A,0))="",0,Main!$O28*10000)</f>
        <v>0</v>
      </c>
      <c r="J2" s="56">
        <f>IF(INDEX('Equip Data'!I:I,MATCH($D2,'Equip Data'!$A:$A,0))="",0,Main!$O28*10000)</f>
        <v>0</v>
      </c>
      <c r="K2" s="56">
        <f>IF(INDEX('Equip Data'!J:J,MATCH($D2,'Equip Data'!$A:$A,0))="",0,Main!$O28*10000)</f>
        <v>0</v>
      </c>
      <c r="L2" s="56">
        <f>IF(INDEX('Equip Data'!K:K,MATCH($D2,'Equip Data'!$A:$A,0))="",0,Main!$O28*10000)</f>
        <v>0</v>
      </c>
      <c r="M2" s="56">
        <f>IF(INDEX('Equip Data'!L:L,MATCH($D2,'Equip Data'!$A:$A,0))="",0,Main!$O28*10000)</f>
        <v>10000</v>
      </c>
      <c r="N2" s="56">
        <f>IF(INDEX('Equip Data'!M:M,MATCH($D2,'Equip Data'!$A:$A,0))="",0,Main!$O28*10000)</f>
        <v>0</v>
      </c>
      <c r="O2" s="56">
        <f>IF(INDEX('Equip Data'!N:N,MATCH($D2,'Equip Data'!$A:$A,0))="",0,Main!$O28*10000)</f>
        <v>0</v>
      </c>
      <c r="P2" s="56">
        <f>IF(INDEX('Equip Data'!O:O,MATCH($D2,'Equip Data'!$A:$A,0))="",0,Main!$O28*10000)</f>
        <v>0</v>
      </c>
      <c r="Q2" s="56">
        <f>IF(INDEX('Equip Data'!P:P,MATCH($D2,'Equip Data'!$A:$A,0))="",0,Main!$O28*10000)</f>
        <v>0</v>
      </c>
      <c r="R2" s="56">
        <f>IF(INDEX('Equip Data'!Q:Q,MATCH($D2,'Equip Data'!$A:$A,0))="",0,Main!$O28*10000)</f>
        <v>0</v>
      </c>
      <c r="S2" s="56">
        <f>IF(INDEX('Equip Data'!R:R,MATCH($D2,'Equip Data'!$A:$A,0))="",0,Main!$O28*10000)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Main!J28*10000</f>
        <v>1000000</v>
      </c>
      <c r="AA2" s="1">
        <f>IF(Main!J28&gt;100,1500000,1000000)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IF(Main!M29="","",ROW()-1)</f>
        <v>2</v>
      </c>
      <c r="B3" s="56">
        <f>Main!$B$9</f>
        <v>562858</v>
      </c>
      <c r="C3" s="56">
        <f>Doll!C3</f>
        <v>275</v>
      </c>
      <c r="D3" s="56">
        <f>INDEX('Equip Data'!$A:$A,MATCH(Main!M29,'Equip Data'!$B:$B,0))</f>
        <v>4</v>
      </c>
      <c r="E3" s="56">
        <f>INDEX('Exp Tables'!$N$3:$R$13,MATCH(F3,'Exp Tables'!$M$3:$M$13,0),MATCH(INDEX('Equip Data'!$C:$C,MATCH(Main!M29,'Equip Data'!$B:$B,0)),'Exp Tables'!$N$2:$R$2,0))</f>
        <v>10000</v>
      </c>
      <c r="F3" s="56">
        <f>Main!N29</f>
        <v>10</v>
      </c>
      <c r="G3" s="56">
        <f>IF(INDEX('Equip Data'!F:F,MATCH($D3,'Equip Data'!$A:$A,0))="",0,Main!$O29*10000)</f>
        <v>0</v>
      </c>
      <c r="H3" s="56">
        <f>IF(INDEX('Equip Data'!G:G,MATCH($D3,'Equip Data'!$A:$A,0))="",0,Main!$O29*10000)</f>
        <v>0</v>
      </c>
      <c r="I3" s="56">
        <f>IF(INDEX('Equip Data'!H:H,MATCH($D3,'Equip Data'!$A:$A,0))="",0,Main!$O29*10000)</f>
        <v>0</v>
      </c>
      <c r="J3" s="56">
        <f>IF(INDEX('Equip Data'!I:I,MATCH($D3,'Equip Data'!$A:$A,0))="",0,Main!$O29*10000)</f>
        <v>0</v>
      </c>
      <c r="K3" s="56">
        <f>IF(INDEX('Equip Data'!J:J,MATCH($D3,'Equip Data'!$A:$A,0))="",0,Main!$O29*10000)</f>
        <v>0</v>
      </c>
      <c r="L3" s="56">
        <f>IF(INDEX('Equip Data'!K:K,MATCH($D3,'Equip Data'!$A:$A,0))="",0,Main!$O29*10000)</f>
        <v>0</v>
      </c>
      <c r="M3" s="56">
        <f>IF(INDEX('Equip Data'!L:L,MATCH($D3,'Equip Data'!$A:$A,0))="",0,Main!$O29*10000)</f>
        <v>10000</v>
      </c>
      <c r="N3" s="56">
        <f>IF(INDEX('Equip Data'!M:M,MATCH($D3,'Equip Data'!$A:$A,0))="",0,Main!$O29*10000)</f>
        <v>0</v>
      </c>
      <c r="O3" s="56">
        <f>IF(INDEX('Equip Data'!N:N,MATCH($D3,'Equip Data'!$A:$A,0))="",0,Main!$O29*10000)</f>
        <v>0</v>
      </c>
      <c r="P3" s="56">
        <f>IF(INDEX('Equip Data'!O:O,MATCH($D3,'Equip Data'!$A:$A,0))="",0,Main!$O29*10000)</f>
        <v>0</v>
      </c>
      <c r="Q3" s="56">
        <f>IF(INDEX('Equip Data'!P:P,MATCH($D3,'Equip Data'!$A:$A,0))="",0,Main!$O29*10000)</f>
        <v>0</v>
      </c>
      <c r="R3" s="56">
        <f>IF(INDEX('Equip Data'!Q:Q,MATCH($D3,'Equip Data'!$A:$A,0))="",0,Main!$O29*10000)</f>
        <v>0</v>
      </c>
      <c r="S3" s="56">
        <f>IF(INDEX('Equip Data'!R:R,MATCH($D3,'Equip Data'!$A:$A,0))="",0,Main!$O29*10000)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Main!J29*10000</f>
        <v>1000000</v>
      </c>
      <c r="AA3" s="1">
        <f>IF(Main!J29&gt;100,1500000,1000000)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IF(Main!M30="","",ROW()-1)</f>
        <v>3</v>
      </c>
      <c r="B4" s="56">
        <f>Main!$B$9</f>
        <v>562858</v>
      </c>
      <c r="C4" s="56">
        <f>Doll!C4</f>
        <v>1017</v>
      </c>
      <c r="D4" s="56">
        <f>INDEX('Equip Data'!$A:$A,MATCH(Main!M30,'Equip Data'!$B:$B,0))</f>
        <v>142</v>
      </c>
      <c r="E4" s="56">
        <f>INDEX('Exp Tables'!$N$3:$R$13,MATCH(F4,'Exp Tables'!$M$3:$M$13,0),MATCH(INDEX('Equip Data'!$C:$C,MATCH(Main!M30,'Equip Data'!$B:$B,0)),'Exp Tables'!$N$2:$R$2,0))</f>
        <v>30000</v>
      </c>
      <c r="F4" s="56">
        <f>Main!N30</f>
        <v>10</v>
      </c>
      <c r="G4" s="56">
        <f>IF(INDEX('Equip Data'!F:F,MATCH($D4,'Equip Data'!$A:$A,0))="",0,Main!$O30*10000)</f>
        <v>0</v>
      </c>
      <c r="H4" s="56">
        <f>IF(INDEX('Equip Data'!G:G,MATCH($D4,'Equip Data'!$A:$A,0))="",0,Main!$O30*10000)</f>
        <v>0</v>
      </c>
      <c r="I4" s="56">
        <f>IF(INDEX('Equip Data'!H:H,MATCH($D4,'Equip Data'!$A:$A,0))="",0,Main!$O30*10000)</f>
        <v>10000</v>
      </c>
      <c r="J4" s="56">
        <f>IF(INDEX('Equip Data'!I:I,MATCH($D4,'Equip Data'!$A:$A,0))="",0,Main!$O30*10000)</f>
        <v>0</v>
      </c>
      <c r="K4" s="56">
        <f>IF(INDEX('Equip Data'!J:J,MATCH($D4,'Equip Data'!$A:$A,0))="",0,Main!$O30*10000)</f>
        <v>0</v>
      </c>
      <c r="L4" s="56">
        <f>IF(INDEX('Equip Data'!K:K,MATCH($D4,'Equip Data'!$A:$A,0))="",0,Main!$O30*10000)</f>
        <v>0</v>
      </c>
      <c r="M4" s="56">
        <f>IF(INDEX('Equip Data'!L:L,MATCH($D4,'Equip Data'!$A:$A,0))="",0,Main!$O30*10000)</f>
        <v>0</v>
      </c>
      <c r="N4" s="56">
        <f>IF(INDEX('Equip Data'!M:M,MATCH($D4,'Equip Data'!$A:$A,0))="",0,Main!$O30*10000)</f>
        <v>0</v>
      </c>
      <c r="O4" s="56">
        <f>IF(INDEX('Equip Data'!N:N,MATCH($D4,'Equip Data'!$A:$A,0))="",0,Main!$O30*10000)</f>
        <v>0</v>
      </c>
      <c r="P4" s="56">
        <f>IF(INDEX('Equip Data'!O:O,MATCH($D4,'Equip Data'!$A:$A,0))="",0,Main!$O30*10000)</f>
        <v>0</v>
      </c>
      <c r="Q4" s="56">
        <f>IF(INDEX('Equip Data'!P:P,MATCH($D4,'Equip Data'!$A:$A,0))="",0,Main!$O30*10000)</f>
        <v>0</v>
      </c>
      <c r="R4" s="56">
        <f>IF(INDEX('Equip Data'!Q:Q,MATCH($D4,'Equip Data'!$A:$A,0))="",0,Main!$O30*10000)</f>
        <v>0</v>
      </c>
      <c r="S4" s="56">
        <f>IF(INDEX('Equip Data'!R:R,MATCH($D4,'Equip Data'!$A:$A,0))="",0,Main!$O30*10000)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Main!J30*10000</f>
        <v>1000000</v>
      </c>
      <c r="AA4" s="1">
        <f>IF(Main!J30&gt;100,1500000,1000000)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IF(Main!M31="","",ROW()-1)</f>
        <v>4</v>
      </c>
      <c r="B5" s="56">
        <f>Main!$B$9</f>
        <v>562858</v>
      </c>
      <c r="C5" s="56">
        <f>Doll!C5</f>
        <v>4</v>
      </c>
      <c r="D5" s="56">
        <f>INDEX('Equip Data'!$A:$A,MATCH(Main!M31,'Equip Data'!$B:$B,0))</f>
        <v>66</v>
      </c>
      <c r="E5" s="56">
        <f>INDEX('Exp Tables'!$N$3:$R$13,MATCH(F5,'Exp Tables'!$M$3:$M$13,0),MATCH(INDEX('Equip Data'!$C:$C,MATCH(Main!M31,'Equip Data'!$B:$B,0)),'Exp Tables'!$N$2:$R$2,0))</f>
        <v>10000</v>
      </c>
      <c r="F5" s="56">
        <f>Main!N31</f>
        <v>10</v>
      </c>
      <c r="G5" s="56">
        <f>IF(INDEX('Equip Data'!F:F,MATCH($D5,'Equip Data'!$A:$A,0))="",0,Main!$O31*10000)</f>
        <v>0</v>
      </c>
      <c r="H5" s="56">
        <f>IF(INDEX('Equip Data'!G:G,MATCH($D5,'Equip Data'!$A:$A,0))="",0,Main!$O31*10000)</f>
        <v>0</v>
      </c>
      <c r="I5" s="56">
        <f>IF(INDEX('Equip Data'!H:H,MATCH($D5,'Equip Data'!$A:$A,0))="",0,Main!$O31*10000)</f>
        <v>10000</v>
      </c>
      <c r="J5" s="56">
        <f>IF(INDEX('Equip Data'!I:I,MATCH($D5,'Equip Data'!$A:$A,0))="",0,Main!$O31*10000)</f>
        <v>0</v>
      </c>
      <c r="K5" s="56">
        <f>IF(INDEX('Equip Data'!J:J,MATCH($D5,'Equip Data'!$A:$A,0))="",0,Main!$O31*10000)</f>
        <v>0</v>
      </c>
      <c r="L5" s="56">
        <f>IF(INDEX('Equip Data'!K:K,MATCH($D5,'Equip Data'!$A:$A,0))="",0,Main!$O31*10000)</f>
        <v>0</v>
      </c>
      <c r="M5" s="56">
        <f>IF(INDEX('Equip Data'!L:L,MATCH($D5,'Equip Data'!$A:$A,0))="",0,Main!$O31*10000)</f>
        <v>10000</v>
      </c>
      <c r="N5" s="56">
        <f>IF(INDEX('Equip Data'!M:M,MATCH($D5,'Equip Data'!$A:$A,0))="",0,Main!$O31*10000)</f>
        <v>0</v>
      </c>
      <c r="O5" s="56">
        <f>IF(INDEX('Equip Data'!N:N,MATCH($D5,'Equip Data'!$A:$A,0))="",0,Main!$O31*10000)</f>
        <v>0</v>
      </c>
      <c r="P5" s="56">
        <f>IF(INDEX('Equip Data'!O:O,MATCH($D5,'Equip Data'!$A:$A,0))="",0,Main!$O31*10000)</f>
        <v>0</v>
      </c>
      <c r="Q5" s="56">
        <f>IF(INDEX('Equip Data'!P:P,MATCH($D5,'Equip Data'!$A:$A,0))="",0,Main!$O31*10000)</f>
        <v>0</v>
      </c>
      <c r="R5" s="56">
        <f>IF(INDEX('Equip Data'!Q:Q,MATCH($D5,'Equip Data'!$A:$A,0))="",0,Main!$O31*10000)</f>
        <v>0</v>
      </c>
      <c r="S5" s="56">
        <f>IF(INDEX('Equip Data'!R:R,MATCH($D5,'Equip Data'!$A:$A,0))="",0,Main!$O31*10000)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Main!J31*10000</f>
        <v>1000000</v>
      </c>
      <c r="AA5" s="1">
        <f>IF(Main!J31&gt;100,1500000,1000000)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IF(Main!M32="","",ROW()-1)</f>
        <v>5</v>
      </c>
      <c r="B6" s="57">
        <f>Main!$B$9</f>
        <v>562858</v>
      </c>
      <c r="C6" s="57">
        <f>Doll!C6</f>
        <v>242</v>
      </c>
      <c r="D6" s="57">
        <f>INDEX('Equip Data'!$A:$A,MATCH(Main!M32,'Equip Data'!$B:$B,0))</f>
        <v>66</v>
      </c>
      <c r="E6" s="57">
        <f>INDEX('Exp Tables'!$N$3:$R$13,MATCH(F6,'Exp Tables'!$M$3:$M$13,0),MATCH(INDEX('Equip Data'!$C:$C,MATCH(Main!M32,'Equip Data'!$B:$B,0)),'Exp Tables'!$N$2:$R$2,0))</f>
        <v>10000</v>
      </c>
      <c r="F6" s="57">
        <f>Main!N32</f>
        <v>10</v>
      </c>
      <c r="G6" s="57">
        <f>IF(INDEX('Equip Data'!F:F,MATCH($D6,'Equip Data'!$A:$A,0))="",0,Main!$O32*10000)</f>
        <v>0</v>
      </c>
      <c r="H6" s="57">
        <f>IF(INDEX('Equip Data'!G:G,MATCH($D6,'Equip Data'!$A:$A,0))="",0,Main!$O32*10000)</f>
        <v>0</v>
      </c>
      <c r="I6" s="57">
        <f>IF(INDEX('Equip Data'!H:H,MATCH($D6,'Equip Data'!$A:$A,0))="",0,Main!$O32*10000)</f>
        <v>10000</v>
      </c>
      <c r="J6" s="57">
        <f>IF(INDEX('Equip Data'!I:I,MATCH($D6,'Equip Data'!$A:$A,0))="",0,Main!$O32*10000)</f>
        <v>0</v>
      </c>
      <c r="K6" s="57">
        <f>IF(INDEX('Equip Data'!J:J,MATCH($D6,'Equip Data'!$A:$A,0))="",0,Main!$O32*10000)</f>
        <v>0</v>
      </c>
      <c r="L6" s="57">
        <f>IF(INDEX('Equip Data'!K:K,MATCH($D6,'Equip Data'!$A:$A,0))="",0,Main!$O32*10000)</f>
        <v>0</v>
      </c>
      <c r="M6" s="57">
        <f>IF(INDEX('Equip Data'!L:L,MATCH($D6,'Equip Data'!$A:$A,0))="",0,Main!$O32*10000)</f>
        <v>10000</v>
      </c>
      <c r="N6" s="57">
        <f>IF(INDEX('Equip Data'!M:M,MATCH($D6,'Equip Data'!$A:$A,0))="",0,Main!$O32*10000)</f>
        <v>0</v>
      </c>
      <c r="O6" s="57">
        <f>IF(INDEX('Equip Data'!N:N,MATCH($D6,'Equip Data'!$A:$A,0))="",0,Main!$O32*10000)</f>
        <v>0</v>
      </c>
      <c r="P6" s="57">
        <f>IF(INDEX('Equip Data'!O:O,MATCH($D6,'Equip Data'!$A:$A,0))="",0,Main!$O32*10000)</f>
        <v>0</v>
      </c>
      <c r="Q6" s="57">
        <f>IF(INDEX('Equip Data'!P:P,MATCH($D6,'Equip Data'!$A:$A,0))="",0,Main!$O32*10000)</f>
        <v>0</v>
      </c>
      <c r="R6" s="57">
        <f>IF(INDEX('Equip Data'!Q:Q,MATCH($D6,'Equip Data'!$A:$A,0))="",0,Main!$O32*10000)</f>
        <v>0</v>
      </c>
      <c r="S6" s="57">
        <f>IF(INDEX('Equip Data'!R:R,MATCH($D6,'Equip Data'!$A:$A,0))="",0,Main!$O32*10000)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Main!J32*10000</f>
        <v>1000000</v>
      </c>
      <c r="AA6" s="1">
        <f>IF(Main!J32&gt;100,1500000,1000000)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IF(Main!Q28="","",ROW()-1)</f>
        <v>6</v>
      </c>
      <c r="B7" s="56">
        <f>Main!$B$9</f>
        <v>562858</v>
      </c>
      <c r="C7" s="58">
        <f>C2</f>
        <v>276</v>
      </c>
      <c r="D7" s="56">
        <f>INDEX('Equip Data'!$A:$A,MATCH(Main!Q28,'Equip Data'!$B:$B,0))</f>
        <v>20</v>
      </c>
      <c r="E7" s="56">
        <f>INDEX('Exp Tables'!$N$3:$R$13,MATCH(F7,'Exp Tables'!$M$3:$M$13,0),MATCH(INDEX('Equip Data'!$C:$C,MATCH(Main!Q28,'Equip Data'!$B:$B,0)),'Exp Tables'!$N$2:$R$2,0))</f>
        <v>10000</v>
      </c>
      <c r="F7" s="56">
        <f>Main!R28</f>
        <v>10</v>
      </c>
      <c r="G7" s="56">
        <f>IF(INDEX('Equip Data'!F:F,MATCH($D7,'Equip Data'!$A:$A,0))="",0,Main!$S28*10000)</f>
        <v>0</v>
      </c>
      <c r="H7" s="56">
        <f>IF(INDEX('Equip Data'!G:G,MATCH($D7,'Equip Data'!$A:$A,0))="",0,Main!$S28*10000)</f>
        <v>0</v>
      </c>
      <c r="I7" s="56">
        <f>IF(INDEX('Equip Data'!H:H,MATCH($D7,'Equip Data'!$A:$A,0))="",0,Main!$S28*10000)</f>
        <v>0</v>
      </c>
      <c r="J7" s="56">
        <f>IF(INDEX('Equip Data'!I:I,MATCH($D7,'Equip Data'!$A:$A,0))="",0,Main!$S28*10000)</f>
        <v>0</v>
      </c>
      <c r="K7" s="56">
        <f>IF(INDEX('Equip Data'!J:J,MATCH($D7,'Equip Data'!$A:$A,0))="",0,Main!$S28*10000)</f>
        <v>0</v>
      </c>
      <c r="L7" s="56">
        <f>IF(INDEX('Equip Data'!K:K,MATCH($D7,'Equip Data'!$A:$A,0))="",0,Main!$S28*10000)</f>
        <v>0</v>
      </c>
      <c r="M7" s="56">
        <f>IF(INDEX('Equip Data'!L:L,MATCH($D7,'Equip Data'!$A:$A,0))="",0,Main!$S28*10000)</f>
        <v>0</v>
      </c>
      <c r="N7" s="56">
        <f>IF(INDEX('Equip Data'!M:M,MATCH($D7,'Equip Data'!$A:$A,0))="",0,Main!$S28*10000)</f>
        <v>10000</v>
      </c>
      <c r="O7" s="56">
        <f>IF(INDEX('Equip Data'!N:N,MATCH($D7,'Equip Data'!$A:$A,0))="",0,Main!$S28*10000)</f>
        <v>0</v>
      </c>
      <c r="P7" s="56">
        <f>IF(INDEX('Equip Data'!O:O,MATCH($D7,'Equip Data'!$A:$A,0))="",0,Main!$S28*10000)</f>
        <v>0</v>
      </c>
      <c r="Q7" s="56">
        <f>IF(INDEX('Equip Data'!P:P,MATCH($D7,'Equip Data'!$A:$A,0))="",0,Main!$S28*10000)</f>
        <v>0</v>
      </c>
      <c r="R7" s="56">
        <f>IF(INDEX('Equip Data'!Q:Q,MATCH($D7,'Equip Data'!$A:$A,0))="",0,Main!$S28*10000)</f>
        <v>0</v>
      </c>
      <c r="S7" s="56">
        <f>IF(INDEX('Equip Data'!R:R,MATCH($D7,'Equip Data'!$A:$A,0))="",0,Main!$S28*10000)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IF(Main!Q29="","",ROW()-1)</f>
        <v>7</v>
      </c>
      <c r="B8" s="56">
        <f>Main!$B$9</f>
        <v>562858</v>
      </c>
      <c r="C8" s="58">
        <f t="shared" ref="C8:C16" si="0">C3</f>
        <v>275</v>
      </c>
      <c r="D8" s="56">
        <f>INDEX('Equip Data'!$A:$A,MATCH(Main!Q29,'Equip Data'!$B:$B,0))</f>
        <v>20</v>
      </c>
      <c r="E8" s="56">
        <f>INDEX('Exp Tables'!$N$3:$R$13,MATCH(F8,'Exp Tables'!$M$3:$M$13,0),MATCH(INDEX('Equip Data'!$C:$C,MATCH(Main!Q29,'Equip Data'!$B:$B,0)),'Exp Tables'!$N$2:$R$2,0))</f>
        <v>10000</v>
      </c>
      <c r="F8" s="56">
        <f>Main!R29</f>
        <v>10</v>
      </c>
      <c r="G8" s="56">
        <f>IF(INDEX('Equip Data'!F:F,MATCH($D8,'Equip Data'!$A:$A,0))="",0,Main!$S29*10000)</f>
        <v>0</v>
      </c>
      <c r="H8" s="56">
        <f>IF(INDEX('Equip Data'!G:G,MATCH($D8,'Equip Data'!$A:$A,0))="",0,Main!$S29*10000)</f>
        <v>0</v>
      </c>
      <c r="I8" s="56">
        <f>IF(INDEX('Equip Data'!H:H,MATCH($D8,'Equip Data'!$A:$A,0))="",0,Main!$S29*10000)</f>
        <v>0</v>
      </c>
      <c r="J8" s="56">
        <f>IF(INDEX('Equip Data'!I:I,MATCH($D8,'Equip Data'!$A:$A,0))="",0,Main!$S29*10000)</f>
        <v>0</v>
      </c>
      <c r="K8" s="56">
        <f>IF(INDEX('Equip Data'!J:J,MATCH($D8,'Equip Data'!$A:$A,0))="",0,Main!$S29*10000)</f>
        <v>0</v>
      </c>
      <c r="L8" s="56">
        <f>IF(INDEX('Equip Data'!K:K,MATCH($D8,'Equip Data'!$A:$A,0))="",0,Main!$S29*10000)</f>
        <v>0</v>
      </c>
      <c r="M8" s="56">
        <f>IF(INDEX('Equip Data'!L:L,MATCH($D8,'Equip Data'!$A:$A,0))="",0,Main!$S29*10000)</f>
        <v>0</v>
      </c>
      <c r="N8" s="56">
        <f>IF(INDEX('Equip Data'!M:M,MATCH($D8,'Equip Data'!$A:$A,0))="",0,Main!$S29*10000)</f>
        <v>10000</v>
      </c>
      <c r="O8" s="56">
        <f>IF(INDEX('Equip Data'!N:N,MATCH($D8,'Equip Data'!$A:$A,0))="",0,Main!$S29*10000)</f>
        <v>0</v>
      </c>
      <c r="P8" s="56">
        <f>IF(INDEX('Equip Data'!O:O,MATCH($D8,'Equip Data'!$A:$A,0))="",0,Main!$S29*10000)</f>
        <v>0</v>
      </c>
      <c r="Q8" s="56">
        <f>IF(INDEX('Equip Data'!P:P,MATCH($D8,'Equip Data'!$A:$A,0))="",0,Main!$S29*10000)</f>
        <v>0</v>
      </c>
      <c r="R8" s="56">
        <f>IF(INDEX('Equip Data'!Q:Q,MATCH($D8,'Equip Data'!$A:$A,0))="",0,Main!$S29*10000)</f>
        <v>0</v>
      </c>
      <c r="S8" s="56">
        <f>IF(INDEX('Equip Data'!R:R,MATCH($D8,'Equip Data'!$A:$A,0))="",0,Main!$S29*10000)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IF(Main!Q30="","",ROW()-1)</f>
        <v>8</v>
      </c>
      <c r="B9" s="56">
        <f>Main!$B$9</f>
        <v>562858</v>
      </c>
      <c r="C9" s="58">
        <f t="shared" si="0"/>
        <v>1017</v>
      </c>
      <c r="D9" s="56">
        <f>INDEX('Equip Data'!$A:$A,MATCH(Main!Q30,'Equip Data'!$B:$B,0))</f>
        <v>143</v>
      </c>
      <c r="E9" s="56">
        <f>INDEX('Exp Tables'!$N$3:$R$13,MATCH(F9,'Exp Tables'!$M$3:$M$13,0),MATCH(INDEX('Equip Data'!$C:$C,MATCH(Main!Q30,'Equip Data'!$B:$B,0)),'Exp Tables'!$N$2:$R$2,0))</f>
        <v>30000</v>
      </c>
      <c r="F9" s="56">
        <f>Main!R30</f>
        <v>10</v>
      </c>
      <c r="G9" s="56">
        <f>IF(INDEX('Equip Data'!F:F,MATCH($D9,'Equip Data'!$A:$A,0))="",0,Main!$S30*10000)</f>
        <v>0</v>
      </c>
      <c r="H9" s="56">
        <f>IF(INDEX('Equip Data'!G:G,MATCH($D9,'Equip Data'!$A:$A,0))="",0,Main!$S30*10000)</f>
        <v>0</v>
      </c>
      <c r="I9" s="56">
        <f>IF(INDEX('Equip Data'!H:H,MATCH($D9,'Equip Data'!$A:$A,0))="",0,Main!$S30*10000)</f>
        <v>10000</v>
      </c>
      <c r="J9" s="56">
        <f>IF(INDEX('Equip Data'!I:I,MATCH($D9,'Equip Data'!$A:$A,0))="",0,Main!$S30*10000)</f>
        <v>0</v>
      </c>
      <c r="K9" s="56">
        <f>IF(INDEX('Equip Data'!J:J,MATCH($D9,'Equip Data'!$A:$A,0))="",0,Main!$S30*10000)</f>
        <v>0</v>
      </c>
      <c r="L9" s="56">
        <f>IF(INDEX('Equip Data'!K:K,MATCH($D9,'Equip Data'!$A:$A,0))="",0,Main!$S30*10000)</f>
        <v>0</v>
      </c>
      <c r="M9" s="56">
        <f>IF(INDEX('Equip Data'!L:L,MATCH($D9,'Equip Data'!$A:$A,0))="",0,Main!$S30*10000)</f>
        <v>0</v>
      </c>
      <c r="N9" s="56">
        <f>IF(INDEX('Equip Data'!M:M,MATCH($D9,'Equip Data'!$A:$A,0))="",0,Main!$S30*10000)</f>
        <v>0</v>
      </c>
      <c r="O9" s="56">
        <f>IF(INDEX('Equip Data'!N:N,MATCH($D9,'Equip Data'!$A:$A,0))="",0,Main!$S30*10000)</f>
        <v>0</v>
      </c>
      <c r="P9" s="56">
        <f>IF(INDEX('Equip Data'!O:O,MATCH($D9,'Equip Data'!$A:$A,0))="",0,Main!$S30*10000)</f>
        <v>0</v>
      </c>
      <c r="Q9" s="56">
        <f>IF(INDEX('Equip Data'!P:P,MATCH($D9,'Equip Data'!$A:$A,0))="",0,Main!$S30*10000)</f>
        <v>0</v>
      </c>
      <c r="R9" s="56">
        <f>IF(INDEX('Equip Data'!Q:Q,MATCH($D9,'Equip Data'!$A:$A,0))="",0,Main!$S30*10000)</f>
        <v>0</v>
      </c>
      <c r="S9" s="56">
        <f>IF(INDEX('Equip Data'!R:R,MATCH($D9,'Equip Data'!$A:$A,0))="",0,Main!$S30*10000)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IF(Main!Q31="","",ROW()-1)</f>
        <v>9</v>
      </c>
      <c r="B10" s="56">
        <f>Main!$B$9</f>
        <v>562858</v>
      </c>
      <c r="C10" s="58">
        <f t="shared" si="0"/>
        <v>4</v>
      </c>
      <c r="D10" s="56">
        <f>INDEX('Equip Data'!$A:$A,MATCH(Main!Q31,'Equip Data'!$B:$B,0))</f>
        <v>72</v>
      </c>
      <c r="E10" s="56">
        <f>INDEX('Exp Tables'!$N$3:$R$13,MATCH(F10,'Exp Tables'!$M$3:$M$13,0),MATCH(INDEX('Equip Data'!$C:$C,MATCH(Main!Q31,'Equip Data'!$B:$B,0)),'Exp Tables'!$N$2:$R$2,0))</f>
        <v>10000</v>
      </c>
      <c r="F10" s="56">
        <f>Main!R31</f>
        <v>10</v>
      </c>
      <c r="G10" s="56">
        <f>IF(INDEX('Equip Data'!F:F,MATCH($D10,'Equip Data'!$A:$A,0))="",0,Main!$S31*10000)</f>
        <v>10000</v>
      </c>
      <c r="H10" s="56">
        <f>IF(INDEX('Equip Data'!G:G,MATCH($D10,'Equip Data'!$A:$A,0))="",0,Main!$S31*10000)</f>
        <v>0</v>
      </c>
      <c r="I10" s="56">
        <f>IF(INDEX('Equip Data'!H:H,MATCH($D10,'Equip Data'!$A:$A,0))="",0,Main!$S31*10000)</f>
        <v>0</v>
      </c>
      <c r="J10" s="56">
        <f>IF(INDEX('Equip Data'!I:I,MATCH($D10,'Equip Data'!$A:$A,0))="",0,Main!$S31*10000)</f>
        <v>0</v>
      </c>
      <c r="K10" s="56">
        <f>IF(INDEX('Equip Data'!J:J,MATCH($D10,'Equip Data'!$A:$A,0))="",0,Main!$S31*10000)</f>
        <v>0</v>
      </c>
      <c r="L10" s="56">
        <f>IF(INDEX('Equip Data'!K:K,MATCH($D10,'Equip Data'!$A:$A,0))="",0,Main!$S31*10000)</f>
        <v>0</v>
      </c>
      <c r="M10" s="56">
        <f>IF(INDEX('Equip Data'!L:L,MATCH($D10,'Equip Data'!$A:$A,0))="",0,Main!$S31*10000)</f>
        <v>0</v>
      </c>
      <c r="N10" s="56">
        <f>IF(INDEX('Equip Data'!M:M,MATCH($D10,'Equip Data'!$A:$A,0))="",0,Main!$S31*10000)</f>
        <v>10000</v>
      </c>
      <c r="O10" s="56">
        <f>IF(INDEX('Equip Data'!N:N,MATCH($D10,'Equip Data'!$A:$A,0))="",0,Main!$S31*10000)</f>
        <v>0</v>
      </c>
      <c r="P10" s="56">
        <f>IF(INDEX('Equip Data'!O:O,MATCH($D10,'Equip Data'!$A:$A,0))="",0,Main!$S31*10000)</f>
        <v>0</v>
      </c>
      <c r="Q10" s="56">
        <f>IF(INDEX('Equip Data'!P:P,MATCH($D10,'Equip Data'!$A:$A,0))="",0,Main!$S31*10000)</f>
        <v>0</v>
      </c>
      <c r="R10" s="56">
        <f>IF(INDEX('Equip Data'!Q:Q,MATCH($D10,'Equip Data'!$A:$A,0))="",0,Main!$S31*10000)</f>
        <v>0</v>
      </c>
      <c r="S10" s="56">
        <f>IF(INDEX('Equip Data'!R:R,MATCH($D10,'Equip Data'!$A:$A,0))="",0,Main!$S31*10000)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IF(Main!Q32="","",ROW()-1)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Data'!$A:$A,MATCH(Main!Q32,'Equip Data'!$B:$B,0))</f>
        <v>72</v>
      </c>
      <c r="E11" s="57">
        <f>INDEX('Exp Tables'!$N$3:$R$13,MATCH(F11,'Exp Tables'!$M$3:$M$13,0),MATCH(INDEX('Equip Data'!$C:$C,MATCH(Main!Q32,'Equip Data'!$B:$B,0)),'Exp Tables'!$N$2:$R$2,0))</f>
        <v>10000</v>
      </c>
      <c r="F11" s="57">
        <f>Main!R32</f>
        <v>10</v>
      </c>
      <c r="G11" s="57">
        <f>IF(INDEX('Equip Data'!F:F,MATCH($D11,'Equip Data'!$A:$A,0))="",0,Main!$S32*10000)</f>
        <v>10000</v>
      </c>
      <c r="H11" s="57">
        <f>IF(INDEX('Equip Data'!G:G,MATCH($D11,'Equip Data'!$A:$A,0))="",0,Main!$S32*10000)</f>
        <v>0</v>
      </c>
      <c r="I11" s="57">
        <f>IF(INDEX('Equip Data'!H:H,MATCH($D11,'Equip Data'!$A:$A,0))="",0,Main!$S32*10000)</f>
        <v>0</v>
      </c>
      <c r="J11" s="57">
        <f>IF(INDEX('Equip Data'!I:I,MATCH($D11,'Equip Data'!$A:$A,0))="",0,Main!$S32*10000)</f>
        <v>0</v>
      </c>
      <c r="K11" s="57">
        <f>IF(INDEX('Equip Data'!J:J,MATCH($D11,'Equip Data'!$A:$A,0))="",0,Main!$S32*10000)</f>
        <v>0</v>
      </c>
      <c r="L11" s="57">
        <f>IF(INDEX('Equip Data'!K:K,MATCH($D11,'Equip Data'!$A:$A,0))="",0,Main!$S32*10000)</f>
        <v>0</v>
      </c>
      <c r="M11" s="57">
        <f>IF(INDEX('Equip Data'!L:L,MATCH($D11,'Equip Data'!$A:$A,0))="",0,Main!$S32*10000)</f>
        <v>0</v>
      </c>
      <c r="N11" s="57">
        <f>IF(INDEX('Equip Data'!M:M,MATCH($D11,'Equip Data'!$A:$A,0))="",0,Main!$S32*10000)</f>
        <v>10000</v>
      </c>
      <c r="O11" s="57">
        <f>IF(INDEX('Equip Data'!N:N,MATCH($D11,'Equip Data'!$A:$A,0))="",0,Main!$S32*10000)</f>
        <v>0</v>
      </c>
      <c r="P11" s="57">
        <f>IF(INDEX('Equip Data'!O:O,MATCH($D11,'Equip Data'!$A:$A,0))="",0,Main!$S32*10000)</f>
        <v>0</v>
      </c>
      <c r="Q11" s="57">
        <f>IF(INDEX('Equip Data'!P:P,MATCH($D11,'Equip Data'!$A:$A,0))="",0,Main!$S32*10000)</f>
        <v>0</v>
      </c>
      <c r="R11" s="57">
        <f>IF(INDEX('Equip Data'!Q:Q,MATCH($D11,'Equip Data'!$A:$A,0))="",0,Main!$S32*10000)</f>
        <v>0</v>
      </c>
      <c r="S11" s="57">
        <f>IF(INDEX('Equip Data'!R:R,MATCH($D11,'Equip Data'!$A:$A,0))="",0,Main!$S32*10000)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IF(Main!U28="","",ROW()-1)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Data'!$A:$A,MATCH(Main!U28,'Equip Data'!$B:$B,0))</f>
        <v>68</v>
      </c>
      <c r="E12" s="56">
        <f>INDEX('Exp Tables'!$N$3:$R$13,MATCH(F12,'Exp Tables'!$M$3:$M$13,0),MATCH(INDEX('Equip Data'!$C:$C,MATCH(Main!U28,'Equip Data'!$B:$B,0)),'Exp Tables'!$N$2:$R$2,0))</f>
        <v>10000</v>
      </c>
      <c r="F12" s="56">
        <f>Main!V28</f>
        <v>10</v>
      </c>
      <c r="G12" s="56">
        <f>IF(INDEX('Equip Data'!F:F,MATCH($D12,'Equip Data'!$A:$A,0))="",0,Main!$W28*10000)</f>
        <v>0</v>
      </c>
      <c r="H12" s="56">
        <f>IF(INDEX('Equip Data'!G:G,MATCH($D12,'Equip Data'!$A:$A,0))="",0,Main!$W28*10000)</f>
        <v>0</v>
      </c>
      <c r="I12" s="56">
        <f>IF(INDEX('Equip Data'!H:H,MATCH($D12,'Equip Data'!$A:$A,0))="",0,Main!$W28*10000)</f>
        <v>10000</v>
      </c>
      <c r="J12" s="56">
        <f>IF(INDEX('Equip Data'!I:I,MATCH($D12,'Equip Data'!$A:$A,0))="",0,Main!$W28*10000)</f>
        <v>0</v>
      </c>
      <c r="K12" s="56">
        <f>IF(INDEX('Equip Data'!J:J,MATCH($D12,'Equip Data'!$A:$A,0))="",0,Main!$W28*10000)</f>
        <v>0</v>
      </c>
      <c r="L12" s="56">
        <f>IF(INDEX('Equip Data'!K:K,MATCH($D12,'Equip Data'!$A:$A,0))="",0,Main!$W28*10000)</f>
        <v>0</v>
      </c>
      <c r="M12" s="56">
        <f>IF(INDEX('Equip Data'!L:L,MATCH($D12,'Equip Data'!$A:$A,0))="",0,Main!$W28*10000)</f>
        <v>0</v>
      </c>
      <c r="N12" s="56">
        <f>IF(INDEX('Equip Data'!M:M,MATCH($D12,'Equip Data'!$A:$A,0))="",0,Main!$W28*10000)</f>
        <v>0</v>
      </c>
      <c r="O12" s="56">
        <f>IF(INDEX('Equip Data'!N:N,MATCH($D12,'Equip Data'!$A:$A,0))="",0,Main!$W28*10000)</f>
        <v>0</v>
      </c>
      <c r="P12" s="56">
        <f>IF(INDEX('Equip Data'!O:O,MATCH($D12,'Equip Data'!$A:$A,0))="",0,Main!$W28*10000)</f>
        <v>0</v>
      </c>
      <c r="Q12" s="56">
        <f>IF(INDEX('Equip Data'!P:P,MATCH($D12,'Equip Data'!$A:$A,0))="",0,Main!$W28*10000)</f>
        <v>0</v>
      </c>
      <c r="R12" s="56">
        <f>IF(INDEX('Equip Data'!Q:Q,MATCH($D12,'Equip Data'!$A:$A,0))="",0,Main!$W28*10000)</f>
        <v>0</v>
      </c>
      <c r="S12" s="56">
        <f>IF(INDEX('Equip Data'!R:R,MATCH($D12,'Equip Data'!$A:$A,0))="",0,Main!$W28*10000)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IF(Main!U29="","",ROW()-1)</f>
        <v>12</v>
      </c>
      <c r="B13" s="56">
        <f>Main!$B$9</f>
        <v>562858</v>
      </c>
      <c r="C13" s="58">
        <f t="shared" si="0"/>
        <v>275</v>
      </c>
      <c r="D13" s="56">
        <f>INDEX('Equip Data'!$A:$A,MATCH(Main!U29,'Equip Data'!$B:$B,0))</f>
        <v>68</v>
      </c>
      <c r="E13" s="56">
        <f>INDEX('Exp Tables'!$N$3:$R$13,MATCH(F13,'Exp Tables'!$M$3:$M$13,0),MATCH(INDEX('Equip Data'!$C:$C,MATCH(Main!U29,'Equip Data'!$B:$B,0)),'Exp Tables'!$N$2:$R$2,0))</f>
        <v>10000</v>
      </c>
      <c r="F13" s="56">
        <f>Main!V29</f>
        <v>10</v>
      </c>
      <c r="G13" s="56">
        <f>IF(INDEX('Equip Data'!F:F,MATCH($D13,'Equip Data'!$A:$A,0))="",0,Main!$W29*10000)</f>
        <v>0</v>
      </c>
      <c r="H13" s="56">
        <f>IF(INDEX('Equip Data'!G:G,MATCH($D13,'Equip Data'!$A:$A,0))="",0,Main!$W29*10000)</f>
        <v>0</v>
      </c>
      <c r="I13" s="56">
        <f>IF(INDEX('Equip Data'!H:H,MATCH($D13,'Equip Data'!$A:$A,0))="",0,Main!$W29*10000)</f>
        <v>10000</v>
      </c>
      <c r="J13" s="56">
        <f>IF(INDEX('Equip Data'!I:I,MATCH($D13,'Equip Data'!$A:$A,0))="",0,Main!$W29*10000)</f>
        <v>0</v>
      </c>
      <c r="K13" s="56">
        <f>IF(INDEX('Equip Data'!J:J,MATCH($D13,'Equip Data'!$A:$A,0))="",0,Main!$W29*10000)</f>
        <v>0</v>
      </c>
      <c r="L13" s="56">
        <f>IF(INDEX('Equip Data'!K:K,MATCH($D13,'Equip Data'!$A:$A,0))="",0,Main!$W29*10000)</f>
        <v>0</v>
      </c>
      <c r="M13" s="56">
        <f>IF(INDEX('Equip Data'!L:L,MATCH($D13,'Equip Data'!$A:$A,0))="",0,Main!$W29*10000)</f>
        <v>0</v>
      </c>
      <c r="N13" s="56">
        <f>IF(INDEX('Equip Data'!M:M,MATCH($D13,'Equip Data'!$A:$A,0))="",0,Main!$W29*10000)</f>
        <v>0</v>
      </c>
      <c r="O13" s="56">
        <f>IF(INDEX('Equip Data'!N:N,MATCH($D13,'Equip Data'!$A:$A,0))="",0,Main!$W29*10000)</f>
        <v>0</v>
      </c>
      <c r="P13" s="56">
        <f>IF(INDEX('Equip Data'!O:O,MATCH($D13,'Equip Data'!$A:$A,0))="",0,Main!$W29*10000)</f>
        <v>0</v>
      </c>
      <c r="Q13" s="56">
        <f>IF(INDEX('Equip Data'!P:P,MATCH($D13,'Equip Data'!$A:$A,0))="",0,Main!$W29*10000)</f>
        <v>0</v>
      </c>
      <c r="R13" s="56">
        <f>IF(INDEX('Equip Data'!Q:Q,MATCH($D13,'Equip Data'!$A:$A,0))="",0,Main!$W29*10000)</f>
        <v>0</v>
      </c>
      <c r="S13" s="56">
        <f>IF(INDEX('Equip Data'!R:R,MATCH($D13,'Equip Data'!$A:$A,0))="",0,Main!$W29*10000)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IF(Main!U30="","",ROW()-1)</f>
        <v>13</v>
      </c>
      <c r="B14" s="56">
        <f>Main!$B$9</f>
        <v>562858</v>
      </c>
      <c r="C14" s="58">
        <f t="shared" si="0"/>
        <v>1017</v>
      </c>
      <c r="D14" s="56">
        <f>INDEX('Equip Data'!$A:$A,MATCH(Main!U30,'Equip Data'!$B:$B,0))</f>
        <v>144</v>
      </c>
      <c r="E14" s="56">
        <f>INDEX('Exp Tables'!$N$3:$R$13,MATCH(F14,'Exp Tables'!$M$3:$M$13,0),MATCH(INDEX('Equip Data'!$C:$C,MATCH(Main!U30,'Equip Data'!$B:$B,0)),'Exp Tables'!$N$2:$R$2,0))</f>
        <v>30000</v>
      </c>
      <c r="F14" s="56">
        <f>Main!V30</f>
        <v>10</v>
      </c>
      <c r="G14" s="56">
        <f>IF(INDEX('Equip Data'!F:F,MATCH($D14,'Equip Data'!$A:$A,0))="",0,Main!$W30*10000)</f>
        <v>0</v>
      </c>
      <c r="H14" s="56">
        <f>IF(INDEX('Equip Data'!G:G,MATCH($D14,'Equip Data'!$A:$A,0))="",0,Main!$W30*10000)</f>
        <v>0</v>
      </c>
      <c r="I14" s="56">
        <f>IF(INDEX('Equip Data'!H:H,MATCH($D14,'Equip Data'!$A:$A,0))="",0,Main!$W30*10000)</f>
        <v>10000</v>
      </c>
      <c r="J14" s="56">
        <f>IF(INDEX('Equip Data'!I:I,MATCH($D14,'Equip Data'!$A:$A,0))="",0,Main!$W30*10000)</f>
        <v>0</v>
      </c>
      <c r="K14" s="56">
        <f>IF(INDEX('Equip Data'!J:J,MATCH($D14,'Equip Data'!$A:$A,0))="",0,Main!$W30*10000)</f>
        <v>0</v>
      </c>
      <c r="L14" s="56">
        <f>IF(INDEX('Equip Data'!K:K,MATCH($D14,'Equip Data'!$A:$A,0))="",0,Main!$W30*10000)</f>
        <v>0</v>
      </c>
      <c r="M14" s="56">
        <f>IF(INDEX('Equip Data'!L:L,MATCH($D14,'Equip Data'!$A:$A,0))="",0,Main!$W30*10000)</f>
        <v>0</v>
      </c>
      <c r="N14" s="56">
        <f>IF(INDEX('Equip Data'!M:M,MATCH($D14,'Equip Data'!$A:$A,0))="",0,Main!$W30*10000)</f>
        <v>0</v>
      </c>
      <c r="O14" s="56">
        <f>IF(INDEX('Equip Data'!N:N,MATCH($D14,'Equip Data'!$A:$A,0))="",0,Main!$W30*10000)</f>
        <v>0</v>
      </c>
      <c r="P14" s="56">
        <f>IF(INDEX('Equip Data'!O:O,MATCH($D14,'Equip Data'!$A:$A,0))="",0,Main!$W30*10000)</f>
        <v>0</v>
      </c>
      <c r="Q14" s="56">
        <f>IF(INDEX('Equip Data'!P:P,MATCH($D14,'Equip Data'!$A:$A,0))="",0,Main!$W30*10000)</f>
        <v>0</v>
      </c>
      <c r="R14" s="56">
        <f>IF(INDEX('Equip Data'!Q:Q,MATCH($D14,'Equip Data'!$A:$A,0))="",0,Main!$W30*10000)</f>
        <v>0</v>
      </c>
      <c r="S14" s="56">
        <f>IF(INDEX('Equip Data'!R:R,MATCH($D14,'Equip Data'!$A:$A,0))="",0,Main!$W30*10000)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IF(Main!U31="","",ROW()-1)</f>
        <v>14</v>
      </c>
      <c r="B15" s="56">
        <f>Main!$B$9</f>
        <v>562858</v>
      </c>
      <c r="C15" s="58">
        <f t="shared" si="0"/>
        <v>4</v>
      </c>
      <c r="D15" s="56">
        <f>INDEX('Equip Data'!$A:$A,MATCH(Main!U31,'Equip Data'!$B:$B,0))</f>
        <v>58</v>
      </c>
      <c r="E15" s="56">
        <f>INDEX('Exp Tables'!$N$3:$R$13,MATCH(F15,'Exp Tables'!$M$3:$M$13,0),MATCH(INDEX('Equip Data'!$C:$C,MATCH(Main!U31,'Equip Data'!$B:$B,0)),'Exp Tables'!$N$2:$R$2,0))</f>
        <v>10000</v>
      </c>
      <c r="F15" s="56">
        <f>Main!V31</f>
        <v>10</v>
      </c>
      <c r="G15" s="56">
        <f>IF(INDEX('Equip Data'!F:F,MATCH($D15,'Equip Data'!$A:$A,0))="",0,Main!$W31*10000)</f>
        <v>0</v>
      </c>
      <c r="H15" s="56">
        <f>IF(INDEX('Equip Data'!G:G,MATCH($D15,'Equip Data'!$A:$A,0))="",0,Main!$W31*10000)</f>
        <v>0</v>
      </c>
      <c r="I15" s="56">
        <f>IF(INDEX('Equip Data'!H:H,MATCH($D15,'Equip Data'!$A:$A,0))="",0,Main!$W31*10000)</f>
        <v>10000</v>
      </c>
      <c r="J15" s="56">
        <f>IF(INDEX('Equip Data'!I:I,MATCH($D15,'Equip Data'!$A:$A,0))="",0,Main!$W31*10000)</f>
        <v>0</v>
      </c>
      <c r="K15" s="56">
        <f>IF(INDEX('Equip Data'!J:J,MATCH($D15,'Equip Data'!$A:$A,0))="",0,Main!$W31*10000)</f>
        <v>0</v>
      </c>
      <c r="L15" s="56">
        <f>IF(INDEX('Equip Data'!K:K,MATCH($D15,'Equip Data'!$A:$A,0))="",0,Main!$W31*10000)</f>
        <v>0</v>
      </c>
      <c r="M15" s="56">
        <f>IF(INDEX('Equip Data'!L:L,MATCH($D15,'Equip Data'!$A:$A,0))="",0,Main!$W31*10000)</f>
        <v>0</v>
      </c>
      <c r="N15" s="56">
        <f>IF(INDEX('Equip Data'!M:M,MATCH($D15,'Equip Data'!$A:$A,0))="",0,Main!$W31*10000)</f>
        <v>0</v>
      </c>
      <c r="O15" s="56">
        <f>IF(INDEX('Equip Data'!N:N,MATCH($D15,'Equip Data'!$A:$A,0))="",0,Main!$W31*10000)</f>
        <v>0</v>
      </c>
      <c r="P15" s="56">
        <f>IF(INDEX('Equip Data'!O:O,MATCH($D15,'Equip Data'!$A:$A,0))="",0,Main!$W31*10000)</f>
        <v>0</v>
      </c>
      <c r="Q15" s="56">
        <f>IF(INDEX('Equip Data'!P:P,MATCH($D15,'Equip Data'!$A:$A,0))="",0,Main!$W31*10000)</f>
        <v>0</v>
      </c>
      <c r="R15" s="56">
        <f>IF(INDEX('Equip Data'!Q:Q,MATCH($D15,'Equip Data'!$A:$A,0))="",0,Main!$W31*10000)</f>
        <v>0</v>
      </c>
      <c r="S15" s="56">
        <f>IF(INDEX('Equip Data'!R:R,MATCH($D15,'Equip Data'!$A:$A,0))="",0,Main!$W31*10000)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IF(Main!U32="","",ROW()-1)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Data'!$A:$A,MATCH(Main!U32,'Equip Data'!$B:$B,0))</f>
        <v>40</v>
      </c>
      <c r="E16" s="57">
        <f>INDEX('Exp Tables'!$N$3:$R$13,MATCH(F16,'Exp Tables'!$M$3:$M$13,0),MATCH(INDEX('Equip Data'!$C:$C,MATCH(Main!U32,'Equip Data'!$B:$B,0)),'Exp Tables'!$N$2:$R$2,0))</f>
        <v>10000</v>
      </c>
      <c r="F16" s="57">
        <f>Main!V32</f>
        <v>10</v>
      </c>
      <c r="G16" s="57">
        <f>IF(INDEX('Equip Data'!F:F,MATCH($D16,'Equip Data'!$A:$A,0))="",0,Main!$W32*10000)</f>
        <v>10000</v>
      </c>
      <c r="H16" s="57">
        <f>IF(INDEX('Equip Data'!G:G,MATCH($D16,'Equip Data'!$A:$A,0))="",0,Main!$W32*10000)</f>
        <v>0</v>
      </c>
      <c r="I16" s="57">
        <f>IF(INDEX('Equip Data'!H:H,MATCH($D16,'Equip Data'!$A:$A,0))="",0,Main!$W32*10000)</f>
        <v>10000</v>
      </c>
      <c r="J16" s="57">
        <f>IF(INDEX('Equip Data'!I:I,MATCH($D16,'Equip Data'!$A:$A,0))="",0,Main!$W32*10000)</f>
        <v>0</v>
      </c>
      <c r="K16" s="57">
        <f>IF(INDEX('Equip Data'!J:J,MATCH($D16,'Equip Data'!$A:$A,0))="",0,Main!$W32*10000)</f>
        <v>0</v>
      </c>
      <c r="L16" s="57">
        <f>IF(INDEX('Equip Data'!K:K,MATCH($D16,'Equip Data'!$A:$A,0))="",0,Main!$W32*10000)</f>
        <v>0</v>
      </c>
      <c r="M16" s="57">
        <f>IF(INDEX('Equip Data'!L:L,MATCH($D16,'Equip Data'!$A:$A,0))="",0,Main!$W32*10000)</f>
        <v>0</v>
      </c>
      <c r="N16" s="57">
        <f>IF(INDEX('Equip Data'!M:M,MATCH($D16,'Equip Data'!$A:$A,0))="",0,Main!$W32*10000)</f>
        <v>0</v>
      </c>
      <c r="O16" s="57">
        <f>IF(INDEX('Equip Data'!N:N,MATCH($D16,'Equip Data'!$A:$A,0))="",0,Main!$W32*10000)</f>
        <v>0</v>
      </c>
      <c r="P16" s="57">
        <f>IF(INDEX('Equip Data'!O:O,MATCH($D16,'Equip Data'!$A:$A,0))="",0,Main!$W32*10000)</f>
        <v>0</v>
      </c>
      <c r="Q16" s="57">
        <f>IF(INDEX('Equip Data'!P:P,MATCH($D16,'Equip Data'!$A:$A,0))="",0,Main!$W32*10000)</f>
        <v>0</v>
      </c>
      <c r="R16" s="57">
        <f>IF(INDEX('Equip Data'!Q:Q,MATCH($D16,'Equip Data'!$A:$A,0))="",0,Main!$W32*10000)</f>
        <v>0</v>
      </c>
      <c r="S16" s="57">
        <f>IF(INDEX('Equip Data'!R:R,MATCH($D16,'Equip Data'!$A:$A,0))="",0,Main!$W32*10000)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IF(Main!M37="","",1)</f>
        <v>1</v>
      </c>
      <c r="B2" s="1">
        <f>Main!B9</f>
        <v>562858</v>
      </c>
      <c r="C2" s="1">
        <f>INDEX('Fairy Data'!$A:$A,MATCH(Main!M37,'Fairy Data'!$B:$B,0))</f>
        <v>22</v>
      </c>
      <c r="D2" s="1">
        <v>1</v>
      </c>
      <c r="E2" s="1">
        <f>Main!O37</f>
        <v>100</v>
      </c>
      <c r="F2" s="1">
        <f>VLOOKUP(E2,'Exp Tables'!$E$3:$G$102,3,FALSE)</f>
        <v>9999000</v>
      </c>
      <c r="G2" s="1">
        <f>Main!N37</f>
        <v>5</v>
      </c>
      <c r="H2" s="1">
        <f>INDEX('Fairy Data'!$E$2:$I$100,MATCH(A2,'Fairy Data'!$A$2:$A$100,0),MATCH("exp"&amp;G2,'Fairy Data'!$E$1:$I$1,0))</f>
        <v>3000</v>
      </c>
      <c r="I2" s="1">
        <f>Main!P37</f>
        <v>10</v>
      </c>
      <c r="J2" s="1">
        <f>VLOOKUP(Main!Q37,'Talent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1030</v>
      </c>
      <c r="C1" s="112" t="s">
        <v>1031</v>
      </c>
      <c r="D1" s="112" t="s">
        <v>1032</v>
      </c>
      <c r="E1" s="112" t="s">
        <v>297</v>
      </c>
      <c r="F1" s="112" t="s">
        <v>1033</v>
      </c>
      <c r="G1" s="112" t="s">
        <v>34</v>
      </c>
      <c r="H1" s="112" t="s">
        <v>1034</v>
      </c>
      <c r="I1" s="112" t="s">
        <v>35</v>
      </c>
      <c r="J1" s="112" t="s">
        <v>36</v>
      </c>
      <c r="K1" s="112" t="s">
        <v>1035</v>
      </c>
      <c r="L1" s="112" t="s">
        <v>1036</v>
      </c>
      <c r="M1" s="112" t="s">
        <v>1037</v>
      </c>
      <c r="N1" s="112" t="s">
        <v>1038</v>
      </c>
      <c r="O1" s="112" t="s">
        <v>1039</v>
      </c>
      <c r="P1" s="112" t="s">
        <v>1040</v>
      </c>
      <c r="Q1" s="112" t="s">
        <v>38</v>
      </c>
      <c r="R1" s="112" t="s">
        <v>1041</v>
      </c>
      <c r="S1" s="112" t="s">
        <v>41</v>
      </c>
      <c r="T1" s="112" t="s">
        <v>42</v>
      </c>
      <c r="U1" s="112" t="s">
        <v>1042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IF(Main!A37="","",1000&amp;Main!B37)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Main!D37-'Stat Calc'!AI3</f>
        <v>410</v>
      </c>
      <c r="L2" s="39">
        <f>Main!G37-'Stat Calc'!AJ3</f>
        <v>105</v>
      </c>
      <c r="M2" s="39">
        <f>Main!F37-'Stat Calc'!AK3</f>
        <v>450</v>
      </c>
      <c r="N2" s="39">
        <f>Main!E37-'Stat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Main!H37</f>
        <v>10</v>
      </c>
      <c r="T2" s="1">
        <f>Main!I37</f>
        <v>10</v>
      </c>
      <c r="U2" s="1">
        <f>Main!J37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IF(Main!A38="","",1000&amp;Main!B38)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Main!D38-'Stat Calc'!AI4</f>
        <v>257</v>
      </c>
      <c r="L3" s="39">
        <f>Main!G38-'Stat Calc'!AJ4</f>
        <v>596</v>
      </c>
      <c r="M3" s="39">
        <f>Main!F38-'Stat Calc'!AK4</f>
        <v>314</v>
      </c>
      <c r="N3" s="39">
        <f>Main!E38-'Stat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Main!H38</f>
        <v>10</v>
      </c>
      <c r="T3" s="1">
        <f>Main!I38</f>
        <v>10</v>
      </c>
      <c r="U3" s="1">
        <f>Main!J38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IF(Main!A39="","",1000&amp;Main!B39)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Main!D39-'Stat Calc'!AI5</f>
        <v>569</v>
      </c>
      <c r="L4" s="39">
        <f>Main!G39-'Stat Calc'!AJ5</f>
        <v>252</v>
      </c>
      <c r="M4" s="39">
        <f>Main!F39-'Stat Calc'!AK5</f>
        <v>230</v>
      </c>
      <c r="N4" s="39">
        <f>Main!E39-'Stat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Main!H39</f>
        <v>10</v>
      </c>
      <c r="T4" s="1">
        <f>Main!I39</f>
        <v>10</v>
      </c>
      <c r="U4" s="1">
        <f>Main!J39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IF(Main!A40="","",1000&amp;Main!B40)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Main!D40-'Stat Calc'!AI6</f>
        <v>481</v>
      </c>
      <c r="L5" s="39">
        <f>Main!G40-'Stat Calc'!AJ6</f>
        <v>340</v>
      </c>
      <c r="M5" s="39">
        <f>Main!F40-'Stat Calc'!AK6</f>
        <v>226</v>
      </c>
      <c r="N5" s="39">
        <f>Main!E40-'Stat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Main!H40</f>
        <v>10</v>
      </c>
      <c r="T5" s="1">
        <f>Main!I40</f>
        <v>10</v>
      </c>
      <c r="U5" s="1">
        <f>Main!J40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IF(Main!A41="","",1000&amp;Main!B41)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Main!D41-'Stat Calc'!AI7</f>
        <v>385</v>
      </c>
      <c r="L6" s="39">
        <f>Main!G41-'Stat Calc'!AJ7</f>
        <v>204</v>
      </c>
      <c r="M6" s="39">
        <f>Main!F41-'Stat Calc'!AK7</f>
        <v>437</v>
      </c>
      <c r="N6" s="39">
        <f>Main!E41-'Stat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Main!H41</f>
        <v>10</v>
      </c>
      <c r="T6" s="1">
        <f>Main!I41</f>
        <v>10</v>
      </c>
      <c r="U6" s="1">
        <f>Main!J41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IF(Main!A42="","",1000&amp;Main!B42)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Main!D42-'Stat Calc'!AI8</f>
        <v>51</v>
      </c>
      <c r="L7" s="39">
        <f>Main!G42-'Stat Calc'!AJ8</f>
        <v>219</v>
      </c>
      <c r="M7" s="39">
        <f>Main!F42-'Stat Calc'!AK8</f>
        <v>125</v>
      </c>
      <c r="N7" s="39">
        <f>Main!E42-'Stat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Main!H42</f>
        <v>10</v>
      </c>
      <c r="T7" s="1">
        <f>Main!I42</f>
        <v>10</v>
      </c>
      <c r="U7" s="1">
        <f>Main!J42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IF(Main!A43="","",1000&amp;Main!B43)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Main!D43-'Stat Calc'!AI9</f>
        <v>378</v>
      </c>
      <c r="L8" s="39">
        <f>Main!G43-'Stat Calc'!AJ9</f>
        <v>178</v>
      </c>
      <c r="M8" s="39">
        <f>Main!F43-'Stat Calc'!AK9</f>
        <v>380</v>
      </c>
      <c r="N8" s="39">
        <f>Main!E43-'Stat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Main!H43</f>
        <v>10</v>
      </c>
      <c r="T8" s="1">
        <f>Main!I43</f>
        <v>10</v>
      </c>
      <c r="U8" s="1">
        <f>Main!J43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IF(Main!A53="X",'Misc Inputs'!$C$22,IF(Main!A54="X",'Misc Inputs'!$C$28,'Misc Inputs'!$C$20))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6" sqref="C6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996</v>
      </c>
      <c r="B4" s="1">
        <v>7</v>
      </c>
      <c r="C4" s="9" t="str">
        <f>CHAR(34)&amp;A4&amp;CHAR(34)&amp;": "&amp;EnemyID&amp;","</f>
        <v>"enemy_team_id": 950029,</v>
      </c>
    </row>
    <row r="5" spans="1:3" x14ac:dyDescent="0.25">
      <c r="A5" t="s">
        <v>997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1005</v>
      </c>
      <c r="Q1" s="10" t="s">
        <v>1006</v>
      </c>
      <c r="Y1" s="10" t="s">
        <v>1007</v>
      </c>
      <c r="Z1" s="10"/>
      <c r="AH1" s="10" t="s">
        <v>1043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5" t="s">
        <v>8</v>
      </c>
      <c r="AI2" s="126" t="s">
        <v>1027</v>
      </c>
      <c r="AJ2" s="126" t="s">
        <v>1029</v>
      </c>
      <c r="AK2" s="126" t="s">
        <v>1028</v>
      </c>
      <c r="AL2" s="127" t="s">
        <v>1026</v>
      </c>
    </row>
    <row r="3" spans="1:38" x14ac:dyDescent="0.25">
      <c r="A3" s="67" t="s">
        <v>3</v>
      </c>
      <c r="B3" s="142">
        <v>0.6</v>
      </c>
      <c r="C3" s="143">
        <v>0.6</v>
      </c>
      <c r="D3" s="143">
        <v>0.8</v>
      </c>
      <c r="E3" s="143">
        <v>1.2</v>
      </c>
      <c r="F3" s="143">
        <v>1.8</v>
      </c>
      <c r="G3" s="144">
        <v>0</v>
      </c>
      <c r="I3" s="66">
        <v>1</v>
      </c>
      <c r="J3" s="72">
        <f>INDEX($B$3:$G$8,MATCH(Main!$C28,$A$3:$A$8,0),MATCH(J$2,$B$2:$G$2,0))</f>
        <v>1.5</v>
      </c>
      <c r="K3" s="73">
        <f>INDEX($B$3:$G$8,MATCH(Main!$C28,$A$3:$A$8,0),MATCH(K$2,$B$2:$G$2,0))</f>
        <v>1.8</v>
      </c>
      <c r="L3" s="73">
        <f>INDEX($B$3:$G$8,MATCH(Main!$C28,$A$3:$A$8,0),MATCH(L$2,$B$2:$G$2,0))</f>
        <v>1.6</v>
      </c>
      <c r="M3" s="73">
        <f>INDEX($B$3:$G$8,MATCH(Main!$C28,$A$3:$A$8,0),MATCH(M$2,$B$2:$G$2,0))</f>
        <v>0.6</v>
      </c>
      <c r="N3" s="73">
        <f>INDEX($B$3:$G$8,MATCH(Main!$C28,$A$3:$A$8,0),MATCH(N$2,$B$2:$G$2,0))</f>
        <v>0.6</v>
      </c>
      <c r="O3" s="74">
        <f>INDEX($B$3:$G$8,MATCH(Main!$C28,$A$3:$A$8,0),MATCH(O$2,$B$2:$G$2,0))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Main!E28</f>
        <v>100</v>
      </c>
      <c r="AA3" s="167">
        <f>IF(AND(UseCustomStats,Main!Y28&lt;&gt;0),Main!Y28,_xlfn.CEILING.MATH((J10+($Z3-1)*J17)*J3*J38/100))</f>
        <v>198</v>
      </c>
      <c r="AB3" s="167">
        <f>IF(AND(UseCustomStats,Main!Z28&lt;&gt;0),Main!Z28,_xlfn.CEILING.MATH(K10*K3*K38/100)+_xlfn.CEILING.MATH((K31+($Z3-1)*K24)*K3*K38*$P38/100/100))</f>
        <v>109</v>
      </c>
      <c r="AC3" s="167">
        <f>IF(AND(UseCustomStats,Main!AA28&lt;&gt;0),Main!AA28,_xlfn.CEILING.MATH(L10*L3*L38/100)+_xlfn.CEILING.MATH((L31+($Z3-1)*L24)*L3*L38*$P38/100/100))</f>
        <v>110</v>
      </c>
      <c r="AD3" s="76">
        <f>IF(AND(UseCustomStats,Main!AB28&lt;&gt;0),Main!AB28,_xlfn.CEILING.MATH(M10*M3*M38/100)+_xlfn.CEILING.MATH((M31+($Z3-1)*M24)*M3*M38*$P38/100/100))</f>
        <v>22</v>
      </c>
      <c r="AE3" s="76">
        <f>IF(AND(UseCustomStats,Main!AC28&lt;&gt;0),Main!AC28,_xlfn.CEILING.MATH(N10*N3*N38/100)+_xlfn.CEILING.MATH((N31+($Z3-1)*N24)*N3*N38*$P38/100/100))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1018</v>
      </c>
      <c r="AI3" s="133">
        <v>52</v>
      </c>
      <c r="AJ3" s="134">
        <v>28</v>
      </c>
      <c r="AK3" s="134">
        <v>118</v>
      </c>
      <c r="AL3" s="135">
        <v>135</v>
      </c>
    </row>
    <row r="4" spans="1:38" x14ac:dyDescent="0.25">
      <c r="A4" s="68" t="s">
        <v>7</v>
      </c>
      <c r="B4" s="145">
        <v>1.6</v>
      </c>
      <c r="C4" s="146">
        <v>0.6</v>
      </c>
      <c r="D4" s="146">
        <v>1.2</v>
      </c>
      <c r="E4" s="146">
        <v>0.3</v>
      </c>
      <c r="F4" s="146">
        <v>1.6</v>
      </c>
      <c r="G4" s="147">
        <v>0</v>
      </c>
      <c r="I4" s="78">
        <v>2</v>
      </c>
      <c r="J4" s="79">
        <f>INDEX($B$3:$G$8,MATCH(Main!$C29,$A$3:$A$8,0),MATCH(J$2,$B$2:$G$2,0))</f>
        <v>1.5</v>
      </c>
      <c r="K4" s="80">
        <f>INDEX($B$3:$G$8,MATCH(Main!$C29,$A$3:$A$8,0),MATCH(K$2,$B$2:$G$2,0))</f>
        <v>1.8</v>
      </c>
      <c r="L4" s="80">
        <f>INDEX($B$3:$G$8,MATCH(Main!$C29,$A$3:$A$8,0),MATCH(L$2,$B$2:$G$2,0))</f>
        <v>1.6</v>
      </c>
      <c r="M4" s="80">
        <f>INDEX($B$3:$G$8,MATCH(Main!$C29,$A$3:$A$8,0),MATCH(M$2,$B$2:$G$2,0))</f>
        <v>0.6</v>
      </c>
      <c r="N4" s="80">
        <f>INDEX($B$3:$G$8,MATCH(Main!$C29,$A$3:$A$8,0),MATCH(N$2,$B$2:$G$2,0))</f>
        <v>0.6</v>
      </c>
      <c r="O4" s="81">
        <f>INDEX($B$3:$G$8,MATCH(Main!$C29,$A$3:$A$8,0),MATCH(O$2,$B$2:$G$2,0))</f>
        <v>0</v>
      </c>
      <c r="Q4" s="78">
        <v>2</v>
      </c>
      <c r="R4" s="79">
        <f t="shared" si="0"/>
        <v>1.5</v>
      </c>
      <c r="S4" s="80">
        <f t="shared" si="0"/>
        <v>1.8</v>
      </c>
      <c r="T4" s="80">
        <f t="shared" si="0"/>
        <v>1.6</v>
      </c>
      <c r="U4" s="80">
        <f t="shared" si="0"/>
        <v>0.6</v>
      </c>
      <c r="V4" s="80">
        <f t="shared" si="0"/>
        <v>0.6</v>
      </c>
      <c r="W4" s="81">
        <f t="shared" si="0"/>
        <v>0</v>
      </c>
      <c r="Y4" s="78">
        <v>2</v>
      </c>
      <c r="Z4" s="82">
        <f>Main!E29</f>
        <v>100</v>
      </c>
      <c r="AA4" s="83">
        <f>IF(AND(UseCustomStats,Main!Y29&lt;&gt;0),Main!Y29,_xlfn.CEILING.MATH((J11+($Z4-1)*J18)*J4*J39/100))</f>
        <v>190</v>
      </c>
      <c r="AB4" s="83">
        <f>IF(AND(UseCustomStats,Main!Z29&lt;&gt;0),Main!Z29,_xlfn.CEILING.MATH(K11*K4*K39/100)+_xlfn.CEILING.MATH((K32+($Z4-1)*K25)*K4*K39*$P39/100/100))</f>
        <v>90</v>
      </c>
      <c r="AC4" s="83">
        <f>IF(AND(UseCustomStats,Main!AA29&lt;&gt;0),Main!AA29,_xlfn.CEILING.MATH(L11*L4*L39/100)+_xlfn.CEILING.MATH((L32+($Z4-1)*L25)*L4*L39*$P39/100/100))</f>
        <v>131</v>
      </c>
      <c r="AD4" s="83">
        <f>IF(AND(UseCustomStats,Main!AB29&lt;&gt;0),Main!AB29,_xlfn.CEILING.MATH(M11*M4*M39/100)+_xlfn.CEILING.MATH((M32+($Z4-1)*M25)*M4*M39*$P39/100/100))</f>
        <v>26</v>
      </c>
      <c r="AE4" s="83">
        <f>IF(AND(UseCustomStats,Main!AC29&lt;&gt;0),Main!AC29,_xlfn.CEILING.MATH(N11*N4*N39/100)+_xlfn.CEILING.MATH((N32+($Z4-1)*N25)*N4*N39*$P39/100/100))</f>
        <v>23</v>
      </c>
      <c r="AF4" s="84">
        <f t="shared" ref="AF4:AF7" si="1">_xlfn.CEILING.MATH((O11+($Z4-1)*O18)*O4*O39/100)</f>
        <v>0</v>
      </c>
      <c r="AH4" s="49" t="s">
        <v>1019</v>
      </c>
      <c r="AI4" s="136">
        <v>27</v>
      </c>
      <c r="AJ4" s="137">
        <v>130</v>
      </c>
      <c r="AK4" s="137">
        <v>67</v>
      </c>
      <c r="AL4" s="138">
        <v>49</v>
      </c>
    </row>
    <row r="5" spans="1:38" x14ac:dyDescent="0.25">
      <c r="A5" s="68" t="s">
        <v>6</v>
      </c>
      <c r="B5" s="145">
        <v>0.8</v>
      </c>
      <c r="C5" s="146">
        <v>2.4</v>
      </c>
      <c r="D5" s="146">
        <v>0.5</v>
      </c>
      <c r="E5" s="146">
        <v>1.6</v>
      </c>
      <c r="F5" s="146">
        <v>0.8</v>
      </c>
      <c r="G5" s="147">
        <v>0</v>
      </c>
      <c r="I5" s="78">
        <v>3</v>
      </c>
      <c r="J5" s="79">
        <f>INDEX($B$3:$G$8,MATCH(Main!$C30,$A$3:$A$8,0),MATCH(J$2,$B$2:$G$2,0))</f>
        <v>0.6</v>
      </c>
      <c r="K5" s="80">
        <f>INDEX($B$3:$G$8,MATCH(Main!$C30,$A$3:$A$8,0),MATCH(K$2,$B$2:$G$2,0))</f>
        <v>0.6</v>
      </c>
      <c r="L5" s="80">
        <f>INDEX($B$3:$G$8,MATCH(Main!$C30,$A$3:$A$8,0),MATCH(L$2,$B$2:$G$2,0))</f>
        <v>0.8</v>
      </c>
      <c r="M5" s="80">
        <f>INDEX($B$3:$G$8,MATCH(Main!$C30,$A$3:$A$8,0),MATCH(M$2,$B$2:$G$2,0))</f>
        <v>1.2</v>
      </c>
      <c r="N5" s="80">
        <f>INDEX($B$3:$G$8,MATCH(Main!$C30,$A$3:$A$8,0),MATCH(N$2,$B$2:$G$2,0))</f>
        <v>1.8</v>
      </c>
      <c r="O5" s="81">
        <f>INDEX($B$3:$G$8,MATCH(Main!$C30,$A$3:$A$8,0),MATCH(O$2,$B$2:$G$2,0))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Main!E30</f>
        <v>100</v>
      </c>
      <c r="AA5" s="83">
        <f>IF(AND(UseCustomStats,Main!Y30&lt;&gt;0),Main!Y30,_xlfn.CEILING.MATH((J12+($Z5-1)*J19)*J5*J40/100))</f>
        <v>80</v>
      </c>
      <c r="AB5" s="83">
        <f>IF(AND(UseCustomStats,Main!Z30&lt;&gt;0),Main!Z30,_xlfn.CEILING.MATH(K12*K5*K40/100)+_xlfn.CEILING.MATH((K33+($Z5-1)*K26)*K5*K40*$P40/100/100))</f>
        <v>30</v>
      </c>
      <c r="AC5" s="83">
        <f>IF(AND(UseCustomStats,Main!AA30&lt;&gt;0),Main!AA30,_xlfn.CEILING.MATH(L12*L5*L40/100)+_xlfn.CEILING.MATH((L33+($Z5-1)*L26)*L5*L40*$P40/100/100))</f>
        <v>55</v>
      </c>
      <c r="AD5" s="83">
        <f>IF(AND(UseCustomStats,Main!AB30&lt;&gt;0),Main!AB30,_xlfn.CEILING.MATH(M12*M5*M40/100)+_xlfn.CEILING.MATH((M33+($Z5-1)*M26)*M5*M40*$P40/100/100))</f>
        <v>53</v>
      </c>
      <c r="AE5" s="83">
        <f>IF(AND(UseCustomStats,Main!AC30&lt;&gt;0),Main!AC30,_xlfn.CEILING.MATH(N12*N5*N40/100)+_xlfn.CEILING.MATH((N33+($Z5-1)*N26)*N5*N40*$P40/100/100))</f>
        <v>96</v>
      </c>
      <c r="AF5" s="84">
        <f t="shared" si="1"/>
        <v>0</v>
      </c>
      <c r="AH5" s="49" t="s">
        <v>1020</v>
      </c>
      <c r="AI5" s="136">
        <v>51</v>
      </c>
      <c r="AJ5" s="137">
        <v>54</v>
      </c>
      <c r="AK5" s="137">
        <v>46</v>
      </c>
      <c r="AL5" s="138">
        <v>20</v>
      </c>
    </row>
    <row r="6" spans="1:38" x14ac:dyDescent="0.25">
      <c r="A6" s="68" t="s">
        <v>2</v>
      </c>
      <c r="B6" s="145">
        <v>1</v>
      </c>
      <c r="C6" s="146">
        <v>1</v>
      </c>
      <c r="D6" s="146">
        <v>1</v>
      </c>
      <c r="E6" s="146">
        <v>1</v>
      </c>
      <c r="F6" s="146">
        <v>1</v>
      </c>
      <c r="G6" s="147">
        <v>0</v>
      </c>
      <c r="I6" s="78">
        <v>4</v>
      </c>
      <c r="J6" s="79">
        <f>INDEX($B$3:$G$8,MATCH(Main!$C31,$A$3:$A$8,0),MATCH(J$2,$B$2:$G$2,0))</f>
        <v>0.6</v>
      </c>
      <c r="K6" s="80">
        <f>INDEX($B$3:$G$8,MATCH(Main!$C31,$A$3:$A$8,0),MATCH(K$2,$B$2:$G$2,0))</f>
        <v>0.6</v>
      </c>
      <c r="L6" s="80">
        <f>INDEX($B$3:$G$8,MATCH(Main!$C31,$A$3:$A$8,0),MATCH(L$2,$B$2:$G$2,0))</f>
        <v>0.8</v>
      </c>
      <c r="M6" s="80">
        <f>INDEX($B$3:$G$8,MATCH(Main!$C31,$A$3:$A$8,0),MATCH(M$2,$B$2:$G$2,0))</f>
        <v>1.2</v>
      </c>
      <c r="N6" s="80">
        <f>INDEX($B$3:$G$8,MATCH(Main!$C31,$A$3:$A$8,0),MATCH(N$2,$B$2:$G$2,0))</f>
        <v>1.8</v>
      </c>
      <c r="O6" s="81">
        <f>INDEX($B$3:$G$8,MATCH(Main!$C31,$A$3:$A$8,0),MATCH(O$2,$B$2:$G$2,0))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Main!E31</f>
        <v>100</v>
      </c>
      <c r="AA6" s="83">
        <f>IF(AND(UseCustomStats,Main!Y31&lt;&gt;0),Main!Y31,_xlfn.CEILING.MATH((J13+($Z6-1)*J20)*J6*J41/100))</f>
        <v>70</v>
      </c>
      <c r="AB6" s="83">
        <f>IF(AND(UseCustomStats,Main!Z31&lt;&gt;0),Main!Z31,_xlfn.CEILING.MATH(K13*K6*K41/100)+_xlfn.CEILING.MATH((K34+($Z6-1)*K27)*K6*K41*$P41/100/100))</f>
        <v>40</v>
      </c>
      <c r="AC6" s="83">
        <f>IF(AND(UseCustomStats,Main!AA31&lt;&gt;0),Main!AA31,_xlfn.CEILING.MATH(L13*L6*L41/100)+_xlfn.CEILING.MATH((L34+($Z6-1)*L27)*L6*L41*$P41/100/100))</f>
        <v>49</v>
      </c>
      <c r="AD6" s="83">
        <f>IF(AND(UseCustomStats,Main!AB31&lt;&gt;0),Main!AB31,_xlfn.CEILING.MATH(M13*M6*M41/100)+_xlfn.CEILING.MATH((M34+($Z6-1)*M27)*M6*M41*$P41/100/100))</f>
        <v>81</v>
      </c>
      <c r="AE6" s="83">
        <f>IF(AND(UseCustomStats,Main!AC31&lt;&gt;0),Main!AC31,_xlfn.CEILING.MATH(N13*N6*N41/100)+_xlfn.CEILING.MATH((N34+($Z6-1)*N27)*N6*N41*$P41/100/100))</f>
        <v>82</v>
      </c>
      <c r="AF6" s="84">
        <f t="shared" si="1"/>
        <v>0</v>
      </c>
      <c r="AH6" s="49" t="s">
        <v>1021</v>
      </c>
      <c r="AI6" s="136">
        <v>38</v>
      </c>
      <c r="AJ6" s="137">
        <v>61</v>
      </c>
      <c r="AK6" s="137">
        <v>40</v>
      </c>
      <c r="AL6" s="138">
        <v>17</v>
      </c>
    </row>
    <row r="7" spans="1:38" x14ac:dyDescent="0.25">
      <c r="A7" s="68" t="s">
        <v>4</v>
      </c>
      <c r="B7" s="145">
        <v>1.5</v>
      </c>
      <c r="C7" s="146">
        <v>1.8</v>
      </c>
      <c r="D7" s="146">
        <v>1.6</v>
      </c>
      <c r="E7" s="146">
        <v>0.6</v>
      </c>
      <c r="F7" s="146">
        <v>0.6</v>
      </c>
      <c r="G7" s="147">
        <v>0</v>
      </c>
      <c r="I7" s="85">
        <v>5</v>
      </c>
      <c r="J7" s="86">
        <f>INDEX($B$3:$G$8,MATCH(Main!$C32,$A$3:$A$8,0),MATCH(J$2,$B$2:$G$2,0))</f>
        <v>0.6</v>
      </c>
      <c r="K7" s="87">
        <f>INDEX($B$3:$G$8,MATCH(Main!$C32,$A$3:$A$8,0),MATCH(K$2,$B$2:$G$2,0))</f>
        <v>0.6</v>
      </c>
      <c r="L7" s="87">
        <f>INDEX($B$3:$G$8,MATCH(Main!$C32,$A$3:$A$8,0),MATCH(L$2,$B$2:$G$2,0))</f>
        <v>0.8</v>
      </c>
      <c r="M7" s="87">
        <f>INDEX($B$3:$G$8,MATCH(Main!$C32,$A$3:$A$8,0),MATCH(M$2,$B$2:$G$2,0))</f>
        <v>1.2</v>
      </c>
      <c r="N7" s="87">
        <f>INDEX($B$3:$G$8,MATCH(Main!$C32,$A$3:$A$8,0),MATCH(N$2,$B$2:$G$2,0))</f>
        <v>1.8</v>
      </c>
      <c r="O7" s="88">
        <f>INDEX($B$3:$G$8,MATCH(Main!$C32,$A$3:$A$8,0),MATCH(O$2,$B$2:$G$2,0))</f>
        <v>0</v>
      </c>
      <c r="Q7" s="85">
        <v>5</v>
      </c>
      <c r="R7" s="86">
        <f t="shared" si="0"/>
        <v>0.6</v>
      </c>
      <c r="S7" s="87">
        <f t="shared" si="0"/>
        <v>0.6</v>
      </c>
      <c r="T7" s="87">
        <f t="shared" si="0"/>
        <v>0.8</v>
      </c>
      <c r="U7" s="87">
        <f t="shared" si="0"/>
        <v>1.2</v>
      </c>
      <c r="V7" s="87">
        <f t="shared" si="0"/>
        <v>1.8</v>
      </c>
      <c r="W7" s="88">
        <f t="shared" si="0"/>
        <v>0</v>
      </c>
      <c r="Y7" s="85">
        <v>5</v>
      </c>
      <c r="Z7" s="89">
        <f>Main!E32</f>
        <v>100</v>
      </c>
      <c r="AA7" s="90">
        <f>IF(AND(UseCustomStats,Main!Y32&lt;&gt;0),Main!Y32,_xlfn.CEILING.MATH((J14+($Z7-1)*J21)*J7*J42/100))</f>
        <v>70</v>
      </c>
      <c r="AB7" s="90">
        <f>IF(AND(UseCustomStats,Main!Z32&lt;&gt;0),Main!Z32,_xlfn.CEILING.MATH(K14*K7*K42/100)+_xlfn.CEILING.MATH((K35+($Z7-1)*K28)*K7*K42*$P42/100/100))</f>
        <v>28</v>
      </c>
      <c r="AC7" s="90">
        <f>IF(AND(UseCustomStats,Main!AA32&lt;&gt;0),Main!AA32,_xlfn.CEILING.MATH(L14*L7*L42/100)+_xlfn.CEILING.MATH((L35+($Z7-1)*L28)*L7*L42*$P42/100/100))</f>
        <v>62</v>
      </c>
      <c r="AD7" s="90">
        <f>IF(AND(UseCustomStats,Main!AB32&lt;&gt;0),Main!AB32,_xlfn.CEILING.MATH(M14*M7*M42/100)+_xlfn.CEILING.MATH((M35+($Z7-1)*M28)*M7*M42*$P42/100/100))</f>
        <v>66</v>
      </c>
      <c r="AE7" s="90">
        <f>IF(AND(UseCustomStats,Main!AC32&lt;&gt;0),Main!AC32,_xlfn.CEILING.MATH(N14*N7*N42/100)+_xlfn.CEILING.MATH((N35+($Z7-1)*N28)*N7*N42*$P42/100/100))</f>
        <v>110</v>
      </c>
      <c r="AF7" s="91">
        <f t="shared" si="1"/>
        <v>0</v>
      </c>
      <c r="AH7" s="49" t="s">
        <v>1022</v>
      </c>
      <c r="AI7" s="136">
        <v>38</v>
      </c>
      <c r="AJ7" s="137">
        <v>45</v>
      </c>
      <c r="AK7" s="137">
        <v>96</v>
      </c>
      <c r="AL7" s="138">
        <v>88</v>
      </c>
    </row>
    <row r="8" spans="1:38" x14ac:dyDescent="0.25">
      <c r="A8" s="69" t="s">
        <v>5</v>
      </c>
      <c r="B8" s="148">
        <v>2</v>
      </c>
      <c r="C8" s="149">
        <v>0.7</v>
      </c>
      <c r="D8" s="149">
        <v>0.4</v>
      </c>
      <c r="E8" s="149">
        <v>0.3</v>
      </c>
      <c r="F8" s="149">
        <v>0.3</v>
      </c>
      <c r="G8" s="150">
        <v>1</v>
      </c>
      <c r="AA8" s="19"/>
      <c r="AB8" s="11"/>
      <c r="AE8" s="1"/>
      <c r="AF8" s="29"/>
      <c r="AH8" s="49" t="s">
        <v>1023</v>
      </c>
      <c r="AI8" s="136">
        <v>26</v>
      </c>
      <c r="AJ8" s="137">
        <v>112</v>
      </c>
      <c r="AK8" s="137">
        <v>63</v>
      </c>
      <c r="AL8" s="138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1024</v>
      </c>
      <c r="AI9" s="139">
        <v>36</v>
      </c>
      <c r="AJ9" s="140">
        <v>36</v>
      </c>
      <c r="AK9" s="140">
        <v>79</v>
      </c>
      <c r="AL9" s="141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IF(Main!$I28&gt;0,B$11,B$19)</f>
        <v>55</v>
      </c>
      <c r="K10" s="93">
        <f>IF(Main!$I28&gt;0,C$11,C$19)</f>
        <v>16</v>
      </c>
      <c r="L10" s="93">
        <f>IF(Main!$I28&gt;0,D$11,D$19)</f>
        <v>45</v>
      </c>
      <c r="M10" s="93">
        <f>IF(Main!$I28&gt;0,E$11,E$19)</f>
        <v>5</v>
      </c>
      <c r="N10" s="93">
        <f>IF(Main!$I28&gt;0,F$11,F$19)</f>
        <v>5</v>
      </c>
      <c r="O10" s="94">
        <f>IF(Main!$I28&gt;0,G$11,G$19)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1">
        <v>96.283000000000001</v>
      </c>
      <c r="C11" s="152">
        <v>16</v>
      </c>
      <c r="D11" s="152">
        <v>45</v>
      </c>
      <c r="E11" s="152">
        <v>5</v>
      </c>
      <c r="F11" s="152">
        <v>5</v>
      </c>
      <c r="G11" s="153">
        <v>13.978999999999999</v>
      </c>
      <c r="I11" s="78">
        <v>2</v>
      </c>
      <c r="J11" s="95">
        <f>IF(Main!$I29&gt;0,B$11,B$19)</f>
        <v>55</v>
      </c>
      <c r="K11" s="96">
        <f>IF(Main!$I29&gt;0,C$11,C$19)</f>
        <v>16</v>
      </c>
      <c r="L11" s="96">
        <f>IF(Main!$I29&gt;0,D$11,D$19)</f>
        <v>45</v>
      </c>
      <c r="M11" s="96">
        <f>IF(Main!$I29&gt;0,E$11,E$19)</f>
        <v>5</v>
      </c>
      <c r="N11" s="96">
        <f>IF(Main!$I29&gt;0,F$11,F$19)</f>
        <v>5</v>
      </c>
      <c r="O11" s="97">
        <f>IF(Main!$I29&gt;0,G$11,G$19)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95</v>
      </c>
      <c r="AB11" s="83">
        <f t="shared" si="3"/>
        <v>34</v>
      </c>
      <c r="AC11" s="83">
        <f t="shared" si="3"/>
        <v>90</v>
      </c>
      <c r="AD11" s="83">
        <f t="shared" si="3"/>
        <v>4</v>
      </c>
      <c r="AE11" s="83">
        <f t="shared" si="3"/>
        <v>3</v>
      </c>
      <c r="AF11" s="84">
        <f>_xlfn.CEILING.MATH((W11+($Z11-1)*W18)*W4*O39/100)</f>
        <v>0</v>
      </c>
    </row>
    <row r="12" spans="1:38" x14ac:dyDescent="0.25">
      <c r="A12" s="69">
        <v>2</v>
      </c>
      <c r="B12" s="154">
        <v>0.13800000000000001</v>
      </c>
      <c r="C12" s="155">
        <v>16</v>
      </c>
      <c r="D12" s="155">
        <v>45</v>
      </c>
      <c r="E12" s="155">
        <v>5</v>
      </c>
      <c r="F12" s="155">
        <v>5</v>
      </c>
      <c r="G12" s="156">
        <v>0.04</v>
      </c>
      <c r="I12" s="78">
        <v>3</v>
      </c>
      <c r="J12" s="95">
        <f>IF(Main!$I30&gt;0,B$11,B$19)</f>
        <v>55</v>
      </c>
      <c r="K12" s="96">
        <f>IF(Main!$I30&gt;0,C$11,C$19)</f>
        <v>16</v>
      </c>
      <c r="L12" s="96">
        <f>IF(Main!$I30&gt;0,D$11,D$19)</f>
        <v>45</v>
      </c>
      <c r="M12" s="96">
        <f>IF(Main!$I30&gt;0,E$11,E$19)</f>
        <v>5</v>
      </c>
      <c r="N12" s="96">
        <f>IF(Main!$I30&gt;0,F$11,F$19)</f>
        <v>5</v>
      </c>
      <c r="O12" s="97">
        <f>IF(Main!$I30&gt;0,G$11,G$19)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40</v>
      </c>
      <c r="AB12" s="83">
        <f t="shared" si="3"/>
        <v>10</v>
      </c>
      <c r="AC12" s="83">
        <f t="shared" si="3"/>
        <v>36</v>
      </c>
      <c r="AD12" s="83">
        <f t="shared" si="3"/>
        <v>6</v>
      </c>
      <c r="AE12" s="83">
        <f t="shared" si="3"/>
        <v>11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IF(Main!$I31&gt;0,B$11,B$19)</f>
        <v>55</v>
      </c>
      <c r="K13" s="96">
        <f>IF(Main!$I31&gt;0,C$11,C$19)</f>
        <v>16</v>
      </c>
      <c r="L13" s="96">
        <f>IF(Main!$I31&gt;0,D$11,D$19)</f>
        <v>45</v>
      </c>
      <c r="M13" s="96">
        <f>IF(Main!$I31&gt;0,E$11,E$19)</f>
        <v>5</v>
      </c>
      <c r="N13" s="96">
        <f>IF(Main!$I31&gt;0,F$11,F$19)</f>
        <v>5</v>
      </c>
      <c r="O13" s="97">
        <f>IF(Main!$I31&gt;0,G$11,G$19)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13</v>
      </c>
      <c r="AC13" s="83">
        <f t="shared" si="3"/>
        <v>31</v>
      </c>
      <c r="AD13" s="83">
        <f t="shared" si="3"/>
        <v>9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IF(Main!$I32&gt;0,B$11,B$19)</f>
        <v>55</v>
      </c>
      <c r="K14" s="99">
        <f>IF(Main!$I32&gt;0,C$11,C$19)</f>
        <v>16</v>
      </c>
      <c r="L14" s="99">
        <f>IF(Main!$I32&gt;0,D$11,D$19)</f>
        <v>45</v>
      </c>
      <c r="M14" s="99">
        <f>IF(Main!$I32&gt;0,E$11,E$19)</f>
        <v>5</v>
      </c>
      <c r="N14" s="99">
        <f>IF(Main!$I32&gt;0,F$11,F$19)</f>
        <v>5</v>
      </c>
      <c r="O14" s="100">
        <f>IF(Main!$I32&gt;0,G$11,G$19)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35</v>
      </c>
      <c r="AB14" s="90">
        <f t="shared" si="3"/>
        <v>10</v>
      </c>
      <c r="AC14" s="90">
        <f t="shared" si="3"/>
        <v>41</v>
      </c>
      <c r="AD14" s="90">
        <f t="shared" si="3"/>
        <v>8</v>
      </c>
      <c r="AE14" s="90">
        <f t="shared" si="3"/>
        <v>13</v>
      </c>
      <c r="AF14" s="91">
        <f>_xlfn.CEILING.MATH((W14+($Z14-1)*W21)*W7*O42/100)</f>
        <v>0</v>
      </c>
    </row>
    <row r="15" spans="1:38" x14ac:dyDescent="0.25">
      <c r="A15" s="67">
        <v>1</v>
      </c>
      <c r="B15" s="151"/>
      <c r="C15" s="152">
        <v>0.06</v>
      </c>
      <c r="D15" s="152">
        <v>2.1999999999999999E-2</v>
      </c>
      <c r="E15" s="152">
        <v>7.4999999999999997E-2</v>
      </c>
      <c r="F15" s="152">
        <v>7.4999999999999997E-2</v>
      </c>
      <c r="G15" s="153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4"/>
      <c r="C16" s="155">
        <v>18.018000000000001</v>
      </c>
      <c r="D16" s="155">
        <v>15.741</v>
      </c>
      <c r="E16" s="155">
        <v>22.571999999999999</v>
      </c>
      <c r="F16" s="155">
        <v>22.571999999999999</v>
      </c>
      <c r="G16" s="156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IF(Main!$I28&gt;0,B$12,B$20)</f>
        <v>0.55500000000000005</v>
      </c>
      <c r="K17" s="93">
        <f>IF(Main!$I28&gt;0,C$12,C$20)</f>
        <v>16</v>
      </c>
      <c r="L17" s="93">
        <f>IF(Main!$I28&gt;0,D$12,D$20)</f>
        <v>45</v>
      </c>
      <c r="M17" s="93">
        <f>IF(Main!$I28&gt;0,E$12,E$20)</f>
        <v>5</v>
      </c>
      <c r="N17" s="93">
        <f>IF(Main!$I28&gt;0,F$12,F$20)</f>
        <v>5</v>
      </c>
      <c r="O17" s="94">
        <f>IF(Main!$I28&gt;0,G$12,G$20)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IF(Main!$I29&gt;0,B$12,B$20)</f>
        <v>0.55500000000000005</v>
      </c>
      <c r="K18" s="96">
        <f>IF(Main!$I29&gt;0,C$12,C$20)</f>
        <v>16</v>
      </c>
      <c r="L18" s="96">
        <f>IF(Main!$I29&gt;0,D$12,D$20)</f>
        <v>45</v>
      </c>
      <c r="M18" s="96">
        <f>IF(Main!$I29&gt;0,E$12,E$20)</f>
        <v>5</v>
      </c>
      <c r="N18" s="96">
        <f>IF(Main!$I29&gt;0,F$12,F$20)</f>
        <v>5</v>
      </c>
      <c r="O18" s="97">
        <f>IF(Main!$I29&gt;0,G$12,G$20)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56</v>
      </c>
      <c r="AC18" s="83">
        <f t="shared" si="5"/>
        <v>41</v>
      </c>
      <c r="AD18" s="83">
        <f t="shared" si="5"/>
        <v>22</v>
      </c>
      <c r="AE18" s="83">
        <f t="shared" si="5"/>
        <v>20</v>
      </c>
      <c r="AF18" s="37"/>
    </row>
    <row r="19" spans="1:32" x14ac:dyDescent="0.25">
      <c r="A19" s="67">
        <v>1</v>
      </c>
      <c r="B19" s="151">
        <v>55</v>
      </c>
      <c r="C19" s="152">
        <v>16</v>
      </c>
      <c r="D19" s="152">
        <v>45</v>
      </c>
      <c r="E19" s="152">
        <v>5</v>
      </c>
      <c r="F19" s="152">
        <v>5</v>
      </c>
      <c r="G19" s="153">
        <v>2</v>
      </c>
      <c r="I19" s="78">
        <v>3</v>
      </c>
      <c r="J19" s="95">
        <f>IF(Main!$I30&gt;0,B$12,B$20)</f>
        <v>0.55500000000000005</v>
      </c>
      <c r="K19" s="96">
        <f>IF(Main!$I30&gt;0,C$12,C$20)</f>
        <v>16</v>
      </c>
      <c r="L19" s="96">
        <f>IF(Main!$I30&gt;0,D$12,D$20)</f>
        <v>45</v>
      </c>
      <c r="M19" s="96">
        <f>IF(Main!$I30&gt;0,E$12,E$20)</f>
        <v>5</v>
      </c>
      <c r="N19" s="96">
        <f>IF(Main!$I30&gt;0,F$12,F$20)</f>
        <v>5</v>
      </c>
      <c r="O19" s="97">
        <f>IF(Main!$I30&gt;0,G$12,G$20)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19</v>
      </c>
      <c r="AD19" s="83">
        <f t="shared" si="5"/>
        <v>47</v>
      </c>
      <c r="AE19" s="83">
        <f t="shared" si="5"/>
        <v>85</v>
      </c>
      <c r="AF19" s="37"/>
    </row>
    <row r="20" spans="1:32" x14ac:dyDescent="0.25">
      <c r="A20" s="69">
        <v>2</v>
      </c>
      <c r="B20" s="154">
        <v>0.55500000000000005</v>
      </c>
      <c r="C20" s="155">
        <v>16</v>
      </c>
      <c r="D20" s="155">
        <v>45</v>
      </c>
      <c r="E20" s="155">
        <v>5</v>
      </c>
      <c r="F20" s="155">
        <v>5</v>
      </c>
      <c r="G20" s="156">
        <v>0.161</v>
      </c>
      <c r="I20" s="78">
        <v>4</v>
      </c>
      <c r="J20" s="95">
        <f>IF(Main!$I31&gt;0,B$12,B$20)</f>
        <v>0.55500000000000005</v>
      </c>
      <c r="K20" s="96">
        <f>IF(Main!$I31&gt;0,C$12,C$20)</f>
        <v>16</v>
      </c>
      <c r="L20" s="96">
        <f>IF(Main!$I31&gt;0,D$12,D$20)</f>
        <v>45</v>
      </c>
      <c r="M20" s="96">
        <f>IF(Main!$I31&gt;0,E$12,E$20)</f>
        <v>5</v>
      </c>
      <c r="N20" s="96">
        <f>IF(Main!$I31&gt;0,F$12,F$20)</f>
        <v>5</v>
      </c>
      <c r="O20" s="97">
        <f>IF(Main!$I31&gt;0,G$12,G$20)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27</v>
      </c>
      <c r="AC20" s="83">
        <f t="shared" si="5"/>
        <v>18</v>
      </c>
      <c r="AD20" s="83">
        <f t="shared" si="5"/>
        <v>72</v>
      </c>
      <c r="AE20" s="83">
        <f t="shared" si="5"/>
        <v>73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IF(Main!$I32&gt;0,B$12,B$20)</f>
        <v>0.55500000000000005</v>
      </c>
      <c r="K21" s="99">
        <f>IF(Main!$I32&gt;0,C$12,C$20)</f>
        <v>16</v>
      </c>
      <c r="L21" s="99">
        <f>IF(Main!$I32&gt;0,D$12,D$20)</f>
        <v>45</v>
      </c>
      <c r="M21" s="99">
        <f>IF(Main!$I32&gt;0,E$12,E$20)</f>
        <v>5</v>
      </c>
      <c r="N21" s="99">
        <f>IF(Main!$I32&gt;0,F$12,F$20)</f>
        <v>5</v>
      </c>
      <c r="O21" s="100">
        <f>IF(Main!$I32&gt;0,G$12,G$20)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18</v>
      </c>
      <c r="AC21" s="90">
        <f t="shared" si="5"/>
        <v>21</v>
      </c>
      <c r="AD21" s="90">
        <f t="shared" si="5"/>
        <v>58</v>
      </c>
      <c r="AE21" s="90">
        <f t="shared" si="5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1"/>
      <c r="C23" s="152">
        <v>0.24199999999999999</v>
      </c>
      <c r="D23" s="152">
        <v>0.18099999999999999</v>
      </c>
      <c r="E23" s="152">
        <v>0.30299999999999999</v>
      </c>
      <c r="F23" s="152">
        <v>0.30299999999999999</v>
      </c>
      <c r="G23" s="153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4"/>
      <c r="C24" s="155">
        <v>0</v>
      </c>
      <c r="D24" s="155">
        <v>0</v>
      </c>
      <c r="E24" s="155">
        <v>0</v>
      </c>
      <c r="F24" s="155">
        <v>0</v>
      </c>
      <c r="G24" s="156"/>
      <c r="I24" s="66">
        <v>1</v>
      </c>
      <c r="J24" s="92">
        <f>IF(Main!$I28&gt;0,B$15,B$23)</f>
        <v>0</v>
      </c>
      <c r="K24" s="93">
        <f>IF(Main!$I28&gt;0,C$15,C$23)</f>
        <v>0.24199999999999999</v>
      </c>
      <c r="L24" s="93">
        <f>IF(Main!$I28&gt;0,D$15,D$23)</f>
        <v>0.18099999999999999</v>
      </c>
      <c r="M24" s="93">
        <f>IF(Main!$I28&gt;0,E$15,E$23)</f>
        <v>0.30299999999999999</v>
      </c>
      <c r="N24" s="93">
        <f>IF(Main!$I28&gt;0,F$15,F$23)</f>
        <v>0.30299999999999999</v>
      </c>
      <c r="O24" s="94">
        <f>IF(Main!$I28&gt;0,G$15,G$23)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IF(Main!$I29&gt;0,B$15,B$23)</f>
        <v>0</v>
      </c>
      <c r="K25" s="96">
        <f>IF(Main!$I29&gt;0,C$15,C$23)</f>
        <v>0.24199999999999999</v>
      </c>
      <c r="L25" s="96">
        <f>IF(Main!$I29&gt;0,D$15,D$23)</f>
        <v>0.18099999999999999</v>
      </c>
      <c r="M25" s="96">
        <f>IF(Main!$I29&gt;0,E$15,E$23)</f>
        <v>0.30299999999999999</v>
      </c>
      <c r="N25" s="96">
        <f>IF(Main!$I29&gt;0,F$15,F$23)</f>
        <v>0.30299999999999999</v>
      </c>
      <c r="O25" s="97">
        <f>IF(Main!$I29&gt;0,G$15,G$23)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IF(Main!$I30&gt;0,B$15,B$23)</f>
        <v>0</v>
      </c>
      <c r="K26" s="96">
        <f>IF(Main!$I30&gt;0,C$15,C$23)</f>
        <v>0.24199999999999999</v>
      </c>
      <c r="L26" s="96">
        <f>IF(Main!$I30&gt;0,D$15,D$23)</f>
        <v>0.18099999999999999</v>
      </c>
      <c r="M26" s="96">
        <f>IF(Main!$I30&gt;0,E$15,E$23)</f>
        <v>0.30299999999999999</v>
      </c>
      <c r="N26" s="96">
        <f>IF(Main!$I30&gt;0,F$15,F$23)</f>
        <v>0.30299999999999999</v>
      </c>
      <c r="O26" s="97">
        <f>IF(Main!$I30&gt;0,G$15,G$23)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IF(Main!$I31&gt;0,B$15,B$23)</f>
        <v>0</v>
      </c>
      <c r="K27" s="96">
        <f>IF(Main!$I31&gt;0,C$15,C$23)</f>
        <v>0.24199999999999999</v>
      </c>
      <c r="L27" s="96">
        <f>IF(Main!$I31&gt;0,D$15,D$23)</f>
        <v>0.18099999999999999</v>
      </c>
      <c r="M27" s="96">
        <f>IF(Main!$I31&gt;0,E$15,E$23)</f>
        <v>0.30299999999999999</v>
      </c>
      <c r="N27" s="96">
        <f>IF(Main!$I31&gt;0,F$15,F$23)</f>
        <v>0.30299999999999999</v>
      </c>
      <c r="O27" s="97">
        <f>IF(Main!$I31&gt;0,G$15,G$23)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IF(Main!$I32&gt;0,B$15,B$23)</f>
        <v>0</v>
      </c>
      <c r="K28" s="99">
        <f>IF(Main!$I32&gt;0,C$15,C$23)</f>
        <v>0.24199999999999999</v>
      </c>
      <c r="L28" s="99">
        <f>IF(Main!$I32&gt;0,D$15,D$23)</f>
        <v>0.18099999999999999</v>
      </c>
      <c r="M28" s="99">
        <f>IF(Main!$I32&gt;0,E$15,E$23)</f>
        <v>0.30299999999999999</v>
      </c>
      <c r="N28" s="99">
        <f>IF(Main!$I32&gt;0,F$15,F$23)</f>
        <v>0.30299999999999999</v>
      </c>
      <c r="O28" s="100">
        <f>IF(Main!$I32&gt;0,G$15,G$23)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IF(Main!$I28&gt;0,B$16,B$24)</f>
        <v>0</v>
      </c>
      <c r="K31" s="3">
        <f>IF(Main!$I28&gt;0,C$16,C$24)</f>
        <v>0</v>
      </c>
      <c r="L31" s="3">
        <f>IF(Main!$I28&gt;0,D$16,D$24)</f>
        <v>0</v>
      </c>
      <c r="M31" s="3">
        <f>IF(Main!$I28&gt;0,E$16,E$24)</f>
        <v>0</v>
      </c>
      <c r="N31" s="3">
        <f>IF(Main!$I28&gt;0,F$16,F$24)</f>
        <v>0</v>
      </c>
      <c r="O31" s="4">
        <f>IF(Main!$I28&gt;0,G$16,G$24)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IF(Main!$I29&gt;0,B$16,B$24)</f>
        <v>0</v>
      </c>
      <c r="K32" s="13">
        <f>IF(Main!$I29&gt;0,C$16,C$24)</f>
        <v>0</v>
      </c>
      <c r="L32" s="13">
        <f>IF(Main!$I29&gt;0,D$16,D$24)</f>
        <v>0</v>
      </c>
      <c r="M32" s="13">
        <f>IF(Main!$I29&gt;0,E$16,E$24)</f>
        <v>0</v>
      </c>
      <c r="N32" s="13">
        <f>IF(Main!$I29&gt;0,F$16,F$24)</f>
        <v>0</v>
      </c>
      <c r="O32" s="14">
        <f>IF(Main!$I29&gt;0,G$16,G$24)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IF(Main!$I30&gt;0,B$16,B$24)</f>
        <v>0</v>
      </c>
      <c r="K33" s="13">
        <f>IF(Main!$I30&gt;0,C$16,C$24)</f>
        <v>0</v>
      </c>
      <c r="L33" s="13">
        <f>IF(Main!$I30&gt;0,D$16,D$24)</f>
        <v>0</v>
      </c>
      <c r="M33" s="13">
        <f>IF(Main!$I30&gt;0,E$16,E$24)</f>
        <v>0</v>
      </c>
      <c r="N33" s="13">
        <f>IF(Main!$I30&gt;0,F$16,F$24)</f>
        <v>0</v>
      </c>
      <c r="O33" s="14">
        <f>IF(Main!$I30&gt;0,G$16,G$24)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IF(Main!$I31&gt;0,B$16,B$24)</f>
        <v>0</v>
      </c>
      <c r="K34" s="13">
        <f>IF(Main!$I31&gt;0,C$16,C$24)</f>
        <v>0</v>
      </c>
      <c r="L34" s="13">
        <f>IF(Main!$I31&gt;0,D$16,D$24)</f>
        <v>0</v>
      </c>
      <c r="M34" s="13">
        <f>IF(Main!$I31&gt;0,E$16,E$24)</f>
        <v>0</v>
      </c>
      <c r="N34" s="13">
        <f>IF(Main!$I31&gt;0,F$16,F$24)</f>
        <v>0</v>
      </c>
      <c r="O34" s="14">
        <f>IF(Main!$I31&gt;0,G$16,G$24)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IF(Main!$I32&gt;0,B$16,B$24)</f>
        <v>0</v>
      </c>
      <c r="K35" s="6">
        <f>IF(Main!$I32&gt;0,C$16,C$24)</f>
        <v>0</v>
      </c>
      <c r="L35" s="6">
        <f>IF(Main!$I32&gt;0,D$16,D$24)</f>
        <v>0</v>
      </c>
      <c r="M35" s="6">
        <f>IF(Main!$I32&gt;0,E$16,E$24)</f>
        <v>0</v>
      </c>
      <c r="N35" s="6">
        <f>IF(Main!$I32&gt;0,F$16,F$24)</f>
        <v>0</v>
      </c>
      <c r="O35" s="7">
        <f>IF(Main!$I32&gt;0,G$16,G$24)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Data'!$E$2:$K$1048576,MATCH(Main!$D28,'Doll Data'!$B$2:$B$1048576,0),MATCH(J$37,'Doll Data'!$E$1:$K$1,0))</f>
        <v>120</v>
      </c>
      <c r="K38" s="21">
        <f>INDEX('Doll Data'!$E$2:$K$1048576,MATCH(Main!$D28,'Doll Data'!$B$2:$B$1048576,0),MATCH(K$37,'Doll Data'!$E$1:$K$1,0))</f>
        <v>140</v>
      </c>
      <c r="L38" s="21">
        <f>INDEX('Doll Data'!$E$2:$K$1048576,MATCH(Main!$D28,'Doll Data'!$B$2:$B$1048576,0),MATCH(L$37,'Doll Data'!$E$1:$K$1,0))</f>
        <v>105</v>
      </c>
      <c r="M38" s="21">
        <f>INDEX('Doll Data'!$E$2:$K$1048576,MATCH(Main!$D28,'Doll Data'!$B$2:$B$1048576,0),MATCH(M$37,'Doll Data'!$E$1:$K$1,0))</f>
        <v>90</v>
      </c>
      <c r="N38" s="21">
        <f>INDEX('Doll Data'!$E$2:$K$1048576,MATCH(Main!$D28,'Doll Data'!$B$2:$B$1048576,0),MATCH(N$37,'Doll Data'!$E$1:$K$1,0))</f>
        <v>85</v>
      </c>
      <c r="O38" s="21">
        <f>INDEX('Doll Data'!$E$2:$K$1048576,MATCH(Main!$D28,'Doll Data'!$B$2:$B$1048576,0),MATCH(O$37,'Doll Data'!$E$1:$K$1,0))</f>
        <v>0</v>
      </c>
      <c r="P38" s="22">
        <f>INDEX('Doll Data'!$E$2:$K$1048576,MATCH(Main!$D28,'Doll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Data'!$E$2:$K$1048576,MATCH(Main!$D29,'Doll Data'!$B$2:$B$1048576,0),MATCH(J$37,'Doll Data'!$E$1:$K$1,0))</f>
        <v>115</v>
      </c>
      <c r="K39" s="24">
        <f>INDEX('Doll Data'!$E$2:$K$1048576,MATCH(Main!$D29,'Doll Data'!$B$2:$B$1048576,0),MATCH(K$37,'Doll Data'!$E$1:$K$1,0))</f>
        <v>115</v>
      </c>
      <c r="L39" s="24">
        <f>INDEX('Doll Data'!$E$2:$K$1048576,MATCH(Main!$D29,'Doll Data'!$B$2:$B$1048576,0),MATCH(L$37,'Doll Data'!$E$1:$K$1,0))</f>
        <v>125</v>
      </c>
      <c r="M39" s="24">
        <f>INDEX('Doll Data'!$E$2:$K$1048576,MATCH(Main!$D29,'Doll Data'!$B$2:$B$1048576,0),MATCH(M$37,'Doll Data'!$E$1:$K$1,0))</f>
        <v>105</v>
      </c>
      <c r="N39" s="24">
        <f>INDEX('Doll Data'!$E$2:$K$1048576,MATCH(Main!$D29,'Doll Data'!$B$2:$B$1048576,0),MATCH(N$37,'Doll Data'!$E$1:$K$1,0))</f>
        <v>95</v>
      </c>
      <c r="O39" s="24">
        <f>INDEX('Doll Data'!$E$2:$K$1048576,MATCH(Main!$D29,'Doll Data'!$B$2:$B$1048576,0),MATCH(O$37,'Doll Data'!$E$1:$K$1,0))</f>
        <v>0</v>
      </c>
      <c r="P39" s="25">
        <f>INDEX('Doll Data'!$E$2:$K$1048576,MATCH(Main!$D29,'Doll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Data'!$E$2:$K$1048576,MATCH(Main!$D30,'Doll Data'!$B$2:$B$1048576,0),MATCH(J$37,'Doll Data'!$E$1:$K$1,0))</f>
        <v>120</v>
      </c>
      <c r="K40" s="24">
        <f>INDEX('Doll Data'!$E$2:$K$1048576,MATCH(Main!$D30,'Doll Data'!$B$2:$B$1048576,0),MATCH(K$37,'Doll Data'!$E$1:$K$1,0))</f>
        <v>102</v>
      </c>
      <c r="L40" s="24">
        <f>INDEX('Doll Data'!$E$2:$K$1048576,MATCH(Main!$D30,'Doll Data'!$B$2:$B$1048576,0),MATCH(L$37,'Doll Data'!$E$1:$K$1,0))</f>
        <v>100</v>
      </c>
      <c r="M40" s="24">
        <f>INDEX('Doll Data'!$E$2:$K$1048576,MATCH(Main!$D30,'Doll Data'!$B$2:$B$1048576,0),MATCH(M$37,'Doll Data'!$E$1:$K$1,0))</f>
        <v>100</v>
      </c>
      <c r="N40" s="24">
        <f>INDEX('Doll Data'!$E$2:$K$1048576,MATCH(Main!$D30,'Doll Data'!$B$2:$B$1048576,0),MATCH(N$37,'Doll Data'!$E$1:$K$1,0))</f>
        <v>120</v>
      </c>
      <c r="O40" s="24">
        <f>INDEX('Doll Data'!$E$2:$K$1048576,MATCH(Main!$D30,'Doll Data'!$B$2:$B$1048576,0),MATCH(O$37,'Doll Data'!$E$1:$K$1,0))</f>
        <v>0</v>
      </c>
      <c r="P40" s="25">
        <f>INDEX('Doll Data'!$E$2:$K$1048576,MATCH(Main!$D30,'Doll Data'!$B$2:$B$1048576,0),MATCH(P$37,'Doll Data'!$E$1:$K$1,0))</f>
        <v>130</v>
      </c>
      <c r="Q40"/>
    </row>
    <row r="41" spans="9:23" x14ac:dyDescent="0.25">
      <c r="I41" s="17">
        <v>4</v>
      </c>
      <c r="J41" s="23">
        <f>INDEX('Doll Data'!$E$2:$K$1048576,MATCH(Main!$D31,'Doll Data'!$B$2:$B$1048576,0),MATCH(J$37,'Doll Data'!$E$1:$K$1,0))</f>
        <v>105</v>
      </c>
      <c r="K41" s="24">
        <f>INDEX('Doll Data'!$E$2:$K$1048576,MATCH(Main!$D31,'Doll Data'!$B$2:$B$1048576,0),MATCH(K$37,'Doll Data'!$E$1:$K$1,0))</f>
        <v>128</v>
      </c>
      <c r="L41" s="24">
        <f>INDEX('Doll Data'!$E$2:$K$1048576,MATCH(Main!$D31,'Doll Data'!$B$2:$B$1048576,0),MATCH(L$37,'Doll Data'!$E$1:$K$1,0))</f>
        <v>85</v>
      </c>
      <c r="M41" s="24">
        <f>INDEX('Doll Data'!$E$2:$K$1048576,MATCH(Main!$D31,'Doll Data'!$B$2:$B$1048576,0),MATCH(M$37,'Doll Data'!$E$1:$K$1,0))</f>
        <v>140</v>
      </c>
      <c r="N41" s="24">
        <f>INDEX('Doll Data'!$E$2:$K$1048576,MATCH(Main!$D31,'Doll Data'!$B$2:$B$1048576,0),MATCH(N$37,'Doll Data'!$E$1:$K$1,0))</f>
        <v>95</v>
      </c>
      <c r="O41" s="24">
        <f>INDEX('Doll Data'!$E$2:$K$1048576,MATCH(Main!$D31,'Doll Data'!$B$2:$B$1048576,0),MATCH(O$37,'Doll Data'!$E$1:$K$1,0))</f>
        <v>0</v>
      </c>
      <c r="P41" s="25">
        <f>INDEX('Doll Data'!$E$2:$K$1048576,MATCH(Main!$D31,'Doll Data'!$B$2:$B$1048576,0),MATCH(P$37,'Doll Data'!$E$1:$K$1,0))</f>
        <v>142</v>
      </c>
      <c r="Q41"/>
    </row>
    <row r="42" spans="9:23" x14ac:dyDescent="0.25">
      <c r="I42" s="18">
        <v>5</v>
      </c>
      <c r="J42" s="26">
        <f>INDEX('Doll Data'!$E$2:$K$1048576,MATCH(Main!$D32,'Doll Data'!$B$2:$B$1048576,0),MATCH(J$37,'Doll Data'!$E$1:$K$1,0))</f>
        <v>105</v>
      </c>
      <c r="K42" s="27">
        <f>INDEX('Doll Data'!$E$2:$K$1048576,MATCH(Main!$D32,'Doll Data'!$B$2:$B$1048576,0),MATCH(K$37,'Doll Data'!$E$1:$K$1,0))</f>
        <v>95</v>
      </c>
      <c r="L42" s="27">
        <f>INDEX('Doll Data'!$E$2:$K$1048576,MATCH(Main!$D32,'Doll Data'!$B$2:$B$1048576,0),MATCH(L$37,'Doll Data'!$E$1:$K$1,0))</f>
        <v>112</v>
      </c>
      <c r="M42" s="27">
        <f>INDEX('Doll Data'!$E$2:$K$1048576,MATCH(Main!$D32,'Doll Data'!$B$2:$B$1048576,0),MATCH(M$37,'Doll Data'!$E$1:$K$1,0))</f>
        <v>122</v>
      </c>
      <c r="N42" s="27">
        <f>INDEX('Doll Data'!$E$2:$K$1048576,MATCH(Main!$D32,'Doll Data'!$B$2:$B$1048576,0),MATCH(N$37,'Doll Data'!$E$1:$K$1,0))</f>
        <v>138</v>
      </c>
      <c r="O42" s="27">
        <f>INDEX('Doll Data'!$E$2:$K$1048576,MATCH(Main!$D32,'Doll Data'!$B$2:$B$1048576,0),MATCH(O$37,'Doll Data'!$E$1:$K$1,0))</f>
        <v>0</v>
      </c>
      <c r="P42" s="28">
        <f>INDEX('Doll Data'!$E$2:$K$1048576,MATCH(Main!$D32,'Doll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6" t="s">
        <v>61</v>
      </c>
      <c r="D1" s="43" t="s">
        <v>690</v>
      </c>
      <c r="E1" s="116" t="s">
        <v>741</v>
      </c>
      <c r="F1" s="116" t="s">
        <v>742</v>
      </c>
      <c r="G1" s="116" t="s">
        <v>743</v>
      </c>
      <c r="H1" s="116" t="s">
        <v>744</v>
      </c>
      <c r="I1" s="116" t="s">
        <v>745</v>
      </c>
      <c r="J1" s="116" t="s">
        <v>415</v>
      </c>
      <c r="K1" s="116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3">
        <v>0</v>
      </c>
      <c r="F2" s="123">
        <v>100</v>
      </c>
      <c r="G2" s="123">
        <v>500</v>
      </c>
      <c r="H2" s="123">
        <v>1500</v>
      </c>
      <c r="I2" s="123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3">
        <v>0</v>
      </c>
      <c r="F3" s="123">
        <v>100</v>
      </c>
      <c r="G3" s="123">
        <v>200</v>
      </c>
      <c r="H3" s="123">
        <v>350</v>
      </c>
      <c r="I3" s="123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3">
        <v>0</v>
      </c>
      <c r="F4" s="123">
        <v>100</v>
      </c>
      <c r="G4" s="123">
        <v>500</v>
      </c>
      <c r="H4" s="123">
        <v>1500</v>
      </c>
      <c r="I4" s="123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3">
        <v>0</v>
      </c>
      <c r="F5" s="123">
        <v>100</v>
      </c>
      <c r="G5" s="123">
        <v>500</v>
      </c>
      <c r="H5" s="123">
        <v>1500</v>
      </c>
      <c r="I5" s="123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3">
        <v>0</v>
      </c>
      <c r="F6" s="123">
        <v>100</v>
      </c>
      <c r="G6" s="123">
        <v>200</v>
      </c>
      <c r="H6" s="123">
        <v>350</v>
      </c>
      <c r="I6" s="123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1092</v>
      </c>
      <c r="C7" s="1">
        <v>3</v>
      </c>
      <c r="D7" t="s">
        <v>718</v>
      </c>
      <c r="E7" s="123">
        <v>0</v>
      </c>
      <c r="F7" s="123">
        <v>100</v>
      </c>
      <c r="G7" s="123">
        <v>500</v>
      </c>
      <c r="H7" s="123">
        <v>1500</v>
      </c>
      <c r="I7" s="123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3">
        <v>0</v>
      </c>
      <c r="F8" s="123">
        <v>100</v>
      </c>
      <c r="G8" s="123">
        <v>200</v>
      </c>
      <c r="H8" s="123">
        <v>350</v>
      </c>
      <c r="I8" s="123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3">
        <v>0</v>
      </c>
      <c r="F9" s="123">
        <v>100</v>
      </c>
      <c r="G9" s="123">
        <v>200</v>
      </c>
      <c r="H9" s="123">
        <v>350</v>
      </c>
      <c r="I9" s="123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3">
        <v>0</v>
      </c>
      <c r="F10" s="123">
        <v>100</v>
      </c>
      <c r="G10" s="123">
        <v>200</v>
      </c>
      <c r="H10" s="123">
        <v>350</v>
      </c>
      <c r="I10" s="123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3">
        <v>0</v>
      </c>
      <c r="F11" s="123">
        <v>100</v>
      </c>
      <c r="G11" s="123">
        <v>500</v>
      </c>
      <c r="H11" s="123">
        <v>1500</v>
      </c>
      <c r="I11" s="123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3">
        <v>0</v>
      </c>
      <c r="F12" s="123">
        <v>100</v>
      </c>
      <c r="G12" s="123">
        <v>500</v>
      </c>
      <c r="H12" s="123">
        <v>1500</v>
      </c>
      <c r="I12" s="123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3">
        <v>0</v>
      </c>
      <c r="F13" s="123">
        <v>100</v>
      </c>
      <c r="G13" s="123">
        <v>500</v>
      </c>
      <c r="H13" s="123">
        <v>1500</v>
      </c>
      <c r="I13" s="123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3">
        <v>0</v>
      </c>
      <c r="F14" s="123">
        <v>100</v>
      </c>
      <c r="G14" s="123">
        <v>200</v>
      </c>
      <c r="H14" s="123">
        <v>350</v>
      </c>
      <c r="I14" s="123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3">
        <v>0</v>
      </c>
      <c r="F15" s="123">
        <v>100</v>
      </c>
      <c r="G15" s="123">
        <v>500</v>
      </c>
      <c r="H15" s="123">
        <v>1500</v>
      </c>
      <c r="I15" s="123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3">
        <v>0</v>
      </c>
      <c r="F16" s="123">
        <v>100</v>
      </c>
      <c r="G16" s="123">
        <v>200</v>
      </c>
      <c r="H16" s="123">
        <v>350</v>
      </c>
      <c r="I16" s="123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3">
        <v>0</v>
      </c>
      <c r="F17" s="123">
        <v>100</v>
      </c>
      <c r="G17" s="123">
        <v>200</v>
      </c>
      <c r="H17" s="123">
        <v>350</v>
      </c>
      <c r="I17" s="123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3">
        <v>0</v>
      </c>
      <c r="F18" s="123">
        <v>100</v>
      </c>
      <c r="G18" s="123">
        <v>500</v>
      </c>
      <c r="H18" s="123">
        <v>1500</v>
      </c>
      <c r="I18" s="123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3">
        <v>0</v>
      </c>
      <c r="F19" s="123">
        <v>100</v>
      </c>
      <c r="G19" s="123">
        <v>200</v>
      </c>
      <c r="H19" s="123">
        <v>350</v>
      </c>
      <c r="I19" s="123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3">
        <v>0</v>
      </c>
      <c r="F20" s="123">
        <v>100</v>
      </c>
      <c r="G20" s="123">
        <v>500</v>
      </c>
      <c r="H20" s="123">
        <v>1500</v>
      </c>
      <c r="I20" s="123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3">
        <v>0</v>
      </c>
      <c r="F21" s="123">
        <v>100</v>
      </c>
      <c r="G21" s="123">
        <v>200</v>
      </c>
      <c r="H21" s="123">
        <v>350</v>
      </c>
      <c r="I21" s="123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3">
        <v>0</v>
      </c>
      <c r="F22" s="123">
        <v>100</v>
      </c>
      <c r="G22" s="123">
        <v>500</v>
      </c>
      <c r="H22" s="123">
        <v>1500</v>
      </c>
      <c r="I22" s="123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3">
        <v>0</v>
      </c>
      <c r="F23" s="123">
        <v>100</v>
      </c>
      <c r="G23" s="123">
        <v>200</v>
      </c>
      <c r="H23" s="123">
        <v>350</v>
      </c>
      <c r="I23" s="123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3">
        <v>0</v>
      </c>
      <c r="F24" s="123">
        <v>100</v>
      </c>
      <c r="G24" s="123">
        <v>500</v>
      </c>
      <c r="H24" s="123">
        <v>1500</v>
      </c>
      <c r="I24" s="123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3">
        <v>0</v>
      </c>
      <c r="F25" s="123">
        <v>100</v>
      </c>
      <c r="G25" s="123">
        <v>200</v>
      </c>
      <c r="H25" s="123">
        <v>350</v>
      </c>
      <c r="I25" s="123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3">
        <v>0</v>
      </c>
      <c r="F26" s="123">
        <v>100</v>
      </c>
      <c r="G26" s="123">
        <v>500</v>
      </c>
      <c r="H26" s="123">
        <v>1500</v>
      </c>
      <c r="I26" s="123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3">
        <v>0</v>
      </c>
      <c r="F27" s="123">
        <v>100</v>
      </c>
      <c r="G27" s="123">
        <v>500</v>
      </c>
      <c r="H27" s="123">
        <v>1500</v>
      </c>
      <c r="I27" s="123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3">
        <v>0</v>
      </c>
      <c r="F28" s="123">
        <v>100</v>
      </c>
      <c r="G28" s="123">
        <v>500</v>
      </c>
      <c r="H28" s="123">
        <v>1500</v>
      </c>
      <c r="I28" s="123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3">
        <v>0</v>
      </c>
      <c r="F29" s="123">
        <v>100</v>
      </c>
      <c r="G29" s="123">
        <v>500</v>
      </c>
      <c r="H29" s="123">
        <v>1500</v>
      </c>
      <c r="I29" s="123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3">
        <v>0</v>
      </c>
      <c r="F30" s="123">
        <v>100</v>
      </c>
      <c r="G30" s="123">
        <v>200</v>
      </c>
      <c r="H30" s="123">
        <v>350</v>
      </c>
      <c r="I30" s="123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3">
        <v>0</v>
      </c>
      <c r="F31" s="123">
        <v>100</v>
      </c>
      <c r="G31" s="123">
        <v>200</v>
      </c>
      <c r="H31" s="123">
        <v>350</v>
      </c>
      <c r="I31" s="123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3">
        <v>0</v>
      </c>
      <c r="F32" s="123">
        <v>100</v>
      </c>
      <c r="G32" s="123">
        <v>500</v>
      </c>
      <c r="H32" s="123">
        <v>1500</v>
      </c>
      <c r="I32" s="123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3">
        <v>0</v>
      </c>
      <c r="F33" s="123">
        <v>100</v>
      </c>
      <c r="G33" s="123">
        <v>500</v>
      </c>
      <c r="H33" s="123">
        <v>1500</v>
      </c>
      <c r="I33" s="123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3">
        <v>0</v>
      </c>
      <c r="F34" s="123">
        <v>100</v>
      </c>
      <c r="G34" s="123">
        <v>200</v>
      </c>
      <c r="H34" s="123">
        <v>350</v>
      </c>
      <c r="I34" s="123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3">
        <v>0</v>
      </c>
      <c r="F35" s="123">
        <v>100</v>
      </c>
      <c r="G35" s="123">
        <v>500</v>
      </c>
      <c r="H35" s="123">
        <v>1500</v>
      </c>
      <c r="I35" s="123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3">
        <v>0</v>
      </c>
      <c r="F36" s="123">
        <v>100</v>
      </c>
      <c r="G36" s="123">
        <v>500</v>
      </c>
      <c r="H36" s="123">
        <v>1500</v>
      </c>
      <c r="I36" s="123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3">
        <v>0</v>
      </c>
      <c r="F37" s="123">
        <v>100</v>
      </c>
      <c r="G37" s="123">
        <v>500</v>
      </c>
      <c r="H37" s="123">
        <v>1500</v>
      </c>
      <c r="I37" s="123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  <row r="19" spans="1:3" x14ac:dyDescent="0.25">
      <c r="A19" t="s">
        <v>769</v>
      </c>
      <c r="B19" s="1" t="s">
        <v>1164</v>
      </c>
      <c r="C19" t="s">
        <v>1165</v>
      </c>
    </row>
    <row r="20" spans="1:3" x14ac:dyDescent="0.25">
      <c r="A20" t="s">
        <v>765</v>
      </c>
      <c r="B20" s="1" t="s">
        <v>1163</v>
      </c>
      <c r="C20" t="s">
        <v>1165</v>
      </c>
    </row>
    <row r="21" spans="1:3" x14ac:dyDescent="0.25">
      <c r="A21" t="s">
        <v>1155</v>
      </c>
      <c r="B21" s="1" t="s">
        <v>1158</v>
      </c>
      <c r="C21" t="s">
        <v>1165</v>
      </c>
    </row>
    <row r="22" spans="1:3" x14ac:dyDescent="0.25">
      <c r="A22" t="s">
        <v>763</v>
      </c>
      <c r="B22" s="1" t="s">
        <v>1160</v>
      </c>
      <c r="C22" t="s">
        <v>1165</v>
      </c>
    </row>
    <row r="23" spans="1:3" x14ac:dyDescent="0.25">
      <c r="A23" t="s">
        <v>764</v>
      </c>
      <c r="B23" s="1" t="s">
        <v>1161</v>
      </c>
      <c r="C23" t="s">
        <v>1165</v>
      </c>
    </row>
    <row r="24" spans="1:3" x14ac:dyDescent="0.25">
      <c r="A24" t="s">
        <v>762</v>
      </c>
      <c r="B24" s="1" t="s">
        <v>1159</v>
      </c>
      <c r="C24" t="s">
        <v>1165</v>
      </c>
    </row>
    <row r="25" spans="1:3" x14ac:dyDescent="0.25">
      <c r="A25" t="s">
        <v>1154</v>
      </c>
      <c r="B25" s="1" t="s">
        <v>1157</v>
      </c>
      <c r="C25" t="s">
        <v>1165</v>
      </c>
    </row>
    <row r="26" spans="1:3" x14ac:dyDescent="0.25">
      <c r="A26" t="s">
        <v>1156</v>
      </c>
      <c r="B26" s="1" t="s">
        <v>1162</v>
      </c>
      <c r="C26" t="s">
        <v>1165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4" t="s">
        <v>887</v>
      </c>
      <c r="B1" s="184"/>
      <c r="C1" s="184"/>
      <c r="E1" s="184" t="s">
        <v>888</v>
      </c>
      <c r="F1" s="184"/>
      <c r="G1" s="184"/>
      <c r="I1" s="184" t="s">
        <v>1025</v>
      </c>
      <c r="J1" s="184"/>
      <c r="K1" s="184"/>
      <c r="M1" s="186" t="s">
        <v>889</v>
      </c>
      <c r="N1" s="186"/>
      <c r="O1" s="186"/>
      <c r="P1" s="186"/>
      <c r="Q1" s="186"/>
      <c r="R1" s="18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4" t="s">
        <v>20</v>
      </c>
      <c r="K2" s="124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K28"/>
  <sheetViews>
    <sheetView workbookViewId="0"/>
  </sheetViews>
  <sheetFormatPr defaultRowHeight="15" x14ac:dyDescent="0.25"/>
  <sheetData>
    <row r="2" spans="2:11" x14ac:dyDescent="0.25">
      <c r="B2" s="10" t="s">
        <v>906</v>
      </c>
    </row>
    <row r="3" spans="2:11" x14ac:dyDescent="0.25">
      <c r="B3" s="48">
        <v>9</v>
      </c>
      <c r="C3" s="48">
        <v>14</v>
      </c>
      <c r="D3" s="65">
        <v>19</v>
      </c>
    </row>
    <row r="4" spans="2:11" x14ac:dyDescent="0.25">
      <c r="B4" s="48">
        <v>8</v>
      </c>
      <c r="C4" s="48">
        <v>13</v>
      </c>
      <c r="D4" s="65">
        <v>18</v>
      </c>
    </row>
    <row r="5" spans="2:11" x14ac:dyDescent="0.25">
      <c r="B5" s="48">
        <v>7</v>
      </c>
      <c r="C5" s="48">
        <v>12</v>
      </c>
      <c r="D5" s="65">
        <v>17</v>
      </c>
    </row>
    <row r="7" spans="2:11" x14ac:dyDescent="0.25">
      <c r="B7" s="10" t="s">
        <v>907</v>
      </c>
    </row>
    <row r="8" spans="2:11" x14ac:dyDescent="0.25">
      <c r="B8" s="16" t="s">
        <v>1131</v>
      </c>
      <c r="C8" t="s">
        <v>1133</v>
      </c>
      <c r="G8" s="170" t="s">
        <v>1109</v>
      </c>
      <c r="H8" s="171" t="s">
        <v>1110</v>
      </c>
    </row>
    <row r="9" spans="2:11" x14ac:dyDescent="0.25">
      <c r="B9" t="s">
        <v>1126</v>
      </c>
      <c r="C9" t="s">
        <v>1115</v>
      </c>
      <c r="G9" s="172" t="str">
        <f>IFERROR(INDEX('Strategy Buff Data'!B:B,MATCH(Main!$B47,'Strategy Buff Data'!$A:$A,0)),"N/A")</f>
        <v>N/A</v>
      </c>
      <c r="H9" s="173" t="str">
        <f>IFERROR(INDEX('Strategy Buff Data'!C:C,MATCH(Main!$B47,'Strategy Buff Data'!$A:$A,0)),"N/A")</f>
        <v>N/A</v>
      </c>
      <c r="K9" s="1"/>
    </row>
    <row r="10" spans="2:11" x14ac:dyDescent="0.25">
      <c r="B10" t="s">
        <v>1127</v>
      </c>
      <c r="C10" t="s">
        <v>1116</v>
      </c>
      <c r="G10" s="172" t="str">
        <f>IFERROR(INDEX('Strategy Buff Data'!B:B,MATCH(Main!$B48,'Strategy Buff Data'!$A:$A,0)),"N/A")</f>
        <v>N/A</v>
      </c>
      <c r="H10" s="173" t="str">
        <f>IFERROR(INDEX('Strategy Buff Data'!C:C,MATCH(Main!$B48,'Strategy Buff Data'!$A:$A,0)),"N/A")</f>
        <v>N/A</v>
      </c>
      <c r="K10" s="1"/>
    </row>
    <row r="11" spans="2:11" x14ac:dyDescent="0.25">
      <c r="B11" t="s">
        <v>1128</v>
      </c>
      <c r="C11" t="s">
        <v>1117</v>
      </c>
      <c r="G11" s="174" t="str">
        <f>IFERROR(INDEX('Strategy Buff Data'!B:B,MATCH(Main!$B49,'Strategy Buff Data'!$A:$A,0)),"N/A")</f>
        <v>N/A</v>
      </c>
      <c r="H11" s="175" t="str">
        <f>IFERROR(INDEX('Strategy Buff Data'!C:C,MATCH(Main!$B49,'Strategy Buff Data'!$A:$A,0)),"N/A")</f>
        <v>N/A</v>
      </c>
    </row>
    <row r="13" spans="2:11" x14ac:dyDescent="0.25">
      <c r="B13" t="s">
        <v>1129</v>
      </c>
      <c r="C13" t="str">
        <f>INDEX($C$8:$C$11,COUNTA(Main!$B$47:$B$49)+1)</f>
        <v>"fairy_skill_on_team": "[]",</v>
      </c>
      <c r="K13" s="1"/>
    </row>
    <row r="14" spans="2:11" x14ac:dyDescent="0.25">
      <c r="B14" t="s">
        <v>1114</v>
      </c>
      <c r="C14" t="str">
        <f>SUBSTITUTE(SUBSTITUTE(SUBSTITUTE(C13,"buff1",StratBuff1),"buff2",StratBuff2),"buff3",StratBuff3)</f>
        <v>"fairy_skill_on_team": "[]",</v>
      </c>
      <c r="K14" s="1"/>
    </row>
    <row r="15" spans="2:11" x14ac:dyDescent="0.25">
      <c r="B15" t="s">
        <v>1118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x14ac:dyDescent="0.25">
      <c r="B16" s="9" t="s">
        <v>1130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2:3" x14ac:dyDescent="0.25">
      <c r="B17" s="9" t="s">
        <v>898</v>
      </c>
      <c r="C17" s="9" t="str">
        <f>SUBSTITUTE(C16,"turnnum",TurnNum)</f>
        <v>"fairy_skill_on_team": "[]",</v>
      </c>
    </row>
    <row r="19" spans="2:3" x14ac:dyDescent="0.25">
      <c r="B19" s="111" t="s">
        <v>909</v>
      </c>
    </row>
    <row r="20" spans="2:3" x14ac:dyDescent="0.25">
      <c r="B20" t="s">
        <v>1131</v>
      </c>
      <c r="C20" t="s">
        <v>1132</v>
      </c>
    </row>
    <row r="21" spans="2:3" x14ac:dyDescent="0.25">
      <c r="B21" t="s">
        <v>1015</v>
      </c>
      <c r="C21" t="s">
        <v>1016</v>
      </c>
    </row>
    <row r="22" spans="2:3" x14ac:dyDescent="0.25">
      <c r="B22" t="s">
        <v>1134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4" spans="2:3" x14ac:dyDescent="0.25">
      <c r="B24" s="111" t="s">
        <v>1135</v>
      </c>
    </row>
    <row r="25" spans="2:3" x14ac:dyDescent="0.25">
      <c r="B25" t="s">
        <v>1131</v>
      </c>
      <c r="C25" t="s">
        <v>1132</v>
      </c>
    </row>
    <row r="26" spans="2:3" x14ac:dyDescent="0.25">
      <c r="B26" t="s">
        <v>1015</v>
      </c>
      <c r="C26" t="s">
        <v>1136</v>
      </c>
    </row>
    <row r="27" spans="2:3" x14ac:dyDescent="0.25">
      <c r="B27" t="s">
        <v>1134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2:3" x14ac:dyDescent="0.25">
      <c r="B28" t="s">
        <v>1138</v>
      </c>
      <c r="C28" t="str">
        <f>SUBSTITUTE(C27,1801,18&amp;Main!C54)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/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908</v>
      </c>
      <c r="B1" s="43" t="s">
        <v>1109</v>
      </c>
      <c r="C1" s="43" t="s">
        <v>1110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1111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1112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1113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5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1082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957</v>
      </c>
      <c r="K2" s="9" t="s">
        <v>873</v>
      </c>
      <c r="L2" s="9" t="s">
        <v>971</v>
      </c>
      <c r="M2" s="9" t="s">
        <v>105</v>
      </c>
      <c r="N2" s="9" t="s">
        <v>937</v>
      </c>
      <c r="O2" s="9" t="s">
        <v>989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986</v>
      </c>
      <c r="V2" s="9" t="s">
        <v>978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1097</v>
      </c>
      <c r="AC2" s="9" t="s">
        <v>335</v>
      </c>
      <c r="AD2" s="9" t="s">
        <v>931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1076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961</v>
      </c>
      <c r="F3" s="9" t="s">
        <v>264</v>
      </c>
      <c r="G3" s="9" t="s">
        <v>983</v>
      </c>
      <c r="H3" s="9" t="s">
        <v>77</v>
      </c>
      <c r="I3" s="9" t="s">
        <v>334</v>
      </c>
      <c r="J3" s="9" t="s">
        <v>925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967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929</v>
      </c>
      <c r="Y3" s="9" t="s">
        <v>217</v>
      </c>
      <c r="Z3" s="9" t="s">
        <v>345</v>
      </c>
      <c r="AC3" s="9" t="s">
        <v>196</v>
      </c>
      <c r="AD3" s="9" t="s">
        <v>955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1075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1074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982</v>
      </c>
      <c r="F5" s="9" t="s">
        <v>204</v>
      </c>
      <c r="H5" s="9" t="s">
        <v>91</v>
      </c>
      <c r="I5" s="9" t="s">
        <v>211</v>
      </c>
      <c r="J5" s="9" t="s">
        <v>972</v>
      </c>
      <c r="K5" s="9" t="s">
        <v>944</v>
      </c>
      <c r="M5" s="9" t="s">
        <v>348</v>
      </c>
      <c r="N5" s="9" t="s">
        <v>949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1073</v>
      </c>
      <c r="AV5" t="s">
        <v>1087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1057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1072</v>
      </c>
      <c r="AV6" t="s">
        <v>1086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923</v>
      </c>
      <c r="X7" s="9" t="s">
        <v>127</v>
      </c>
      <c r="Y7" s="9" t="s">
        <v>985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1081</v>
      </c>
      <c r="AV7" t="s">
        <v>1088</v>
      </c>
    </row>
    <row r="8" spans="1:51" x14ac:dyDescent="0.25">
      <c r="A8" s="9"/>
      <c r="C8" s="9" t="s">
        <v>69</v>
      </c>
      <c r="D8" s="9" t="s">
        <v>63</v>
      </c>
      <c r="E8" s="9" t="s">
        <v>912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915</v>
      </c>
      <c r="P8" s="9" t="s">
        <v>319</v>
      </c>
      <c r="S8" s="9" t="s">
        <v>120</v>
      </c>
      <c r="T8" s="9" t="s">
        <v>276</v>
      </c>
      <c r="U8" s="9" t="s">
        <v>935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1071</v>
      </c>
      <c r="AV8" t="s">
        <v>1083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930</v>
      </c>
      <c r="J9" s="9" t="s">
        <v>332</v>
      </c>
      <c r="K9" s="9" t="s">
        <v>987</v>
      </c>
      <c r="N9" s="9" t="s">
        <v>95</v>
      </c>
      <c r="O9" s="9" t="s">
        <v>946</v>
      </c>
      <c r="P9" s="9" t="s">
        <v>945</v>
      </c>
      <c r="S9" s="9" t="s">
        <v>279</v>
      </c>
      <c r="T9" s="9" t="s">
        <v>964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950</v>
      </c>
      <c r="AD9" s="9" t="s">
        <v>193</v>
      </c>
      <c r="AE9" s="9" t="s">
        <v>952</v>
      </c>
      <c r="AP9" t="s">
        <v>677</v>
      </c>
      <c r="AQ9" t="s">
        <v>659</v>
      </c>
      <c r="AU9" t="s">
        <v>1089</v>
      </c>
      <c r="AV9" t="s">
        <v>1085</v>
      </c>
    </row>
    <row r="10" spans="1:51" x14ac:dyDescent="0.25">
      <c r="A10" s="9"/>
      <c r="C10" s="9"/>
      <c r="D10" s="9" t="s">
        <v>242</v>
      </c>
      <c r="E10" s="9" t="s">
        <v>1108</v>
      </c>
      <c r="F10" s="9" t="s">
        <v>932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1098</v>
      </c>
      <c r="AE10" s="9" t="s">
        <v>189</v>
      </c>
      <c r="AU10" t="s">
        <v>1090</v>
      </c>
      <c r="AV10" t="s">
        <v>1084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959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953</v>
      </c>
      <c r="AL11" s="40"/>
      <c r="AU11" t="s">
        <v>1091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940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977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1078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965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913</v>
      </c>
      <c r="AD13" s="9" t="s">
        <v>199</v>
      </c>
      <c r="AE13" s="9" t="s">
        <v>219</v>
      </c>
      <c r="AL13" s="40"/>
      <c r="AU13" t="s">
        <v>1077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939</v>
      </c>
      <c r="F14" s="9" t="s">
        <v>960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990</v>
      </c>
      <c r="U14" s="9" t="s">
        <v>150</v>
      </c>
      <c r="Y14" s="9" t="s">
        <v>948</v>
      </c>
      <c r="Z14" s="9" t="s">
        <v>922</v>
      </c>
      <c r="AD14" s="9" t="s">
        <v>220</v>
      </c>
      <c r="AE14" s="9" t="s">
        <v>198</v>
      </c>
      <c r="AL14" s="40"/>
      <c r="AM14" s="40"/>
      <c r="AU14" t="s">
        <v>1080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943</v>
      </c>
      <c r="T15" s="9" t="s">
        <v>108</v>
      </c>
      <c r="U15" s="9" t="s">
        <v>164</v>
      </c>
      <c r="Y15" s="9" t="s">
        <v>914</v>
      </c>
      <c r="Z15" s="9" t="s">
        <v>1056</v>
      </c>
      <c r="AD15" s="9" t="s">
        <v>954</v>
      </c>
      <c r="AE15" s="9" t="s">
        <v>970</v>
      </c>
      <c r="AL15" s="40"/>
      <c r="AM15" s="40"/>
      <c r="AP15" s="40"/>
      <c r="AU15" t="s">
        <v>1079</v>
      </c>
      <c r="AV15" t="s">
        <v>217</v>
      </c>
    </row>
    <row r="16" spans="1:51" x14ac:dyDescent="0.25">
      <c r="A16" s="9"/>
      <c r="C16" s="9"/>
      <c r="D16" s="9" t="s">
        <v>951</v>
      </c>
      <c r="E16" s="9" t="s">
        <v>205</v>
      </c>
      <c r="F16" s="9" t="s">
        <v>262</v>
      </c>
      <c r="G16" s="9"/>
      <c r="I16" s="9" t="s">
        <v>973</v>
      </c>
      <c r="J16" s="9" t="s">
        <v>83</v>
      </c>
      <c r="K16" s="9" t="s">
        <v>919</v>
      </c>
      <c r="N16" s="9" t="s">
        <v>166</v>
      </c>
      <c r="O16" s="9" t="s">
        <v>979</v>
      </c>
      <c r="P16" s="9" t="s">
        <v>250</v>
      </c>
      <c r="S16" s="9" t="s">
        <v>224</v>
      </c>
      <c r="T16" s="9" t="s">
        <v>109</v>
      </c>
      <c r="U16" s="9" t="s">
        <v>991</v>
      </c>
      <c r="Y16" s="9" t="s">
        <v>269</v>
      </c>
      <c r="Z16" s="9" t="s">
        <v>981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956</v>
      </c>
      <c r="J17" s="9" t="s">
        <v>1054</v>
      </c>
      <c r="K17" s="9" t="s">
        <v>980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936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933</v>
      </c>
      <c r="K18" s="9" t="s">
        <v>182</v>
      </c>
      <c r="N18" s="9" t="s">
        <v>284</v>
      </c>
      <c r="O18" s="9" t="s">
        <v>99</v>
      </c>
      <c r="P18" s="9" t="s">
        <v>966</v>
      </c>
      <c r="S18" s="9" t="s">
        <v>928</v>
      </c>
      <c r="T18" s="9" t="s">
        <v>927</v>
      </c>
      <c r="U18" s="9" t="s">
        <v>969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988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974</v>
      </c>
      <c r="K20" s="9" t="s">
        <v>157</v>
      </c>
      <c r="N20" s="9" t="s">
        <v>311</v>
      </c>
      <c r="O20" s="9" t="s">
        <v>934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975</v>
      </c>
      <c r="P22" s="9" t="s">
        <v>280</v>
      </c>
      <c r="T22" s="9" t="s">
        <v>976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938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992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963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968</v>
      </c>
      <c r="K25" s="9" t="s">
        <v>80</v>
      </c>
      <c r="P25" s="9" t="s">
        <v>926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924</v>
      </c>
      <c r="K26" s="9" t="s">
        <v>962</v>
      </c>
      <c r="P26" s="9" t="s">
        <v>339</v>
      </c>
      <c r="U26" s="9" t="s">
        <v>920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984</v>
      </c>
      <c r="K27" s="9" t="s">
        <v>267</v>
      </c>
      <c r="P27" s="9" t="s">
        <v>958</v>
      </c>
      <c r="U27" s="9" t="s">
        <v>310</v>
      </c>
      <c r="AQ27" s="9"/>
      <c r="AV27" t="s">
        <v>931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942</v>
      </c>
      <c r="AV28" t="s">
        <v>854</v>
      </c>
    </row>
    <row r="29" spans="1:48" x14ac:dyDescent="0.25">
      <c r="A29" s="9"/>
      <c r="C29" s="9"/>
      <c r="D29" s="9"/>
      <c r="E29" s="9"/>
      <c r="P29" s="9" t="s">
        <v>941</v>
      </c>
      <c r="U29" s="9" t="s">
        <v>1055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972</v>
      </c>
    </row>
    <row r="31" spans="1:48" x14ac:dyDescent="0.25">
      <c r="A31" s="9"/>
      <c r="C31" s="9"/>
      <c r="D31" s="9"/>
      <c r="E31" s="9"/>
      <c r="P31" s="9" t="s">
        <v>1099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921</v>
      </c>
      <c r="AV33" t="s">
        <v>989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947</v>
      </c>
      <c r="AV36" t="s">
        <v>977</v>
      </c>
    </row>
    <row r="37" spans="1:48" x14ac:dyDescent="0.25">
      <c r="A37" s="9"/>
      <c r="C37" s="9"/>
      <c r="D37" s="9"/>
      <c r="E37" s="9"/>
      <c r="U37" s="9" t="s">
        <v>226</v>
      </c>
      <c r="AV37" t="s">
        <v>978</v>
      </c>
    </row>
    <row r="38" spans="1:48" x14ac:dyDescent="0.25">
      <c r="A38" s="9"/>
      <c r="C38" s="9"/>
      <c r="D38" s="9"/>
      <c r="E38" s="9"/>
      <c r="AV38" t="s">
        <v>991</v>
      </c>
    </row>
    <row r="39" spans="1:48" x14ac:dyDescent="0.25">
      <c r="A39" s="9"/>
      <c r="C39" s="9"/>
      <c r="D39" s="9"/>
      <c r="E39" s="9"/>
      <c r="AV39" t="s">
        <v>990</v>
      </c>
    </row>
    <row r="40" spans="1:48" x14ac:dyDescent="0.25">
      <c r="A40" s="9"/>
      <c r="C40" s="9"/>
      <c r="D40" s="9"/>
      <c r="E40" s="9"/>
      <c r="AV40" t="s">
        <v>987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982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995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912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1108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1097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988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980</v>
      </c>
    </row>
    <row r="92" spans="48:48" x14ac:dyDescent="0.25">
      <c r="AV92" t="s">
        <v>70</v>
      </c>
    </row>
    <row r="93" spans="48:48" x14ac:dyDescent="0.25">
      <c r="AV93" t="s">
        <v>1070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1098</v>
      </c>
    </row>
    <row r="98" spans="48:48" x14ac:dyDescent="0.25">
      <c r="AV98" t="s">
        <v>971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974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979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975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981</v>
      </c>
    </row>
    <row r="128" spans="48:48" x14ac:dyDescent="0.25">
      <c r="AV128" t="s">
        <v>141</v>
      </c>
    </row>
    <row r="129" spans="48:48" x14ac:dyDescent="0.25">
      <c r="AV129" t="s">
        <v>992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983</v>
      </c>
    </row>
    <row r="137" spans="48:48" x14ac:dyDescent="0.25">
      <c r="AV137" t="s">
        <v>1099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973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916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917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918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984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914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915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913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986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919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985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920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921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922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923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924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925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926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927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928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929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932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933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934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937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938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939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940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941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942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943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945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946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947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948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949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950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951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952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953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954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956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957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958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960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961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962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963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964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1054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1057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1055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965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966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967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968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969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970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912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987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974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988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975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989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976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990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991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977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992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983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978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979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980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971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972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981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982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1108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1097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1098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1099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989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988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912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990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974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991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976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995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987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992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982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978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979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971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1085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1083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1084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1086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1087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1088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977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980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7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7" t="s">
        <v>624</v>
      </c>
    </row>
    <row r="179" spans="1:23" x14ac:dyDescent="0.25">
      <c r="A179" s="1">
        <v>212</v>
      </c>
      <c r="B179" t="s">
        <v>975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7" t="s">
        <v>1048</v>
      </c>
    </row>
    <row r="180" spans="1:23" x14ac:dyDescent="0.25">
      <c r="A180" s="1">
        <v>213</v>
      </c>
      <c r="B180" t="s">
        <v>983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7" t="s">
        <v>1049</v>
      </c>
    </row>
    <row r="181" spans="1:23" x14ac:dyDescent="0.25">
      <c r="A181" s="1">
        <v>214</v>
      </c>
      <c r="B181" t="s">
        <v>972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7" t="s">
        <v>1050</v>
      </c>
    </row>
    <row r="182" spans="1:23" x14ac:dyDescent="0.25">
      <c r="A182" s="1">
        <v>215</v>
      </c>
      <c r="B182" t="s">
        <v>981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7" t="s">
        <v>1051</v>
      </c>
    </row>
    <row r="183" spans="1:23" x14ac:dyDescent="0.25">
      <c r="A183" s="1">
        <v>216</v>
      </c>
      <c r="B183" t="s">
        <v>931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7" t="s">
        <v>1052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7" t="s">
        <v>1047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7" t="s">
        <v>1060</v>
      </c>
      <c r="W185">
        <v>0</v>
      </c>
    </row>
    <row r="186" spans="1:23" x14ac:dyDescent="0.25">
      <c r="A186" s="1">
        <v>219</v>
      </c>
      <c r="B186" t="s">
        <v>1070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7" t="s">
        <v>1053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7" t="s">
        <v>1061</v>
      </c>
      <c r="W187">
        <v>0</v>
      </c>
    </row>
    <row r="188" spans="1:23" x14ac:dyDescent="0.25">
      <c r="A188" s="1">
        <v>222</v>
      </c>
      <c r="B188" t="s">
        <v>1089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7" t="s">
        <v>432</v>
      </c>
      <c r="W188">
        <v>0</v>
      </c>
    </row>
    <row r="189" spans="1:23" x14ac:dyDescent="0.25">
      <c r="A189" s="1">
        <v>223</v>
      </c>
      <c r="B189" t="s">
        <v>1090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7" t="s">
        <v>432</v>
      </c>
      <c r="W189">
        <v>0</v>
      </c>
    </row>
    <row r="190" spans="1:23" x14ac:dyDescent="0.25">
      <c r="A190" s="1">
        <v>224</v>
      </c>
      <c r="B190" t="s">
        <v>1091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1062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7" t="s">
        <v>432</v>
      </c>
      <c r="W190">
        <v>0</v>
      </c>
    </row>
    <row r="191" spans="1:23" x14ac:dyDescent="0.25">
      <c r="A191" s="1">
        <v>225</v>
      </c>
      <c r="B191" t="s">
        <v>1081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7" t="s">
        <v>432</v>
      </c>
      <c r="W191">
        <v>0</v>
      </c>
    </row>
    <row r="192" spans="1:23" x14ac:dyDescent="0.25">
      <c r="A192" s="1">
        <v>226</v>
      </c>
      <c r="B192" t="s">
        <v>1080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1063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7" t="s">
        <v>432</v>
      </c>
      <c r="W192">
        <v>0</v>
      </c>
    </row>
    <row r="193" spans="1:23" x14ac:dyDescent="0.25">
      <c r="A193" s="1">
        <v>227</v>
      </c>
      <c r="B193" t="s">
        <v>1079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1064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7" t="s">
        <v>432</v>
      </c>
      <c r="W193">
        <v>0</v>
      </c>
    </row>
    <row r="194" spans="1:23" x14ac:dyDescent="0.25">
      <c r="A194" s="1">
        <v>228</v>
      </c>
      <c r="B194" t="s">
        <v>1078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1065</v>
      </c>
      <c r="K194" s="1" t="s">
        <v>432</v>
      </c>
      <c r="L194" s="1" t="s">
        <v>432</v>
      </c>
      <c r="M194" s="1" t="s">
        <v>1066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7" t="s">
        <v>432</v>
      </c>
      <c r="W194">
        <v>0</v>
      </c>
    </row>
    <row r="195" spans="1:23" x14ac:dyDescent="0.25">
      <c r="A195" s="1">
        <v>229</v>
      </c>
      <c r="B195" t="s">
        <v>1077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1065</v>
      </c>
      <c r="K195" s="1" t="s">
        <v>432</v>
      </c>
      <c r="L195" s="1" t="s">
        <v>432</v>
      </c>
      <c r="M195" s="1" t="s">
        <v>1067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7" t="s">
        <v>432</v>
      </c>
      <c r="W195">
        <v>0</v>
      </c>
    </row>
    <row r="196" spans="1:23" x14ac:dyDescent="0.25">
      <c r="A196" s="1">
        <v>230</v>
      </c>
      <c r="B196" t="s">
        <v>1076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1059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7" t="s">
        <v>432</v>
      </c>
      <c r="W196">
        <v>0</v>
      </c>
    </row>
    <row r="197" spans="1:23" x14ac:dyDescent="0.25">
      <c r="A197" s="1">
        <v>231</v>
      </c>
      <c r="B197" t="s">
        <v>1075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1058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7" t="s">
        <v>432</v>
      </c>
      <c r="W197">
        <v>0</v>
      </c>
    </row>
    <row r="198" spans="1:23" x14ac:dyDescent="0.25">
      <c r="A198" s="1">
        <v>232</v>
      </c>
      <c r="B198" t="s">
        <v>1074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1068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7" t="s">
        <v>432</v>
      </c>
      <c r="W198">
        <v>0</v>
      </c>
    </row>
    <row r="199" spans="1:23" x14ac:dyDescent="0.25">
      <c r="A199" s="1">
        <v>233</v>
      </c>
      <c r="B199" t="s">
        <v>1073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1068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7" t="s">
        <v>432</v>
      </c>
      <c r="W199">
        <v>0</v>
      </c>
    </row>
    <row r="200" spans="1:23" x14ac:dyDescent="0.25">
      <c r="A200" s="1">
        <v>234</v>
      </c>
      <c r="B200" t="s">
        <v>1072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1068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7" t="s">
        <v>432</v>
      </c>
      <c r="W200">
        <v>0</v>
      </c>
    </row>
    <row r="201" spans="1:23" x14ac:dyDescent="0.25">
      <c r="A201" s="1">
        <v>235</v>
      </c>
      <c r="B201" t="s">
        <v>1071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7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7" t="s">
        <v>1069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7" t="s">
        <v>1102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1103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7" t="s">
        <v>1104</v>
      </c>
      <c r="W204">
        <v>0</v>
      </c>
    </row>
    <row r="205" spans="1:23" x14ac:dyDescent="0.25">
      <c r="A205" s="1">
        <v>238</v>
      </c>
      <c r="B205" t="s">
        <v>1108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7" t="s">
        <v>1101</v>
      </c>
      <c r="W205">
        <v>0</v>
      </c>
    </row>
    <row r="206" spans="1:23" x14ac:dyDescent="0.25">
      <c r="A206" s="1">
        <v>239</v>
      </c>
      <c r="B206" t="s">
        <v>1097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1105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7" t="s">
        <v>1100</v>
      </c>
      <c r="W206">
        <v>0</v>
      </c>
    </row>
    <row r="207" spans="1:23" x14ac:dyDescent="0.25">
      <c r="A207" s="1">
        <v>240</v>
      </c>
      <c r="B207" t="s">
        <v>1098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7" t="s">
        <v>1106</v>
      </c>
      <c r="W207">
        <v>0</v>
      </c>
    </row>
    <row r="208" spans="1:23" x14ac:dyDescent="0.25">
      <c r="A208" s="1">
        <v>241</v>
      </c>
      <c r="B208" t="s">
        <v>1099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7" t="s">
        <v>1107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32</vt:i4>
      </vt:variant>
    </vt:vector>
  </HeadingPairs>
  <TitlesOfParts>
    <vt:vector size="49" baseType="lpstr">
      <vt:lpstr>Main</vt:lpstr>
      <vt:lpstr>Preset Teams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Strategy Buff Data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EchelonInput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2021-06-27T20:55:44Z</dcterms:modified>
</cp:coreProperties>
</file>