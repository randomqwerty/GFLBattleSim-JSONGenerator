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8"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CA778B14-E68B-4A7C-B8AE-BA7EC84A810F}" xr6:coauthVersionLast="36" xr6:coauthVersionMax="36" xr10:uidLastSave="{00000000-0000-0000-0000-000000000000}"/>
  <bookViews>
    <workbookView xWindow="0" yWindow="0" windowWidth="9990" windowHeight="3810" tabRatio="518" xr2:uid="{8B59443F-0B2D-43B1-BB8E-EAEC613D5E34}"/>
  </bookViews>
  <sheets>
    <sheet name="Main" sheetId="1" r:id="rId1"/>
    <sheet name="Vehicle Comp" sheetId="51" r:id="rId2"/>
    <sheet name="Mapwide Buffs" sheetId="48" r:id="rId3"/>
    <sheet name="Vehicle Substats" sheetId="54" r:id="rId4"/>
    <sheet name="TargetTrain Lists" sheetId="47" r:id="rId5"/>
    <sheet name="Preset Teams" sheetId="28" r:id="rId6"/>
    <sheet name="Preset Teams SF" sheetId="46" r:id="rId7"/>
    <sheet name="Doll" sheetId="7" r:id="rId8"/>
    <sheet name="Equip" sheetId="12" r:id="rId9"/>
    <sheet name="Fairy" sheetId="13" r:id="rId10"/>
    <sheet name="HOC" sheetId="26" r:id="rId11"/>
    <sheet name="HOCChip" sheetId="55" r:id="rId12"/>
    <sheet name="Vehicle" sheetId="49" r:id="rId13"/>
    <sheet name="VehicleComp" sheetId="52" r:id="rId14"/>
    <sheet name="SF" sheetId="33" r:id="rId15"/>
    <sheet name="SF Chip" sheetId="42" r:id="rId16"/>
    <sheet name="SF Team" sheetId="43" r:id="rId17"/>
    <sheet name="Mission_Act_Info" sheetId="20" r:id="rId18"/>
    <sheet name="Spot_Act_Info_Day" sheetId="44" r:id="rId19"/>
    <sheet name="Spot_Act_Info_Night" sheetId="45" r:id="rId20"/>
    <sheet name="GFBattleSimulator" sheetId="24" r:id="rId21"/>
    <sheet name="VehicleRangeAtk" sheetId="53" r:id="rId22"/>
    <sheet name="G&amp;K Stat Calc" sheetId="3" state="hidden" r:id="rId23"/>
    <sheet name="SF Stat Calc" sheetId="36" state="hidden" r:id="rId24"/>
    <sheet name="Fairy Data" sheetId="16" state="hidden" r:id="rId25"/>
    <sheet name="Talent Data" sheetId="17" state="hidden" r:id="rId26"/>
    <sheet name="Strat Buff Data" sheetId="27" state="hidden" r:id="rId27"/>
    <sheet name="Equip Data" sheetId="11" state="hidden" r:id="rId28"/>
    <sheet name="Doll Data" sheetId="4" state="hidden" r:id="rId29"/>
    <sheet name="SF Data" sheetId="29" state="hidden" r:id="rId30"/>
    <sheet name="SF Chip Data" sheetId="32"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8" hidden="1">'Doll Data'!$A$1:$BD$429</definedName>
    <definedName name="_xlnm._FilterDatabase" localSheetId="27" hidden="1">'Equip Data'!$A$1:$AW$1</definedName>
    <definedName name="_xlnm._FilterDatabase" localSheetId="24" hidden="1">'Fairy Data'!$A$1:$K$38</definedName>
    <definedName name="_xlnm._FilterDatabase" localSheetId="2" hidden="1">'Mapwide Buffs'!$A$1:$F$187</definedName>
    <definedName name="_xlnm._FilterDatabase" localSheetId="5" hidden="1">'Preset Teams'!$AR$2:$AU$158</definedName>
    <definedName name="_xlnm._FilterDatabase" localSheetId="29" hidden="1">'SF Data'!$A$1:$BH$42</definedName>
    <definedName name="_xlnm._FilterDatabase" localSheetId="32" hidden="1">'SF Resolution'!$A$1:$X$245</definedName>
    <definedName name="_xlnm._FilterDatabase" localSheetId="18" hidden="1">Spot_Act_Info_Day!$G$13:$H$230</definedName>
    <definedName name="_xlnm._FilterDatabase" localSheetId="19" hidden="1">Spot_Act_Info_Night!$H$35:$H$756</definedName>
    <definedName name="_xlnm._FilterDatabase" localSheetId="25"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1" l="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22" i="3" l="1"/>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<sst xmlns="http://schemas.openxmlformats.org/spreadsheetml/2006/main" count="27925" uniqueCount="8933">
  <si>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</si>
  <si>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</si>
  <si>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</si>
  <si>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</si>
  <si>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</si>
  <si>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</si>
  <si>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</si>
  <si>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</si>
  <si>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</si>
  <si>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</si>
  <si>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</si>
  <si>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</si>
  <si>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</si>
  <si>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</si>
  <si>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</si>
  <si>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</si>
  <si>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</si>
  <si>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</si>
  <si>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</si>
  <si>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</si>
  <si>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</si>
  <si>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</si>
  <si>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</si>
  <si>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</si>
  <si>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</si>
  <si>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</si>
  <si>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</si>
  <si>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</si>
  <si>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</si>
  <si>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</si>
  <si>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</si>
  <si>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</si>
  <si>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</si>
  <si>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</si>
  <si>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</si>
  <si>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</si>
  <si>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</si>
  <si>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</si>
  <si>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</si>
  <si>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</si>
  <si>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</si>
  <si>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</si>
  <si>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</si>
  <si>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</si>
  <si>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</si>
  <si>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</si>
  <si>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</si>
  <si>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</si>
  <si>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</si>
  <si>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</si>
  <si>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</si>
  <si>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</si>
  <si>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</si>
  <si>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</si>
  <si>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</si>
  <si>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</si>
  <si>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</si>
  <si>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</si>
  <si>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</si>
  <si>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</si>
  <si>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</si>
  <si>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</si>
  <si>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</si>
  <si>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</si>
  <si>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</si>
  <si>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</si>
  <si>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</si>
  <si>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</si>
  <si>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</si>
  <si>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</si>
  <si>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</si>
  <si>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</si>
  <si>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</si>
  <si>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</si>
  <si>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</si>
  <si>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</si>
  <si>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</si>
  <si>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</si>
  <si>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</si>
  <si>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</si>
  <si>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</si>
  <si>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</si>
  <si>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</si>
  <si>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</si>
  <si>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</si>
  <si>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</si>
  <si>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</si>
  <si>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</si>
  <si>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</si>
  <si>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</si>
  <si>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</si>
  <si>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</si>
  <si>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</si>
  <si>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</si>
  <si>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</si>
  <si>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</si>
  <si>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</si>
  <si>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</si>
  <si>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</si>
  <si>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</si>
  <si>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</si>
  <si>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</si>
  <si>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</si>
  <si>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</si>
  <si>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</si>
  <si>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</si>
  <si>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</si>
  <si>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</si>
  <si>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</si>
  <si>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</si>
  <si>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</si>
  <si>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</si>
  <si>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</si>
  <si>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</si>
  <si>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</si>
  <si>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</si>
  <si>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</si>
  <si>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</si>
  <si>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</si>
  <si>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</si>
  <si>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</si>
  <si>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</si>
  <si>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</si>
  <si>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</si>
  <si>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</si>
  <si>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</si>
  <si>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</si>
  <si>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</si>
  <si>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</si>
  <si>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</si>
  <si>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</si>
  <si>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</si>
  <si>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</si>
  <si>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</si>
  <si>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</si>
  <si>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</si>
  <si>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</si>
  <si>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</si>
  <si>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</si>
  <si>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</si>
  <si>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</si>
  <si>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</si>
  <si>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</si>
  <si>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</si>
  <si>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</si>
  <si>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</si>
  <si>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</si>
  <si>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</si>
  <si>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</si>
  <si>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</si>
  <si>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</si>
  <si>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</si>
  <si>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</si>
  <si>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</si>
  <si>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</si>
  <si>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</si>
  <si>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</si>
  <si>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</si>
  <si>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</si>
  <si>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</si>
  <si>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</si>
  <si>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</si>
  <si>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</si>
  <si>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</si>
  <si>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</si>
  <si>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</si>
  <si>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</si>
  <si>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</si>
  <si>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</si>
  <si>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</si>
  <si>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</si>
  <si>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</si>
  <si>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</si>
  <si>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</si>
  <si>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</si>
  <si>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</si>
  <si>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</si>
  <si>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</si>
  <si>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</si>
  <si>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</si>
  <si>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</si>
  <si>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</si>
  <si>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</si>
  <si>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</si>
  <si>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</si>
  <si>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</si>
  <si>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</si>
  <si>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</si>
  <si>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</si>
  <si>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</si>
  <si>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</si>
  <si>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</si>
  <si>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</si>
  <si>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</si>
  <si>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</si>
  <si>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</si>
  <si>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</si>
  <si>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</si>
  <si>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</si>
  <si>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</si>
  <si>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</si>
  <si>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</si>
  <si>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</si>
  <si>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</si>
  <si>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</si>
  <si>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</si>
  <si>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</si>
  <si>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</si>
  <si>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</si>
  <si>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</si>
  <si>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</si>
  <si>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</si>
  <si>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</si>
  <si>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</si>
  <si>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</si>
  <si>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</si>
  <si>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</si>
  <si>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</si>
  <si>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</si>
  <si>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</si>
  <si>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</si>
  <si>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</si>
  <si>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</si>
  <si>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</si>
  <si>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</si>
  <si>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</si>
  <si>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</si>
  <si>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</si>
  <si>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</si>
  <si>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</si>
  <si>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</si>
  <si>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</si>
  <si>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</si>
  <si>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</si>
  <si>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</si>
  <si>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</si>
  <si>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</si>
  <si>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</si>
  <si>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</si>
  <si>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</si>
  <si>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</si>
  <si>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</si>
  <si>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</si>
  <si>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</si>
  <si>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</si>
  <si>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</si>
  <si>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</si>
  <si>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</si>
  <si>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</si>
  <si>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</si>
  <si>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</si>
  <si>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</si>
  <si>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</si>
  <si>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</si>
  <si>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</si>
  <si>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</si>
  <si>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</si>
  <si>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</si>
  <si>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</si>
  <si>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</si>
  <si>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</si>
  <si>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</si>
  <si>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</si>
  <si>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</si>
  <si>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</si>
  <si>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</si>
  <si>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</si>
  <si>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</si>
  <si>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</si>
  <si>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</si>
  <si>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</si>
  <si>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</si>
  <si>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</si>
  <si>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</si>
  <si>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</si>
  <si>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</si>
  <si>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</si>
  <si>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</si>
  <si>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</si>
  <si>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</si>
  <si>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</si>
  <si>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</si>
  <si>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</si>
  <si>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</si>
  <si>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</si>
  <si>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</si>
  <si>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</si>
  <si>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</si>
  <si>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</si>
  <si>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</si>
  <si>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</si>
  <si>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</si>
  <si>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</si>
  <si>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</si>
  <si>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</si>
  <si>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</si>
  <si>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</si>
  <si>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</si>
  <si>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</si>
  <si>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</si>
  <si>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</si>
  <si>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</si>
  <si>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</si>
  <si>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</si>
  <si>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</si>
  <si>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</si>
  <si>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</si>
  <si>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</si>
  <si>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</si>
  <si>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</si>
  <si>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</si>
  <si>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</si>
  <si>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</si>
  <si>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</si>
  <si>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</si>
  <si>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</si>
  <si>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</si>
  <si>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</si>
  <si>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</si>
  <si>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</si>
  <si>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</si>
  <si>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</si>
  <si>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</si>
  <si>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</si>
  <si>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</si>
  <si>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</si>
  <si>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</si>
  <si>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</si>
  <si>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</si>
  <si>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</si>
  <si>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</si>
  <si>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</si>
  <si>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</si>
  <si>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</si>
  <si>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</si>
  <si>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</si>
  <si>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</si>
  <si>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</si>
  <si>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</si>
  <si>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</si>
  <si>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</si>
  <si>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</si>
  <si>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</si>
  <si>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</si>
  <si>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</si>
  <si>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</si>
  <si>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</si>
  <si>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</si>
  <si>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</si>
  <si>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</si>
  <si>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</si>
  <si>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</si>
  <si>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</si>
  <si>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</si>
  <si>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</si>
  <si>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</si>
  <si>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</si>
  <si>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</si>
  <si>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</si>
  <si>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</si>
  <si>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</si>
  <si>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</si>
  <si>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</si>
  <si>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</si>
  <si>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</si>
  <si>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</si>
  <si>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</si>
  <si>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</si>
  <si>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</si>
  <si>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</si>
  <si>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</si>
  <si>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</si>
  <si>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</si>
  <si>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</si>
  <si>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</si>
  <si>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</si>
  <si>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</si>
  <si>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</si>
  <si>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</si>
  <si>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</si>
  <si>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</si>
  <si>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</si>
  <si>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</si>
  <si>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</si>
  <si>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</si>
  <si>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</si>
  <si>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</si>
  <si>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</si>
  <si>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</si>
  <si>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</si>
  <si>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</si>
  <si>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</si>
  <si>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</si>
  <si>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</si>
  <si>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</si>
  <si>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</si>
  <si>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</si>
  <si>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</si>
  <si>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</si>
  <si>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</si>
  <si>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</si>
  <si>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</si>
  <si>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</si>
  <si>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</si>
  <si>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</si>
  <si>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</si>
  <si>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</si>
  <si>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</si>
  <si>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</si>
  <si>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</si>
  <si>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</si>
  <si>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</si>
  <si>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</si>
  <si>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</si>
  <si>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</si>
  <si>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</si>
  <si>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</si>
  <si>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</si>
  <si>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</si>
  <si>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</si>
  <si>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</si>
  <si>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</si>
  <si>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</si>
  <si>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</si>
  <si>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</si>
  <si>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</si>
  <si>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</si>
  <si>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</si>
  <si>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</si>
  <si>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</si>
  <si>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</si>
  <si>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</si>
  <si>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</si>
  <si>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</si>
  <si>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</si>
  <si>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</si>
  <si>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</si>
  <si>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</si>
  <si>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</si>
  <si>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</si>
  <si>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</si>
  <si>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</si>
  <si>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</si>
  <si>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</si>
  <si>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</si>
  <si>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</si>
  <si>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</si>
  <si>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</si>
  <si>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</si>
  <si>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</si>
  <si>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</si>
  <si>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</si>
  <si>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</si>
  <si>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</si>
  <si>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</si>
  <si>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</si>
  <si>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</si>
  <si>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</si>
  <si>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</si>
  <si>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</si>
  <si>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</si>
  <si>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</si>
  <si>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</si>
  <si>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</si>
  <si>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</si>
  <si>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</si>
  <si>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</si>
  <si>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</si>
  <si>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</si>
  <si>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</si>
  <si>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</si>
  <si>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</si>
  <si>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</si>
  <si>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</si>
  <si>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</si>
  <si>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</si>
  <si>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</si>
  <si>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</si>
  <si>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</si>
  <si>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</si>
  <si>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</si>
  <si>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</si>
  <si>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</si>
  <si>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</si>
  <si>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</si>
  <si>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</si>
  <si>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</si>
  <si>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</si>
  <si>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</si>
  <si>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</si>
  <si>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</si>
  <si>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</si>
  <si>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</si>
  <si>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</si>
  <si>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</si>
  <si>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</si>
  <si>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</si>
  <si>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</si>
  <si>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</si>
  <si>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</si>
  <si>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</si>
  <si>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</si>
  <si>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</si>
  <si>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</si>
  <si>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</si>
  <si>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</si>
  <si>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</si>
  <si>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</si>
  <si>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</si>
  <si>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</si>
  <si>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</si>
  <si>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</si>
  <si>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</si>
  <si>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</si>
  <si>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</si>
  <si>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</si>
  <si>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</si>
  <si>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</si>
  <si>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</si>
  <si>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</si>
  <si>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</si>
  <si>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</si>
  <si>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</si>
  <si>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</si>
  <si>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</si>
  <si>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</si>
  <si>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</si>
  <si>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</si>
  <si>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</si>
  <si>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</si>
  <si>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</si>
  <si>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</si>
  <si>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</si>
  <si>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</si>
  <si>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</si>
  <si>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</si>
  <si>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</si>
  <si>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</si>
  <si>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</si>
  <si>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</si>
  <si>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</si>
  <si>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</si>
  <si>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</si>
  <si>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</si>
  <si>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</si>
  <si>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</si>
  <si>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</si>
  <si>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</si>
  <si>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</si>
  <si>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</si>
  <si>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</si>
  <si>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</si>
  <si>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</si>
  <si>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</si>
  <si>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</si>
  <si>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</si>
  <si>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</si>
  <si>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</si>
  <si>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</si>
  <si>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</si>
  <si>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</si>
  <si>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</si>
  <si>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</si>
  <si>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</si>
  <si>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</si>
  <si>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</si>
  <si>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</si>
  <si>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</si>
  <si>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</si>
  <si>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</si>
  <si>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</si>
  <si>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</si>
  <si>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</si>
  <si>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</si>
  <si>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</si>
  <si>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</si>
  <si>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</si>
  <si>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</si>
  <si>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</si>
  <si>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</si>
  <si>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</si>
  <si>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</si>
  <si>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</si>
  <si>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</si>
  <si>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</si>
  <si>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</si>
  <si>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</si>
  <si>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</si>
  <si>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</si>
  <si>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</si>
  <si>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</si>
  <si>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</si>
  <si>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</si>
  <si>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</si>
  <si>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</si>
  <si>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</si>
  <si>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</si>
  <si>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</si>
  <si>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</si>
  <si>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</si>
  <si>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</si>
  <si>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</si>
  <si>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</si>
  <si>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</si>
  <si>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</si>
  <si>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</si>
  <si>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</si>
  <si>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</si>
  <si>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</si>
  <si>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</si>
  <si>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</si>
  <si>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</si>
  <si>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</si>
  <si>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</si>
  <si>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</si>
  <si>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</si>
  <si>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</si>
  <si>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</si>
  <si>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</si>
  <si>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</si>
  <si>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</si>
  <si>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</si>
  <si>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</si>
  <si>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</si>
  <si>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</si>
  <si>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</si>
  <si>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</si>
  <si>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</si>
  <si>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</si>
  <si>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</si>
  <si>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</si>
  <si>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</si>
  <si>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</si>
  <si>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</si>
  <si>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</si>
  <si>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</si>
  <si>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</si>
  <si>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</si>
  <si>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</si>
  <si>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</si>
  <si>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</si>
  <si>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</si>
  <si>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</si>
  <si>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</si>
  <si>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</si>
  <si>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</si>
  <si>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</si>
  <si>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</si>
  <si>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</si>
  <si>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</si>
  <si>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</si>
  <si>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</si>
  <si>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</si>
  <si>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</si>
  <si>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</si>
  <si>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</si>
  <si>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</si>
  <si>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</si>
  <si>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</si>
  <si>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</si>
  <si>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</si>
  <si>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</si>
  <si>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</si>
  <si>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</si>
  <si>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</si>
  <si>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</si>
  <si>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</si>
  <si>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</si>
  <si>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</si>
  <si>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</si>
  <si>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</si>
  <si>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</si>
  <si>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</si>
  <si>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</si>
  <si>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</si>
  <si>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</si>
  <si>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</si>
  <si>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</si>
  <si>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</si>
  <si>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</si>
  <si>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</si>
  <si>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</si>
  <si>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</si>
  <si>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</si>
  <si>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</si>
  <si>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</si>
  <si>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</si>
  <si>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</si>
  <si>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</si>
  <si>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</si>
  <si>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</si>
  <si>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</si>
  <si>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</si>
  <si>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</si>
  <si>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</si>
  <si>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</si>
  <si>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</si>
  <si>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</si>
  <si>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</si>
  <si>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</si>
  <si>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</si>
  <si>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</si>
  <si>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</si>
  <si>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</si>
  <si>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</si>
  <si>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</si>
  <si>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</si>
  <si>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</si>
  <si>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</si>
  <si>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</si>
  <si>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</si>
  <si>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</si>
  <si>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</si>
  <si>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</si>
  <si>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</si>
  <si>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</si>
  <si>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</si>
  <si>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</si>
  <si>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</si>
  <si>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</si>
  <si>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</si>
  <si>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</si>
  <si>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</si>
  <si>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</si>
  <si>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</si>
  <si>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</si>
  <si>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</si>
  <si>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</si>
  <si>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</si>
  <si>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</si>
  <si>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</si>
  <si>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</si>
  <si>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</si>
  <si>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</si>
  <si>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</si>
  <si>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</si>
  <si>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</si>
  <si>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</si>
  <si>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</si>
  <si>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</si>
  <si>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</si>
  <si>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</si>
  <si>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</si>
  <si>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</si>
  <si>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</si>
  <si>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</si>
  <si>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</si>
  <si>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</si>
  <si>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</si>
  <si>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</si>
  <si>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</si>
  <si>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</si>
  <si>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</si>
  <si>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</si>
  <si>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</si>
  <si>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</si>
  <si>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</si>
  <si>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</si>
  <si>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</si>
  <si>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</si>
  <si>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</si>
  <si>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</si>
  <si>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</si>
  <si>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</si>
  <si>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</si>
  <si>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</si>
  <si>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</si>
  <si>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</si>
  <si>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</si>
  <si>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</si>
  <si>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</si>
  <si>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</si>
  <si>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</si>
  <si>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</si>
  <si>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</si>
  <si>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</si>
  <si>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</si>
  <si>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</si>
  <si>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</si>
  <si>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</si>
  <si>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</si>
  <si>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</si>
  <si>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</si>
  <si>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</si>
  <si>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</si>
  <si>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</si>
  <si>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</si>
  <si>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</si>
  <si>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</si>
  <si>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</si>
  <si>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</si>
  <si>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</si>
  <si>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</si>
  <si>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</si>
  <si>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</si>
  <si>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</si>
  <si>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</si>
  <si>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</si>
  <si>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</si>
  <si>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</si>
  <si>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</si>
  <si>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</si>
  <si>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</si>
  <si>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</si>
  <si>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</si>
  <si>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</si>
  <si>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</si>
  <si>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</si>
  <si>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</si>
  <si>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</si>
  <si>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</si>
  <si>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</si>
  <si>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</si>
  <si>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</si>
  <si>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</si>
  <si>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</si>
  <si>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</si>
  <si>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</si>
  <si>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</si>
  <si>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</si>
  <si>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</si>
  <si>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</si>
  <si>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</si>
  <si>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</si>
  <si>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</si>
  <si>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</si>
  <si>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</si>
  <si>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</si>
  <si>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</si>
  <si>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</si>
  <si>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</si>
  <si>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</si>
  <si>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</si>
  <si>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</si>
  <si>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</si>
  <si>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</si>
  <si>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</si>
  <si>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</si>
  <si>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</si>
  <si>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</si>
  <si>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</si>
  <si>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</si>
  <si>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</si>
  <si>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</si>
  <si>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</si>
  <si>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</si>
  <si>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</si>
  <si>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</si>
  <si>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</si>
  <si>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</si>
  <si>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</si>
  <si>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</si>
  <si>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</si>
  <si>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</si>
  <si>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</si>
  <si>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</si>
  <si>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</si>
  <si>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</si>
  <si>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</si>
  <si>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</si>
  <si>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</si>
  <si>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</si>
  <si>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</si>
  <si>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</si>
  <si>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</si>
  <si>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</si>
  <si>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</si>
  <si>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</si>
  <si>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</si>
  <si>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</si>
  <si>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</si>
  <si>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</si>
  <si>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</si>
  <si>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</si>
  <si>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</si>
  <si>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</si>
  <si>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</si>
  <si>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</si>
  <si>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</si>
  <si>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</si>
  <si>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</si>
  <si>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</si>
  <si>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</si>
  <si>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</si>
  <si>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</si>
  <si>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</si>
  <si>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</si>
  <si>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</si>
  <si>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</si>
  <si>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</si>
  <si>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</si>
  <si>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</si>
  <si>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</si>
  <si>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</si>
  <si>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</si>
  <si>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</si>
  <si>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</si>
  <si>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</si>
  <si>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</si>
  <si>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</si>
  <si>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</si>
  <si>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</si>
  <si>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</si>
  <si>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</si>
  <si>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</si>
  <si>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</si>
  <si>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</si>
  <si>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</si>
  <si>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</si>
  <si>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</si>
  <si>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</si>
  <si>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</si>
  <si>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</si>
  <si>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</si>
  <si>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</si>
  <si>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</si>
  <si>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</si>
  <si>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</si>
  <si>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</si>
  <si>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</si>
  <si>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</si>
  <si>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</si>
  <si>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</si>
  <si>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</si>
  <si>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</si>
  <si>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</si>
  <si>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</si>
  <si>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</si>
  <si>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</si>
  <si>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</si>
  <si>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</si>
  <si>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</si>
  <si>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</si>
  <si>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</si>
  <si>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</si>
  <si>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</si>
  <si>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</si>
  <si>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</si>
  <si>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</si>
  <si>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</si>
  <si>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</si>
  <si>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</si>
  <si>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</si>
  <si>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</si>
  <si>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</si>
  <si>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</si>
  <si>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</si>
  <si>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</si>
  <si>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</si>
  <si>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</si>
  <si>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</si>
  <si>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</si>
  <si>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</si>
  <si>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</si>
  <si>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</si>
  <si>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</si>
  <si>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</si>
  <si>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</si>
  <si>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</si>
  <si>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</si>
  <si>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</si>
  <si>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</si>
  <si>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</si>
  <si>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</si>
  <si>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</si>
  <si>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</si>
  <si>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</si>
  <si>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</si>
  <si>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</si>
  <si>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</si>
  <si>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</si>
  <si>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</si>
  <si>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</si>
  <si>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</si>
  <si>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</si>
  <si>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</si>
  <si>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</si>
  <si>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</si>
  <si>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</si>
  <si>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</si>
  <si>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</si>
  <si>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</si>
  <si>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</si>
  <si>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</si>
  <si>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</si>
  <si>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</si>
  <si>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</si>
  <si>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</si>
  <si>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</si>
  <si>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</si>
  <si>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</si>
  <si>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</si>
  <si>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</si>
  <si>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</si>
  <si>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</si>
  <si>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</si>
  <si>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</si>
  <si>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</si>
  <si>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</si>
  <si>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</si>
  <si>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</si>
  <si>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</si>
  <si>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</si>
  <si>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</si>
  <si>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</si>
  <si>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</si>
  <si>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</si>
  <si>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</si>
  <si>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</si>
  <si>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</si>
  <si>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</si>
  <si>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</si>
  <si>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</si>
  <si>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</si>
  <si>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</si>
  <si>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</si>
  <si>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</si>
  <si>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</si>
  <si>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</si>
  <si>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</si>
  <si>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</si>
  <si>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</si>
  <si>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</si>
  <si>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</si>
  <si>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</si>
  <si>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</si>
  <si>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</si>
  <si>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</si>
  <si>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</si>
  <si>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</si>
  <si>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</si>
  <si>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</si>
  <si>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</si>
  <si>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</si>
  <si>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</si>
  <si>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</si>
  <si>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</si>
  <si>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</si>
  <si>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</si>
  <si>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</si>
  <si>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</si>
  <si>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</si>
  <si>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</si>
  <si>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</si>
  <si>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</si>
  <si>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</si>
  <si>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</si>
  <si>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</si>
  <si>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</si>
  <si>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</si>
  <si>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</si>
  <si>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</si>
  <si>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</si>
  <si>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</si>
  <si>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</si>
  <si>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</si>
  <si>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</si>
  <si>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</si>
  <si>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</si>
  <si>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</si>
  <si>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</si>
  <si>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</si>
  <si>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</si>
  <si>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</si>
  <si>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</si>
  <si>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</si>
  <si>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</si>
  <si>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</si>
  <si>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</si>
  <si>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</si>
  <si>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</si>
  <si>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</si>
  <si>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</si>
  <si>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</si>
  <si>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</si>
  <si>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</si>
  <si>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</si>
  <si>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</si>
  <si>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</si>
  <si>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</si>
  <si>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</si>
  <si>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</si>
  <si>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</si>
  <si>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</si>
  <si>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</si>
  <si>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</si>
  <si>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</si>
  <si>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</si>
  <si>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</si>
  <si>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</si>
  <si>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</si>
  <si>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</si>
  <si>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</si>
  <si>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</si>
  <si>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</si>
  <si>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</si>
  <si>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</si>
  <si>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</si>
  <si>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</si>
  <si>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</si>
  <si>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</si>
  <si>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</si>
  <si>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</si>
  <si>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</si>
  <si>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</si>
  <si>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</si>
  <si>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</si>
  <si>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</si>
  <si>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</si>
  <si>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</si>
  <si>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</si>
  <si>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</si>
  <si>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</si>
  <si>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</si>
  <si>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</si>
  <si>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</si>
  <si>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</si>
  <si>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</si>
  <si>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</si>
  <si>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</si>
  <si>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</si>
  <si>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</si>
  <si>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</si>
  <si>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</si>
  <si>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</si>
  <si>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</si>
  <si>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</si>
  <si>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</si>
  <si>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</si>
  <si>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</si>
  <si>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</si>
  <si>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</si>
  <si>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</si>
  <si>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</si>
  <si>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</si>
  <si>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</si>
  <si>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</si>
  <si>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</si>
  <si>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</si>
  <si>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</si>
  <si>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</si>
  <si>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</si>
  <si>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</si>
  <si>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</si>
  <si>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</si>
  <si>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</si>
  <si>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</si>
  <si>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</si>
  <si>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</si>
  <si>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</si>
  <si>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</si>
  <si>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</si>
  <si>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</si>
  <si>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</si>
  <si>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</si>
  <si>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</si>
  <si>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</si>
  <si>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</si>
  <si>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</si>
  <si>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</si>
  <si>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</si>
  <si>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</si>
  <si>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</si>
  <si>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</si>
  <si>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</si>
  <si>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</si>
  <si>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</si>
  <si>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</si>
  <si>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</si>
  <si>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</si>
  <si>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</si>
  <si>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</si>
  <si>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</si>
  <si>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</si>
  <si>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</si>
  <si>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</si>
  <si>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</si>
  <si>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</si>
  <si>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</si>
  <si>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</si>
  <si>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</si>
  <si>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</si>
  <si>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</si>
  <si>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</si>
  <si>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</si>
  <si>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</si>
  <si>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</si>
  <si>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</si>
  <si>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</si>
  <si>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</si>
  <si>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</si>
  <si>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</si>
  <si>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</si>
  <si>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</si>
  <si>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</si>
  <si>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</si>
  <si>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</si>
  <si>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</si>
  <si>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</si>
  <si>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</si>
  <si>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</si>
  <si>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</si>
  <si>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</si>
  <si>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</si>
  <si>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</si>
  <si>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</si>
  <si>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</si>
  <si>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</si>
  <si>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</si>
  <si>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</si>
  <si>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</si>
  <si>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</si>
  <si>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</si>
  <si>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</si>
  <si>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</si>
  <si>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</si>
  <si>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</si>
  <si>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</si>
  <si>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</si>
  <si>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</si>
  <si>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</si>
  <si>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</si>
  <si>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</si>
  <si>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</si>
  <si>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</si>
  <si>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</si>
  <si>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</si>
  <si>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</si>
  <si>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</si>
  <si>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</si>
  <si>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</si>
  <si>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</si>
  <si>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</si>
  <si>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</si>
  <si>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</si>
  <si>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</si>
  <si>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</si>
  <si>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</si>
  <si>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</si>
  <si>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</si>
  <si>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</si>
  <si>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</si>
  <si>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</si>
  <si>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</si>
  <si>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</si>
  <si>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</si>
  <si>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</si>
  <si>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</si>
  <si>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</si>
  <si>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</si>
  <si>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</si>
  <si>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</si>
  <si>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</si>
  <si>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</si>
  <si>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</si>
  <si>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</si>
  <si>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</si>
  <si>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</si>
  <si>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</si>
  <si>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</si>
  <si>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</si>
  <si>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</si>
  <si>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</si>
  <si>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</si>
  <si>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</si>
  <si>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</si>
  <si>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</si>
  <si>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</si>
  <si>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</si>
  <si>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</si>
  <si>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</si>
  <si>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</si>
  <si>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</si>
  <si>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</si>
  <si>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</si>
  <si>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</si>
  <si>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</si>
  <si>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</si>
  <si>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</si>
  <si>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</si>
  <si>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</si>
  <si>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</si>
  <si>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</si>
  <si>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</si>
  <si>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</si>
  <si>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</si>
  <si>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</si>
  <si>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</si>
  <si>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</si>
  <si>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</si>
  <si>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</si>
  <si>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</si>
  <si>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</si>
  <si>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</si>
  <si>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</si>
  <si>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</si>
  <si>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</si>
  <si>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</si>
  <si>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</si>
  <si>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</si>
  <si>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</si>
  <si>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</si>
  <si>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</si>
  <si>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</si>
  <si>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</si>
  <si>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</si>
  <si>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</si>
  <si>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</si>
  <si>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</si>
  <si>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</si>
  <si>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</si>
  <si>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</si>
  <si>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</si>
  <si>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</si>
  <si>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</si>
  <si>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</si>
  <si>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</si>
  <si>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</si>
  <si>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</si>
  <si>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</si>
  <si>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</si>
  <si>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</si>
  <si>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</si>
  <si>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</si>
  <si>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</si>
  <si>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</si>
  <si>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</si>
  <si>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</si>
  <si>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</si>
  <si>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</si>
  <si>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</si>
  <si>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</si>
  <si>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</si>
  <si>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</si>
  <si>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</si>
  <si>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</si>
  <si>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</si>
  <si>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</si>
  <si>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</si>
  <si>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</si>
  <si>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</si>
  <si>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</si>
  <si>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</si>
  <si>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</si>
  <si>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</si>
  <si>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</si>
  <si>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</si>
  <si>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</si>
  <si>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</si>
  <si>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</si>
  <si>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</si>
  <si>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</si>
  <si>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</si>
  <si>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</si>
  <si>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</si>
  <si>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</si>
  <si>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</si>
  <si>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</si>
  <si>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</si>
  <si>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</si>
  <si>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</si>
  <si>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</si>
  <si>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</si>
  <si>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</si>
  <si>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</si>
  <si>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</si>
  <si>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</si>
  <si>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</si>
  <si>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</si>
  <si>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</si>
  <si>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</si>
  <si>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</si>
  <si>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</si>
  <si>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</si>
  <si>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</si>
  <si>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</si>
  <si>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</si>
  <si>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</si>
  <si>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</si>
  <si>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</si>
  <si>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</si>
  <si>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</si>
  <si>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</si>
  <si>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</si>
  <si>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</si>
  <si>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</si>
  <si>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</si>
  <si>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</si>
  <si>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</si>
  <si>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</si>
  <si>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</si>
  <si>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</si>
  <si>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</si>
  <si>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</si>
  <si>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</si>
  <si>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</si>
  <si>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</si>
  <si>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</si>
  <si>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</si>
  <si>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</si>
  <si>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</si>
  <si>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</si>
  <si>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</si>
  <si>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</si>
  <si>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</si>
  <si>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</si>
  <si>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</si>
  <si>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</si>
  <si>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</si>
  <si>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</si>
  <si>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</si>
  <si>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</si>
  <si>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</si>
  <si>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</si>
  <si>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</si>
  <si>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</si>
  <si>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</si>
  <si>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</si>
  <si>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</si>
  <si>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</si>
  <si>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</si>
  <si>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</si>
  <si>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</si>
  <si>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</si>
  <si>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</si>
  <si>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</si>
  <si>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</si>
  <si>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</si>
  <si>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</si>
  <si>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</si>
  <si>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</si>
  <si>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</si>
  <si>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</si>
  <si>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</si>
  <si>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</si>
  <si>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</si>
  <si>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</si>
  <si>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</si>
  <si>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</si>
  <si>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</si>
  <si>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</si>
  <si>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</si>
  <si>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</si>
  <si>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</si>
  <si>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</si>
  <si>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</si>
  <si>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</si>
  <si>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</si>
  <si>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</si>
  <si>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</si>
  <si>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</si>
  <si>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</si>
  <si>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</si>
  <si>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</si>
  <si>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</si>
  <si>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</si>
  <si>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</si>
  <si>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</si>
  <si>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</si>
  <si>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</si>
  <si>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</si>
  <si>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</si>
  <si>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</si>
  <si>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</si>
  <si>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</si>
  <si>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</si>
  <si>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</si>
  <si>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</si>
  <si>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</si>
  <si>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</si>
  <si>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</si>
  <si>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</si>
  <si>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</si>
  <si>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</si>
  <si>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</si>
  <si>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</si>
  <si>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</si>
  <si>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</si>
  <si>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</si>
  <si>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</si>
  <si>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</si>
  <si>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</si>
  <si>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</si>
  <si>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</si>
  <si>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</si>
  <si>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</si>
  <si>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</si>
  <si>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</si>
  <si>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</si>
  <si>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</si>
  <si>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</si>
  <si>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</si>
  <si>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</si>
  <si>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</si>
  <si>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</si>
  <si>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</si>
  <si>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</si>
  <si>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</si>
  <si>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</si>
  <si>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</si>
  <si>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</si>
  <si>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</si>
  <si>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</si>
  <si>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</si>
  <si>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</si>
  <si>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</si>
  <si>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</si>
  <si>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</si>
  <si>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</si>
  <si>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</si>
  <si>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</si>
  <si>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</si>
  <si>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</si>
  <si>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</si>
  <si>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</si>
  <si>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</si>
  <si>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</si>
  <si>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</si>
  <si>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</si>
  <si>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</si>
  <si>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</si>
  <si>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</si>
  <si>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</si>
  <si>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</si>
  <si>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</si>
  <si>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</si>
  <si>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</si>
  <si>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</si>
  <si>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</si>
  <si>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</si>
  <si>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</si>
  <si>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</si>
  <si>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</si>
  <si>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</si>
  <si>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</si>
  <si>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</si>
  <si>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</si>
  <si>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</si>
  <si>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</si>
  <si>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</si>
  <si>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</si>
  <si>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</si>
  <si>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</si>
  <si>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</si>
  <si>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</si>
  <si>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</si>
  <si>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</si>
  <si>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</si>
  <si>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</si>
  <si>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</si>
  <si>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</si>
  <si>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</si>
  <si>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</si>
  <si>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</si>
  <si>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</si>
  <si>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</si>
  <si>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</si>
  <si>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</si>
  <si>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</si>
  <si>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</si>
  <si>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</si>
  <si>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</si>
  <si>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</si>
  <si>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</si>
  <si>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</si>
  <si>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</si>
  <si>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</si>
  <si>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</si>
  <si>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</si>
  <si>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</si>
  <si>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</si>
  <si>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</si>
  <si>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</si>
  <si>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</si>
  <si>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</si>
  <si>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</si>
  <si>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</si>
  <si>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</si>
  <si>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</si>
  <si>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</si>
  <si>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</si>
  <si>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</si>
  <si>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</si>
  <si>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</si>
  <si>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</si>
  <si>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</si>
  <si>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</si>
  <si>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</si>
  <si>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</si>
  <si>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</si>
  <si>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</si>
  <si>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</si>
  <si>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</si>
  <si>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</si>
  <si>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</si>
  <si>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</si>
  <si>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</si>
  <si>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</si>
  <si>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</si>
  <si>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</si>
  <si>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</si>
  <si>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</si>
  <si>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</si>
  <si>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</si>
  <si>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</si>
  <si>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</si>
  <si>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</si>
  <si>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</si>
  <si>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</si>
  <si>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</si>
  <si>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</si>
  <si>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</si>
  <si>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</si>
  <si>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</si>
  <si>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</si>
  <si>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</si>
  <si>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</si>
  <si>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</si>
  <si>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</si>
  <si>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</si>
  <si>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</si>
  <si>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</si>
  <si>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</si>
  <si>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</si>
  <si>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</si>
  <si>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</si>
  <si>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</si>
  <si>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</si>
  <si>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</si>
  <si>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</si>
  <si>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</si>
  <si>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</si>
  <si>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</si>
  <si>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</si>
  <si>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</si>
  <si>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</si>
  <si>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</si>
  <si>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</si>
  <si>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</si>
  <si>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</si>
  <si>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</si>
  <si>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</si>
  <si>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</si>
  <si>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</si>
  <si>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</si>
  <si>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</si>
  <si>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</si>
  <si>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</si>
  <si>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</si>
  <si>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</si>
  <si>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</si>
  <si>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</si>
  <si>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</si>
  <si>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</si>
  <si>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</si>
  <si>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</si>
  <si>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</si>
  <si>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</si>
  <si>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</si>
  <si>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</si>
  <si>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</si>
  <si>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</si>
  <si>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</si>
  <si>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</si>
  <si>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</si>
  <si>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</si>
  <si>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</si>
  <si>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</si>
  <si>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</si>
  <si>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</si>
  <si>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</si>
  <si>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</si>
  <si>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</si>
  <si>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</si>
  <si>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</si>
  <si>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</si>
  <si>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</si>
  <si>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</si>
  <si>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</si>
  <si>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</si>
  <si>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</si>
  <si>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</si>
  <si>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</si>
  <si>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</si>
  <si>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</si>
  <si>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</si>
  <si>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</si>
  <si>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</si>
  <si>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</si>
  <si>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</si>
  <si>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</si>
  <si>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</si>
  <si>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</si>
  <si>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</si>
  <si>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</si>
  <si>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</si>
  <si>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</si>
  <si>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</si>
  <si>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</si>
  <si>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</si>
  <si>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</si>
  <si>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</si>
  <si>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</si>
  <si>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</si>
  <si>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</si>
  <si>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</si>
  <si>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</si>
  <si>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</si>
  <si>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</si>
  <si>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</si>
  <si>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</si>
  <si>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</si>
  <si>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</si>
  <si>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</si>
  <si>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</si>
  <si>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</si>
  <si>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</si>
  <si>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</si>
  <si>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</si>
  <si>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</si>
  <si>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</si>
  <si>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</si>
  <si>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</si>
  <si>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</si>
  <si>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</si>
  <si>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</si>
  <si>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</si>
  <si>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</si>
  <si>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</si>
  <si>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</si>
  <si>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</si>
  <si>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</si>
  <si>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</si>
  <si>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</si>
  <si>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</si>
  <si>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</si>
  <si>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</si>
  <si>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</si>
  <si>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</si>
  <si>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</si>
  <si>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</si>
  <si>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</si>
  <si>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</si>
  <si>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</si>
  <si>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</si>
  <si>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</si>
  <si>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</si>
  <si>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</si>
  <si>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</si>
  <si>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</si>
  <si>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</si>
  <si>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</si>
  <si>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</si>
  <si>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</si>
  <si>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</si>
  <si>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</si>
  <si>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</si>
  <si>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</si>
  <si>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</si>
  <si>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</si>
  <si>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</si>
  <si>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</si>
  <si>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</si>
  <si>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</si>
  <si>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</si>
  <si>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</si>
  <si>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</si>
  <si>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</si>
  <si>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</si>
  <si>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</si>
  <si>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</si>
  <si>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</si>
  <si>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</si>
  <si>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</si>
  <si>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</si>
  <si>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</si>
  <si>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</si>
  <si>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</si>
  <si>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</si>
  <si>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</si>
  <si>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</si>
  <si>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</si>
  <si>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</si>
  <si>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</si>
  <si>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</si>
  <si>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</si>
  <si>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</si>
  <si>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</si>
  <si>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</si>
  <si>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</si>
  <si>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</si>
  <si>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</si>
  <si>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</si>
  <si>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</si>
  <si>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</si>
  <si>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</si>
  <si>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</si>
  <si>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</si>
  <si>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</si>
  <si>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</si>
  <si>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</si>
  <si>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</si>
  <si>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</si>
  <si>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</si>
  <si>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</si>
  <si>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</si>
  <si>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</si>
  <si>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</si>
  <si>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</si>
  <si>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</si>
  <si>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</si>
  <si>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</si>
  <si>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</si>
  <si>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</si>
  <si>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</si>
  <si>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</si>
  <si>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</si>
  <si>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</si>
  <si>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</si>
  <si>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</si>
  <si>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</si>
  <si>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</si>
  <si>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</si>
  <si>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</si>
  <si>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</si>
  <si>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</si>
  <si>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</si>
  <si>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</si>
  <si>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</si>
  <si>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</si>
  <si>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</si>
  <si>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</si>
  <si>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</si>
  <si>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</si>
  <si>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</si>
  <si>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</si>
  <si>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</si>
  <si>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</si>
  <si>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</si>
  <si>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</si>
  <si>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</si>
  <si>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</si>
  <si>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</si>
  <si>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</si>
  <si>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</si>
  <si>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</si>
  <si>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</si>
  <si>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</si>
  <si>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</si>
  <si>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</si>
  <si>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</si>
  <si>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</si>
  <si>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</si>
  <si>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</si>
  <si>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</si>
  <si>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</si>
  <si>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</si>
  <si>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</si>
  <si>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</si>
  <si>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</si>
  <si>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</si>
  <si>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</si>
  <si>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</si>
  <si>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</si>
  <si>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</si>
  <si>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</si>
  <si>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</si>
  <si>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</si>
  <si>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</si>
  <si>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</si>
  <si>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</si>
  <si>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</si>
  <si>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</si>
  <si>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</si>
  <si>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</si>
  <si>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</si>
  <si>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</si>
  <si>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</si>
  <si>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</si>
  <si>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</si>
  <si>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</si>
  <si>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</si>
  <si>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</si>
  <si>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</si>
  <si>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</si>
  <si>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</si>
  <si>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</si>
  <si>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</si>
  <si>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</si>
  <si>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</si>
  <si>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</si>
  <si>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</si>
  <si>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</si>
  <si>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</si>
  <si>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</si>
  <si>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</si>
  <si>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</si>
  <si>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</si>
  <si>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</si>
  <si>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</si>
  <si>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</si>
  <si>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</si>
  <si>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</si>
  <si>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</si>
  <si>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</si>
  <si>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</si>
  <si>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</si>
  <si>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</si>
  <si>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</si>
  <si>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</si>
  <si>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</si>
  <si>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</si>
  <si>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</si>
  <si>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</si>
  <si>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</si>
  <si>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</si>
  <si>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</si>
  <si>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</si>
  <si>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</si>
  <si>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</si>
  <si>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</si>
  <si>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</si>
  <si>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</si>
  <si>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</si>
  <si>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</si>
  <si>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</si>
  <si>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</si>
  <si>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</si>
  <si>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</si>
  <si>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</si>
  <si>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</si>
  <si>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</si>
  <si>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</si>
  <si>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</si>
  <si>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</si>
  <si>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</si>
  <si>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</si>
  <si>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</si>
  <si>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</si>
  <si>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</si>
  <si>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</si>
  <si>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</si>
  <si>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</si>
  <si>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</si>
  <si>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</si>
  <si>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</si>
  <si>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</si>
  <si>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</si>
  <si>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</si>
  <si>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</si>
  <si>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</si>
  <si>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</si>
  <si>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</si>
  <si>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</si>
  <si>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</si>
  <si>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</si>
  <si>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</si>
  <si>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</si>
  <si>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</si>
  <si>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</si>
  <si>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</si>
  <si>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</si>
  <si>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</si>
  <si>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</si>
  <si>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</si>
  <si>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</si>
  <si>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</si>
  <si>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</si>
  <si>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</si>
  <si>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</si>
  <si>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</si>
  <si>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</si>
  <si>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</si>
  <si>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</si>
  <si>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</si>
  <si>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</si>
  <si>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</si>
  <si>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</si>
  <si>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</si>
  <si>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</si>
  <si>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</si>
  <si>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</si>
  <si>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</si>
  <si>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</si>
  <si>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</si>
  <si>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</si>
  <si>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</si>
  <si>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</si>
  <si>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</si>
  <si>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</si>
  <si>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</si>
  <si>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</si>
  <si>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</si>
  <si>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</si>
  <si>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</si>
  <si>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</si>
  <si>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</si>
  <si>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</si>
  <si>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</si>
  <si>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</si>
  <si>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</si>
  <si>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</si>
  <si>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</si>
  <si>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</si>
  <si>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</si>
  <si>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</si>
  <si>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</si>
  <si>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</si>
  <si>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</si>
  <si>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</si>
  <si>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</si>
  <si>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</si>
  <si>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</si>
  <si>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</si>
  <si>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</si>
  <si>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</si>
  <si>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</si>
  <si>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</si>
  <si>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</si>
  <si>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</si>
  <si>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</si>
  <si>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</si>
  <si>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</si>
  <si>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</si>
  <si>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</si>
  <si>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</si>
  <si>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</si>
  <si>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</si>
  <si>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</si>
  <si>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</si>
  <si>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</si>
  <si>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</si>
  <si>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</si>
  <si>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</si>
  <si>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</si>
  <si>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</si>
  <si>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</si>
  <si>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</si>
  <si>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</si>
  <si>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</si>
  <si>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</si>
  <si>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</si>
  <si>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</si>
  <si>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</si>
  <si>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</si>
  <si>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</si>
  <si>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</si>
  <si>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</si>
  <si>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</si>
  <si>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</si>
  <si>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</si>
  <si>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</si>
  <si>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</si>
  <si>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</si>
  <si>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</si>
  <si>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</si>
  <si>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</si>
  <si>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</si>
  <si>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</si>
  <si>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</si>
  <si>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</si>
  <si>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</si>
  <si>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</si>
  <si>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</si>
  <si>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</si>
  <si>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</si>
  <si>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</si>
  <si>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</si>
  <si>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</si>
  <si>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</si>
  <si>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</si>
  <si>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</si>
  <si>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</si>
  <si>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</si>
  <si>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</si>
  <si>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</si>
  <si>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</si>
  <si>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</si>
  <si>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</si>
  <si>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</si>
  <si>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</si>
  <si>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</si>
  <si>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</si>
  <si>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</si>
  <si>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</si>
  <si>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</si>
  <si>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</si>
  <si>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</si>
  <si>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</si>
  <si>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</si>
  <si>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</si>
  <si>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</si>
  <si>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</si>
  <si>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</si>
  <si>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</si>
  <si>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</si>
  <si>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</si>
  <si>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</si>
  <si>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</si>
  <si>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</si>
  <si>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</si>
  <si>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</si>
  <si>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</si>
  <si>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</si>
  <si>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</si>
  <si>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</si>
  <si>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</si>
  <si>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</si>
  <si>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</si>
  <si>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</si>
  <si>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</si>
  <si>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</si>
  <si>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</si>
  <si>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</si>
  <si>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</si>
  <si>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</si>
  <si>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</si>
  <si>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</si>
  <si>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</si>
  <si>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</si>
  <si>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</si>
  <si>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</si>
  <si>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</si>
  <si>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</si>
  <si>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</si>
  <si>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</si>
  <si>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</si>
  <si>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</si>
  <si>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</si>
  <si>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</si>
  <si>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</si>
  <si>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</si>
  <si>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</si>
  <si>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</si>
  <si>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</si>
  <si>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</si>
  <si>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</si>
  <si>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</si>
  <si>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</si>
  <si>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</si>
  <si>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</si>
  <si>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</si>
  <si>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</si>
  <si>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</si>
  <si>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</si>
  <si>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</si>
  <si>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</si>
  <si>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</si>
  <si>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</si>
  <si>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</si>
  <si>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</si>
  <si>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</si>
  <si>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</si>
  <si>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</si>
  <si>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</si>
  <si>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</si>
  <si>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</si>
  <si>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</si>
  <si>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</si>
  <si>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</si>
  <si>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</si>
  <si>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</si>
  <si>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</si>
  <si>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</si>
  <si>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</si>
  <si>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</si>
  <si>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</si>
  <si>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</si>
  <si>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</si>
  <si>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</si>
  <si>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</si>
  <si>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</si>
  <si>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</si>
  <si>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</si>
  <si>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</si>
  <si>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</si>
  <si>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</si>
  <si>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</si>
  <si>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</si>
  <si>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</si>
  <si>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</si>
  <si>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</si>
  <si>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</si>
  <si>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</si>
  <si>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</si>
  <si>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</si>
  <si>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</si>
  <si>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</si>
  <si>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</si>
  <si>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</si>
  <si>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</si>
  <si>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</si>
  <si>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</si>
  <si>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</si>
  <si>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</si>
  <si>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</si>
  <si>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</si>
  <si>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</si>
  <si>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</si>
  <si>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</si>
  <si>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</si>
  <si>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</si>
  <si>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</si>
  <si>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</si>
  <si>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</si>
  <si>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</si>
  <si>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</si>
  <si>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</si>
  <si>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</si>
  <si>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</si>
  <si>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</si>
  <si>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</si>
  <si>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</si>
  <si>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</si>
  <si>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</si>
  <si>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</si>
  <si>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</si>
  <si>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</si>
  <si>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</si>
  <si>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</si>
  <si>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</si>
  <si>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</si>
  <si>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</si>
  <si>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</si>
  <si>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</si>
  <si>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</si>
  <si>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</si>
  <si>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</si>
  <si>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</si>
  <si>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</si>
  <si>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</si>
  <si>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</si>
  <si>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</si>
  <si>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</si>
  <si>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</si>
  <si>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</si>
  <si>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</si>
  <si>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</si>
  <si>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</si>
  <si>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</si>
  <si>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</si>
  <si>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</si>
  <si>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</si>
  <si>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</si>
  <si>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</si>
  <si>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</si>
  <si>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</si>
  <si>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</si>
  <si>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</si>
  <si>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</si>
  <si>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</si>
  <si>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</si>
  <si>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</si>
  <si>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</si>
  <si>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</si>
  <si>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</si>
  <si>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</si>
  <si>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</si>
  <si>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</si>
  <si>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</si>
  <si>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</si>
  <si>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</si>
  <si>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</si>
  <si>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</si>
  <si>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</si>
  <si>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</si>
  <si>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</si>
  <si>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</si>
  <si>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</si>
  <si>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</si>
  <si>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</si>
  <si>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</si>
  <si>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</si>
  <si>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</si>
  <si>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</si>
  <si>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</si>
  <si>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</si>
  <si>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</si>
  <si>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</si>
  <si>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</si>
  <si>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</si>
  <si>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</si>
  <si>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</si>
  <si>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</si>
  <si>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</si>
  <si>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</si>
  <si>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</si>
  <si>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</si>
  <si>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</si>
  <si>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</si>
  <si>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</si>
  <si>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</si>
  <si>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</si>
  <si>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</si>
  <si>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</si>
  <si>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</si>
  <si>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</si>
  <si>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</si>
  <si>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</si>
  <si>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</si>
  <si>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</si>
  <si>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</si>
  <si>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</si>
  <si>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</si>
  <si>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</si>
  <si>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</si>
  <si>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</si>
  <si>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</si>
  <si>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</si>
  <si>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</si>
  <si>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</si>
  <si>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</si>
  <si>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</si>
  <si>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</si>
  <si>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</si>
  <si>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</si>
  <si>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</si>
  <si>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</si>
  <si>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</si>
  <si>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</si>
  <si>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</si>
  <si>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</si>
  <si>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</si>
  <si>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</si>
  <si>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</si>
  <si>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</si>
  <si>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</si>
  <si>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</si>
  <si>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</si>
  <si>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</si>
  <si>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</si>
  <si>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</si>
  <si>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</si>
  <si>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</si>
  <si>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</si>
  <si>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</si>
  <si>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</si>
  <si>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</si>
  <si>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</si>
  <si>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</si>
  <si>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</si>
  <si>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</si>
  <si>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</si>
  <si>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</si>
  <si>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</si>
  <si>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</si>
  <si>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</si>
  <si>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</si>
  <si>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</si>
  <si>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</si>
  <si>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</si>
  <si>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</si>
  <si>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</si>
  <si>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</si>
  <si>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</si>
  <si>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</si>
  <si>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</si>
  <si>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</si>
  <si>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</si>
  <si>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</si>
  <si>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</si>
  <si>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</si>
  <si>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</si>
  <si>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</si>
  <si>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</si>
  <si>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</si>
  <si>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</si>
  <si>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</si>
  <si>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</si>
  <si>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</si>
  <si>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</si>
  <si>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</si>
  <si>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</si>
  <si>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</si>
  <si>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</si>
  <si>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</si>
  <si>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</si>
  <si>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</si>
  <si>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</si>
  <si>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</si>
  <si>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</si>
  <si>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</si>
  <si>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</si>
  <si>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</si>
  <si>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</si>
  <si>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</si>
  <si>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</si>
  <si>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</si>
  <si>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</si>
  <si>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</si>
  <si>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</si>
  <si>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</si>
  <si>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</si>
  <si>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</si>
  <si>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</si>
  <si>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</si>
  <si>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</si>
  <si>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</si>
  <si>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</si>
  <si>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</si>
  <si>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</si>
  <si>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</si>
  <si>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</si>
  <si>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</si>
  <si>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</si>
  <si>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</si>
  <si>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</si>
  <si>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</si>
  <si>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</si>
  <si>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</si>
  <si>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</si>
  <si>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</si>
  <si>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</si>
  <si>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</si>
  <si>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</si>
  <si>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</si>
  <si>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</si>
  <si>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</si>
  <si>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</si>
  <si>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</si>
  <si>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</si>
  <si>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</si>
  <si>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</si>
  <si>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</si>
  <si>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</si>
  <si>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</si>
  <si>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</si>
  <si>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</si>
  <si>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</si>
  <si>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</si>
  <si>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</si>
  <si>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</si>
  <si>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</si>
  <si>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</si>
  <si>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</si>
  <si>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</si>
  <si>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</si>
  <si>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</si>
  <si>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</si>
  <si>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</si>
  <si>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</si>
  <si>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</si>
  <si>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</si>
  <si>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</si>
  <si>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</si>
  <si>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</si>
  <si>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</si>
  <si>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</si>
  <si>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</si>
  <si>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</si>
  <si>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</si>
  <si>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</si>
  <si>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</si>
  <si>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</si>
  <si>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</si>
  <si>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</si>
  <si>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</si>
  <si>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</si>
  <si>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</si>
  <si>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</si>
  <si>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</si>
  <si>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</si>
  <si>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</si>
  <si>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</si>
  <si>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</si>
  <si>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</si>
  <si>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</si>
  <si>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</si>
  <si>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</si>
  <si>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</si>
  <si>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</si>
  <si>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</si>
  <si>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</si>
  <si>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</si>
  <si>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</si>
  <si>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</si>
  <si>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</si>
  <si>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</si>
  <si>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</si>
  <si>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</si>
  <si>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</si>
  <si>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</si>
  <si>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</si>
  <si>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</si>
  <si>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</si>
  <si>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</si>
  <si>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</si>
  <si>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</si>
  <si>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</si>
  <si>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</si>
  <si>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</si>
  <si>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</si>
  <si>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</si>
  <si>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</si>
  <si>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</si>
  <si>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</si>
  <si>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</si>
  <si>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</si>
  <si>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</si>
  <si>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</si>
  <si>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</si>
  <si>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</si>
  <si>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</si>
  <si>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</si>
  <si>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</si>
  <si>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</si>
  <si>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</si>
  <si>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</si>
  <si>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</si>
  <si>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</si>
  <si>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</si>
  <si>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</si>
  <si>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</si>
  <si>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</si>
  <si>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</si>
  <si>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</si>
  <si>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</si>
  <si>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</si>
  <si>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</si>
  <si>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</si>
  <si>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</si>
  <si>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</si>
  <si>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</si>
  <si>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</si>
  <si>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</si>
  <si>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</si>
  <si>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</si>
  <si>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</si>
  <si>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</si>
  <si>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</si>
  <si>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</si>
  <si>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</si>
  <si>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</si>
  <si>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</si>
  <si>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</si>
  <si>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</si>
  <si>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</si>
  <si>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</si>
  <si>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</si>
  <si>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</si>
  <si>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</si>
  <si>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</si>
  <si>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</si>
  <si>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</si>
  <si>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</si>
  <si>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</si>
  <si>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</si>
  <si>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</si>
  <si>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</si>
  <si>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</si>
  <si>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</si>
  <si>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</si>
  <si>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</si>
  <si>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</si>
  <si>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</si>
  <si>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</si>
  <si>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</si>
  <si>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</si>
  <si>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</si>
  <si>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</si>
  <si>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</si>
  <si>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</si>
  <si>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</si>
  <si>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</si>
  <si>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</si>
  <si>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</si>
  <si>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</si>
  <si>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</si>
  <si>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</si>
  <si>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</si>
  <si>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</si>
  <si>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</si>
  <si>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</si>
  <si>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</si>
  <si>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</si>
  <si>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</si>
  <si>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</si>
  <si>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</si>
  <si>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</si>
  <si>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</si>
  <si>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</si>
  <si>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</si>
  <si>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</si>
  <si>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</si>
  <si>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</si>
  <si>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</si>
  <si>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</si>
  <si>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</si>
  <si>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</si>
  <si>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</si>
  <si>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</si>
  <si>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</si>
  <si>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</si>
  <si>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</si>
  <si>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</si>
  <si>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</si>
  <si>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</si>
  <si>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</si>
  <si>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</si>
  <si>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</si>
  <si>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</si>
  <si>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</si>
  <si>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</si>
  <si>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</si>
  <si>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</si>
  <si>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</si>
  <si>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</si>
  <si>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</si>
  <si>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</si>
  <si>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</si>
  <si>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</si>
  <si>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</si>
  <si>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</si>
  <si>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</si>
  <si>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</si>
  <si>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</si>
  <si>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</si>
  <si>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</si>
  <si>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</si>
  <si>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</si>
  <si>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</si>
  <si>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</si>
  <si>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</si>
  <si>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</si>
  <si>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</si>
  <si>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</si>
  <si>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</si>
  <si>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</si>
  <si>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</si>
  <si>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</si>
  <si>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</si>
  <si>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</si>
  <si>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</si>
  <si>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</si>
  <si>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</si>
  <si>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</si>
  <si>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</si>
  <si>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</si>
  <si>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</si>
  <si>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</si>
  <si>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</si>
  <si>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</si>
  <si>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</si>
  <si>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</si>
  <si>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</si>
  <si>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</si>
  <si>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</si>
  <si>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</si>
  <si>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</si>
  <si>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</si>
  <si>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</si>
  <si>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</si>
  <si>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</si>
  <si>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</si>
  <si>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</si>
  <si>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</si>
  <si>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</si>
  <si>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</si>
  <si>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</si>
  <si>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</si>
  <si>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</si>
  <si>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</si>
  <si>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</si>
  <si>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</si>
  <si>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</si>
  <si>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</si>
  <si>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</si>
  <si>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</si>
  <si>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</si>
  <si>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</si>
  <si>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</si>
  <si>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</si>
  <si>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</si>
  <si>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</si>
  <si>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</si>
  <si>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</si>
  <si>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</si>
  <si>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</si>
  <si>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</si>
  <si>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</si>
  <si>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</si>
  <si>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</si>
  <si>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</si>
  <si>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</si>
  <si>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</si>
  <si>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</si>
  <si>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</si>
  <si>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</si>
  <si>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</si>
  <si>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</si>
  <si>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</si>
  <si>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</si>
  <si>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</si>
  <si>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</si>
  <si>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</si>
  <si>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</si>
  <si>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</si>
  <si>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</si>
  <si>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</si>
  <si>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</si>
  <si>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</si>
  <si>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</si>
  <si>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</si>
  <si>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</si>
  <si>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</si>
  <si>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</si>
  <si>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</si>
  <si>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</si>
  <si>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</si>
  <si>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</si>
  <si>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</si>
  <si>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</si>
  <si>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</si>
  <si>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</si>
  <si>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</si>
  <si>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</si>
  <si>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</si>
  <si>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</si>
  <si>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</si>
  <si>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</si>
  <si>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</si>
  <si>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</si>
  <si>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</si>
  <si>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</si>
  <si>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</si>
  <si>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</si>
  <si>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</si>
  <si>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</si>
  <si>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</si>
  <si>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</si>
  <si>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</si>
  <si>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</si>
  <si>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</si>
  <si>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</si>
  <si>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</si>
  <si>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</si>
  <si>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</si>
  <si>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</si>
  <si>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</si>
  <si>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</si>
  <si>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</si>
  <si>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</si>
  <si>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</si>
  <si>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</si>
  <si>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</si>
  <si>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</si>
  <si>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</si>
  <si>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</si>
  <si>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</si>
  <si>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</si>
  <si>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</si>
  <si>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</si>
  <si>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</si>
  <si>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</si>
  <si>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</si>
  <si>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</si>
  <si>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</si>
  <si>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</si>
  <si>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</si>
  <si>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</si>
  <si>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</si>
  <si>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</si>
  <si>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</si>
  <si>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</si>
  <si>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</si>
  <si>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</si>
  <si>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</si>
  <si>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</si>
  <si>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</si>
  <si>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</si>
  <si>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</si>
  <si>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</si>
  <si>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</si>
  <si>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</si>
  <si>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</si>
  <si>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</si>
  <si>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</si>
  <si>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</si>
  <si>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</si>
  <si>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</si>
  <si>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</si>
  <si>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</si>
  <si>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</si>
  <si>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</si>
  <si>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</si>
  <si>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</si>
  <si>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</si>
  <si>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</si>
  <si>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</si>
  <si>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</si>
  <si>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</si>
  <si>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</si>
  <si>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</si>
  <si>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</si>
  <si>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</si>
  <si>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</si>
  <si>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</si>
  <si>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</si>
  <si>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</si>
  <si>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</si>
  <si>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</si>
  <si>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</si>
  <si>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</si>
  <si>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</si>
  <si>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</si>
  <si>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</si>
  <si>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</si>
  <si>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</si>
  <si>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</si>
  <si>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</si>
  <si>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</si>
  <si>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</si>
  <si>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</si>
  <si>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</si>
  <si>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</si>
  <si>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</si>
  <si>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</si>
  <si>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</si>
  <si>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</si>
  <si>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</si>
  <si>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</si>
  <si>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</si>
  <si>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</si>
  <si>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</si>
  <si>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</si>
  <si>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</si>
  <si>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</si>
  <si>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</si>
  <si>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</si>
  <si>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</si>
  <si>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</si>
  <si>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</si>
  <si>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</si>
  <si>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</si>
  <si>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</si>
  <si>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</si>
  <si>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</si>
  <si>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</si>
  <si>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</si>
  <si>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</si>
  <si>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</si>
  <si>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</si>
  <si>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</si>
  <si>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</si>
  <si>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</si>
  <si>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</si>
  <si>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</si>
  <si>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</si>
  <si>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</si>
  <si>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</si>
  <si>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</si>
  <si>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</si>
  <si>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</si>
  <si>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</si>
  <si>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</si>
  <si>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</si>
  <si>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</si>
  <si>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</si>
  <si>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</si>
  <si>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</si>
  <si>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</si>
  <si>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</si>
  <si>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</si>
  <si>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</si>
  <si>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</si>
  <si>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</si>
  <si>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</si>
  <si>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</si>
  <si>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</si>
  <si>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</si>
  <si>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</si>
  <si>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</si>
  <si>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</si>
  <si>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</si>
  <si>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</si>
  <si>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</si>
  <si>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</si>
  <si>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</si>
  <si>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</si>
  <si>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</si>
  <si>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</si>
  <si>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</si>
  <si>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</si>
  <si>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</si>
  <si>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</si>
  <si>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</si>
  <si>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</si>
  <si>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</si>
  <si>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</si>
  <si>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</si>
  <si>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</si>
  <si>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</si>
  <si>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</si>
  <si>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</si>
  <si>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</si>
  <si>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</si>
  <si>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</si>
  <si>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</si>
  <si>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</si>
  <si>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</si>
  <si>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</si>
  <si>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</si>
  <si>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</si>
  <si>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</si>
  <si>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</si>
  <si>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</si>
  <si>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</si>
  <si>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</si>
  <si>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</si>
  <si>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</si>
  <si>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</si>
  <si>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</si>
  <si>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</si>
  <si>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</si>
  <si>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</si>
  <si>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</si>
  <si>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</si>
  <si>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</si>
  <si>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</si>
  <si>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</si>
  <si>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</si>
  <si>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</si>
  <si>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</si>
  <si>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</si>
  <si>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</si>
  <si>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</si>
  <si>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</si>
  <si>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</si>
  <si>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</si>
  <si>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</si>
  <si>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</si>
  <si>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</si>
  <si>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</si>
  <si>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</si>
  <si>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</si>
  <si>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</si>
  <si>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</si>
  <si>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</si>
  <si>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</si>
  <si>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</si>
  <si>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</si>
  <si>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</si>
  <si>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</si>
  <si>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</si>
  <si>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</si>
  <si>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</si>
  <si>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</si>
  <si>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</si>
  <si>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</si>
  <si>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</si>
  <si>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</si>
  <si>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</si>
  <si>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</si>
  <si>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</si>
  <si>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</si>
  <si>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</si>
  <si>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</si>
  <si>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</si>
  <si>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</si>
  <si>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</si>
  <si>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</si>
  <si>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</si>
  <si>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</si>
  <si>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</si>
  <si>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</si>
  <si>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</si>
  <si>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</si>
  <si>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</si>
  <si>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</si>
  <si>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</si>
  <si>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</si>
  <si>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</si>
  <si>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</si>
  <si>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</si>
  <si>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</si>
  <si>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</si>
  <si>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</si>
  <si>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</si>
  <si>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</si>
  <si>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</si>
  <si>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</si>
  <si>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</si>
  <si>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</si>
  <si>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</si>
  <si>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</si>
  <si>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</si>
  <si>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</si>
  <si>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</si>
  <si>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</si>
  <si>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</si>
  <si>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</si>
  <si>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</si>
  <si>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</si>
  <si>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</si>
  <si>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</si>
  <si>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</si>
  <si>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</si>
  <si>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</si>
  <si>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</si>
  <si>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</si>
  <si>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</si>
  <si>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</si>
  <si>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</si>
  <si>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</si>
  <si>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</si>
  <si>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</si>
  <si>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</si>
  <si>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</si>
  <si>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</si>
  <si>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</si>
  <si>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</si>
  <si>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</si>
  <si>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</si>
  <si>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</si>
  <si>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</si>
  <si>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</si>
  <si>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</si>
  <si>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</si>
  <si>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</si>
  <si>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</si>
  <si>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</si>
  <si>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</si>
  <si>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</si>
  <si>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</si>
  <si>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</si>
  <si>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</si>
  <si>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</si>
  <si>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</si>
  <si>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</si>
  <si>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</si>
  <si>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</si>
  <si>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</si>
  <si>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</si>
  <si>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</si>
  <si>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</si>
  <si>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</si>
  <si>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</si>
  <si>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</si>
  <si>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</si>
  <si>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</si>
  <si>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</si>
  <si>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</si>
  <si>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</si>
  <si>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</si>
  <si>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</si>
  <si>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</si>
  <si>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</si>
  <si>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</si>
  <si>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</si>
  <si>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</si>
  <si>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</si>
  <si>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</si>
  <si>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</si>
  <si>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</si>
  <si>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</si>
  <si>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</si>
  <si>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</si>
  <si>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</si>
  <si>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</si>
  <si>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</si>
  <si>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</si>
  <si>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</si>
  <si>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</si>
  <si>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</si>
  <si>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</si>
  <si>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</si>
  <si>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</si>
  <si>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</si>
  <si>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</si>
  <si>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</si>
  <si>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</si>
  <si>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</si>
  <si>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</si>
  <si>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</si>
  <si>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</si>
  <si>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</si>
  <si>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</si>
  <si>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</si>
  <si>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</si>
  <si>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</si>
  <si>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</si>
  <si>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</si>
  <si>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</si>
  <si>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</si>
  <si>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</si>
  <si>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</si>
  <si>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</si>
  <si>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</si>
  <si>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</si>
  <si>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</si>
  <si>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</si>
  <si>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</si>
  <si>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</si>
  <si>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</si>
  <si>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</si>
  <si>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</si>
  <si>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</si>
  <si>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</si>
  <si>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</si>
  <si>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</si>
  <si>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</si>
  <si>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</si>
  <si>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</si>
  <si>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</si>
  <si>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</si>
  <si>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</si>
  <si>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</si>
  <si>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</si>
  <si>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</si>
  <si>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</si>
  <si>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</si>
  <si>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</si>
  <si>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</si>
  <si>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</si>
  <si>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</si>
  <si>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</si>
  <si>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</si>
  <si>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</si>
  <si>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</si>
  <si>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</si>
  <si>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</si>
  <si>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</si>
  <si>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</si>
  <si>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</si>
  <si>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</si>
  <si>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</si>
  <si>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</si>
  <si>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</si>
  <si>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</si>
  <si>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</si>
  <si>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</si>
  <si>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</si>
  <si>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</si>
  <si>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</si>
  <si>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</si>
  <si>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</si>
  <si>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</si>
  <si>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</si>
  <si>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</si>
  <si>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</si>
  <si>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</si>
  <si>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</si>
  <si>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</si>
  <si>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</si>
  <si>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</si>
  <si>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</si>
  <si>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</si>
  <si>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</si>
  <si>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</si>
  <si>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</si>
  <si>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</si>
  <si>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</si>
  <si>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</si>
  <si>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</si>
  <si>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</si>
  <si>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</si>
  <si>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</si>
  <si>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</si>
  <si>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</si>
  <si>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</si>
  <si>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</si>
  <si>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</si>
  <si>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</si>
  <si>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</si>
  <si>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</si>
  <si>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</si>
  <si>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</si>
  <si>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</si>
  <si>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</si>
  <si>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</si>
  <si>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</si>
  <si>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</si>
  <si>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</si>
  <si>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</si>
  <si>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</si>
  <si>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</si>
  <si>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</si>
  <si>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</si>
  <si>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</si>
  <si>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</si>
  <si>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</si>
  <si>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</si>
  <si>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</si>
  <si>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</si>
  <si>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</si>
  <si>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</si>
  <si>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</si>
  <si>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</si>
  <si>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</si>
  <si>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</si>
  <si>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</si>
  <si>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</si>
  <si>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</si>
  <si>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</si>
  <si>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</si>
  <si>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</si>
  <si>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</si>
  <si>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</si>
  <si>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</si>
  <si>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</si>
  <si>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</si>
  <si>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</si>
  <si>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</si>
  <si>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</si>
  <si>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</si>
  <si>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</si>
  <si>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</si>
  <si>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</si>
  <si>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</si>
  <si>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</si>
  <si>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</si>
  <si>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</si>
  <si>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</si>
  <si>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</si>
  <si>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</si>
  <si>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</si>
  <si>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</si>
  <si>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</si>
  <si>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</si>
  <si>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</si>
  <si>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</si>
  <si>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</si>
  <si>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</si>
  <si>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</si>
  <si>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</si>
  <si>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</si>
  <si>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</si>
  <si>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</si>
  <si>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</si>
  <si>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</si>
  <si>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</si>
  <si>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</si>
  <si>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</si>
  <si>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</si>
  <si>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</si>
  <si>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</si>
  <si>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</si>
  <si>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</si>
  <si>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</si>
  <si>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</si>
  <si>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</si>
  <si>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</si>
  <si>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</si>
  <si>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</si>
  <si>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</si>
  <si>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</si>
  <si>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</si>
  <si>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</si>
  <si>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</si>
  <si>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</si>
  <si>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</si>
  <si>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</si>
  <si>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</si>
  <si>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</si>
  <si>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</si>
  <si>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</si>
  <si>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</si>
  <si>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</si>
  <si>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</si>
  <si>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</si>
  <si>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</si>
  <si>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</si>
  <si>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</si>
  <si>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</si>
  <si>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</si>
  <si>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</si>
  <si>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</si>
  <si>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</si>
  <si>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</si>
  <si>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</si>
  <si>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</si>
  <si>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</si>
  <si>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</si>
  <si>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</si>
  <si>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</si>
  <si>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</si>
  <si>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</si>
  <si>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</si>
  <si>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</si>
  <si>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</si>
  <si>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</si>
  <si>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</si>
  <si>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</si>
  <si>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</si>
  <si>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</si>
  <si>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</si>
  <si>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</si>
  <si>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</si>
  <si>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</si>
  <si>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</si>
  <si>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</si>
  <si>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</si>
  <si>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</si>
  <si>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</si>
  <si>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</si>
  <si>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</si>
  <si>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</si>
  <si>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</si>
  <si>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</si>
  <si>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</si>
  <si>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</si>
  <si>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</si>
  <si>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</si>
  <si>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</si>
  <si>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</si>
  <si>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</si>
  <si>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</si>
  <si>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</si>
  <si>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</si>
  <si>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</si>
  <si>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</si>
  <si>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</si>
  <si>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</si>
  <si>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</si>
  <si>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</si>
  <si>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</si>
  <si>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</si>
  <si>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</si>
  <si>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</si>
  <si>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</si>
  <si>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</si>
  <si>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</si>
  <si>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</si>
  <si>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</si>
  <si>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</si>
  <si>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</si>
  <si>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</si>
  <si>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</si>
  <si>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</si>
  <si>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</si>
  <si>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</si>
  <si>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</si>
  <si>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</si>
  <si>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</si>
  <si>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</si>
  <si>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</si>
  <si>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</si>
  <si>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</si>
  <si>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</si>
  <si>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</si>
  <si>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</si>
  <si>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</si>
  <si>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</si>
  <si>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</si>
  <si>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</si>
  <si>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</si>
  <si>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</si>
  <si>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</si>
  <si>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</si>
  <si>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</si>
  <si>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</si>
  <si>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</si>
  <si>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</si>
  <si>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</si>
  <si>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</si>
  <si>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</si>
  <si>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</si>
  <si>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</si>
  <si>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</si>
  <si>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</si>
  <si>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</si>
  <si>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</si>
  <si>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</si>
  <si>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</si>
  <si>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</si>
  <si>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</si>
  <si>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</si>
  <si>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</si>
  <si>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</si>
  <si>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</si>
  <si>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</si>
  <si>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</si>
  <si>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</si>
  <si>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</si>
  <si>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</si>
  <si>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</si>
  <si>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</si>
  <si>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</si>
  <si>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</si>
  <si>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</si>
  <si>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</si>
  <si>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</si>
  <si>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</si>
  <si>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</si>
  <si>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</si>
  <si>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</si>
  <si>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</si>
  <si>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</si>
  <si>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</si>
  <si>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</si>
  <si>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</si>
  <si>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</si>
  <si>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</si>
  <si>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</si>
  <si>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</si>
  <si>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</si>
  <si>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</si>
  <si>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</si>
  <si>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</si>
  <si>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</si>
  <si>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</si>
  <si>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</si>
  <si>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</si>
  <si>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</si>
  <si>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</si>
  <si>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</si>
  <si>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</si>
  <si>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</si>
  <si>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</si>
  <si>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</si>
  <si>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</si>
  <si>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</si>
  <si>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</si>
  <si>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</si>
  <si>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</si>
  <si>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</si>
  <si>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</si>
  <si>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</si>
  <si>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</si>
  <si>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</si>
  <si>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</si>
  <si>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</si>
  <si>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</si>
  <si>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</si>
  <si>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</si>
  <si>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</si>
  <si>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</si>
  <si>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</si>
  <si>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</si>
  <si>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</si>
  <si>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</si>
  <si>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</si>
  <si>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</si>
  <si>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</si>
  <si>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</si>
  <si>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</si>
  <si>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</si>
  <si>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</si>
  <si>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</si>
  <si>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</si>
  <si>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</si>
  <si>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</si>
  <si>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</si>
  <si>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</si>
  <si>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</si>
  <si>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</si>
  <si>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</si>
  <si>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</si>
  <si>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</si>
  <si>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</si>
  <si>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</si>
  <si>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</si>
  <si>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</si>
  <si>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</si>
  <si>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</si>
  <si>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</si>
  <si>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</si>
  <si>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</si>
  <si>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</si>
  <si>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</si>
  <si>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</si>
  <si>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</si>
  <si>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</si>
  <si>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</si>
  <si>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</si>
  <si>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</si>
  <si>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</si>
  <si>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</si>
  <si>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</si>
  <si>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</si>
  <si>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</si>
  <si>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</si>
  <si>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</si>
  <si>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</si>
  <si>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</si>
  <si>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</si>
  <si>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</si>
  <si>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</si>
  <si>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</si>
  <si>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</si>
  <si>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</si>
  <si>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</si>
  <si>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</si>
  <si>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</si>
  <si>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</si>
  <si>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</si>
  <si>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</si>
  <si>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</si>
  <si>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</si>
  <si>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</si>
  <si>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</si>
  <si>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</si>
  <si>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</si>
  <si>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</si>
  <si>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</si>
  <si>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</si>
  <si>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</si>
  <si>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</si>
  <si>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</si>
  <si>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</si>
  <si>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</si>
  <si>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</si>
  <si>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</si>
  <si>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</si>
  <si>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</si>
  <si>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</si>
  <si>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</si>
  <si>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</si>
  <si>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</si>
  <si>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</si>
  <si>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</si>
  <si>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</si>
  <si>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</si>
  <si>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</si>
  <si>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</si>
  <si>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</si>
  <si>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</si>
  <si>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</si>
  <si>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</si>
  <si>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</si>
  <si>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</si>
  <si>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</si>
  <si>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</si>
  <si>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</si>
  <si>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</si>
  <si>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</si>
  <si>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</si>
  <si>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</si>
  <si>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</si>
  <si>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</si>
  <si>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</si>
  <si>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</si>
  <si>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</si>
  <si>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</si>
  <si>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</si>
  <si>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</si>
  <si>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</si>
  <si>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</si>
  <si>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</si>
  <si>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</si>
  <si>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</si>
  <si>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</si>
  <si>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</si>
  <si>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</si>
  <si>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</si>
  <si>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</si>
  <si>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</si>
  <si>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</si>
  <si>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</si>
  <si>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</si>
  <si>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</si>
  <si>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</si>
  <si>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</si>
  <si>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</si>
  <si>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</si>
  <si>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</si>
  <si>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</si>
  <si>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</si>
  <si>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</si>
  <si>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</si>
  <si>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</si>
  <si>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</si>
  <si>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</si>
  <si>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</si>
  <si>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</si>
  <si>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</si>
  <si>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</si>
  <si>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</si>
  <si>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</si>
  <si>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</si>
  <si>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</si>
  <si>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</si>
  <si>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</si>
  <si>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</si>
  <si>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</si>
  <si>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</si>
  <si>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</si>
  <si>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</si>
  <si>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</si>
  <si>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</si>
  <si>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</si>
  <si>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</si>
  <si>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</si>
  <si>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</si>
  <si>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</si>
  <si>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</si>
  <si>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</si>
  <si>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</si>
  <si>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</si>
  <si>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</si>
  <si>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</si>
  <si>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</si>
  <si>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</si>
  <si>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</si>
  <si>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</si>
  <si>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</si>
  <si>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</si>
  <si>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</si>
  <si>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</si>
  <si>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</si>
  <si>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</si>
  <si>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</si>
  <si>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</si>
  <si>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</si>
  <si>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</si>
  <si>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</si>
  <si>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</si>
  <si>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</si>
  <si>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</si>
  <si>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</si>
  <si>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</si>
  <si>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</si>
  <si>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</si>
  <si>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</si>
  <si>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</si>
  <si>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</si>
  <si>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</si>
  <si>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</si>
  <si>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</si>
  <si>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</si>
  <si>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</si>
  <si>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</si>
  <si>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</si>
  <si>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</si>
  <si>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</si>
  <si>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</si>
  <si>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</si>
  <si>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</si>
  <si>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</si>
  <si>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</si>
  <si>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</si>
  <si>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</si>
  <si>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</si>
  <si>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</si>
  <si>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</si>
  <si>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</si>
  <si>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</si>
  <si>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</si>
  <si>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</si>
  <si>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</si>
  <si>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</si>
  <si>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</si>
  <si>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</si>
  <si>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</si>
  <si>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</si>
  <si>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</si>
  <si>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</si>
  <si>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</si>
  <si>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</si>
  <si>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</si>
  <si>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</si>
  <si>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</si>
  <si>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</si>
  <si>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</si>
  <si>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</si>
  <si>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</si>
  <si>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</si>
  <si>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</si>
  <si>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</si>
  <si>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</si>
  <si>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</si>
  <si>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</si>
  <si>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</si>
  <si>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</si>
  <si>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</si>
  <si>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</si>
  <si>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</si>
  <si>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</si>
  <si>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</si>
  <si>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</si>
  <si>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</si>
  <si>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</si>
  <si>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</si>
  <si>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</si>
  <si>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</si>
  <si>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</si>
  <si>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</si>
  <si>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</si>
  <si>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</si>
  <si>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</si>
  <si>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</si>
  <si>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</si>
  <si>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</si>
  <si>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</si>
  <si>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</si>
  <si>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</si>
  <si>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</si>
  <si>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</si>
  <si>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</si>
  <si>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</si>
  <si>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</si>
  <si>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</si>
  <si>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</si>
  <si>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</si>
  <si>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</si>
  <si>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</si>
  <si>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</si>
  <si>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</si>
  <si>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</si>
  <si>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</si>
  <si>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</si>
  <si>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</si>
  <si>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</si>
  <si>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</si>
  <si>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</si>
  <si>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</si>
  <si>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</si>
  <si>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</si>
  <si>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</si>
  <si>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</si>
  <si>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</si>
  <si>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</si>
  <si>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</si>
  <si>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</si>
  <si>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</si>
  <si>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</si>
  <si>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</si>
  <si>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</si>
  <si>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</si>
  <si>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</si>
  <si>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</si>
  <si>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</si>
  <si>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</si>
  <si>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</si>
  <si>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</si>
  <si>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</si>
  <si>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</si>
  <si>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</si>
  <si>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</si>
  <si>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</si>
  <si>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</si>
  <si>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</si>
  <si>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</si>
  <si>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</si>
  <si>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</si>
  <si>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</si>
  <si>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</si>
  <si>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</si>
  <si>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</si>
  <si>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</si>
  <si>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</si>
  <si>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</si>
  <si>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</si>
  <si>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</si>
  <si>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</si>
  <si>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</si>
  <si>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</si>
  <si>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</si>
  <si>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</si>
  <si>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</si>
  <si>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</si>
  <si>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</si>
  <si>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</si>
  <si>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</si>
  <si>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</si>
  <si>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</si>
  <si>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</si>
  <si>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</si>
  <si>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</si>
  <si>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</si>
  <si>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</si>
  <si>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</si>
  <si>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</si>
  <si>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</si>
  <si>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</si>
  <si>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</si>
  <si>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</si>
  <si>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</si>
  <si>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</si>
  <si>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</si>
  <si>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</si>
  <si>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</si>
  <si>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</si>
  <si>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</si>
  <si>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</si>
  <si>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</si>
  <si>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</si>
  <si>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</si>
  <si>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</si>
  <si>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</si>
  <si>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</si>
  <si>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</si>
  <si>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</si>
  <si>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</si>
  <si>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</si>
  <si>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</si>
  <si>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</si>
  <si>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</si>
  <si>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</si>
  <si>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</si>
  <si>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</si>
  <si>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</si>
  <si>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</si>
  <si>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</si>
  <si>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</si>
  <si>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</si>
  <si>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</si>
  <si>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</si>
  <si>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</si>
  <si>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</si>
  <si>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</si>
  <si>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</si>
  <si>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</si>
  <si>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</si>
  <si>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</si>
  <si>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</si>
  <si>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</si>
  <si>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</si>
  <si>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</si>
  <si>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</si>
  <si>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</si>
  <si>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</si>
  <si>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</si>
  <si>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</si>
  <si>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</si>
  <si>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</si>
  <si>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</si>
  <si>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</si>
  <si>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</si>
  <si>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</si>
  <si>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</si>
  <si>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</si>
  <si>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</si>
  <si>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</si>
  <si>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</si>
  <si>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</si>
  <si>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</si>
  <si>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</si>
  <si>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</si>
  <si>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</si>
  <si>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</si>
  <si>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</si>
  <si>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</si>
  <si>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</si>
  <si>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</si>
  <si>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</si>
  <si>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</si>
  <si>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</si>
  <si>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</si>
  <si>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</si>
  <si>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</si>
  <si>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</si>
  <si>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</si>
  <si>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</si>
  <si>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</si>
  <si>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</si>
  <si>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</si>
  <si>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</si>
  <si>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</si>
  <si>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</si>
  <si>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</si>
  <si>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</si>
  <si>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</si>
  <si>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</si>
  <si>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</si>
  <si>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</si>
  <si>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</si>
  <si>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</si>
  <si>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</si>
  <si>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</si>
  <si>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</si>
  <si>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</si>
  <si>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</si>
  <si>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</si>
  <si>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</si>
  <si>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</si>
  <si>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</si>
  <si>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</si>
  <si>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</si>
  <si>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</si>
  <si>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</si>
  <si>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</si>
  <si>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</si>
  <si>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</si>
  <si>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</si>
  <si>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</si>
  <si>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</si>
  <si>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</si>
  <si>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</si>
  <si>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</si>
  <si>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</si>
  <si>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</si>
  <si>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</si>
  <si>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</si>
  <si>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</si>
  <si>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</si>
  <si>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</si>
  <si>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</si>
  <si>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</si>
  <si>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</si>
  <si>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</si>
  <si>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</si>
  <si>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</si>
  <si>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</si>
  <si>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</si>
  <si>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</si>
  <si>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</si>
  <si>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</si>
  <si>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</si>
  <si>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</si>
  <si>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</si>
  <si>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</si>
  <si>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</si>
  <si>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</si>
  <si>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</si>
  <si>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</si>
  <si>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</si>
  <si>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</si>
  <si>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</si>
  <si>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</si>
  <si>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</si>
  <si>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</si>
  <si>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</si>
  <si>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</si>
  <si>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</si>
  <si>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</si>
  <si>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</si>
  <si>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</si>
  <si>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</si>
  <si>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</si>
  <si>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</si>
  <si>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</si>
  <si>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</si>
  <si>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</si>
  <si>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</si>
  <si>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</si>
  <si>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</si>
  <si>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</si>
  <si>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</si>
  <si>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</si>
  <si>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</si>
  <si>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</si>
  <si>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</si>
  <si>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</si>
  <si>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</si>
  <si>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</si>
  <si>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</si>
  <si>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</si>
  <si>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</si>
  <si>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</si>
  <si>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</si>
  <si>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</si>
  <si>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</si>
  <si>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</si>
  <si>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</si>
  <si>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</si>
  <si>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</si>
  <si>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</si>
  <si>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</si>
  <si>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</si>
  <si>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</si>
  <si>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</si>
  <si>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</si>
  <si>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</si>
  <si>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</si>
  <si>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</si>
  <si>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</si>
  <si>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</si>
  <si>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</si>
  <si>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</si>
  <si>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</si>
  <si>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</si>
  <si>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</si>
  <si>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</si>
  <si>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</si>
  <si>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</si>
  <si>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</si>
  <si>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</si>
  <si>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</si>
  <si>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</si>
  <si>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</si>
  <si>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</si>
  <si>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</si>
  <si>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</si>
  <si>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</si>
  <si>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</si>
  <si>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</si>
  <si>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</si>
  <si>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</si>
  <si>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</si>
  <si>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</si>
  <si>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</si>
  <si>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</si>
  <si>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</si>
  <si>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</si>
  <si>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</si>
  <si>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</si>
  <si>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</si>
  <si>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</si>
  <si>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</si>
  <si>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</si>
  <si>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</si>
  <si>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</si>
  <si>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</si>
  <si>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</si>
  <si>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</si>
  <si>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</si>
  <si>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</si>
  <si>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</si>
  <si>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</si>
  <si>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</si>
  <si>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</si>
  <si>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</si>
  <si>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</si>
  <si>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</si>
  <si>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</si>
  <si>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</si>
  <si>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</si>
  <si>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</si>
  <si>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</si>
  <si>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</si>
  <si>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</si>
  <si>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</si>
  <si>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</si>
  <si>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</si>
  <si>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</si>
  <si>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</si>
  <si>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</si>
  <si>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</si>
  <si>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</si>
  <si>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</si>
  <si>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</si>
  <si>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</si>
  <si>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</si>
  <si>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</si>
  <si>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</si>
  <si>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</si>
  <si>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</si>
  <si>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</si>
  <si>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</si>
  <si>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</si>
  <si>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</si>
  <si>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</si>
  <si>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</si>
  <si>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</si>
  <si>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</si>
  <si>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</si>
  <si>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</si>
  <si>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</si>
  <si>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</si>
  <si>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</si>
  <si>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</si>
  <si>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</si>
  <si>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</si>
  <si>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</si>
  <si>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</si>
  <si>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</si>
  <si>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</si>
  <si>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</si>
  <si>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</si>
  <si>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</si>
  <si>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</si>
  <si>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</si>
  <si>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</si>
  <si>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</si>
  <si>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</si>
  <si>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</si>
  <si>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</si>
  <si>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</si>
  <si>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</si>
  <si>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</si>
  <si>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</si>
  <si>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</si>
  <si>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</si>
  <si>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</si>
  <si>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</si>
  <si>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</si>
  <si>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</si>
  <si>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</si>
  <si>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</si>
  <si>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</si>
  <si>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</si>
  <si>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</si>
  <si>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</si>
  <si>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</si>
  <si>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</si>
  <si>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</si>
  <si>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</si>
  <si>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</si>
  <si>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</si>
  <si>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</si>
  <si>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</si>
  <si>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</si>
  <si>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</si>
  <si>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</si>
  <si>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</si>
  <si>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</si>
  <si>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</si>
  <si>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</si>
  <si>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</si>
  <si>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</si>
  <si>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</si>
  <si>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</si>
  <si>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</si>
  <si>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</si>
  <si>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</si>
  <si>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</si>
  <si>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</si>
  <si>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</si>
  <si>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</si>
  <si>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</si>
  <si>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</si>
  <si>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</si>
  <si>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</si>
  <si>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</si>
  <si>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</si>
  <si>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</si>
  <si>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</si>
  <si>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</si>
  <si>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</si>
  <si>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</si>
  <si>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</si>
  <si>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</si>
  <si>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</si>
  <si>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</si>
  <si>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</si>
  <si>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</si>
  <si>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</si>
  <si>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</si>
  <si>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</si>
  <si>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</si>
  <si>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</si>
  <si>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</si>
  <si>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</si>
  <si>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</si>
  <si>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</si>
  <si>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</si>
  <si>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</si>
  <si>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</si>
  <si>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</si>
  <si>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</si>
  <si>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</si>
  <si>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</si>
  <si>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</si>
  <si>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</si>
  <si>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</si>
  <si>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</si>
  <si>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</si>
  <si>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</si>
  <si>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</si>
  <si>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</si>
  <si>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</si>
  <si>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</si>
  <si>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</si>
  <si>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</si>
  <si>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</si>
  <si>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</si>
  <si>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</si>
  <si>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</si>
  <si>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</si>
  <si>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</si>
  <si>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</si>
  <si>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</si>
  <si>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</si>
  <si>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</si>
  <si>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</si>
  <si>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</si>
  <si>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</si>
  <si>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</si>
  <si>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</si>
  <si>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</si>
  <si>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</si>
  <si>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</si>
  <si>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</si>
  <si>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</si>
  <si>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</si>
  <si>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</si>
  <si>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</si>
  <si>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</si>
  <si>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</si>
  <si>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</si>
  <si>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</si>
  <si>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</si>
  <si>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</si>
  <si>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</si>
  <si>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</si>
  <si>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</si>
  <si>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</si>
  <si>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</si>
  <si>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</si>
  <si>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</si>
  <si>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</si>
  <si>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</si>
  <si>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</si>
  <si>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</si>
  <si>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</si>
  <si>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</si>
  <si>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</si>
  <si>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</si>
  <si>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</si>
  <si>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</si>
  <si>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</si>
  <si>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</si>
  <si>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</si>
  <si>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</si>
  <si>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</si>
  <si>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</si>
  <si>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</si>
  <si>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</si>
  <si>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</si>
  <si>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</si>
  <si>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</si>
  <si>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</si>
  <si>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</si>
  <si>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</si>
  <si>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</si>
  <si>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</si>
  <si>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</si>
  <si>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</si>
  <si>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</si>
  <si>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</si>
  <si>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</si>
  <si>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</si>
  <si>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</si>
  <si>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</si>
  <si>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</si>
  <si>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</si>
  <si>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</si>
  <si>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</si>
  <si>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</si>
  <si>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</si>
  <si>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</si>
  <si>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</si>
  <si>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</si>
  <si>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</si>
  <si>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</si>
  <si>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</si>
  <si>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</si>
  <si>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</si>
  <si>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</si>
  <si>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</si>
  <si>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</si>
  <si>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</si>
  <si>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</si>
  <si>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</si>
  <si>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</si>
  <si>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</si>
  <si>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</si>
  <si>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</si>
  <si>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</si>
  <si>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</si>
  <si>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</si>
  <si>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</si>
  <si>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</si>
  <si>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</si>
  <si>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</si>
  <si>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</si>
  <si>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</si>
  <si>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</si>
  <si>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</si>
  <si>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</si>
  <si>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</si>
  <si>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</si>
  <si>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</si>
  <si>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</si>
  <si>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</si>
  <si>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</si>
  <si>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</si>
  <si>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</si>
  <si>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</si>
  <si>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</si>
  <si>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</si>
  <si>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</si>
  <si>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</si>
  <si>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</si>
  <si>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</si>
  <si>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</si>
  <si>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</si>
  <si>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</si>
  <si>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</si>
  <si>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</si>
  <si>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</si>
  <si>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</si>
  <si>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</si>
  <si>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</si>
  <si>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</si>
  <si>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</si>
  <si>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</si>
  <si>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</si>
  <si>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</si>
  <si>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</si>
  <si>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</si>
  <si>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</si>
  <si>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</si>
  <si>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</si>
  <si>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</si>
  <si>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</si>
  <si>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</si>
  <si>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</si>
  <si>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</si>
  <si>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</si>
  <si>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</si>
  <si>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</si>
  <si>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</si>
  <si>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</si>
  <si>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</si>
  <si>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</si>
  <si>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</si>
  <si>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</si>
  <si>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</si>
  <si>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</si>
  <si>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</si>
  <si>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</si>
  <si>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</si>
  <si>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</si>
  <si>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</si>
  <si>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</si>
  <si>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</si>
  <si>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</si>
  <si>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</si>
  <si>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</si>
  <si>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</si>
  <si>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</si>
  <si>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</si>
  <si>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</si>
  <si>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</si>
  <si>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</si>
  <si>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</si>
  <si>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</si>
  <si>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</si>
  <si>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</si>
  <si>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</si>
  <si>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</si>
  <si>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</si>
  <si>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</si>
  <si>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</si>
  <si>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</si>
  <si>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</si>
  <si>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</si>
  <si>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</si>
  <si>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</si>
  <si>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</si>
  <si>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</si>
  <si>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</si>
  <si>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</si>
  <si>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</si>
  <si>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</si>
  <si>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</si>
  <si>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</si>
  <si>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</si>
  <si>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</si>
  <si>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</si>
  <si>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</si>
  <si>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</si>
  <si>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</si>
  <si>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</si>
  <si>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</si>
  <si>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</si>
  <si>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</si>
  <si>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</si>
  <si>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</si>
  <si>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</si>
  <si>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</si>
  <si>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</si>
  <si>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</si>
  <si>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</si>
  <si>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</si>
  <si>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</si>
  <si>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</si>
  <si>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</si>
  <si>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</si>
  <si>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</si>
  <si>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</si>
  <si>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</si>
  <si>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</si>
  <si>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</si>
  <si>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</si>
  <si>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</si>
  <si>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</si>
  <si>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</si>
  <si>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</si>
  <si>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</si>
  <si>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</si>
  <si>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</si>
  <si>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</si>
  <si>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</si>
  <si>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</si>
  <si>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</si>
  <si>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</si>
  <si>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</si>
  <si>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</si>
  <si>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</si>
  <si>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</si>
  <si>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</si>
  <si>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</si>
  <si>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</si>
  <si>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</si>
  <si>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</si>
  <si>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</si>
  <si>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</si>
  <si>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</si>
  <si>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</si>
  <si>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</si>
  <si>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</si>
  <si>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</si>
  <si>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</si>
  <si>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</si>
  <si>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</si>
  <si>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</si>
  <si>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</si>
  <si>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</si>
  <si>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</si>
  <si>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</si>
  <si>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</si>
  <si>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</si>
  <si>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</si>
  <si>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</si>
  <si>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</si>
  <si>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</si>
  <si>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</si>
  <si>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</si>
  <si>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</si>
  <si>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</si>
  <si>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</si>
  <si>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</si>
  <si>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</si>
  <si>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</si>
  <si>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</si>
  <si>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</si>
  <si>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</si>
  <si>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</si>
  <si>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</si>
  <si>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</si>
  <si>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</si>
  <si>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</si>
  <si>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</si>
  <si>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</si>
  <si>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</si>
  <si>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</si>
  <si>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</si>
  <si>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</si>
  <si>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</si>
  <si>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</si>
  <si>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</si>
  <si>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</si>
  <si>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</si>
  <si>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</si>
  <si>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</si>
  <si>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</si>
  <si>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</si>
  <si>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</si>
  <si>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</si>
  <si>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</si>
  <si>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</si>
  <si>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</si>
  <si>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</si>
  <si>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</si>
  <si>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</si>
  <si>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</si>
  <si>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</si>
  <si>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</si>
  <si>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</si>
  <si>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</si>
  <si>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</si>
  <si>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</si>
  <si>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</si>
  <si>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</si>
  <si>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</si>
  <si>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</si>
  <si>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</si>
  <si>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</si>
  <si>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</si>
  <si>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</si>
  <si>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</si>
  <si>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</si>
  <si>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</si>
  <si>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</si>
  <si>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</si>
  <si>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</si>
  <si>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</si>
  <si>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</si>
  <si>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</si>
  <si>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</si>
  <si>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</si>
  <si>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</si>
  <si>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</si>
  <si>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</si>
  <si>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</si>
  <si>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</si>
  <si>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</si>
  <si>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</si>
  <si>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</si>
  <si>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</si>
  <si>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</si>
  <si>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</si>
  <si>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</si>
  <si>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</si>
  <si>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</si>
  <si>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</si>
  <si>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</si>
  <si>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</si>
  <si>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</si>
  <si>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</si>
  <si>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</si>
  <si>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</si>
  <si>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</si>
  <si>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</si>
  <si>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</si>
  <si>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</si>
  <si>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</si>
  <si>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</si>
  <si>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</si>
  <si>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</si>
  <si>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</si>
  <si>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</si>
  <si>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</si>
  <si>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</si>
  <si>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</si>
  <si>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</si>
  <si>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</si>
  <si>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</si>
  <si>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</si>
  <si>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</si>
  <si>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</si>
  <si>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</si>
  <si>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</si>
  <si>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</si>
  <si>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</si>
  <si>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</si>
  <si>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</si>
  <si>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</si>
  <si>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</si>
  <si>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</si>
  <si>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</si>
  <si>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</si>
  <si>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</si>
  <si>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</si>
  <si>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</si>
  <si>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</si>
  <si>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</si>
  <si>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</si>
  <si>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</si>
  <si>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</si>
  <si>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</si>
  <si>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</si>
  <si>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</si>
  <si>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</si>
  <si>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</si>
  <si>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</si>
  <si>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</si>
  <si>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</si>
  <si>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</si>
  <si>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</si>
  <si>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</si>
  <si>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</si>
  <si>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</si>
  <si>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</si>
  <si>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</si>
  <si>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</si>
  <si>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</si>
  <si>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</si>
  <si>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</si>
  <si>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</si>
  <si>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</si>
  <si>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</si>
  <si>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</si>
  <si>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</si>
  <si>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</si>
  <si>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</si>
  <si>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</si>
  <si>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</si>
  <si>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</si>
  <si>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</si>
  <si>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</si>
  <si>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</si>
  <si>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</si>
  <si>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</si>
  <si>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</si>
  <si>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</si>
  <si>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</si>
  <si>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</si>
  <si>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</si>
  <si>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</si>
  <si>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</si>
  <si>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</si>
  <si>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</si>
  <si>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</si>
  <si>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</si>
  <si>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</si>
  <si>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</si>
  <si>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</si>
  <si>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</si>
  <si>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</si>
  <si>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</si>
  <si>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</si>
  <si>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</si>
  <si>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</si>
  <si>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</si>
  <si>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</si>
  <si>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</si>
  <si>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</si>
  <si>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</si>
  <si>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</si>
  <si>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</si>
  <si>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</si>
  <si>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</si>
  <si>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</si>
  <si>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</si>
  <si>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</si>
  <si>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</si>
  <si>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</si>
  <si>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</si>
  <si>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</si>
  <si>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</si>
  <si>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</si>
  <si>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</si>
  <si>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</si>
  <si>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</si>
  <si>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</si>
  <si>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</si>
  <si>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</si>
  <si>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</si>
  <si>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</si>
  <si>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</si>
  <si>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</si>
  <si>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</si>
  <si>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</si>
  <si>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</si>
  <si>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</si>
  <si>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</si>
  <si>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</si>
  <si>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</si>
  <si>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</si>
  <si>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</si>
  <si>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</si>
  <si>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</si>
  <si>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</si>
  <si>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</si>
  <si>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</si>
  <si>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</si>
  <si>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</si>
  <si>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</si>
  <si>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</si>
  <si>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</si>
  <si>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</si>
  <si>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</si>
  <si>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</si>
  <si>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</si>
  <si>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</si>
  <si>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</si>
  <si>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</si>
  <si>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</si>
  <si>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</si>
  <si>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</si>
  <si>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</si>
  <si>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</si>
  <si>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</si>
  <si>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</si>
  <si>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</si>
  <si>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</si>
  <si>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</si>
  <si>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</si>
  <si>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</si>
  <si>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</si>
  <si>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</si>
  <si>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</si>
  <si>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</si>
  <si>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</si>
  <si>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</si>
  <si>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</si>
  <si>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</si>
  <si>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</si>
  <si>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</si>
  <si>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</si>
  <si>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</si>
  <si>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</si>
  <si>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</si>
  <si>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</si>
  <si>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</si>
  <si>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</si>
  <si>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</si>
  <si>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</si>
  <si>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</si>
  <si>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</si>
  <si>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</si>
  <si>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</si>
  <si>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</si>
  <si>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</si>
  <si>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</si>
  <si>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</si>
  <si>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</si>
  <si>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</si>
  <si>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</si>
  <si>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</si>
  <si>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</si>
  <si>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</si>
  <si>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</si>
  <si>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</si>
  <si>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</si>
  <si>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</si>
  <si>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</si>
  <si>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</si>
  <si>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</si>
  <si>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</si>
  <si>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</si>
  <si>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</si>
  <si>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</si>
  <si>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</si>
  <si>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</si>
  <si>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</si>
  <si>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</si>
  <si>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</si>
  <si>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</si>
  <si>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</si>
  <si>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</si>
  <si>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</si>
  <si>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</si>
  <si>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</si>
  <si>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</si>
  <si>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</si>
  <si>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</si>
  <si>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</si>
  <si>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</si>
  <si>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</si>
  <si>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</si>
  <si>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</si>
  <si>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</si>
  <si>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</si>
  <si>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</si>
  <si>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</si>
  <si>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</si>
  <si>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</si>
  <si>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</si>
  <si>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</si>
  <si>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</si>
  <si>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</si>
  <si>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</si>
  <si>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</si>
  <si>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</si>
  <si>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</si>
  <si>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</si>
  <si>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</si>
  <si>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</si>
  <si>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</si>
  <si>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</si>
  <si>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</si>
  <si>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</si>
  <si>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</si>
  <si>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</si>
  <si>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</si>
  <si>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</si>
  <si>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</si>
  <si>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</si>
  <si>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</si>
  <si>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</si>
  <si>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</si>
  <si>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</si>
  <si>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</si>
  <si>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</si>
  <si>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</si>
  <si>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</si>
  <si>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</si>
  <si>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</si>
  <si>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</si>
  <si>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</si>
  <si>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</si>
  <si>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</si>
  <si>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</si>
  <si>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</si>
  <si>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</si>
  <si>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</si>
  <si>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</si>
  <si>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</si>
  <si>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</si>
  <si>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</si>
  <si>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</si>
  <si>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</si>
  <si>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</si>
  <si>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</si>
  <si>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</si>
  <si>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</si>
  <si>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</si>
  <si>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</si>
  <si>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</si>
  <si>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</si>
  <si>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</si>
  <si>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</si>
  <si>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</si>
  <si>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</si>
  <si>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</si>
  <si>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</si>
  <si>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</si>
  <si>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</si>
  <si>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</si>
  <si>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</si>
  <si>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</si>
  <si>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</si>
  <si>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</si>
  <si>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</si>
  <si>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</si>
  <si>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</si>
  <si>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</si>
  <si>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</si>
  <si>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</si>
  <si>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</si>
  <si>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</si>
  <si>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</si>
  <si>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</si>
  <si>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</si>
  <si>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</si>
  <si>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</si>
  <si>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</si>
  <si>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</si>
  <si>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</si>
  <si>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</si>
  <si>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</si>
  <si>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</si>
  <si>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</si>
  <si>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</si>
  <si>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</si>
  <si>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</si>
  <si>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</si>
  <si>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</si>
  <si>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</si>
  <si>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</si>
  <si>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</si>
  <si>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</si>
  <si>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</si>
  <si>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</si>
  <si>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</si>
  <si>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</si>
  <si>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</si>
  <si>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</si>
  <si>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</si>
  <si>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</si>
  <si>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</si>
  <si>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</si>
  <si>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</si>
  <si>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</si>
  <si>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</si>
  <si>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</si>
  <si>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</si>
  <si>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</si>
  <si>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</si>
  <si>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</si>
  <si>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</si>
  <si>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</si>
  <si>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</si>
  <si>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</si>
  <si>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</si>
  <si>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</si>
  <si>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</si>
  <si>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</si>
  <si>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</si>
  <si>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</si>
  <si>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</si>
  <si>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</si>
  <si>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</si>
  <si>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</si>
  <si>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</si>
  <si>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</si>
  <si>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</si>
  <si>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</si>
  <si>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</si>
  <si>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</si>
  <si>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</si>
  <si>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</si>
  <si>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</si>
  <si>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</si>
  <si>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</si>
  <si>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</si>
  <si>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</si>
  <si>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</si>
  <si>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</si>
  <si>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</si>
  <si>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</si>
  <si>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</si>
  <si>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</si>
  <si>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</si>
  <si>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</si>
  <si>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</si>
  <si>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</si>
  <si>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</si>
  <si>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</si>
  <si>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</si>
  <si>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</si>
  <si>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</si>
  <si>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</si>
  <si>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</si>
  <si>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</si>
  <si>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</si>
  <si>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</si>
  <si>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</si>
  <si>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</si>
  <si>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</si>
  <si>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</si>
  <si>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</si>
  <si>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</si>
  <si>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</si>
  <si>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</si>
  <si>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</si>
  <si>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</si>
  <si>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</si>
  <si>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</si>
  <si>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</si>
  <si>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</si>
  <si>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</si>
  <si>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</si>
  <si>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</si>
  <si>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</si>
  <si>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</si>
  <si>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</si>
  <si>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</si>
  <si>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</si>
  <si>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</si>
  <si>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</si>
  <si>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</si>
  <si>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</si>
  <si>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</si>
  <si>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</si>
  <si>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</si>
  <si>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</si>
  <si>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</si>
  <si>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</si>
  <si>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</si>
  <si>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</si>
  <si>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</si>
  <si>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</si>
  <si>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</si>
  <si>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</si>
  <si>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</si>
  <si>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</si>
  <si>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</si>
  <si>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</si>
  <si>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</si>
  <si>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</si>
  <si>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</si>
  <si>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</si>
  <si>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</si>
  <si>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</si>
  <si>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</si>
  <si>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</si>
  <si>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</si>
  <si>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</si>
  <si>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</si>
  <si>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</si>
  <si>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</si>
  <si>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</si>
  <si>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</si>
  <si>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</si>
  <si>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</si>
  <si>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</si>
  <si>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</si>
  <si>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</si>
  <si>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</si>
  <si>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</si>
  <si>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</si>
  <si>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</si>
  <si>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</si>
  <si>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</si>
  <si>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</si>
  <si>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</si>
  <si>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</si>
  <si>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</si>
  <si>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</si>
  <si>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</si>
  <si>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</si>
  <si>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</si>
  <si>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</si>
  <si>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</si>
  <si>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</si>
  <si>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</si>
  <si>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</si>
  <si>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</si>
  <si>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</si>
  <si>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</si>
  <si>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</si>
  <si>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</si>
  <si>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</si>
  <si>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</si>
  <si>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</si>
  <si>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</si>
  <si>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</si>
  <si>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</si>
  <si>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</si>
  <si>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</si>
  <si>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</si>
  <si>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</si>
  <si>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</si>
  <si>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</si>
  <si>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</si>
  <si>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</si>
  <si>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</si>
  <si>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</si>
  <si>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</si>
  <si>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</si>
  <si>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</si>
  <si>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</si>
  <si>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</si>
  <si>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</si>
  <si>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</si>
  <si>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</si>
  <si>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</si>
  <si>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</si>
  <si>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</si>
  <si>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</si>
  <si>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</si>
  <si>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</si>
  <si>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</si>
  <si>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</si>
  <si>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</si>
  <si>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</si>
  <si>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</si>
  <si>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</si>
  <si>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</si>
  <si>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</si>
  <si>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</si>
  <si>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</si>
  <si>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</si>
  <si>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</si>
  <si>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</si>
  <si>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</si>
  <si>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</si>
  <si>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</si>
  <si>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</si>
  <si>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</si>
  <si>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</si>
  <si>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</si>
  <si>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</si>
  <si>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</si>
  <si>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</si>
  <si>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</si>
  <si>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</si>
  <si>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</si>
  <si>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</si>
  <si>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</si>
  <si>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</si>
  <si>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</si>
  <si>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</si>
  <si>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</si>
  <si>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</si>
  <si>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</si>
  <si>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</si>
  <si>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</si>
  <si>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</si>
  <si>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</si>
  <si>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</si>
  <si>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</si>
  <si>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</si>
  <si>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</si>
  <si>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</si>
  <si>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</si>
  <si>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</si>
  <si>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</si>
  <si>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</si>
  <si>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</si>
  <si>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</si>
  <si>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</si>
  <si>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</si>
  <si>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</si>
  <si>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</si>
  <si>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</si>
  <si>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</si>
  <si>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</si>
  <si>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</si>
  <si>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</si>
  <si>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</si>
  <si>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</si>
  <si>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</si>
  <si>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</si>
  <si>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</si>
  <si>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</si>
  <si>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</si>
  <si>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</si>
  <si>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</si>
  <si>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</si>
  <si>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</si>
  <si>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</si>
  <si>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</si>
  <si>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</si>
  <si>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</si>
  <si>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</si>
  <si>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</si>
  <si>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</si>
  <si>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</si>
  <si>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</si>
  <si>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</si>
  <si>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</si>
  <si>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</si>
  <si>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</si>
  <si>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</si>
  <si>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</si>
  <si>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</si>
  <si>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</si>
  <si>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</si>
  <si>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</si>
  <si>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</si>
  <si>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</si>
  <si>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</si>
  <si>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</si>
  <si>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</si>
  <si>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</si>
  <si>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</si>
  <si>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</si>
  <si>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</si>
  <si>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</si>
  <si>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</si>
  <si>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</si>
  <si>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</si>
  <si>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</si>
  <si>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</si>
  <si>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</si>
  <si>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</si>
  <si>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</si>
  <si>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</si>
  <si>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</si>
  <si>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</si>
  <si>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</si>
  <si>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</si>
  <si>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</si>
  <si>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</si>
  <si>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</si>
  <si>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</si>
  <si>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</si>
  <si>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</si>
  <si>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</si>
  <si>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</si>
  <si>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</si>
  <si>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</si>
  <si>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</si>
  <si>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</si>
  <si>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</si>
  <si>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</si>
  <si>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</si>
  <si>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</si>
  <si>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</si>
  <si>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</si>
  <si>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</si>
  <si>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</si>
  <si>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</si>
  <si>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</si>
  <si>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</si>
  <si>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</si>
  <si>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</si>
  <si>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</si>
  <si>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</si>
  <si>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</si>
  <si>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</si>
  <si>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</si>
  <si>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</si>
  <si>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</si>
  <si>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</si>
  <si>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</si>
  <si>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</si>
  <si>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</si>
  <si>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</si>
  <si>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</si>
  <si>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</si>
  <si>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</si>
  <si>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</si>
  <si>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</si>
  <si>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</si>
  <si>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</si>
  <si>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</si>
  <si>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</si>
  <si>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</si>
  <si>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</si>
  <si>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</si>
  <si>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</si>
  <si>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</si>
  <si>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</si>
  <si>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</si>
  <si>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</si>
  <si>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</si>
  <si>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</si>
  <si>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</si>
  <si>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</si>
  <si>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</si>
  <si>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</si>
  <si>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</si>
  <si>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</si>
  <si>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</si>
  <si>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</si>
  <si>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</si>
  <si>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</si>
  <si>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</si>
  <si>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</si>
  <si>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</si>
  <si>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</si>
  <si>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</si>
  <si>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</si>
  <si>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</si>
  <si>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</si>
  <si>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</si>
  <si>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</si>
  <si>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</si>
  <si>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</si>
  <si>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</si>
  <si>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</si>
  <si>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</si>
  <si>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</si>
  <si>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</si>
  <si>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</si>
  <si>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</si>
  <si>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</si>
  <si>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</si>
  <si>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</si>
  <si>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</si>
  <si>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</si>
  <si>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</si>
  <si>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</si>
  <si>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</si>
  <si>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</si>
  <si>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</si>
  <si>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</si>
  <si>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</si>
  <si>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</si>
  <si>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</si>
  <si>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</si>
  <si>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</si>
  <si>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</si>
  <si>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</si>
  <si>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</si>
  <si>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</si>
  <si>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</si>
  <si>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</si>
  <si>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</si>
  <si>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</si>
  <si>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</si>
  <si>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</si>
  <si>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</si>
  <si>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</si>
  <si>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</si>
  <si>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</si>
  <si>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</si>
  <si>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</si>
  <si>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</si>
  <si>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</si>
  <si>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</si>
  <si>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</si>
  <si>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</si>
  <si>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</si>
  <si>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</si>
  <si>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</si>
  <si>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</si>
  <si>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</si>
  <si>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</si>
  <si>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</si>
  <si>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</si>
  <si>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</si>
  <si>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</si>
  <si>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</si>
  <si>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</si>
  <si>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</si>
  <si>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</si>
  <si>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</si>
  <si>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</si>
  <si>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</si>
  <si>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</si>
  <si>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</si>
  <si>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</si>
  <si>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</si>
  <si>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</si>
  <si>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</si>
  <si>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</si>
  <si>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</si>
  <si>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</si>
  <si>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</si>
  <si>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</si>
  <si>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</si>
  <si>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</si>
  <si>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</si>
  <si>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</si>
  <si>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</si>
  <si>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</si>
  <si>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</si>
  <si>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</si>
  <si>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</si>
  <si>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</si>
  <si>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</si>
  <si>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</si>
  <si>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</si>
  <si>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</si>
  <si>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</si>
  <si>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</si>
  <si>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</si>
  <si>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</si>
  <si>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</si>
  <si>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</si>
  <si>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</si>
  <si>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</si>
  <si>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</si>
  <si>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</si>
  <si>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</si>
  <si>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</si>
  <si>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</si>
  <si>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</si>
  <si>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</si>
  <si>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</si>
  <si>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</si>
  <si>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</si>
  <si>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</si>
  <si>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</si>
  <si>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</si>
  <si>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</si>
  <si>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</si>
  <si>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</si>
  <si>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</si>
  <si>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</si>
  <si>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</si>
  <si>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</si>
  <si>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</si>
  <si>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</si>
  <si>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</si>
  <si>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</si>
  <si>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</si>
  <si>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</si>
  <si>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</si>
  <si>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</si>
  <si>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</si>
  <si>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</si>
  <si>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</si>
  <si>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</si>
  <si>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</si>
  <si>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</si>
  <si>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</si>
  <si>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</si>
  <si>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</si>
  <si>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</si>
  <si>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</si>
  <si>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</si>
  <si>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</si>
  <si>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</si>
  <si>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</si>
  <si>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</si>
  <si>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</si>
  <si>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</si>
  <si>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</si>
  <si>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</si>
  <si>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</si>
  <si>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</si>
  <si>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</si>
  <si>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</si>
  <si>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</si>
  <si>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</si>
  <si>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</si>
  <si>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</si>
  <si>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</si>
  <si>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</si>
  <si>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</si>
  <si>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</si>
  <si>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</si>
  <si>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</si>
  <si>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</si>
  <si>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</si>
  <si>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</si>
  <si>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</si>
  <si>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</si>
  <si>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</si>
  <si>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</si>
  <si>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</si>
  <si>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</si>
  <si>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</si>
  <si>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</si>
  <si>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</si>
  <si>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</si>
  <si>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</si>
  <si>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</si>
  <si>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</si>
  <si>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</si>
  <si>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</si>
  <si>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</si>
  <si>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</si>
  <si>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</si>
  <si>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</si>
  <si>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</si>
  <si>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</si>
  <si>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</si>
  <si>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</si>
  <si>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</si>
  <si>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</si>
  <si>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</si>
  <si>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</si>
  <si>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</si>
  <si>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</si>
  <si>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</si>
  <si>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</si>
  <si>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</si>
  <si>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</si>
  <si>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</si>
  <si>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</si>
  <si>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</si>
  <si>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</si>
  <si>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</si>
  <si>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</si>
  <si>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</si>
  <si>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</si>
  <si>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</si>
  <si>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</si>
  <si>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</si>
  <si>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</si>
  <si>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</si>
  <si>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</si>
  <si>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</si>
  <si>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</si>
  <si>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</si>
  <si>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</si>
  <si>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</si>
  <si>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</si>
  <si>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</si>
  <si>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</si>
  <si>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</si>
  <si>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</si>
  <si>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</si>
  <si>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</si>
  <si>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</si>
  <si>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</si>
  <si>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</si>
  <si>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</si>
  <si>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</si>
  <si>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</si>
  <si>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</si>
  <si>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</si>
  <si>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</si>
  <si>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</si>
  <si>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</si>
  <si>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</si>
  <si>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</si>
  <si>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</si>
  <si>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</si>
  <si>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</si>
  <si>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</si>
  <si>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</si>
  <si>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</si>
  <si>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</si>
  <si>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</si>
  <si>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</si>
  <si>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</si>
  <si>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</si>
  <si>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</si>
  <si>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</si>
  <si>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</si>
  <si>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</si>
  <si>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</si>
  <si>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</si>
  <si>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</si>
  <si>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</si>
  <si>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</si>
  <si>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</si>
  <si>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</si>
  <si>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</si>
  <si>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</si>
  <si>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</si>
  <si>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</si>
  <si>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</si>
  <si>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</si>
  <si>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</si>
  <si>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</si>
  <si>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</si>
  <si>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</si>
  <si>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</si>
  <si>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</si>
  <si>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</si>
  <si>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</si>
  <si>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</si>
  <si>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</si>
  <si>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</si>
  <si>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</si>
  <si>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</si>
  <si>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</si>
  <si>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</si>
  <si>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</si>
  <si>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</si>
  <si>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</si>
  <si>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</si>
  <si>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</si>
  <si>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</si>
  <si>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</si>
  <si>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</si>
  <si>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</si>
  <si>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</si>
  <si>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</si>
  <si>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</si>
  <si>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</si>
  <si>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</si>
  <si>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</si>
  <si>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</si>
  <si>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</si>
  <si>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</si>
  <si>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</si>
  <si>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</si>
  <si>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</si>
  <si>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</si>
  <si>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</si>
  <si>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</si>
  <si>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</si>
  <si>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</si>
  <si>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</si>
  <si>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</si>
  <si>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</si>
  <si>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</si>
  <si>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</si>
  <si>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</si>
  <si>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</si>
  <si>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</si>
  <si>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</si>
  <si>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</si>
  <si>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</si>
  <si>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</si>
  <si>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</si>
  <si>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</si>
  <si>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</si>
  <si>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</si>
  <si>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</si>
  <si>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</si>
  <si>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</si>
  <si>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</si>
  <si>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</si>
  <si>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</si>
  <si>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</si>
  <si>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</si>
  <si>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</si>
  <si>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</si>
  <si>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</si>
  <si>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</si>
  <si>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</si>
  <si>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</si>
  <si>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</si>
  <si>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</si>
  <si>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</si>
  <si>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</si>
  <si>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</si>
  <si>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</si>
  <si>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</si>
  <si>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</si>
  <si>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</si>
  <si>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</si>
  <si>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</si>
  <si>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</si>
  <si>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</si>
  <si>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</si>
  <si>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</si>
  <si>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</si>
  <si>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</si>
  <si>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</si>
  <si>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</si>
  <si>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</si>
  <si>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</si>
  <si>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</si>
  <si>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</si>
  <si>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</si>
  <si>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</si>
  <si>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</si>
  <si>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</si>
  <si>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</si>
  <si>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</si>
  <si>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</si>
  <si>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</si>
  <si>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</si>
  <si>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</si>
  <si>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</si>
  <si>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</si>
  <si>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</si>
  <si>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</si>
  <si>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</si>
  <si>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</si>
  <si>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</si>
  <si>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</si>
  <si>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</si>
  <si>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</si>
  <si>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</si>
  <si>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</si>
  <si>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</si>
  <si>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</si>
  <si>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</si>
  <si>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</si>
  <si>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</si>
  <si>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</si>
  <si>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</si>
  <si>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</si>
  <si>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</si>
  <si>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</si>
  <si>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</si>
  <si>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</si>
  <si>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</si>
  <si>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</si>
  <si>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</si>
  <si>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</si>
  <si>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</si>
  <si>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</si>
  <si>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</si>
  <si>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</si>
  <si>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</si>
  <si>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</si>
  <si>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</si>
  <si>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</si>
  <si>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</si>
  <si>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</si>
  <si>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</si>
  <si>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</si>
  <si>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</si>
  <si>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</si>
  <si>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</si>
  <si>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</si>
  <si>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</si>
  <si>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</si>
  <si>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</si>
  <si>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</si>
  <si>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</si>
  <si>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</si>
  <si>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</si>
  <si>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</si>
  <si>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</si>
  <si>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</si>
  <si>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</si>
  <si>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</si>
  <si>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</si>
  <si>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</si>
  <si>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</si>
  <si>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</si>
  <si>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</si>
  <si>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</si>
  <si>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</si>
  <si>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</si>
  <si>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</si>
  <si>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</si>
  <si>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</si>
  <si>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</si>
  <si>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</si>
  <si>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</si>
  <si>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</si>
  <si>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</si>
  <si>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</si>
  <si>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</si>
  <si>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</si>
  <si>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</si>
  <si>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</si>
  <si>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</si>
  <si>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</si>
  <si>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</si>
  <si>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</si>
  <si>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</si>
  <si>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</si>
  <si>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</si>
  <si>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</si>
  <si>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</si>
  <si>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</si>
  <si>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</si>
  <si>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</si>
  <si>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</si>
  <si>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</si>
  <si>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</si>
  <si>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</si>
  <si>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</si>
  <si>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</si>
  <si>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</si>
  <si>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</si>
  <si>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</si>
  <si>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</si>
  <si>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</si>
  <si>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</si>
  <si>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</si>
  <si>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</si>
  <si>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</si>
  <si>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</si>
  <si>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</si>
  <si>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</si>
  <si>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</si>
  <si>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</si>
  <si>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</si>
  <si>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</si>
  <si>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</si>
  <si>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</si>
  <si>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</si>
  <si>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</si>
  <si>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</si>
  <si>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</si>
  <si>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</si>
  <si>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</si>
  <si>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</si>
  <si>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</si>
  <si>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</si>
  <si>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</si>
  <si>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</si>
  <si>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</si>
  <si>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</si>
  <si>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</si>
  <si>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</si>
  <si>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</si>
  <si>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</si>
  <si>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</si>
  <si>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</si>
  <si>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</si>
  <si>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</si>
  <si>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</si>
  <si>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</si>
  <si>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</si>
  <si>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</si>
  <si>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</si>
  <si>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</si>
  <si>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</si>
  <si>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</si>
  <si>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</si>
  <si>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</si>
  <si>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</si>
  <si>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</si>
  <si>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</si>
  <si>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</si>
  <si>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</si>
  <si>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</si>
  <si>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</si>
  <si>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</si>
  <si>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</si>
  <si>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</si>
  <si>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</si>
  <si>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</si>
  <si>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</si>
  <si>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</si>
  <si>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</si>
  <si>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</si>
  <si>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</si>
  <si>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</si>
  <si>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</si>
  <si>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</si>
  <si>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</si>
  <si>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</si>
  <si>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</si>
  <si>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</si>
  <si>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</si>
  <si>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</si>
  <si>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</si>
  <si>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</si>
  <si>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</si>
  <si>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</si>
  <si>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</si>
  <si>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</si>
  <si>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</si>
  <si>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</si>
  <si>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</si>
  <si>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</si>
  <si>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</si>
  <si>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</si>
  <si>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</si>
  <si>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</si>
  <si>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</si>
  <si>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</si>
  <si>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</si>
  <si>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</si>
  <si>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</si>
  <si>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</si>
  <si>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</si>
  <si>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</si>
  <si>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</si>
  <si>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</si>
  <si>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</si>
  <si>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</si>
  <si>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</si>
  <si>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</si>
  <si>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</si>
  <si>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</si>
  <si>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</si>
  <si>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</si>
  <si>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</si>
  <si>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</si>
  <si>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</si>
  <si>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</si>
  <si>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</si>
  <si>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</si>
  <si>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</si>
  <si>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</si>
  <si>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</si>
  <si>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</si>
  <si>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</si>
  <si>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</si>
  <si>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</si>
  <si>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</si>
  <si>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</si>
  <si>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</si>
  <si>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</si>
  <si>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</si>
  <si>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</si>
  <si>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</si>
  <si>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</si>
  <si>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</si>
  <si>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</si>
  <si>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</si>
  <si>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</si>
  <si>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</si>
  <si>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</si>
  <si>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</si>
  <si>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</si>
  <si>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</si>
  <si>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</si>
  <si>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</si>
  <si>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</si>
  <si>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</si>
  <si>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</si>
  <si>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</si>
  <si>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</si>
  <si>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</si>
  <si>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</si>
  <si>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</si>
  <si>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</si>
  <si>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</si>
  <si>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</si>
  <si>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</si>
  <si>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</si>
  <si>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</si>
  <si>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</si>
  <si>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</si>
  <si>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</si>
  <si>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</si>
  <si>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</si>
  <si>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</si>
  <si>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</si>
  <si>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</si>
  <si>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</si>
  <si>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</si>
  <si>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</si>
  <si>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</si>
  <si>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</si>
  <si>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</si>
  <si>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</si>
  <si>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</si>
  <si>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</si>
  <si>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</si>
  <si>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</si>
  <si>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</si>
  <si>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</si>
  <si>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</si>
  <si>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</si>
  <si>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</si>
  <si>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</si>
  <si>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</si>
  <si>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</si>
  <si>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</si>
  <si>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</si>
  <si>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</si>
  <si>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</si>
  <si>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</si>
  <si>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</si>
  <si>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</si>
  <si>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</si>
  <si>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</si>
  <si>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</si>
  <si>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</si>
  <si>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</si>
  <si>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</si>
  <si>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</si>
  <si>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</si>
  <si>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</si>
  <si>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</si>
  <si>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</si>
  <si>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</si>
  <si>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</si>
  <si>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</si>
  <si>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</si>
  <si>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</si>
  <si>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</si>
  <si>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</si>
  <si>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</si>
  <si>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</si>
  <si>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</si>
  <si>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</si>
  <si>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</si>
  <si>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</si>
  <si>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</si>
  <si>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</si>
  <si>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</si>
  <si>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</si>
  <si>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</si>
  <si>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</si>
  <si>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</si>
  <si>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</si>
  <si>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</si>
  <si>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</si>
  <si>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</si>
  <si>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</si>
  <si>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</si>
  <si>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</si>
  <si>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</si>
  <si>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</si>
  <si>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</si>
  <si>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</si>
  <si>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</si>
  <si>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</si>
  <si>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</si>
  <si>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</si>
  <si>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</si>
  <si>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</si>
  <si>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</si>
  <si>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</si>
  <si>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</si>
  <si>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</si>
  <si>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</si>
  <si>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</si>
  <si>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</si>
  <si>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</si>
  <si>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</si>
  <si>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</si>
  <si>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</si>
  <si>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</si>
  <si>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</si>
  <si>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</si>
  <si>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</si>
  <si>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</si>
  <si>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</si>
  <si>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</si>
  <si>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</si>
  <si>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</si>
  <si>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</si>
  <si>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</si>
  <si>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</si>
  <si>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</si>
  <si>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</si>
  <si>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</si>
  <si>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</si>
  <si>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</si>
  <si>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</si>
  <si>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</si>
  <si>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</si>
  <si>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</si>
  <si>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</si>
  <si>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</si>
  <si>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</si>
  <si>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</si>
  <si>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</si>
  <si>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</si>
  <si>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</si>
  <si>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</si>
  <si>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</si>
  <si>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</si>
  <si>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</si>
  <si>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</si>
  <si>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</si>
  <si>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</si>
  <si>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</si>
  <si>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</si>
  <si>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</si>
  <si>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</si>
  <si>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</si>
  <si>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</si>
  <si>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</si>
  <si>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</si>
  <si>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</si>
  <si>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</si>
  <si>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</si>
  <si>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</si>
  <si>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</si>
  <si>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</si>
  <si>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</si>
  <si>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</si>
  <si>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</si>
  <si>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</si>
  <si>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</si>
  <si>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</si>
  <si>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</si>
  <si>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</si>
  <si>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</si>
  <si>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</si>
  <si>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</si>
  <si>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</si>
  <si>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</si>
  <si>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</si>
  <si>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</si>
  <si>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</si>
  <si>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</si>
  <si>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</si>
  <si>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</si>
  <si>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</si>
  <si>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</si>
  <si>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</si>
  <si>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</si>
  <si>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</si>
  <si>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</si>
  <si>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</si>
  <si>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</si>
  <si>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</si>
  <si>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</si>
  <si>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</si>
  <si>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</si>
  <si>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</si>
  <si>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</si>
  <si>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</si>
  <si>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</si>
  <si>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</si>
  <si>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</si>
  <si>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</si>
  <si>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</si>
  <si>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</si>
  <si>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</si>
  <si>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</si>
  <si>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</si>
  <si>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</si>
  <si>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</si>
  <si>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</si>
  <si>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</si>
  <si>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</si>
  <si>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</si>
  <si>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</si>
  <si>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</si>
  <si>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</si>
  <si>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</si>
  <si>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</si>
  <si>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</si>
  <si>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</si>
  <si>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</si>
  <si>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</si>
  <si>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</si>
  <si>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</si>
  <si>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</si>
  <si>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</si>
  <si>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</si>
  <si>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</si>
  <si>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</si>
  <si>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</si>
  <si>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</si>
  <si>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</si>
  <si>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</si>
  <si>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</si>
  <si>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</si>
  <si>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</si>
  <si>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</si>
  <si>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</si>
  <si>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</si>
  <si>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</si>
  <si>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</si>
  <si>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</si>
  <si>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</si>
  <si>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</si>
  <si>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</si>
  <si>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</si>
  <si>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</si>
  <si>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</si>
  <si>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</si>
  <si>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</si>
  <si>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</si>
  <si>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</si>
  <si>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</si>
  <si>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</si>
  <si>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</si>
  <si>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</si>
  <si>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</si>
  <si>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</si>
  <si>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</si>
  <si>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</si>
  <si>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</si>
  <si>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</si>
  <si>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</si>
  <si>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</si>
  <si>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</si>
  <si>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</si>
  <si>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</si>
  <si>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</si>
  <si>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</si>
  <si>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</si>
  <si>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</si>
  <si>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</si>
  <si>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</si>
  <si>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</si>
  <si>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</si>
  <si>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</si>
  <si>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</si>
  <si>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</si>
  <si>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</si>
  <si>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</si>
  <si>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</si>
  <si>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</si>
  <si>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</si>
  <si>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</si>
  <si>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</si>
  <si>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</si>
  <si>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</si>
  <si>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</si>
  <si>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</si>
  <si>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</si>
  <si>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</si>
  <si>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</si>
  <si>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</si>
  <si>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</si>
  <si>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</si>
  <si>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</si>
  <si>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</si>
  <si>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</si>
  <si>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</si>
  <si>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</si>
  <si>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</si>
  <si>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</si>
  <si>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</si>
  <si>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</si>
  <si>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</si>
  <si>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</si>
  <si>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</si>
  <si>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</si>
  <si>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</si>
  <si>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</si>
  <si>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</si>
  <si>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</si>
  <si>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</si>
  <si>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</si>
  <si>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</si>
  <si>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</si>
  <si>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</si>
  <si>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</si>
  <si>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</si>
  <si>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</si>
  <si>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</si>
  <si>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</si>
  <si>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</si>
  <si>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</si>
  <si>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</si>
  <si>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</si>
  <si>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</si>
  <si>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</si>
  <si>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</si>
  <si>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</si>
  <si>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</si>
  <si>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</si>
  <si>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</si>
  <si>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</si>
  <si>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</si>
  <si>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</si>
  <si>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</si>
  <si>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</si>
  <si>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</si>
  <si>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</si>
  <si>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</si>
  <si>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</si>
  <si>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</si>
  <si>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</si>
  <si>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</si>
  <si>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</si>
  <si>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</si>
  <si>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</si>
  <si>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</si>
  <si>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</si>
  <si>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</si>
  <si>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</si>
  <si>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</si>
  <si>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</si>
  <si>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</si>
  <si>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</si>
  <si>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</si>
  <si>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</si>
  <si>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</si>
  <si>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</si>
  <si>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</si>
  <si>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</si>
  <si>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</si>
  <si>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</si>
  <si>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</si>
  <si>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</si>
  <si>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</si>
  <si>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</si>
  <si>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</si>
  <si>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</si>
  <si>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</si>
  <si>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</si>
  <si>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</si>
  <si>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</si>
  <si>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</si>
  <si>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</si>
  <si>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</si>
  <si>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</si>
  <si>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</si>
  <si>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</si>
  <si>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</si>
  <si>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</si>
  <si>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</si>
  <si>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</si>
  <si>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</si>
  <si>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</si>
  <si>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</si>
  <si>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</si>
  <si>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</si>
  <si>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</si>
  <si>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</si>
  <si>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</si>
  <si>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</si>
  <si>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</si>
  <si>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</si>
  <si>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</si>
  <si>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</si>
  <si>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</si>
  <si>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</si>
  <si>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</si>
  <si>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</si>
  <si>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</si>
  <si>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</si>
  <si>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</si>
  <si>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</si>
  <si>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</si>
  <si>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</si>
  <si>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</si>
  <si>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</si>
  <si>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</si>
  <si>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</si>
  <si>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</si>
  <si>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</si>
  <si>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</si>
  <si>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</si>
  <si>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</si>
  <si>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</si>
  <si>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</si>
  <si>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</si>
  <si>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</si>
  <si>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</si>
  <si>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</si>
  <si>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</si>
  <si>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</si>
  <si>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</si>
  <si>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</si>
  <si>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</si>
  <si>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</si>
  <si>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</si>
  <si>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</si>
  <si>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</si>
  <si>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</si>
  <si>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</si>
  <si>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</si>
  <si>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</si>
  <si>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</si>
  <si>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</si>
  <si>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</si>
  <si>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</si>
  <si>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</si>
  <si>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</si>
  <si>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</si>
  <si>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</si>
  <si>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</si>
  <si>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</si>
  <si>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</si>
  <si>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</si>
  <si>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</si>
  <si>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</si>
  <si>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</si>
  <si>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</si>
  <si>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</si>
  <si>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</si>
  <si>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</si>
  <si>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</si>
  <si>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</si>
  <si>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</si>
  <si>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</si>
  <si>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</si>
  <si>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</si>
  <si>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</si>
  <si>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</si>
  <si>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</si>
  <si>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</si>
  <si>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</si>
  <si>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</si>
  <si>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</si>
  <si>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</si>
  <si>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</si>
  <si>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</si>
  <si>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</si>
  <si>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</si>
  <si>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</si>
  <si>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</si>
  <si>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</si>
  <si>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</si>
  <si>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</si>
  <si>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</si>
  <si>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</si>
  <si>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</si>
  <si>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</si>
  <si>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</si>
  <si>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</si>
  <si>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</si>
  <si>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</si>
  <si>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</si>
  <si>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</si>
  <si>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</si>
  <si>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</si>
  <si>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</si>
  <si>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</si>
  <si>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</si>
  <si>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</si>
  <si>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</si>
  <si>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</si>
  <si>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</si>
  <si>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</si>
  <si>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</si>
  <si>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</si>
  <si>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</si>
  <si>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</si>
  <si>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</si>
  <si>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</si>
  <si>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</si>
  <si>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</si>
  <si>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</si>
  <si>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</si>
  <si>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</si>
  <si>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</si>
  <si>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</si>
  <si>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</si>
  <si>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</si>
  <si>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</si>
  <si>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</si>
  <si>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</si>
  <si>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</si>
  <si>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</si>
  <si>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</si>
  <si>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</si>
  <si>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</si>
  <si>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</si>
  <si>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</si>
  <si>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</si>
  <si>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</si>
  <si>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</si>
  <si>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</si>
  <si>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</si>
  <si>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</si>
  <si>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</si>
  <si>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</si>
  <si>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</si>
  <si>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</si>
  <si>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</si>
  <si>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</si>
  <si>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</si>
  <si>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</si>
  <si>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</si>
  <si>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</si>
  <si>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</si>
  <si>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</si>
  <si>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</si>
  <si>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</si>
  <si>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</si>
  <si>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</si>
  <si>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</si>
  <si>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</si>
  <si>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</si>
  <si>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</si>
  <si>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</si>
  <si>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</si>
  <si>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</si>
  <si>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</si>
  <si>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</si>
  <si>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</si>
  <si>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</si>
  <si>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</si>
  <si>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</si>
  <si>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</si>
  <si>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</si>
  <si>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</si>
  <si>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</si>
  <si>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</si>
  <si>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</si>
  <si>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</si>
  <si>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</si>
  <si>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</si>
  <si>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</si>
  <si>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</si>
  <si>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</si>
  <si>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</si>
  <si>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</si>
  <si>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</si>
  <si>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</si>
  <si>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</si>
  <si>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</si>
  <si>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</si>
  <si>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</si>
  <si>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</si>
  <si>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</si>
  <si>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</si>
  <si>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</si>
  <si>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</si>
  <si>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</si>
  <si>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</si>
  <si>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</si>
  <si>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</si>
  <si>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</si>
  <si>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</si>
  <si>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</si>
  <si>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</si>
  <si>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</si>
  <si>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</si>
  <si>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</si>
  <si>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</si>
  <si>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</si>
  <si>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</si>
  <si>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</si>
  <si>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</si>
  <si>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</si>
  <si>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</si>
  <si>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</si>
  <si>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</si>
  <si>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</si>
  <si>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</si>
  <si>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</si>
  <si>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</si>
  <si>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</si>
  <si>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</si>
  <si>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</si>
  <si>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</si>
  <si>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</si>
  <si>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</si>
  <si>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</si>
  <si>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</si>
  <si>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</si>
  <si>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</si>
  <si>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</si>
  <si>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</si>
  <si>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</si>
  <si>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</si>
  <si>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</si>
  <si>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</si>
  <si>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</si>
  <si>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</si>
  <si>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</si>
  <si>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</si>
  <si>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</si>
  <si>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</si>
  <si>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</si>
  <si>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</si>
  <si>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</si>
  <si>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</si>
  <si>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</si>
  <si>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</si>
  <si>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</si>
  <si>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</si>
  <si>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</si>
  <si>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</si>
  <si>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</si>
  <si>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</si>
  <si>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</si>
  <si>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</si>
  <si>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</si>
  <si>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</si>
  <si>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</si>
  <si>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</si>
  <si>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</si>
  <si>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</si>
  <si>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</si>
  <si>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</si>
  <si>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</si>
  <si>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</si>
  <si>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</si>
  <si>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</si>
  <si>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</si>
  <si>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</si>
  <si>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</si>
  <si>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</si>
  <si>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</si>
  <si>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</si>
  <si>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</si>
  <si>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</si>
  <si>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</si>
  <si>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</si>
  <si>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</si>
  <si>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</si>
  <si>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</si>
  <si>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</si>
  <si>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</si>
  <si>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</si>
  <si>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</si>
  <si>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</si>
  <si>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</si>
  <si>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</si>
  <si>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</si>
  <si>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</si>
  <si>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</si>
  <si>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</si>
  <si>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</si>
  <si>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</si>
  <si>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</si>
  <si>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</si>
  <si>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</si>
  <si>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</si>
  <si>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</si>
  <si>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</si>
  <si>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</si>
  <si>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</si>
  <si>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</si>
  <si>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</si>
  <si>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</si>
  <si>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</si>
  <si>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</si>
  <si>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</si>
  <si>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</si>
  <si>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</si>
  <si>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</si>
  <si>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</si>
  <si>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</si>
  <si>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</si>
  <si>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</si>
  <si>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</si>
  <si>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</si>
  <si>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</si>
  <si>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</si>
  <si>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</si>
  <si>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</si>
  <si>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</si>
  <si>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</si>
  <si>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</si>
  <si>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</si>
  <si>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</si>
  <si>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</si>
  <si>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</si>
  <si>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</si>
  <si>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</si>
  <si>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</si>
  <si>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</si>
  <si>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</si>
  <si>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</si>
  <si>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</si>
  <si>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</si>
  <si>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</si>
  <si>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</si>
  <si>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</si>
  <si>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</si>
  <si>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</si>
  <si>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</si>
  <si>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</si>
  <si>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</si>
  <si>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</si>
  <si>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</si>
  <si>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</si>
  <si>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</si>
  <si>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</si>
  <si>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</si>
  <si>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</si>
  <si>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</si>
  <si>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</si>
  <si>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</si>
  <si>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</si>
  <si>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</si>
  <si>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</si>
  <si>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</si>
  <si>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</si>
  <si>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</si>
  <si>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</si>
  <si>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</si>
  <si>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</si>
  <si>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</si>
  <si>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</si>
  <si>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</si>
  <si>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</si>
  <si>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</si>
  <si>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</si>
  <si>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</si>
  <si>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</si>
  <si>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</si>
  <si>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</si>
  <si>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</si>
  <si>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</si>
  <si>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</si>
  <si>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</si>
  <si>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</si>
  <si>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</si>
  <si>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</si>
  <si>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</si>
  <si>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</si>
  <si>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</si>
  <si>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</si>
  <si>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</si>
  <si>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</si>
  <si>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</si>
  <si>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</si>
  <si>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</si>
  <si>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</si>
  <si>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</si>
  <si>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</si>
  <si>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</si>
  <si>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</si>
  <si>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</si>
  <si>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</si>
  <si>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</si>
  <si>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</si>
  <si>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</si>
  <si>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</si>
  <si>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</si>
  <si>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</si>
  <si>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</si>
  <si>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</si>
  <si>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</si>
  <si>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</si>
  <si>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</si>
  <si>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</si>
  <si>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</si>
  <si>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</si>
  <si>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</si>
  <si>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</si>
  <si>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</si>
  <si>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</si>
  <si>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</si>
  <si>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</si>
  <si>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</si>
  <si>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</si>
  <si>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</si>
  <si>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</si>
  <si>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</si>
  <si>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</si>
  <si>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</si>
  <si>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</si>
  <si>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</si>
  <si>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</si>
  <si>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</si>
  <si>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</si>
  <si>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</si>
  <si>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</si>
  <si>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</si>
  <si>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</si>
  <si>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</si>
  <si>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</si>
  <si>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</si>
  <si>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</si>
  <si>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</si>
  <si>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</si>
  <si>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</si>
  <si>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</si>
  <si>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</si>
  <si>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</si>
  <si>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</si>
  <si>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</si>
  <si>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</si>
  <si>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</si>
  <si>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</si>
  <si>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</si>
  <si>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</si>
  <si>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</si>
  <si>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</si>
  <si>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</si>
  <si>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</si>
  <si>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</si>
  <si>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</si>
  <si>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</si>
  <si>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</si>
  <si>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</si>
  <si>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</si>
  <si>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</si>
  <si>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</si>
  <si>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</si>
  <si>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</si>
  <si>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</si>
  <si>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</si>
  <si>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</si>
  <si>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</si>
  <si>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</si>
  <si>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</si>
  <si>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</si>
  <si>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</si>
  <si>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</si>
  <si>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</si>
  <si>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</si>
  <si>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</si>
  <si>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</si>
  <si>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</si>
  <si>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</si>
  <si>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</si>
  <si>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</si>
  <si>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</si>
  <si>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</si>
  <si>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</si>
  <si>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</si>
  <si>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</si>
  <si>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</si>
  <si>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</si>
  <si>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</si>
  <si>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</si>
  <si>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</si>
  <si>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</si>
  <si>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</si>
  <si>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</si>
  <si>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</si>
  <si>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</si>
  <si>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</si>
  <si>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</si>
  <si>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</si>
  <si>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</si>
  <si>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</si>
  <si>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</si>
  <si>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</si>
  <si>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</si>
  <si>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</si>
  <si>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</si>
  <si>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</si>
  <si>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</si>
  <si>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</si>
  <si>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</si>
  <si>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</si>
  <si>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</si>
  <si>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</si>
  <si>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</si>
  <si>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</si>
  <si>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</si>
  <si>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</si>
  <si>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</si>
  <si>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</si>
  <si>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</si>
  <si>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</si>
  <si>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</si>
  <si>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</si>
  <si>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</si>
  <si>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</si>
  <si>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</si>
  <si>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</si>
  <si>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</si>
  <si>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</si>
  <si>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</si>
  <si>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</si>
  <si>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</si>
  <si>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</si>
  <si>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</si>
  <si>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</si>
  <si>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</si>
  <si>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</si>
  <si>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</si>
  <si>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</si>
  <si>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</si>
  <si>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</si>
  <si>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</si>
  <si>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</si>
  <si>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</si>
  <si>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</si>
  <si>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</si>
  <si>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</si>
  <si>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</si>
  <si>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</si>
  <si>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</si>
  <si>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</si>
  <si>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</si>
  <si>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</si>
  <si>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</si>
  <si>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</si>
  <si>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</si>
  <si>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</si>
  <si>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</si>
  <si>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</si>
  <si>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</si>
  <si>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</si>
  <si>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</si>
  <si>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</si>
  <si>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</si>
  <si>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</si>
  <si>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</si>
  <si>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</si>
  <si>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</si>
  <si>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</si>
  <si>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</si>
  <si>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</si>
  <si>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</si>
  <si>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</si>
  <si>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</si>
  <si>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</si>
  <si>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</si>
  <si>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</si>
  <si>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</si>
  <si>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</si>
  <si>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</si>
  <si>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</si>
  <si>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</si>
  <si>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</si>
  <si>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</si>
  <si>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</si>
  <si>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</si>
  <si>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</si>
  <si>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</si>
  <si>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</si>
  <si>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</si>
  <si>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</si>
  <si>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</si>
  <si>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</si>
  <si>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</si>
  <si>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</si>
  <si>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</si>
  <si>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</si>
  <si>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</si>
  <si>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</si>
  <si>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</si>
  <si>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</si>
  <si>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</si>
  <si>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</si>
  <si>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</si>
  <si>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</si>
  <si>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</si>
  <si>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</si>
  <si>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</si>
  <si>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</si>
  <si>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</si>
  <si>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</si>
  <si>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</si>
  <si>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</si>
  <si>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</si>
  <si>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</si>
  <si>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</si>
  <si>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</si>
  <si>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</si>
  <si>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</si>
  <si>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</si>
  <si>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</si>
  <si>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</si>
  <si>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</si>
  <si>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</si>
  <si>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</si>
  <si>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</si>
  <si>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</si>
  <si>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</si>
  <si>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</si>
  <si>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</si>
  <si>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</si>
  <si>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</si>
  <si>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</si>
  <si>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</si>
  <si>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</si>
  <si>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</si>
  <si>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</si>
  <si>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</si>
  <si>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</si>
  <si>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</si>
  <si>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</si>
  <si>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</si>
  <si>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</si>
  <si>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</si>
  <si>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</si>
  <si>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</si>
  <si>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</si>
  <si>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</si>
  <si>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</si>
  <si>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</si>
  <si>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</si>
  <si>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</si>
  <si>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</si>
  <si>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</si>
  <si>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</si>
  <si>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</si>
  <si>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</si>
  <si>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</si>
  <si>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</si>
  <si>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</si>
  <si>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</si>
  <si>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</si>
  <si>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</si>
  <si>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</si>
  <si>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</si>
  <si>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</si>
  <si>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</si>
  <si>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</si>
  <si>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</si>
  <si>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</si>
  <si>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</si>
  <si>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</si>
  <si>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</si>
  <si>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</si>
  <si>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</si>
  <si>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</si>
  <si>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</si>
  <si>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</si>
  <si>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</si>
  <si>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</si>
  <si>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</si>
  <si>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</si>
  <si>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</si>
  <si>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</si>
  <si>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</si>
  <si>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</si>
  <si>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</si>
  <si>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</si>
  <si>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</si>
  <si>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</si>
  <si>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</si>
  <si>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</si>
  <si>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</si>
  <si>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</si>
  <si>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</si>
  <si>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</si>
  <si>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</si>
  <si>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</si>
  <si>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</si>
  <si>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</si>
  <si>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</si>
  <si>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</si>
  <si>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</si>
  <si>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</si>
  <si>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</si>
  <si>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</si>
  <si>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</si>
  <si>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</si>
  <si>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</si>
  <si>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</si>
  <si>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</si>
  <si>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</si>
  <si>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</si>
  <si>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</si>
  <si>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</si>
  <si>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</si>
  <si>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</si>
  <si>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</si>
  <si>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</si>
  <si>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</si>
  <si>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</si>
  <si>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</si>
  <si>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</si>
  <si>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</si>
  <si>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</si>
  <si>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</si>
  <si>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</si>
  <si>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</si>
  <si>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</si>
  <si>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</si>
  <si>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</si>
  <si>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</si>
  <si>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</si>
  <si>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</si>
  <si>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</si>
  <si>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</si>
  <si>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</si>
  <si>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</si>
  <si>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</si>
  <si>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</si>
  <si>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</si>
  <si>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</si>
  <si>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</si>
  <si>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</si>
  <si>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</si>
  <si>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</si>
  <si>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</si>
  <si>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</si>
  <si>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</si>
  <si>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</si>
  <si>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</si>
  <si>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</si>
  <si>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</si>
  <si>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</si>
  <si>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</si>
  <si>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</si>
  <si>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</si>
  <si>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</si>
  <si>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</si>
  <si>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</si>
  <si>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</si>
  <si>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</si>
  <si>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</si>
  <si>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</si>
  <si>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</si>
  <si>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</si>
  <si>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</si>
  <si>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</si>
  <si>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</si>
  <si>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</si>
  <si>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</si>
  <si>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</si>
  <si>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</si>
  <si>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</si>
  <si>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</si>
  <si>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</si>
  <si>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</si>
  <si>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</si>
  <si>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</si>
  <si>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</si>
  <si>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</si>
  <si>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</si>
  <si>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</si>
  <si>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</si>
  <si>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</si>
  <si>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</si>
  <si>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</si>
  <si>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</si>
  <si>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</si>
  <si>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</si>
  <si>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</si>
  <si>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</si>
  <si>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</si>
  <si>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</si>
  <si>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</si>
  <si>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</si>
  <si>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</si>
  <si>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</si>
  <si>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</si>
  <si>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</si>
  <si>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</si>
  <si>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</si>
  <si>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</si>
  <si>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</si>
  <si>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</si>
  <si>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</si>
  <si>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</si>
  <si>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</si>
  <si>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</si>
  <si>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</si>
  <si>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</si>
  <si>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</si>
  <si>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</si>
  <si>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</si>
  <si>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</si>
  <si>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</si>
  <si>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</si>
  <si>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</si>
  <si>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</si>
  <si>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</si>
  <si>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</si>
  <si>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</si>
  <si>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</si>
  <si>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</si>
  <si>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</si>
  <si>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</si>
  <si>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</si>
  <si>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</si>
  <si>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</si>
  <si>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</si>
  <si>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</si>
  <si>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</si>
  <si>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</si>
  <si>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</si>
  <si>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</si>
  <si>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</si>
  <si>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</si>
  <si>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</si>
  <si>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</si>
  <si>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</si>
  <si>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</si>
  <si>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</si>
  <si>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</si>
  <si>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</si>
  <si>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</si>
  <si>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</si>
  <si>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</si>
  <si>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</si>
  <si>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</si>
  <si>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</si>
  <si>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</si>
  <si>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</si>
  <si>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</si>
  <si>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</si>
  <si>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</si>
  <si>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</si>
  <si>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</si>
  <si>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</si>
  <si>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</si>
  <si>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</si>
  <si>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</si>
  <si>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</si>
  <si>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</si>
  <si>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</si>
  <si>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</si>
  <si>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</si>
  <si>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</si>
  <si>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</si>
  <si>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</si>
  <si>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</si>
  <si>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</si>
  <si>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</si>
  <si>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</si>
  <si>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</si>
  <si>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</si>
  <si>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</si>
  <si>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</si>
  <si>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</si>
  <si>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</si>
  <si>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</si>
  <si>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</si>
  <si>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</si>
  <si>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</si>
  <si>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</si>
  <si>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</si>
  <si>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</si>
  <si>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</si>
  <si>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</si>
  <si>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</si>
  <si>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</si>
  <si>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</si>
  <si>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</si>
  <si>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</si>
  <si>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</si>
  <si>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</si>
  <si>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</si>
  <si>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</si>
  <si>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</si>
  <si>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</si>
  <si>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</si>
  <si>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</si>
  <si>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</si>
  <si>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</si>
  <si>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</si>
  <si>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</si>
  <si>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</si>
  <si>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</si>
  <si>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</si>
  <si>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</si>
  <si>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</si>
  <si>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</si>
  <si>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</si>
  <si>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</si>
  <si>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</si>
  <si>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</si>
  <si>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</si>
  <si>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</si>
  <si>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</si>
  <si>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</si>
  <si>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</si>
  <si>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</si>
  <si>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</si>
  <si>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</si>
  <si>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</si>
  <si>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</si>
  <si>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</si>
  <si>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</si>
  <si>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</si>
  <si>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</si>
  <si>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</si>
  <si>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</si>
  <si>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</si>
  <si>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</si>
  <si>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</si>
  <si>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</si>
  <si>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</si>
  <si>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</si>
  <si>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</si>
  <si>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</si>
  <si>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</si>
  <si>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</si>
  <si>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</si>
  <si>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</si>
  <si>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</si>
  <si>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</si>
  <si>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</si>
  <si>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</si>
  <si>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</si>
  <si>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</si>
  <si>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</si>
  <si>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</si>
  <si>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</si>
  <si>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</si>
  <si>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</si>
  <si>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</si>
  <si>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</si>
  <si>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</si>
  <si>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</si>
  <si>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</si>
  <si>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</si>
  <si>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</si>
  <si>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</si>
  <si>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</si>
  <si>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</si>
  <si>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</si>
  <si>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</si>
  <si>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</si>
  <si>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</si>
  <si>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</si>
  <si>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</si>
  <si>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</si>
  <si>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</si>
  <si>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</si>
  <si>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</si>
  <si>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</si>
  <si>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</si>
  <si>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</si>
  <si>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</si>
  <si>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</si>
  <si>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</si>
  <si>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</si>
  <si>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</si>
  <si>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</si>
  <si>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</si>
  <si>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</si>
  <si>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</si>
  <si>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</si>
  <si>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</si>
  <si>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</si>
  <si>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</si>
  <si>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</si>
  <si>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</si>
  <si>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</si>
  <si>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</si>
  <si>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</si>
  <si>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</si>
  <si>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</si>
  <si>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</si>
  <si>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</si>
  <si>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</si>
  <si>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</si>
  <si>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</si>
  <si>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</si>
  <si>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</si>
  <si>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</si>
  <si>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</si>
  <si>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</si>
  <si>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</si>
  <si>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</si>
  <si>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</si>
  <si>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</si>
  <si>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</si>
  <si>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</si>
  <si>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</si>
  <si>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</si>
  <si>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</si>
  <si>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</si>
  <si>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</si>
  <si>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</si>
  <si>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</si>
  <si>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</si>
  <si>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</si>
  <si>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</si>
  <si>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</si>
  <si>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</si>
  <si>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</si>
  <si>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</si>
  <si>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</si>
  <si>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</si>
  <si>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</si>
  <si>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</si>
  <si>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</si>
  <si>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</si>
  <si>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</si>
  <si>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</si>
  <si>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</si>
  <si>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</si>
  <si>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</si>
  <si>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</si>
  <si>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</si>
  <si>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</si>
  <si>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</si>
  <si>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</si>
  <si>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</si>
  <si>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</si>
  <si>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</si>
  <si>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</si>
  <si>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</si>
  <si>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</si>
  <si>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</si>
  <si>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</si>
  <si>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</si>
  <si>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</si>
  <si>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</si>
  <si>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</si>
  <si>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</si>
  <si>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</si>
  <si>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</si>
  <si>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</si>
  <si>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</si>
  <si>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</si>
  <si>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</si>
  <si>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</si>
  <si>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</si>
  <si>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</si>
  <si>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</si>
  <si>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</si>
  <si>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</si>
  <si>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</si>
  <si>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</si>
  <si>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</si>
  <si>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</si>
  <si>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</si>
  <si>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</si>
  <si>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</si>
  <si>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</si>
  <si>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</si>
  <si>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</si>
  <si>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</si>
  <si>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</si>
  <si>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</si>
  <si>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</si>
  <si>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</si>
  <si>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</si>
  <si>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</si>
  <si>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</si>
  <si>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</si>
  <si>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</si>
  <si>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</si>
  <si>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</si>
  <si>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</si>
  <si>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</si>
  <si>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</si>
  <si>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</si>
  <si>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</si>
  <si>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</si>
  <si>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</si>
  <si>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</si>
  <si>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</si>
  <si>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</si>
  <si>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</si>
  <si>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</si>
  <si>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</si>
  <si>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</si>
  <si>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</si>
  <si>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</si>
  <si>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</si>
  <si>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</si>
  <si>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</si>
  <si>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</si>
  <si>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</si>
  <si>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</si>
  <si>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</si>
  <si>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</si>
  <si>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</si>
  <si>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</si>
  <si>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</si>
  <si>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</si>
  <si>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</si>
  <si>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</si>
  <si>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</si>
  <si>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</si>
  <si>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</si>
  <si>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</si>
  <si>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</si>
  <si>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</si>
  <si>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</si>
  <si>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</si>
  <si>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</si>
  <si>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</si>
  <si>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</si>
  <si>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</si>
  <si>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</si>
  <si>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</si>
  <si>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</si>
  <si>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</si>
  <si>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</si>
  <si>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</si>
  <si>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</si>
  <si>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</si>
  <si>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</si>
  <si>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</si>
  <si>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</si>
  <si>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</si>
  <si>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</si>
  <si>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</si>
  <si>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</si>
  <si>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</si>
  <si>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</si>
  <si>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</si>
  <si>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</si>
  <si>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</si>
  <si>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</si>
  <si>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</si>
  <si>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</si>
  <si>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</si>
  <si>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</si>
  <si>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</si>
  <si>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</si>
  <si>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</si>
  <si>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</si>
  <si>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</si>
  <si>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</si>
  <si>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</si>
  <si>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</si>
  <si>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</si>
  <si>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</si>
  <si>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</si>
  <si>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</si>
  <si>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</si>
  <si>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</si>
  <si>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</si>
  <si>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</si>
  <si>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</si>
  <si>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</si>
  <si>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</si>
  <si>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</si>
  <si>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</si>
  <si>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</si>
  <si>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</si>
  <si>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</si>
  <si>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</si>
  <si>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</si>
  <si>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</si>
  <si>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</si>
  <si>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</si>
  <si>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</si>
  <si>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</si>
  <si>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</si>
  <si>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</si>
  <si>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</si>
  <si>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</si>
  <si>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</si>
  <si>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</si>
  <si>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</si>
  <si>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</si>
  <si>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</si>
  <si>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</si>
  <si>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</si>
  <si>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</si>
  <si>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</si>
  <si>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</si>
  <si>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</si>
  <si>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</si>
  <si>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</si>
  <si>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</si>
  <si>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</si>
  <si>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</si>
  <si>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</si>
  <si>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</si>
  <si>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</si>
  <si>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</si>
  <si>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</si>
  <si>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</si>
  <si>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</si>
  <si>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</si>
  <si>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</si>
  <si>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</si>
  <si>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</si>
  <si>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</si>
  <si>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</si>
  <si>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</si>
  <si>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</si>
  <si>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</si>
  <si>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</si>
  <si>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</si>
  <si>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</si>
  <si>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</si>
  <si>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</si>
  <si>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</si>
  <si>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</si>
  <si>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</si>
  <si>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</si>
  <si>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</si>
  <si>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</si>
  <si>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</si>
  <si>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</si>
  <si>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</si>
  <si>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</si>
  <si>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</si>
  <si>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</si>
  <si>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</si>
  <si>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</si>
  <si>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</si>
  <si>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</si>
  <si>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</si>
  <si>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</si>
  <si>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</si>
  <si>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</si>
  <si>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</si>
  <si>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</si>
  <si>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</si>
  <si>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</si>
  <si>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</si>
  <si>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</si>
  <si>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</si>
  <si>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</si>
  <si>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</si>
  <si>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</si>
  <si>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</si>
  <si>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</si>
  <si>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</si>
  <si>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</si>
  <si>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</si>
  <si>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</si>
  <si>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</si>
  <si>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</si>
  <si>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</si>
  <si>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</si>
  <si>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</si>
  <si>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</si>
  <si>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</si>
  <si>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</si>
  <si>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</si>
  <si>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</si>
  <si>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</si>
  <si>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</si>
  <si>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</si>
  <si>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</si>
  <si>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</si>
  <si>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</si>
  <si>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</si>
  <si>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</si>
  <si>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</si>
  <si>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</si>
  <si>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</si>
  <si>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</si>
  <si>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</si>
  <si>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</si>
  <si>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</si>
  <si>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</si>
  <si>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</si>
  <si>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</si>
  <si>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</si>
  <si>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</si>
  <si>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</si>
  <si>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</si>
  <si>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</si>
  <si>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</si>
  <si>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</si>
  <si>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</si>
  <si>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</si>
  <si>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</si>
  <si>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</si>
  <si>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</si>
  <si>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</si>
  <si>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</si>
  <si>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</si>
  <si>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</si>
  <si>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</si>
  <si>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</si>
  <si>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</si>
  <si>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</si>
  <si>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</si>
  <si>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</si>
  <si>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</si>
  <si>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</si>
  <si>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</si>
  <si>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</si>
  <si>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</si>
  <si>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</si>
  <si>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</si>
  <si>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</si>
  <si>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</si>
  <si>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</si>
  <si>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</si>
  <si>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</si>
  <si>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</si>
  <si>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</si>
  <si>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</si>
  <si>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</si>
  <si>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</si>
  <si>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</si>
  <si>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</si>
  <si>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</si>
  <si>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</si>
  <si>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</si>
  <si>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</si>
  <si>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</si>
  <si>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</si>
  <si>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</si>
  <si>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</si>
  <si>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</si>
  <si>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</si>
  <si>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</si>
  <si>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</si>
  <si>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</si>
  <si>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</si>
  <si>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</si>
  <si>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</si>
  <si>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</si>
  <si>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</si>
  <si>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</si>
  <si>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</si>
  <si>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</si>
  <si>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</si>
  <si>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</si>
  <si>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</si>
  <si>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</si>
  <si>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</si>
  <si>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</si>
  <si>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</si>
  <si>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</si>
  <si>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</si>
  <si>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</si>
  <si>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</si>
  <si>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</si>
  <si>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</si>
  <si>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</si>
  <si>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</si>
  <si>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</si>
  <si>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</si>
  <si>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</si>
  <si>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</si>
  <si>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</si>
  <si>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</si>
  <si>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</si>
  <si>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</si>
  <si>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</si>
  <si>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</si>
  <si>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</si>
  <si>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</si>
  <si>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</si>
  <si>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</si>
  <si>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</si>
  <si>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</si>
  <si>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</si>
  <si>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</si>
  <si>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</si>
  <si>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</si>
  <si>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</si>
  <si>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</si>
  <si>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</si>
  <si>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</si>
  <si>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</si>
  <si>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</si>
  <si>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</si>
  <si>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</si>
  <si>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</si>
  <si>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</si>
  <si>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</si>
  <si>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</si>
  <si>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</si>
  <si>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</si>
  <si>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</si>
  <si>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</si>
  <si>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</si>
  <si>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</si>
  <si>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</si>
  <si>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</si>
  <si>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</si>
  <si>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</si>
  <si>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</si>
  <si>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</si>
  <si>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</si>
  <si>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</si>
  <si>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</si>
  <si>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</si>
  <si>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</si>
  <si>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</si>
  <si>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</si>
  <si>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</si>
  <si>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</si>
  <si>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</si>
  <si>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</si>
  <si>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</si>
  <si>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</si>
  <si>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</si>
  <si>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</si>
  <si>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</si>
  <si>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</si>
  <si>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</si>
  <si>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</si>
  <si>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</si>
  <si>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</si>
  <si>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</si>
  <si>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</si>
  <si>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</si>
  <si>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</si>
  <si>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</si>
  <si>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</si>
  <si>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</si>
  <si>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</si>
  <si>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</si>
  <si>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</si>
  <si>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</si>
  <si>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</si>
  <si>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</si>
  <si>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</si>
  <si>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</si>
  <si>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</si>
  <si>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</si>
  <si>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</si>
  <si>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</si>
  <si>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</si>
  <si>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</si>
  <si>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</si>
  <si>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</si>
  <si>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</si>
  <si>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</si>
  <si>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</si>
  <si>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</si>
  <si>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</si>
  <si>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</si>
  <si>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</si>
  <si>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</si>
  <si>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</si>
  <si>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</si>
  <si>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</si>
  <si>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</si>
  <si>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</si>
  <si>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</si>
  <si>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</si>
  <si>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</si>
  <si>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</si>
  <si>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</si>
  <si>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</si>
  <si>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</si>
  <si>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</si>
  <si>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</si>
  <si>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</si>
  <si>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</si>
  <si>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</si>
  <si>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</si>
  <si>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</si>
  <si>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</si>
  <si>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</si>
  <si>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</si>
  <si>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</si>
  <si>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</si>
  <si>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</si>
  <si>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</si>
  <si>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</si>
  <si>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</si>
  <si>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</si>
  <si>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</si>
  <si>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</si>
  <si>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</si>
  <si>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</si>
  <si>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</si>
  <si>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</si>
  <si>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</si>
  <si>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</si>
  <si>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</si>
  <si>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</si>
  <si>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</si>
  <si>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</si>
  <si>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</si>
  <si>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</si>
  <si>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</si>
  <si>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</si>
  <si>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</si>
  <si>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</si>
  <si>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</si>
  <si>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</si>
  <si>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</si>
  <si>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</si>
  <si>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</si>
  <si>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</si>
  <si>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</si>
  <si>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</si>
  <si>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</si>
  <si>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</si>
  <si>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</si>
  <si>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</si>
  <si>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</si>
  <si>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</si>
  <si>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</si>
  <si>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</si>
  <si>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</si>
  <si>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</si>
  <si>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</si>
  <si>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</si>
  <si>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</si>
  <si>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</si>
  <si>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</si>
  <si>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</si>
  <si>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</si>
  <si>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</si>
  <si>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</si>
  <si>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</si>
  <si>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</si>
  <si>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</si>
  <si>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</si>
  <si>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</si>
  <si>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</si>
  <si>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</si>
  <si>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</si>
  <si>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</si>
  <si>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</si>
  <si>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</si>
  <si>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</si>
  <si>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</si>
  <si>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</si>
  <si>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</si>
  <si>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</si>
  <si>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</si>
  <si>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</si>
  <si>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</si>
  <si>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</si>
  <si>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</si>
  <si>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</si>
  <si>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</si>
  <si>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</si>
  <si>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</si>
  <si>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</si>
  <si>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</si>
  <si>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</si>
  <si>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</si>
  <si>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</si>
  <si>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</si>
  <si>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</si>
  <si>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</si>
  <si>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</si>
  <si>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</si>
  <si>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</si>
  <si>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</si>
  <si>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</si>
  <si>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</si>
  <si>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</si>
  <si>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</si>
  <si>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</si>
  <si>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</si>
  <si>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</si>
  <si>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</si>
  <si>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</si>
  <si>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</si>
  <si>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</si>
  <si>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</si>
  <si>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</si>
  <si>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</si>
  <si>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</si>
  <si>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</si>
  <si>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</si>
  <si>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</si>
  <si>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</si>
  <si>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</si>
  <si>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</si>
  <si>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</si>
  <si>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</si>
  <si>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</si>
  <si>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</si>
  <si>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</si>
  <si>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</si>
  <si>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</si>
  <si>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</si>
  <si>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</si>
  <si>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</si>
  <si>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</si>
  <si>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</si>
  <si>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</si>
  <si>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</si>
  <si>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</si>
  <si>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</si>
  <si>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</si>
  <si>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</si>
  <si>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</si>
  <si>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</si>
  <si>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</si>
  <si>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</si>
  <si>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</si>
  <si>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</si>
  <si>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</si>
  <si>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</si>
  <si>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</si>
  <si>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</si>
  <si>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</si>
  <si>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</si>
  <si>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</si>
  <si>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</si>
  <si>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</si>
  <si>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</si>
  <si>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</si>
  <si>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</si>
  <si>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</si>
  <si>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</si>
  <si>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</si>
  <si>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</si>
  <si>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</si>
  <si>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</si>
  <si>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</si>
  <si>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</si>
  <si>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</si>
  <si>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</si>
  <si>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</si>
  <si>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</si>
  <si>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</si>
  <si>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</si>
  <si>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</si>
  <si>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</si>
  <si>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</si>
  <si>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</si>
  <si>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</si>
  <si>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</si>
  <si>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</si>
  <si>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</si>
  <si>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</si>
  <si>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</si>
  <si>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</si>
  <si>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</si>
  <si>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</si>
  <si>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</si>
  <si>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</si>
  <si>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</si>
  <si>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</si>
  <si>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</si>
  <si>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</si>
  <si>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</si>
  <si>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</si>
  <si>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</si>
  <si>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</si>
  <si>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</si>
  <si>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</si>
  <si>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</si>
  <si>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</si>
  <si>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</si>
  <si>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</si>
  <si>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</si>
  <si>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</si>
  <si>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</si>
  <si>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</si>
  <si>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</si>
  <si>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</si>
  <si>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</si>
  <si>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</si>
  <si>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</si>
  <si>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</si>
  <si>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</si>
  <si>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</si>
  <si>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</si>
  <si>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</si>
  <si>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</si>
  <si>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</si>
  <si>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</si>
  <si>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</si>
  <si>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</si>
  <si>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</si>
  <si>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</si>
  <si>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</si>
  <si>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</si>
  <si>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</si>
  <si>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</si>
  <si>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</si>
  <si>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</si>
  <si>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</si>
  <si>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</si>
  <si>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</si>
  <si>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</si>
  <si>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</si>
  <si>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</si>
  <si>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</si>
  <si>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</si>
  <si>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</si>
  <si>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</si>
  <si>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</si>
  <si>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</si>
  <si>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</si>
  <si>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</si>
  <si>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</si>
  <si>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</si>
  <si>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</si>
  <si>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</si>
  <si>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</si>
  <si>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</si>
  <si>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</si>
  <si>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</si>
  <si>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</si>
  <si>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</si>
  <si>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</si>
  <si>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</si>
  <si>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</si>
  <si>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</si>
  <si>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</si>
  <si>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</si>
  <si>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</si>
  <si>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</si>
  <si>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</si>
  <si>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</si>
  <si>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</si>
  <si>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</si>
  <si>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</si>
  <si>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</si>
  <si>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</si>
  <si>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</si>
  <si>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</si>
  <si>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</si>
  <si>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</si>
  <si>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</si>
  <si>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</si>
  <si>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</si>
  <si>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</si>
  <si>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</si>
  <si>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</si>
  <si>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</si>
  <si>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</si>
  <si>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</si>
  <si>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</si>
  <si>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</si>
  <si>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</si>
  <si>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</si>
  <si>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</si>
  <si>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</si>
  <si>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</si>
  <si>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</si>
  <si>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</si>
  <si>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</si>
  <si>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</si>
  <si>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</si>
  <si>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</si>
  <si>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</si>
  <si>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</si>
  <si>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</si>
  <si>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</si>
  <si>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</si>
  <si>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</si>
  <si>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</si>
  <si>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</si>
  <si>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</si>
  <si>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</si>
  <si>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</si>
  <si>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</si>
  <si>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</si>
  <si>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</si>
  <si>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</si>
  <si>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</si>
  <si>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</si>
  <si>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</si>
  <si>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</si>
  <si>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</si>
  <si>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</si>
  <si>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</si>
  <si>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</si>
  <si>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</si>
  <si>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</si>
  <si>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</si>
  <si>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</si>
  <si>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</si>
  <si>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</si>
  <si>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</si>
  <si>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</si>
  <si>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</si>
  <si>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</si>
  <si>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</si>
  <si>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</si>
  <si>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</si>
  <si>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</si>
  <si>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</si>
  <si>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</si>
  <si>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</si>
  <si>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</si>
  <si>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</si>
  <si>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</si>
  <si>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</si>
  <si>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</si>
  <si>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</si>
  <si>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</si>
  <si>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</si>
  <si>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</si>
  <si>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</si>
  <si>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</si>
  <si>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</si>
  <si>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</si>
  <si>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</si>
  <si>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</si>
  <si>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</si>
  <si>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</si>
  <si>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</si>
  <si>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</si>
  <si>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</si>
  <si>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</si>
  <si>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</si>
  <si>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</si>
  <si>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</si>
  <si>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</si>
  <si>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</si>
  <si>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</si>
  <si>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</si>
  <si>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</si>
  <si>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</si>
  <si>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</si>
  <si>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</si>
  <si>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</si>
  <si>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</si>
  <si>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</si>
  <si>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</si>
  <si>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</si>
  <si>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</si>
  <si>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</si>
  <si>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</si>
  <si>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</si>
  <si>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</si>
  <si>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</si>
  <si>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</si>
  <si>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</si>
  <si>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</si>
  <si>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</si>
  <si>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</si>
  <si>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</si>
  <si>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</si>
  <si>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</si>
  <si>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</si>
  <si>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</si>
  <si>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</si>
  <si>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</si>
  <si>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</si>
  <si>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</si>
  <si>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</si>
  <si>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</si>
  <si>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</si>
  <si>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</si>
  <si>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</si>
  <si>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</si>
  <si>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</si>
  <si>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</si>
  <si>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</si>
  <si>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</si>
  <si>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</si>
  <si>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</si>
  <si>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</si>
  <si>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</si>
  <si>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</si>
  <si>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</si>
  <si>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</si>
  <si>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</si>
  <si>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</si>
  <si>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</si>
  <si>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</si>
  <si>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</si>
  <si>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</si>
  <si>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</si>
  <si>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</si>
  <si>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</si>
  <si>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</si>
  <si>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</si>
  <si>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</si>
  <si>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</si>
  <si>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</si>
  <si>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</si>
  <si>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</si>
  <si>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</si>
  <si>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</si>
  <si>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</si>
  <si>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</si>
  <si>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</si>
  <si>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</si>
  <si>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</si>
  <si>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</si>
  <si>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</si>
  <si>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</si>
  <si>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</si>
  <si>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</si>
  <si>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</si>
  <si>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</si>
  <si>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</si>
  <si>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</si>
  <si>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</si>
  <si>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</si>
  <si>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</si>
  <si>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</si>
  <si>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</si>
  <si>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</si>
  <si>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</si>
  <si>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</si>
  <si>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</si>
  <si>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</si>
  <si>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</si>
  <si>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</si>
  <si>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</si>
  <si>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</si>
  <si>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</si>
  <si>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</si>
  <si>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</si>
  <si>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</si>
  <si>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</si>
  <si>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</si>
  <si>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</si>
  <si>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</si>
  <si>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</si>
  <si>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</si>
  <si>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</si>
  <si>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</si>
  <si>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</si>
  <si>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</si>
  <si>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</si>
  <si>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</si>
  <si>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</si>
  <si>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</si>
  <si>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</si>
  <si>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</si>
  <si>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</si>
  <si>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</si>
  <si>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</si>
  <si>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</si>
  <si>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</si>
  <si>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</si>
  <si>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</si>
  <si>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</si>
  <si>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</si>
  <si>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</si>
  <si>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</si>
  <si>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</si>
  <si>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</si>
  <si>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</si>
  <si>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</si>
  <si>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</si>
  <si>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</si>
  <si>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</si>
  <si>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</si>
  <si>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</si>
  <si>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</si>
  <si>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</si>
  <si>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</si>
  <si>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</si>
  <si>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</si>
  <si>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</si>
  <si>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</si>
  <si>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</si>
  <si>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</si>
  <si>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</si>
  <si>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</si>
  <si>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</si>
  <si>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</si>
  <si>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</si>
  <si>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</si>
  <si>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</si>
  <si>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</si>
  <si>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</si>
  <si>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</si>
  <si>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</si>
  <si>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</si>
  <si>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</si>
  <si>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</si>
  <si>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</si>
  <si>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</si>
  <si>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</si>
  <si>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</si>
  <si>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</si>
  <si>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</si>
  <si>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</si>
  <si>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</si>
  <si>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</si>
  <si>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</si>
  <si>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</si>
  <si>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</si>
  <si>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</si>
  <si>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</si>
  <si>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</si>
  <si>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</si>
  <si>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</si>
  <si>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</si>
  <si>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</si>
  <si>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</si>
  <si>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</si>
  <si>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</si>
  <si>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</si>
  <si>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</si>
  <si>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</si>
  <si>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</si>
  <si>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</si>
  <si>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</si>
  <si>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</si>
  <si>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</si>
  <si>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</si>
  <si>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</si>
  <si>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</si>
  <si>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</si>
  <si>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</si>
  <si>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</si>
  <si>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</si>
  <si>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</si>
  <si>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</si>
  <si>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</si>
  <si>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</si>
  <si>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</si>
  <si>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</si>
  <si>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</si>
  <si>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</si>
  <si>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</si>
  <si>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</si>
  <si>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</si>
  <si>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</si>
  <si>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</si>
  <si>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</si>
  <si>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</si>
  <si>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</si>
  <si>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</si>
  <si>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</si>
  <si>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</si>
  <si>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</si>
  <si>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</si>
  <si>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</si>
  <si>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</si>
  <si>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</si>
  <si>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</si>
  <si>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</si>
  <si>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</si>
  <si>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</si>
  <si>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</si>
  <si>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</si>
  <si>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</si>
  <si>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</si>
  <si>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</si>
  <si>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</si>
  <si>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</si>
  <si>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</si>
  <si>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</si>
  <si>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</si>
  <si>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</si>
  <si>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</si>
  <si>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</si>
  <si>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</si>
  <si>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</si>
  <si>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</si>
  <si>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</si>
  <si>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</si>
  <si>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</si>
  <si>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</si>
  <si>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</si>
  <si>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</si>
  <si>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</si>
  <si>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</si>
  <si>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</si>
  <si>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</si>
  <si>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</si>
  <si>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</si>
  <si>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</si>
  <si>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</si>
  <si>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</si>
  <si>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</si>
  <si>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</si>
  <si>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</si>
  <si>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</si>
  <si>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</si>
  <si>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</si>
  <si>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</si>
  <si>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</si>
  <si>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</si>
  <si>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</si>
  <si>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</si>
  <si>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</si>
  <si>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</si>
  <si>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</si>
  <si>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</si>
  <si>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</si>
  <si>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</si>
  <si>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</si>
  <si>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</si>
  <si>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</si>
  <si>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</si>
  <si>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</si>
  <si>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</si>
  <si>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</si>
  <si>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</si>
  <si>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</si>
  <si>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</si>
  <si>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</si>
  <si>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</si>
  <si>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</si>
  <si>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</si>
  <si>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</si>
  <si>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</si>
  <si>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</si>
  <si>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</si>
  <si>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</si>
  <si>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</si>
  <si>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</si>
  <si>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</si>
  <si>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</si>
  <si>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</si>
  <si>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</si>
  <si>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</si>
  <si>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</si>
  <si>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</si>
  <si>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</si>
  <si>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</si>
  <si>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</si>
  <si>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</si>
  <si>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</si>
  <si>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</si>
  <si>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</si>
  <si>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</si>
  <si>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</si>
  <si>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</si>
  <si>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</si>
  <si>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</si>
  <si>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</si>
  <si>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</si>
  <si>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</si>
  <si>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</si>
  <si>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</si>
  <si>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</si>
  <si>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</si>
  <si>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</si>
  <si>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</si>
  <si>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</si>
  <si>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</si>
  <si>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</si>
  <si>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</si>
  <si>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</si>
  <si>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</si>
  <si>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</si>
  <si>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</si>
  <si>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</si>
  <si>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</si>
  <si>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</si>
  <si>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</si>
  <si>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</si>
  <si>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</si>
  <si>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</si>
  <si>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</si>
  <si>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</si>
  <si>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</si>
  <si>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</si>
  <si>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</si>
  <si>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</si>
  <si>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</si>
  <si>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</si>
  <si>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</si>
  <si>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</si>
  <si>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</si>
  <si>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</si>
  <si>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</si>
  <si>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</si>
  <si>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</si>
  <si>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</si>
  <si>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</si>
  <si>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</si>
  <si>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</si>
  <si>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</si>
  <si>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</si>
  <si>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</si>
  <si>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</si>
  <si>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</si>
  <si>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</si>
  <si>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</si>
  <si>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</si>
  <si>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</si>
  <si>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</si>
  <si>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</si>
  <si>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</si>
  <si>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</si>
  <si>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</si>
  <si>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</si>
  <si>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</si>
  <si>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</si>
  <si>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</si>
  <si>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</si>
  <si>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</si>
  <si>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</si>
  <si>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</si>
  <si>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</si>
  <si>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</si>
  <si>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</si>
  <si>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</si>
  <si>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</si>
  <si>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</si>
  <si>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</si>
  <si>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</si>
  <si>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</si>
  <si>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</si>
  <si>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</si>
  <si>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</si>
  <si>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</si>
  <si>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</si>
  <si>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</si>
  <si>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</si>
  <si>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</si>
  <si>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</si>
  <si>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</si>
  <si>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</si>
  <si>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</si>
  <si>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</si>
  <si>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</si>
  <si>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</si>
  <si>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</si>
  <si>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</si>
  <si>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</si>
  <si>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</si>
  <si>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</si>
  <si>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</si>
  <si>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</si>
  <si>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</si>
  <si>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</si>
  <si>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</si>
  <si>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</si>
  <si>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</si>
  <si>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</si>
  <si>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</si>
  <si>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</si>
  <si>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</si>
  <si>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</si>
  <si>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</si>
  <si>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</si>
  <si>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</si>
  <si>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</si>
  <si>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</si>
  <si>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</si>
  <si>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</si>
  <si>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</si>
  <si>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</si>
  <si>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</si>
  <si>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</si>
  <si>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</si>
  <si>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</si>
  <si>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</si>
  <si>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</si>
  <si>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</si>
  <si>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</si>
  <si>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</si>
  <si>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</si>
  <si>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</si>
  <si>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</si>
  <si>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</si>
  <si>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</si>
  <si>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</si>
  <si>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</si>
  <si>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</si>
  <si>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</si>
  <si>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</si>
  <si>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</si>
  <si>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</si>
  <si>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</si>
  <si>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</si>
  <si>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</si>
  <si>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</si>
  <si>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</si>
  <si>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</si>
  <si>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</si>
  <si>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</si>
  <si>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</si>
  <si>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</si>
  <si>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</si>
  <si>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</si>
  <si>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</si>
  <si>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</si>
  <si>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</si>
  <si>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</si>
  <si>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</si>
  <si>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</si>
  <si>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</si>
  <si>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</si>
  <si>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</si>
  <si>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</si>
  <si>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</si>
  <si>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</si>
  <si>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</si>
  <si>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</si>
  <si>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</si>
  <si>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</si>
  <si>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</si>
  <si>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</si>
  <si>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</si>
  <si>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</si>
  <si>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</si>
  <si>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</si>
  <si>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</si>
  <si>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</si>
  <si>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</si>
  <si>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</si>
  <si>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</si>
  <si>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</si>
  <si>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</si>
  <si>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</si>
  <si>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</si>
  <si>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</si>
  <si>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</si>
  <si>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</si>
  <si>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</si>
  <si>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</si>
  <si>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</si>
  <si>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</si>
  <si>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</si>
  <si>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</si>
  <si>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</si>
  <si>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</si>
  <si>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</si>
  <si>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</si>
  <si>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</si>
  <si>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</si>
  <si>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</si>
  <si>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</si>
  <si>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</si>
  <si>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</si>
  <si>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</si>
  <si>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</si>
  <si>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</si>
  <si>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</si>
  <si>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</si>
  <si>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</si>
  <si>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</si>
  <si>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</si>
  <si>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</si>
  <si>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</si>
  <si>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</si>
  <si>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</si>
  <si>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</si>
  <si>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</si>
  <si>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</si>
  <si>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</si>
  <si>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</si>
  <si>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</si>
  <si>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</si>
  <si>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</si>
  <si>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</si>
  <si>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</si>
  <si>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</si>
  <si>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</si>
  <si>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</si>
  <si>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</si>
  <si>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</si>
  <si>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</si>
  <si>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</si>
  <si>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</si>
  <si>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</si>
  <si>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</si>
  <si>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</si>
  <si>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</si>
  <si>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</si>
  <si>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</si>
  <si>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</si>
  <si>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</si>
  <si>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</si>
  <si>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</si>
  <si>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</si>
  <si>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</si>
  <si>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</si>
  <si>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</si>
  <si>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</si>
  <si>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</si>
  <si>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</si>
  <si>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</si>
  <si>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</si>
  <si>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</si>
  <si>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</si>
  <si>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</si>
  <si>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</si>
  <si>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</si>
  <si>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</si>
  <si>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</si>
  <si>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</si>
  <si>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</si>
  <si>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</si>
  <si>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</si>
  <si>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</si>
  <si>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</si>
  <si>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</si>
  <si>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</si>
  <si>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</si>
  <si>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</si>
  <si>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</si>
  <si>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</si>
  <si>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</si>
  <si>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</si>
  <si>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</si>
  <si>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</si>
  <si>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</si>
  <si>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</si>
  <si>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</si>
  <si>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</si>
  <si>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</si>
  <si>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</si>
  <si>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</si>
  <si>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</si>
  <si>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</si>
  <si>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</si>
  <si>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</si>
  <si>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</si>
  <si>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</si>
  <si>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</si>
  <si>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</si>
  <si>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</si>
  <si>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</si>
  <si>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</si>
  <si>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</si>
  <si>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</si>
  <si>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</si>
  <si>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</si>
  <si>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</si>
  <si>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</si>
  <si>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</si>
  <si>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</si>
  <si>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</si>
  <si>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</si>
  <si>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</si>
  <si>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</si>
  <si>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</si>
  <si>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</si>
  <si>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</si>
  <si>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</si>
  <si>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</si>
  <si>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</si>
  <si>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</si>
  <si>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</si>
  <si>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</si>
  <si>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</si>
  <si>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</si>
  <si>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</si>
  <si>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</si>
  <si>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</si>
  <si>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</si>
  <si>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</si>
  <si>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</si>
  <si>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</si>
  <si>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</si>
  <si>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</si>
  <si>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</si>
  <si>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</si>
  <si>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</si>
  <si>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</si>
  <si>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</si>
  <si>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</si>
  <si>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</si>
  <si>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</si>
  <si>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</si>
  <si>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</si>
  <si>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</si>
  <si>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</si>
  <si>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</si>
  <si>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</si>
  <si>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</si>
  <si>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</si>
  <si>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</si>
  <si>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</si>
  <si>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</si>
  <si>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</si>
  <si>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</si>
  <si>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</si>
  <si>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</si>
  <si>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</si>
  <si>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</si>
  <si>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</si>
  <si>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</si>
  <si>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</si>
  <si>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</si>
  <si>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</si>
  <si>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</si>
  <si>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</si>
  <si>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</si>
  <si>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</si>
  <si>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</si>
  <si>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</si>
  <si>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</si>
  <si>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</si>
  <si>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</si>
  <si>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</si>
  <si>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</si>
  <si>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</si>
  <si>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</si>
  <si>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</si>
  <si>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</si>
  <si>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</si>
  <si>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</si>
  <si>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</si>
  <si>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</si>
  <si>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</si>
  <si>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</si>
  <si>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</si>
  <si>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</si>
  <si>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</si>
  <si>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</si>
  <si>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</si>
  <si>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</si>
  <si>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</si>
  <si>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</si>
  <si>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</si>
  <si>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</si>
  <si>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</si>
  <si>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</si>
  <si>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</si>
  <si>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</si>
  <si>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</si>
  <si>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</si>
  <si>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</si>
  <si>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</si>
  <si>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</si>
  <si>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</si>
  <si>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</si>
  <si>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</si>
  <si>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</si>
  <si>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</si>
  <si>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</si>
  <si>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</si>
  <si>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</si>
  <si>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</si>
  <si>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</si>
  <si>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</si>
  <si>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</si>
  <si>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</si>
  <si>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</si>
  <si>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</si>
  <si>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</si>
  <si>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</si>
  <si>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</si>
  <si>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</si>
  <si>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</si>
  <si>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</si>
  <si>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</si>
  <si>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</si>
  <si>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</si>
  <si>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</si>
  <si>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</si>
  <si>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</si>
  <si>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</si>
  <si>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</si>
  <si>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</si>
  <si>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</si>
  <si>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</si>
  <si>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</si>
  <si>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</si>
  <si>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</si>
  <si>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</si>
  <si>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</si>
  <si>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</si>
  <si>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</si>
  <si>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</si>
  <si>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</si>
  <si>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</si>
  <si>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</si>
  <si>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</si>
  <si>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</si>
  <si>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</si>
  <si>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</si>
  <si>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</si>
  <si>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</si>
  <si>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</si>
  <si>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</si>
  <si>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</si>
  <si>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</si>
  <si>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</si>
  <si>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</si>
  <si>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</si>
  <si>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</si>
  <si>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</si>
  <si>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</si>
  <si>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</si>
  <si>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</si>
  <si>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</si>
  <si>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</si>
  <si>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</si>
  <si>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</si>
  <si>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</si>
  <si>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</si>
  <si>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</si>
  <si>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</si>
  <si>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</si>
  <si>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</si>
  <si>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</si>
  <si>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</si>
  <si>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</si>
  <si>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</si>
  <si>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</si>
  <si>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</si>
  <si>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</si>
  <si>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</si>
  <si>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</si>
  <si>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</si>
  <si>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</si>
  <si>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</si>
  <si>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</si>
  <si>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</si>
  <si>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</si>
  <si>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</si>
  <si>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</si>
  <si>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</si>
  <si>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</si>
  <si>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</si>
  <si>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</si>
  <si>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</si>
  <si>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</si>
  <si>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</si>
  <si>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</si>
  <si>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</si>
  <si>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</si>
  <si>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</si>
  <si>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</si>
  <si>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</si>
  <si>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</si>
  <si>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</si>
  <si>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</si>
  <si>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</si>
  <si>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</si>
  <si>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</si>
  <si>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</si>
  <si>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</si>
  <si>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</si>
  <si>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</si>
  <si>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</si>
  <si>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</si>
  <si>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</si>
  <si>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</si>
  <si>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</si>
  <si>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</si>
  <si>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</si>
  <si>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</si>
  <si>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</si>
  <si>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</si>
  <si>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</si>
  <si>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</si>
  <si>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</si>
  <si>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</si>
  <si>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</si>
  <si>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</si>
  <si>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</si>
  <si>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</si>
  <si>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</si>
  <si>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</si>
  <si>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</si>
  <si>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</si>
  <si>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</si>
  <si>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</si>
  <si>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</si>
  <si>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</si>
  <si>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</si>
  <si>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</si>
  <si>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</si>
  <si>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</si>
  <si>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</si>
  <si>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</si>
  <si>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</si>
  <si>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</si>
  <si>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</si>
  <si>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</si>
  <si>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</si>
  <si>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</si>
  <si>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</si>
  <si>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</si>
  <si>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</si>
  <si>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</si>
  <si>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</si>
  <si>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</si>
  <si>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</si>
  <si>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</si>
  <si>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</si>
  <si>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</si>
  <si>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</si>
  <si>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</si>
  <si>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</si>
  <si>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</si>
  <si>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</si>
  <si>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</si>
  <si>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</si>
  <si>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</si>
  <si>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</si>
  <si>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</si>
  <si>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</si>
  <si>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</si>
  <si>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</si>
  <si>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</si>
  <si>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</si>
  <si>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</si>
  <si>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</si>
  <si>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</si>
  <si>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</si>
  <si>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</si>
  <si>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</si>
  <si>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</si>
  <si>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</si>
  <si>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</si>
  <si>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</si>
  <si>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</si>
  <si>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</si>
  <si>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</si>
  <si>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</si>
  <si>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</si>
  <si>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</si>
  <si>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</si>
  <si>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</si>
  <si>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</si>
  <si>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</si>
  <si>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</si>
  <si>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</si>
  <si>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</si>
  <si>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</si>
  <si>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</si>
  <si>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</si>
  <si>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</si>
  <si>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</si>
  <si>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</si>
  <si>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</si>
  <si>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</si>
  <si>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Mortar</t>
  </si>
  <si>
    <t>Shotgun</t>
  </si>
  <si>
    <t>Camouflage</t>
  </si>
  <si>
    <t>Grille</t>
  </si>
  <si>
    <t>Laser Rangefinder</t>
  </si>
  <si>
    <t>type (1/2/4/3)</t>
  </si>
  <si>
    <t>Heavy/Light</t>
  </si>
  <si>
    <t>Defense/Utility</t>
  </si>
  <si>
    <t>Tank:</t>
  </si>
  <si>
    <t>Mech:</t>
  </si>
  <si>
    <r>
      <t xml:space="preserve">GFL KR Battle Sim - JSON Creator </t>
    </r>
    <r>
      <rPr>
        <b/>
        <sz val="12"/>
        <rFont val="Calibri"/>
        <family val="2"/>
        <scheme val="minor"/>
      </rPr>
      <t>(last updated April 19, 2024)</t>
    </r>
  </si>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</sst>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8911</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8738</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8301</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8256</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8255</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8258</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8283</v>
      </c>
    </row>
    <row r="72" spans="1:19" outlineLevel="1" x14ac:dyDescent="0.25">
      <c r="A72" s="159" t="s">
        <v>8284</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8285</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8268</v>
      </c>
      <c r="K78" s="299" t="s">
        <v>8269</v>
      </c>
      <c r="M78" s="151"/>
    </row>
    <row r="79" spans="1:19" outlineLevel="1" x14ac:dyDescent="0.25">
      <c r="A79" s="155" t="s">
        <v>8501</v>
      </c>
    </row>
    <row r="80" spans="1:19" outlineLevel="1" x14ac:dyDescent="0.25">
      <c r="A80" s="279" t="s">
        <v>8244</v>
      </c>
      <c r="B80" s="277" t="s">
        <v>8259</v>
      </c>
      <c r="C80" s="278"/>
      <c r="D80" s="277" t="s">
        <v>8260</v>
      </c>
      <c r="E80" s="278"/>
      <c r="F80" s="277" t="s">
        <v>8261</v>
      </c>
      <c r="G80" s="278"/>
      <c r="H80" s="277" t="s">
        <v>8262</v>
      </c>
      <c r="I80" s="278"/>
      <c r="J80" s="277" t="s">
        <v>8263</v>
      </c>
      <c r="K80" s="278"/>
      <c r="L80" s="277" t="s">
        <v>8264</v>
      </c>
      <c r="M80" s="278"/>
      <c r="N80" s="277" t="s">
        <v>8265</v>
      </c>
      <c r="O80" s="278"/>
      <c r="P80" s="277" t="s">
        <v>8266</v>
      </c>
      <c r="Q80" s="278"/>
      <c r="R80" s="277" t="s">
        <v>8267</v>
      </c>
      <c r="S80" s="278"/>
    </row>
    <row r="81" spans="1:19" outlineLevel="1" x14ac:dyDescent="0.25">
      <c r="A81" s="164" t="s">
        <v>8345</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8341</v>
      </c>
      <c r="B82" s="315" t="s">
        <v>8302</v>
      </c>
      <c r="C82" s="316">
        <v>10</v>
      </c>
      <c r="D82" s="315" t="s">
        <v>8328</v>
      </c>
      <c r="E82" s="316">
        <v>10</v>
      </c>
      <c r="F82" s="315" t="s">
        <v>8311</v>
      </c>
      <c r="G82" s="316">
        <v>10</v>
      </c>
      <c r="H82" s="315" t="s">
        <v>8319</v>
      </c>
      <c r="I82" s="316">
        <v>10</v>
      </c>
      <c r="J82" s="315" t="s">
        <v>8331</v>
      </c>
      <c r="K82" s="316">
        <v>10</v>
      </c>
      <c r="L82" s="315" t="s">
        <v>638</v>
      </c>
      <c r="M82" s="316">
        <v>10</v>
      </c>
      <c r="N82" s="315" t="s">
        <v>8304</v>
      </c>
      <c r="O82" s="316">
        <v>10</v>
      </c>
      <c r="P82" s="315" t="s">
        <v>640</v>
      </c>
      <c r="Q82" s="316">
        <v>10</v>
      </c>
      <c r="R82" s="315" t="s">
        <v>8307</v>
      </c>
      <c r="S82" s="316">
        <v>10</v>
      </c>
    </row>
    <row r="83" spans="1:19" s="256" customFormat="1" outlineLevel="1" x14ac:dyDescent="0.25">
      <c r="A83" s="132" t="s">
        <v>8342</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8343</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8344</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8259</v>
      </c>
      <c r="C87" s="278"/>
      <c r="D87" s="277" t="s">
        <v>8260</v>
      </c>
      <c r="E87" s="278"/>
      <c r="F87" s="277" t="s">
        <v>8261</v>
      </c>
      <c r="G87" s="278"/>
      <c r="H87" s="277" t="s">
        <v>8262</v>
      </c>
      <c r="I87" s="278"/>
      <c r="J87" s="277" t="s">
        <v>8263</v>
      </c>
      <c r="K87" s="278"/>
      <c r="L87" s="277" t="s">
        <v>8264</v>
      </c>
      <c r="M87" s="278"/>
      <c r="N87" s="277" t="s">
        <v>8265</v>
      </c>
      <c r="O87" s="278"/>
      <c r="P87" s="277" t="s">
        <v>8266</v>
      </c>
      <c r="Q87" s="278"/>
      <c r="R87" s="277" t="s">
        <v>8267</v>
      </c>
      <c r="S87" s="278"/>
    </row>
    <row r="88" spans="1:19" s="256" customFormat="1" outlineLevel="1" x14ac:dyDescent="0.25">
      <c r="A88" s="164" t="s">
        <v>8345</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8341</v>
      </c>
      <c r="B89" s="306" t="s">
        <v>8302</v>
      </c>
      <c r="C89" s="154">
        <v>10</v>
      </c>
      <c r="D89" s="307" t="s">
        <v>8319</v>
      </c>
      <c r="E89" s="154">
        <v>10</v>
      </c>
      <c r="F89" s="307" t="s">
        <v>8320</v>
      </c>
      <c r="G89" s="154">
        <v>10</v>
      </c>
      <c r="H89" s="307" t="s">
        <v>8329</v>
      </c>
      <c r="I89" s="154">
        <v>10</v>
      </c>
      <c r="J89" s="307" t="s">
        <v>8332</v>
      </c>
      <c r="K89" s="154">
        <v>10</v>
      </c>
      <c r="L89" s="307" t="s">
        <v>638</v>
      </c>
      <c r="M89" s="154">
        <v>10</v>
      </c>
      <c r="N89" s="307" t="s">
        <v>8304</v>
      </c>
      <c r="O89" s="154">
        <v>10</v>
      </c>
      <c r="P89" s="307" t="s">
        <v>640</v>
      </c>
      <c r="Q89" s="154">
        <v>10</v>
      </c>
      <c r="R89" s="307" t="s">
        <v>8307</v>
      </c>
      <c r="S89" s="154">
        <v>10</v>
      </c>
    </row>
    <row r="90" spans="1:19" s="256" customFormat="1" outlineLevel="1" x14ac:dyDescent="0.25">
      <c r="A90" s="132" t="s">
        <v>8342</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8343</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8344</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8533</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8660</v>
      </c>
      <c r="E97" s="161"/>
      <c r="F97" s="162"/>
      <c r="G97" s="163" t="s">
        <v>769</v>
      </c>
      <c r="H97" s="161"/>
      <c r="I97" s="162"/>
      <c r="J97" s="163" t="s">
        <v>8535</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8661</v>
      </c>
      <c r="G98" s="165">
        <v>1</v>
      </c>
      <c r="H98" s="165">
        <v>2</v>
      </c>
      <c r="I98" s="166">
        <v>3</v>
      </c>
      <c r="J98" s="167" t="s">
        <v>8536</v>
      </c>
      <c r="K98" s="165" t="s">
        <v>8537</v>
      </c>
      <c r="L98" s="165" t="s">
        <v>8538</v>
      </c>
      <c r="M98" s="165" t="s">
        <v>8539</v>
      </c>
      <c r="N98" s="165" t="s">
        <v>8540</v>
      </c>
      <c r="O98" s="165" t="s">
        <v>8541</v>
      </c>
      <c r="P98" s="165" t="s">
        <v>8542</v>
      </c>
      <c r="Q98" s="165" t="s">
        <v>8543</v>
      </c>
      <c r="R98" s="165" t="s">
        <v>8544</v>
      </c>
      <c r="S98" s="166" t="s">
        <v>8545</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8509</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8534</v>
      </c>
    </row>
    <row r="123" spans="1:16" outlineLevel="1" x14ac:dyDescent="0.25">
      <c r="A123" s="159" t="s">
        <v>8727</v>
      </c>
      <c r="B123" s="159"/>
      <c r="C123" s="159"/>
      <c r="E123" s="214"/>
    </row>
    <row r="124" spans="1:16" outlineLevel="1" x14ac:dyDescent="0.25">
      <c r="A124" s="193" t="s">
        <v>8725</v>
      </c>
      <c r="B124" s="181" t="s">
        <v>783</v>
      </c>
      <c r="C124" s="182" t="s">
        <v>769</v>
      </c>
      <c r="D124" s="181" t="s">
        <v>6591</v>
      </c>
      <c r="E124" s="182" t="s">
        <v>769</v>
      </c>
      <c r="F124" s="181" t="s">
        <v>7095</v>
      </c>
      <c r="G124" s="182" t="s">
        <v>1767</v>
      </c>
      <c r="H124" s="181" t="s">
        <v>8726</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D3D4C2A2-0EB2-4683-8A09-6D8F15CC8B8D}">
      <formula1>"1,2,3,4,5"</formula1>
    </dataValidation>
    <dataValidation type="list" allowBlank="1" showInputMessage="1" showErrorMessage="1" sqref="C125:C127" xr:uid="{321213D1-6C0B-4081-B45C-5D2C7564DFDE}">
      <formula1>"1,2,3,4,5,6,7,8,9,10"</formula1>
    </dataValidation>
    <dataValidation type="whole" allowBlank="1" showInputMessage="1" showErrorMessage="1" sqref="D59:D67 D114:D119 D30 E9" xr:uid="{3E2C0CC2-B895-4563-8DD3-D843A8E6A9D0}">
      <formula1>1</formula1>
      <formula2>100</formula2>
    </dataValidation>
    <dataValidation type="custom" allowBlank="1" showInputMessage="1" showErrorMessage="1" sqref="H28:J30" xr:uid="{16342D54-2C17-4243-A44C-7409EF696DC6}">
      <formula1>AND(COUNTA($H$28:$J$30)&lt;=5,COUNTIF($H$28:$J$30,1)&lt;=1,COUNTIF($H$28:$J$30,2)&lt;=1,COUNTIF($H$28:$J$30,3)&lt;=1,COUNTIF($H$28:$J$30,4)&lt;=1,COUNTIF($H$28:$J$30,5)&lt;=1)</formula1>
    </dataValidation>
    <dataValidation type="list" allowBlank="1" showInputMessage="1" showErrorMessage="1" sqref="B9" xr:uid="{74C8FA05-9823-45B6-8965-525A79B59B9C}">
      <formula1>"Yellow,Red,Blue,White"</formula1>
    </dataValidation>
    <dataValidation type="list" allowBlank="1" showInputMessage="1" showErrorMessage="1" sqref="Q58 AC19 E10:E11" xr:uid="{34DE0BBF-201A-47D2-8B56-13FD558FF433}">
      <formula1>"TRUE,FALSE"</formula1>
    </dataValidation>
    <dataValidation type="list" allowBlank="1" showInputMessage="1" showErrorMessage="1" sqref="B8" xr:uid="{E87A7170-6106-4AC8-BE3C-4869071C3B3B}">
      <formula1>"Day,Night,TargetTrain"</formula1>
    </dataValidation>
    <dataValidation type="whole" allowBlank="1" showInputMessage="1" showErrorMessage="1" sqref="B10" xr:uid="{D0FFFCE3-3DB7-4C09-BA68-C70DAFB13B04}">
      <formula1>1</formula1>
      <formula2>99</formula2>
    </dataValidation>
    <dataValidation type="whole" operator="greaterThan" allowBlank="1" showInputMessage="1" showErrorMessage="1" sqref="E8" xr:uid="{17DC08F4-B433-4A7D-B671-384EC31D2727}">
      <formula1>0</formula1>
    </dataValidation>
    <dataValidation type="whole" operator="greaterThanOrEqual" allowBlank="1" showInputMessage="1" showErrorMessage="1" sqref="Y21:AC25 Y34:AC34 D109:I109" xr:uid="{558BA474-92AD-4295-B9F4-6780E0E318D2}">
      <formula1>0</formula1>
    </dataValidation>
    <dataValidation type="list" allowBlank="1" showInputMessage="1" showErrorMessage="1" sqref="B16" xr:uid="{7DCD7CB4-F39B-4346-AFCC-FEF90BF17396}">
      <formula1>ListOfPresets</formula1>
    </dataValidation>
    <dataValidation type="list" allowBlank="1" showInputMessage="1" showErrorMessage="1" sqref="F59:F67 F114:F119 I34 I21:I25" xr:uid="{1E65E3F5-C314-47E8-B331-D0F7CD6D73AD}">
      <formula1>"0,1,2,3,4"</formula1>
    </dataValidation>
    <dataValidation type="list" allowBlank="1" showInputMessage="1" showErrorMessage="1" sqref="E125:E127 E30 E89 N34 N21:N25 G34:H34 G21:H25 R34 R21:R25 V34 V21:V25 G89 I89 K89 M89 O89 Q89 S89 C89 S82 Q82 O82 M82 K82 I82 G82 E82 C82 J109:S109 D109 E99:I109" xr:uid="{65F987A1-FAF9-4AC0-BAD0-4EE7EDBB9CEF}">
      <formula1>"0,1,2,3,4,5,6,7,8,9,10"</formula1>
    </dataValidation>
    <dataValidation type="custom" allowBlank="1" showInputMessage="1" showErrorMessage="1" errorTitle="Error:" error="Input must:_x000a_- Be an integer from 1 to 5_x000a_- Not be smaller than the base rarity" sqref="E59:E67" xr:uid="{9F91DDBD-ABC5-4BFC-BCBB-7FA4733497C3}">
      <formula1>AND(OR(E59=1,E59=2,E59=3,E59=4,E59=5),E59&gt;=B59)</formula1>
    </dataValidation>
    <dataValidation type="list" allowBlank="1" showInputMessage="1" showErrorMessage="1" sqref="G59:G67" xr:uid="{061B3361-8E66-4E0A-83F6-6FABF93E1ECF}">
      <formula1>"XS,S,M,L,XL"</formula1>
    </dataValidation>
    <dataValidation type="list" allowBlank="1" showInputMessage="1" showErrorMessage="1" sqref="B7" xr:uid="{75FEC404-0C2A-49F5-B659-81BC6C0D0EAD}">
      <formula1>"G&amp;K,SF"</formula1>
    </dataValidation>
    <dataValidation type="custom" allowBlank="1" showInputMessage="1" showErrorMessage="1" sqref="H59:H67" xr:uid="{9A0A42EF-42F0-4740-B5AC-CF08EE16E5CA}">
      <formula1>IF($B59&lt;3,AND(H59&gt;=0,H59&lt;=100,H59=INT(H59)),AND(H59&gt;=0,H59&lt;=150,H59=INT(H59)))</formula1>
    </dataValidation>
    <dataValidation type="custom" allowBlank="1" showInputMessage="1" showErrorMessage="1" sqref="S60:U62" xr:uid="{9D19C581-6088-4C02-8607-B62B2F101A1F}">
      <formula1>AND(S60&gt;=1,S60&lt;=9,S60=INT(S60),COUNTIF($S$60:$U$62,S60)&lt;=1)</formula1>
    </dataValidation>
    <dataValidation type="custom" allowBlank="1" showInputMessage="1" showErrorMessage="1" sqref="A99:A109 A114:A119 B75:B76" xr:uid="{FE929C81-3AE2-4D99-BA50-0E236284D47C}">
      <formula1>A75="X"</formula1>
    </dataValidation>
    <dataValidation type="custom" allowBlank="1" showInputMessage="1" showErrorMessage="1" sqref="I59:J67" xr:uid="{7DF1943E-A054-4795-A3C3-446D8D33B7D6}">
      <formula1>IF($B59=3,AND(I59&gt;=0,I59&lt;=10,I59=INT(I59)),AND(I59&gt;=0,I59&lt;=5,I59=INT(I59)))</formula1>
    </dataValidation>
    <dataValidation type="custom" allowBlank="1" showInputMessage="1" showErrorMessage="1" sqref="K59:L67 J114:K119" xr:uid="{D7A54E9E-A809-49AD-8A9E-A51447CFD1E3}">
      <formula1>AND(J59&gt;=0,J59&lt;=5,J59=INT(J59))</formula1>
    </dataValidation>
    <dataValidation type="custom" allowBlank="1" showInputMessage="1" showErrorMessage="1" errorTitle="Error:" error="Input must:_x000a_- Be an integer from 1 to 5_x000a_- Not be smaller than the base rarity" sqref="E114:E119" xr:uid="{3AF71628-B343-4A59-9372-E1F34059E180}">
      <formula1>AND(OR(E114=1,E114=2,E114=3,E114=4,E114=5),E114&gt;=3)</formula1>
    </dataValidation>
    <dataValidation type="custom" allowBlank="1" showInputMessage="1" showErrorMessage="1" sqref="G114:G119" xr:uid="{B982B58D-4908-4859-A3FB-024EF899AA12}">
      <formula1>AND(G114&gt;=0,G114&lt;=150,G114=INT(G114))</formula1>
    </dataValidation>
    <dataValidation type="custom" allowBlank="1" showInputMessage="1" showErrorMessage="1" sqref="H114:I119" xr:uid="{B8B70F08-A3EE-443C-BC53-98EC13679565}">
      <formula1>AND(H114&gt;=0,H114&lt;=10,H114=INT(H114))</formula1>
    </dataValidation>
    <dataValidation operator="greaterThan" allowBlank="1" showInputMessage="1" showErrorMessage="1" sqref="E7" xr:uid="{04034ACD-E422-420A-B6C0-9C25FC35818F}"/>
    <dataValidation type="list" allowBlank="1" showInputMessage="1" showErrorMessage="1" sqref="B54:C54" xr:uid="{389CA103-4DDD-4C5B-BE9B-05E6C49875BE}">
      <formula1>ListOfPresetsSF</formula1>
    </dataValidation>
    <dataValidation type="whole" allowBlank="1" showInputMessage="1" showErrorMessage="1" sqref="B11" xr:uid="{884AB2DE-90DC-4209-B559-811D73E29BD7}">
      <formula1>1</formula1>
      <formula2>9999</formula2>
    </dataValidation>
    <dataValidation type="whole" operator="greaterThanOrEqual" allowBlank="1" showInputMessage="1" showErrorMessage="1" sqref="F125:F127" xr:uid="{EC548EDF-9C05-4072-A945-35EAB22225F8}">
      <formula1>1</formula1>
    </dataValidation>
    <dataValidation type="whole" allowBlank="1" showInputMessage="1" showErrorMessage="1" sqref="E21:E25 E34 D75:D76 K75 F75 H75 D99:D108" xr:uid="{1CFCD955-CF33-44C7-868A-67331B321D72}">
      <formula1>1</formula1>
      <formula2>120</formula2>
    </dataValidation>
    <dataValidation type="whole" allowBlank="1" showInputMessage="1" showErrorMessage="1" sqref="J21:J25 J34" xr:uid="{CDA848E4-9BAA-4960-8307-E24480D73C17}">
      <formula1>0</formula1>
      <formula2>200</formula2>
    </dataValidation>
    <dataValidation type="list" allowBlank="1" showInputMessage="1" showErrorMessage="1" sqref="B12" xr:uid="{815B43BA-A7D4-46AD-AE3E-96779F1DC114}">
      <formula1>"Off,Support,RangeCombat,Combat"</formula1>
    </dataValidation>
    <dataValidation type="list" allowBlank="1" showInputMessage="1" showErrorMessage="1" sqref="J75" xr:uid="{AC17B024-F50C-4D9F-BE35-A3B48E5A754C}">
      <formula1>"Doll,SF,HOC"</formula1>
    </dataValidation>
    <dataValidation type="list" allowBlank="1" showInputMessage="1" showErrorMessage="1" sqref="C75:C76" xr:uid="{A24DEF6B-3061-4038-A577-01015673C128}">
      <formula1>"1,2,3,4,5,6,7,8,9,10,11,12,13,14,15"</formula1>
    </dataValidation>
    <dataValidation type="list" allowBlank="1" showInputMessage="1" showErrorMessage="1" sqref="J99:S108" xr:uid="{25C14C9A-0D84-48E9-AA85-D389C4482D2F}">
      <formula1>"0,1,2,3,4,5,6,7,8,9,10,11,12,13,14,15,16,17,18,19,20"</formula1>
    </dataValidation>
    <dataValidation type="list" operator="greaterThanOrEqual" allowBlank="1" showInputMessage="1" showErrorMessage="1" sqref="F99:I108" xr:uid="{B3BB90D5-A58A-4DE2-B489-06D60C6778D3}">
      <formula1>"0,1,2,3,4,5,6,7,8,9,10"</formula1>
    </dataValidation>
    <dataValidation type="list" operator="greaterThanOrEqual" allowBlank="1" showInputMessage="1" showErrorMessage="1" sqref="E99:E108" xr:uid="{40EDCB92-AC02-445E-BAAA-79FB080734F9}">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AE462D53-6D45-4796-BE6E-E07F3BCF5AA2}">
          <x14:formula1>
            <xm:f>'Fairy Data'!$B$2:$B$101</xm:f>
          </x14:formula1>
          <xm:sqref>B30</xm:sqref>
        </x14:dataValidation>
        <x14:dataValidation type="list" allowBlank="1" showInputMessage="1" showErrorMessage="1" xr:uid="{C7D98D2C-B015-4821-9447-EC13D1A636B9}">
          <x14:formula1>
            <xm:f>'Talent Data'!$A$2:$A$100</xm:f>
          </x14:formula1>
          <xm:sqref>F30</xm:sqref>
        </x14:dataValidation>
        <x14:dataValidation type="list" allowBlank="1" showInputMessage="1" showErrorMessage="1" xr:uid="{0C34FFD5-32A4-49AA-9320-CCF2BA350F8F}">
          <x14:formula1>
            <xm:f>'SF Data'!$C$2:$C$1048576</xm:f>
          </x14:formula1>
          <xm:sqref>C59:C67</xm:sqref>
        </x14:dataValidation>
        <x14:dataValidation type="list" allowBlank="1" showInputMessage="1" showErrorMessage="1" xr:uid="{5F06CF67-C0EB-431E-BE85-210A80BF90B1}">
          <x14:formula1>
            <xm:f>'SF Chip Data'!$B$2:$B$1048576</xm:f>
          </x14:formula1>
          <xm:sqref>M59:N67 L114:M119</xm:sqref>
        </x14:dataValidation>
        <x14:dataValidation type="list" allowBlank="1" showInputMessage="1" showErrorMessage="1" xr:uid="{B57DC51E-0373-435F-924F-DFA319701BAC}">
          <x14:formula1>
            <xm:f>Dropdowns!$AZ$3:$AZ$300</xm:f>
          </x14:formula1>
          <xm:sqref>D21</xm:sqref>
        </x14:dataValidation>
        <x14:dataValidation type="list" allowBlank="1" showInputMessage="1" showErrorMessage="1" xr:uid="{E0E4741B-4542-4A28-A467-6DDEE77D775C}">
          <x14:formula1>
            <xm:f>Dropdowns!$BA$3:$BA$300</xm:f>
          </x14:formula1>
          <xm:sqref>D22</xm:sqref>
        </x14:dataValidation>
        <x14:dataValidation type="list" allowBlank="1" showInputMessage="1" showErrorMessage="1" xr:uid="{AD5E0891-C19C-44CF-B1EB-E8A882080607}">
          <x14:formula1>
            <xm:f>Dropdowns!$BB$3:$BB$300</xm:f>
          </x14:formula1>
          <xm:sqref>D23</xm:sqref>
        </x14:dataValidation>
        <x14:dataValidation type="list" allowBlank="1" showInputMessage="1" showErrorMessage="1" xr:uid="{8128D7AF-DC5E-4620-B469-A71DF585DC45}">
          <x14:formula1>
            <xm:f>Dropdowns!$BC$3:$BC$300</xm:f>
          </x14:formula1>
          <xm:sqref>D24</xm:sqref>
        </x14:dataValidation>
        <x14:dataValidation type="list" allowBlank="1" showInputMessage="1" showErrorMessage="1" xr:uid="{D919D810-0D6D-4E9F-9D30-F0720EFB0070}">
          <x14:formula1>
            <xm:f>Dropdowns!$BE$2:$BE$300</xm:f>
          </x14:formula1>
          <xm:sqref>M21</xm:sqref>
        </x14:dataValidation>
        <x14:dataValidation type="list" allowBlank="1" showInputMessage="1" showErrorMessage="1" xr:uid="{F7073F0E-F082-430A-AA50-D5E6E0C324FB}">
          <x14:formula1>
            <xm:f>Dropdowns!$BF$3:$BF$300</xm:f>
          </x14:formula1>
          <xm:sqref>M22</xm:sqref>
        </x14:dataValidation>
        <x14:dataValidation type="list" allowBlank="1" showInputMessage="1" showErrorMessage="1" xr:uid="{D59E17D2-55E0-453B-8C7F-BFEF5847DA21}">
          <x14:formula1>
            <xm:f>Dropdowns!$BG$3:$BG$300</xm:f>
          </x14:formula1>
          <xm:sqref>M23</xm:sqref>
        </x14:dataValidation>
        <x14:dataValidation type="list" allowBlank="1" showInputMessage="1" showErrorMessage="1" xr:uid="{4EB30F7A-FE5E-4C98-A526-6C3E328C8CAF}">
          <x14:formula1>
            <xm:f>Dropdowns!$BH$3:$BH$300</xm:f>
          </x14:formula1>
          <xm:sqref>M24</xm:sqref>
        </x14:dataValidation>
        <x14:dataValidation type="list" allowBlank="1" showInputMessage="1" showErrorMessage="1" xr:uid="{4049D487-5D68-44AA-A62B-2525C91F6AD8}">
          <x14:formula1>
            <xm:f>Dropdowns!$BJ$3:$BJ$300</xm:f>
          </x14:formula1>
          <xm:sqref>Q21</xm:sqref>
        </x14:dataValidation>
        <x14:dataValidation type="list" allowBlank="1" showInputMessage="1" showErrorMessage="1" xr:uid="{2614DD5F-7206-4AEB-A7C8-1B2F91A890C3}">
          <x14:formula1>
            <xm:f>Dropdowns!$BK$3:$BK$300</xm:f>
          </x14:formula1>
          <xm:sqref>Q22</xm:sqref>
        </x14:dataValidation>
        <x14:dataValidation type="list" allowBlank="1" showInputMessage="1" showErrorMessage="1" xr:uid="{E4C5A305-C321-4B69-AD63-0A3DBE1AE166}">
          <x14:formula1>
            <xm:f>Dropdowns!$BL$3:$BL$300</xm:f>
          </x14:formula1>
          <xm:sqref>Q23</xm:sqref>
        </x14:dataValidation>
        <x14:dataValidation type="list" allowBlank="1" showInputMessage="1" showErrorMessage="1" xr:uid="{168683AF-C165-4A2A-970C-116AC0560759}">
          <x14:formula1>
            <xm:f>Dropdowns!$BM$3:$BM$300</xm:f>
          </x14:formula1>
          <xm:sqref>Q24</xm:sqref>
        </x14:dataValidation>
        <x14:dataValidation type="list" allowBlank="1" showInputMessage="1" showErrorMessage="1" xr:uid="{E5B4BF54-F477-43BF-824F-492A3E10ECC0}">
          <x14:formula1>
            <xm:f>Dropdowns!$BO$3:$BO$300</xm:f>
          </x14:formula1>
          <xm:sqref>U21</xm:sqref>
        </x14:dataValidation>
        <x14:dataValidation type="list" allowBlank="1" showInputMessage="1" showErrorMessage="1" xr:uid="{4D28A8AF-AF6D-4888-B25A-53500EBD06D5}">
          <x14:formula1>
            <xm:f>Dropdowns!$BP$3:$BP$300</xm:f>
          </x14:formula1>
          <xm:sqref>U22</xm:sqref>
        </x14:dataValidation>
        <x14:dataValidation type="list" allowBlank="1" showInputMessage="1" showErrorMessage="1" xr:uid="{2DBCD49E-2902-41A1-AA18-A1F05A6F9A05}">
          <x14:formula1>
            <xm:f>Dropdowns!$BQ$3:$BQ$300</xm:f>
          </x14:formula1>
          <xm:sqref>U23</xm:sqref>
        </x14:dataValidation>
        <x14:dataValidation type="list" allowBlank="1" showInputMessage="1" showErrorMessage="1" xr:uid="{AAB49E44-BAA1-48B2-89EC-9F0671F71569}">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D4D624E8-5266-4331-B170-C10A989A4740}">
          <x14:formula1>
            <xm:f>Dropdowns!$BU$2:$BU$50</xm:f>
          </x14:formula1>
          <xm:sqref>N114:N119 G125:G127 I125:I127</xm:sqref>
        </x14:dataValidation>
        <x14:dataValidation type="list" allowBlank="1" showInputMessage="1" showErrorMessage="1" xr:uid="{8457DAD9-4A78-4E23-9F22-0B45806AE7C4}">
          <x14:formula1>
            <xm:f>'Strat Buff Data'!$A$2:$A$1048576</xm:f>
          </x14:formula1>
          <xm:sqref>B125:B127</xm:sqref>
        </x14:dataValidation>
        <x14:dataValidation type="list" allowBlank="1" showInputMessage="1" showErrorMessage="1" xr:uid="{361F1B6D-6C77-4D1B-A267-599BA4CDE60E}">
          <x14:formula1>
            <xm:f>'Strat Buff Data'!$E$2:$E$1048576</xm:f>
          </x14:formula1>
          <xm:sqref>D125:D127</xm:sqref>
        </x14:dataValidation>
        <x14:dataValidation type="list" allowBlank="1" showInputMessage="1" showErrorMessage="1" xr:uid="{8F8158E3-0EC0-4664-9670-7F375E574241}">
          <x14:formula1>
            <xm:f>Dropdowns!$BD$3:$BD$252</xm:f>
          </x14:formula1>
          <xm:sqref>D34</xm:sqref>
        </x14:dataValidation>
        <x14:dataValidation type="list" allowBlank="1" showInputMessage="1" showErrorMessage="1" xr:uid="{EF94226F-FFB1-4ADC-8C25-47D71907F868}">
          <x14:formula1>
            <xm:f>Dropdowns!$BS$3:$BS$252</xm:f>
          </x14:formula1>
          <xm:sqref>U34</xm:sqref>
        </x14:dataValidation>
        <x14:dataValidation type="list" allowBlank="1" showInputMessage="1" showErrorMessage="1" xr:uid="{7C88AC9E-6357-4479-A36A-AACC702B3BA3}">
          <x14:formula1>
            <xm:f>Dropdowns!$B$2:$B$7</xm:f>
          </x14:formula1>
          <xm:sqref>C21:C25 C34</xm:sqref>
        </x14:dataValidation>
        <x14:dataValidation type="list" allowBlank="1" showInputMessage="1" showErrorMessage="1" xr:uid="{7076B4E1-1CE0-4923-87C0-010DFABAF2D8}">
          <x14:formula1>
            <xm:f>Dropdowns!$A$2:$A$6</xm:f>
          </x14:formula1>
          <xm:sqref>B21:B25 B34</xm:sqref>
        </x14:dataValidation>
        <x14:dataValidation type="list" allowBlank="1" showInputMessage="1" showErrorMessage="1" xr:uid="{825DB199-8774-4335-9EDE-6177C69F4515}">
          <x14:formula1>
            <xm:f>Dropdowns!$AH$1:$AV$1</xm:f>
          </x14:formula1>
          <xm:sqref>T21:T25 L34 L21:L25 P34 P21:P25 T34</xm:sqref>
        </x14:dataValidation>
        <x14:dataValidation type="list" allowBlank="1" showInputMessage="1" showErrorMessage="1" xr:uid="{0C196F51-6C3B-4E75-ABDF-A4DBB720F1C0}">
          <x14:formula1>
            <xm:f>Dropdowns!$BI$3:$BI$252</xm:f>
          </x14:formula1>
          <xm:sqref>M34</xm:sqref>
        </x14:dataValidation>
        <x14:dataValidation type="list" allowBlank="1" showInputMessage="1" showErrorMessage="1" xr:uid="{1B46B724-F9CE-4727-934D-400DCEF6A4EC}">
          <x14:formula1>
            <xm:f>Dropdowns!$BN$3:$BN$252</xm:f>
          </x14:formula1>
          <xm:sqref>Q34</xm:sqref>
        </x14:dataValidation>
        <x14:dataValidation type="list" allowBlank="1" showInputMessage="1" showErrorMessage="1" xr:uid="{A9F4DC04-0EBE-4096-98A5-582EC6FF7909}">
          <x14:formula1>
            <xm:f>'Vehicle Comp'!$J$2:$J$48</xm:f>
          </x14:formula1>
          <xm:sqref>F82</xm:sqref>
        </x14:dataValidation>
        <x14:dataValidation type="list" allowBlank="1" showInputMessage="1" showErrorMessage="1" xr:uid="{0A570163-AFE4-4FC5-97B9-BBADB3C38999}">
          <x14:formula1>
            <xm:f>'Vehicle Comp'!$I$2:$I$1048576</xm:f>
          </x14:formula1>
          <xm:sqref>D82</xm:sqref>
        </x14:dataValidation>
        <x14:dataValidation type="list" allowBlank="1" showInputMessage="1" showErrorMessage="1" xr:uid="{AC356466-033D-4EF0-8DA4-E4759BCAC8BA}">
          <x14:formula1>
            <xm:f>'Vehicle Comp'!$Q$2:$Q$1048576</xm:f>
          </x14:formula1>
          <xm:sqref>F89</xm:sqref>
        </x14:dataValidation>
        <x14:dataValidation type="list" allowBlank="1" showInputMessage="1" showErrorMessage="1" xr:uid="{EE12B764-5B37-4DA4-AD4A-06785F0F042B}">
          <x14:formula1>
            <xm:f>'Vehicle Comp'!$L$2:$L$1048576</xm:f>
          </x14:formula1>
          <xm:sqref>J82</xm:sqref>
        </x14:dataValidation>
        <x14:dataValidation type="list" allowBlank="1" showInputMessage="1" showErrorMessage="1" xr:uid="{CBBEECD4-3254-48B6-B5DA-707E2BA69718}">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0CFABBAC-BB91-41F2-9E36-DF8018593117}">
          <x14:formula1>
            <xm:f>'Vehicle Substats'!$H$2:$H$44</xm:f>
          </x14:formula1>
          <xm:sqref>C83:C85 E83:E85 G83:G85 I83:I85 K83:K85 M83:M85 O83:O85 Q83:Q85 S83:S85 C90:C92 E90:E92 G90:G92 I90:I92 K90:K92 M90:M92 O90:O92 Q90:Q92 S90:S92</xm:sqref>
        </x14:dataValidation>
        <x14:dataValidation type="list" allowBlank="1" showInputMessage="1" showErrorMessage="1" xr:uid="{37A7E750-D196-4B07-992C-12333E89F01D}">
          <x14:formula1>
            <xm:f>Dropdowns!$BD$3:$BD$300</xm:f>
          </x14:formula1>
          <xm:sqref>D25</xm:sqref>
        </x14:dataValidation>
        <x14:dataValidation type="list" allowBlank="1" showInputMessage="1" showErrorMessage="1" xr:uid="{0E0C8FB0-F500-422F-97C9-8D799969F15E}">
          <x14:formula1>
            <xm:f>Dropdowns!$BI$3:$BI$300</xm:f>
          </x14:formula1>
          <xm:sqref>M25</xm:sqref>
        </x14:dataValidation>
        <x14:dataValidation type="list" allowBlank="1" showInputMessage="1" showErrorMessage="1" xr:uid="{05543276-0D68-4218-B600-340688170D83}">
          <x14:formula1>
            <xm:f>Dropdowns!$BN$3:$BN$300</xm:f>
          </x14:formula1>
          <xm:sqref>Q25</xm:sqref>
        </x14:dataValidation>
        <x14:dataValidation type="list" allowBlank="1" showInputMessage="1" showErrorMessage="1" xr:uid="{E1FBD5C4-DE38-4342-AE2C-930F87665299}">
          <x14:formula1>
            <xm:f>Dropdowns!$BS$3:$BS$300</xm:f>
          </x14:formula1>
          <xm:sqref>U25</xm:sqref>
        </x14:dataValidation>
        <x14:dataValidation type="list" allowBlank="1" showInputMessage="1" showErrorMessage="1" xr:uid="{C193C0FF-51CA-4391-A017-9F1CB836C0FE}">
          <x14:formula1>
            <xm:f>'Vehicle Comp'!$O$2:$O$1048576</xm:f>
          </x14:formula1>
          <xm:sqref>B89</xm:sqref>
        </x14:dataValidation>
        <x14:dataValidation type="list" allowBlank="1" showInputMessage="1" showErrorMessage="1" xr:uid="{7E3807BC-2346-4178-AD4B-18625EA7884A}">
          <x14:formula1>
            <xm:f>'Vehicle Comp'!$R$2:$R$1048576</xm:f>
          </x14:formula1>
          <xm:sqref>H89</xm:sqref>
        </x14:dataValidation>
        <x14:dataValidation type="list" allowBlank="1" showInputMessage="1" showErrorMessage="1" xr:uid="{A8F02AA9-0D31-4609-BE27-01203004216A}">
          <x14:formula1>
            <xm:f>'Vehicle Comp'!$P$2:$P$1048576</xm:f>
          </x14:formula1>
          <xm:sqref>D89</xm:sqref>
        </x14:dataValidation>
        <x14:dataValidation type="list" allowBlank="1" showInputMessage="1" showErrorMessage="1" xr:uid="{D2A9335A-E464-469A-8047-CB2E205F620E}">
          <x14:formula1>
            <xm:f>'Vehicle Comp'!$S$2:$S$1048576</xm:f>
          </x14:formula1>
          <xm:sqref>J89</xm:sqref>
        </x14:dataValidation>
        <x14:dataValidation type="list" allowBlank="1" showInputMessage="1" showErrorMessage="1" xr:uid="{9B9B9130-02EF-4D02-B92F-759C367EBAC3}">
          <x14:formula1>
            <xm:f>'Vehicle Comp'!$H$2:$H$1048576</xm:f>
          </x14:formula1>
          <xm:sqref>B82</xm:sqref>
        </x14:dataValidation>
        <x14:dataValidation type="list" allowBlank="1" showInputMessage="1" showErrorMessage="1" xr:uid="{04A4CCA2-B00D-46B1-90D1-A0F2A1A1A034}">
          <x14:formula1>
            <xm:f>'Vehicle Comp'!$K$2:$K$1048576</xm:f>
          </x14:formula1>
          <xm:sqref>H82</xm:sqref>
        </x14:dataValidation>
        <x14:dataValidation type="list" allowBlank="1" showInputMessage="1" showErrorMessage="1" xr:uid="{C9BD01B4-E963-41DC-B12C-BD4EB67E7F0D}">
          <x14:formula1>
            <xm:f>'Vehicle Comp'!$U$2:$U$1048576</xm:f>
          </x14:formula1>
          <xm:sqref>L82 L89 N89 N82 P82 P89 R89 R82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1048555" activePane="bottomLeft" state="frozen"/>
      <selection pane="bottomLeft" activeCell="H1" sqref="H1"/>
    </sheetView>
  </sheetViews>
  <sheetFormatPr defaultRowHeight="15" x14ac:dyDescent="0.25"/>
  <cols>
    <col min="1" max="1" width="10.85546875" style="242" customWidth="1"/>
    <col min="2" max="2" width="28.5703125" bestFit="1" customWidth="1"/>
  </cols>
  <sheetData>
    <row r="1" spans="1:21" x14ac:dyDescent="0.25">
      <c r="A1" s="10" t="s">
        <v>8906</v>
      </c>
      <c r="B1" s="10" t="s">
        <v>8</v>
      </c>
      <c r="C1" s="10">
        <v>3</v>
      </c>
      <c r="D1" s="10">
        <v>4</v>
      </c>
      <c r="E1" s="10">
        <v>5</v>
      </c>
      <c r="G1" s="10" t="s">
        <v>8909</v>
      </c>
      <c r="H1" t="s">
        <v>8251</v>
      </c>
      <c r="I1" t="s">
        <v>8908</v>
      </c>
      <c r="J1" t="s">
        <v>8907</v>
      </c>
      <c r="K1" t="s">
        <v>8252</v>
      </c>
      <c r="L1" t="s">
        <v>8253</v>
      </c>
      <c r="N1" s="10" t="s">
        <v>8910</v>
      </c>
      <c r="O1" t="s">
        <v>8907</v>
      </c>
      <c r="P1" t="s">
        <v>8252</v>
      </c>
      <c r="Q1" t="s">
        <v>8252</v>
      </c>
      <c r="R1" t="s">
        <v>8908</v>
      </c>
      <c r="S1" t="s">
        <v>8253</v>
      </c>
      <c r="U1" t="s">
        <v>8254</v>
      </c>
    </row>
    <row r="2" spans="1:21" x14ac:dyDescent="0.25">
      <c r="A2" s="16" t="s">
        <v>8254</v>
      </c>
      <c r="B2" t="s">
        <v>8303</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s="16" t="s">
        <v>8254</v>
      </c>
      <c r="B3" t="s">
        <v>638</v>
      </c>
      <c r="C3">
        <v>3005</v>
      </c>
      <c r="D3">
        <v>2005</v>
      </c>
      <c r="E3">
        <v>1005</v>
      </c>
      <c r="H3" t="str">
        <f t="shared" ref="H3:H48" si="0">IF($A3="Heavy",$B3,"")</f>
        <v/>
      </c>
      <c r="I3" t="str">
        <f t="shared" ref="I3:I48" si="1">IF(OR($A3="Defense",$A3="Utility"),$B3,"")</f>
        <v/>
      </c>
      <c r="J3" t="str">
        <f t="shared" ref="J3:J48" si="2">IF(OR($A3="Heavy",$A3="Light"),$B3,"")</f>
        <v/>
      </c>
      <c r="K3" t="str">
        <f t="shared" ref="K3:K48" si="3">IF($A3="Light",$B3,"")</f>
        <v/>
      </c>
      <c r="L3" t="str">
        <f t="shared" ref="L3:L48" si="4">IF($A3="Utility",$B3,"")</f>
        <v/>
      </c>
      <c r="O3" t="str">
        <f t="shared" ref="O3:O48" si="5">IF(OR($A3="Heavy",$A3="Light"),$B3,"")</f>
        <v/>
      </c>
      <c r="P3" t="str">
        <f t="shared" ref="P3:Q48" si="6">IF($A3="Light",$B3,"")</f>
        <v/>
      </c>
      <c r="Q3" t="str">
        <f t="shared" si="6"/>
        <v/>
      </c>
      <c r="R3" t="str">
        <f t="shared" ref="R3:R48" si="7">IF(OR($A3="Defense",$A3="Utility"),$B3,"")</f>
        <v/>
      </c>
      <c r="S3" t="str">
        <f t="shared" ref="S3:S48" si="8">IF($A3="Utility",$B3,"")</f>
        <v/>
      </c>
      <c r="U3" t="str">
        <f t="shared" ref="U3:U48" si="9">IF($A3="Common",$B3,"")</f>
        <v>Armor</v>
      </c>
    </row>
    <row r="4" spans="1:21" x14ac:dyDescent="0.25">
      <c r="A4" s="16" t="s">
        <v>8254</v>
      </c>
      <c r="B4" t="s">
        <v>8304</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Critical Hit</v>
      </c>
    </row>
    <row r="5" spans="1:21" x14ac:dyDescent="0.25">
      <c r="A5" s="16" t="s">
        <v>8254</v>
      </c>
      <c r="B5" t="s">
        <v>640</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s="16" t="s">
        <v>8254</v>
      </c>
      <c r="B6" t="s">
        <v>8305</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v>
      </c>
    </row>
    <row r="7" spans="1:21" x14ac:dyDescent="0.25">
      <c r="A7" s="16" t="s">
        <v>8254</v>
      </c>
      <c r="B7" t="s">
        <v>8306</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s="16" t="s">
        <v>8254</v>
      </c>
      <c r="B8" t="s">
        <v>8307</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s="16" t="s">
        <v>8254</v>
      </c>
      <c r="B9" t="s">
        <v>8308</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s="16" t="s">
        <v>8254</v>
      </c>
      <c r="B10" t="s">
        <v>8309</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v>
      </c>
    </row>
    <row r="11" spans="1:21" x14ac:dyDescent="0.25">
      <c r="A11" s="16" t="s">
        <v>8254</v>
      </c>
      <c r="B11" t="s">
        <v>8310</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v>
      </c>
    </row>
    <row r="12" spans="1:21" x14ac:dyDescent="0.25">
      <c r="A12" s="16" t="s">
        <v>8254</v>
      </c>
      <c r="B12" t="s">
        <v>867</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s="16" t="s">
        <v>8254</v>
      </c>
      <c r="B13" t="s">
        <v>868</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s="16" t="s">
        <v>8254</v>
      </c>
      <c r="B14" t="s">
        <v>11</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s="16" t="s">
        <v>8251</v>
      </c>
      <c r="B15" t="s">
        <v>8302</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s="16" t="s">
        <v>8251</v>
      </c>
      <c r="B16" t="s">
        <v>8311</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s="16" t="s">
        <v>8251</v>
      </c>
      <c r="B17" t="s">
        <v>8312</v>
      </c>
      <c r="C17">
        <v>3111</v>
      </c>
      <c r="D17">
        <v>2111</v>
      </c>
      <c r="E17">
        <v>1111</v>
      </c>
      <c r="H17" t="str">
        <f t="shared" si="0"/>
        <v>Flak Cannon</v>
      </c>
      <c r="I17" t="str">
        <f t="shared" si="1"/>
        <v/>
      </c>
      <c r="J17" t="str">
        <f t="shared" si="2"/>
        <v>Flak Cannon</v>
      </c>
      <c r="K17" t="str">
        <f t="shared" si="3"/>
        <v/>
      </c>
      <c r="L17" t="str">
        <f t="shared" si="4"/>
        <v/>
      </c>
      <c r="O17" t="str">
        <f t="shared" si="5"/>
        <v>Flak Cannon</v>
      </c>
      <c r="P17" t="str">
        <f t="shared" si="6"/>
        <v/>
      </c>
      <c r="Q17" t="str">
        <f t="shared" si="6"/>
        <v/>
      </c>
      <c r="R17" t="str">
        <f t="shared" si="7"/>
        <v/>
      </c>
      <c r="S17" t="str">
        <f t="shared" si="8"/>
        <v/>
      </c>
      <c r="U17" t="str">
        <f t="shared" si="9"/>
        <v/>
      </c>
    </row>
    <row r="18" spans="1:21" x14ac:dyDescent="0.25">
      <c r="A18" s="16" t="s">
        <v>8251</v>
      </c>
      <c r="B18" t="s">
        <v>8313</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s="16" t="s">
        <v>8251</v>
      </c>
      <c r="B19" t="s">
        <v>8314</v>
      </c>
      <c r="C19">
        <v>3118</v>
      </c>
      <c r="D19">
        <v>2118</v>
      </c>
      <c r="E19">
        <v>1118</v>
      </c>
      <c r="H19" t="str">
        <f t="shared" si="0"/>
        <v>Guided Missile Launcher MK1</v>
      </c>
      <c r="I19" t="str">
        <f t="shared" si="1"/>
        <v/>
      </c>
      <c r="J19" t="str">
        <f t="shared" si="2"/>
        <v>Guided Missile Launcher MK1</v>
      </c>
      <c r="K19" t="str">
        <f t="shared" si="3"/>
        <v/>
      </c>
      <c r="L19" t="str">
        <f t="shared" si="4"/>
        <v/>
      </c>
      <c r="O19" t="str">
        <f t="shared" si="5"/>
        <v>Guided Missile Launcher MK1</v>
      </c>
      <c r="P19" t="str">
        <f t="shared" si="6"/>
        <v/>
      </c>
      <c r="Q19" t="str">
        <f t="shared" si="6"/>
        <v/>
      </c>
      <c r="R19" t="str">
        <f t="shared" si="7"/>
        <v/>
      </c>
      <c r="S19" t="str">
        <f t="shared" si="8"/>
        <v/>
      </c>
      <c r="U19" t="str">
        <f t="shared" si="9"/>
        <v/>
      </c>
    </row>
    <row r="20" spans="1:21" x14ac:dyDescent="0.25">
      <c r="A20" s="16" t="s">
        <v>8251</v>
      </c>
      <c r="B20" t="s">
        <v>8315</v>
      </c>
      <c r="C20">
        <v>3119</v>
      </c>
      <c r="D20">
        <v>2119</v>
      </c>
      <c r="E20">
        <v>1119</v>
      </c>
      <c r="H20" t="str">
        <f t="shared" si="0"/>
        <v>Guided Missile Launcher MK2</v>
      </c>
      <c r="I20" t="str">
        <f t="shared" si="1"/>
        <v/>
      </c>
      <c r="J20" t="str">
        <f t="shared" si="2"/>
        <v>Guided Missile Launcher MK2</v>
      </c>
      <c r="K20" t="str">
        <f t="shared" si="3"/>
        <v/>
      </c>
      <c r="L20" t="str">
        <f t="shared" si="4"/>
        <v/>
      </c>
      <c r="O20" t="str">
        <f t="shared" si="5"/>
        <v>Guided Missile Launcher MK2</v>
      </c>
      <c r="P20" t="str">
        <f t="shared" si="6"/>
        <v/>
      </c>
      <c r="Q20" t="str">
        <f t="shared" si="6"/>
        <v/>
      </c>
      <c r="R20" t="str">
        <f t="shared" si="7"/>
        <v/>
      </c>
      <c r="S20" t="str">
        <f t="shared" si="8"/>
        <v/>
      </c>
      <c r="U20" t="str">
        <f t="shared" si="9"/>
        <v/>
      </c>
    </row>
    <row r="21" spans="1:21" x14ac:dyDescent="0.25">
      <c r="A21" s="16" t="s">
        <v>8251</v>
      </c>
      <c r="B21" t="s">
        <v>8316</v>
      </c>
      <c r="C21">
        <v>3109</v>
      </c>
      <c r="D21">
        <v>2109</v>
      </c>
      <c r="E21">
        <v>1109</v>
      </c>
      <c r="H21" t="str">
        <f t="shared" si="0"/>
        <v>Laser</v>
      </c>
      <c r="I21" t="str">
        <f t="shared" si="1"/>
        <v/>
      </c>
      <c r="J21" t="str">
        <f t="shared" si="2"/>
        <v>Laser</v>
      </c>
      <c r="K21" t="str">
        <f t="shared" si="3"/>
        <v/>
      </c>
      <c r="L21" t="str">
        <f t="shared" si="4"/>
        <v/>
      </c>
      <c r="O21" t="str">
        <f t="shared" si="5"/>
        <v>Laser</v>
      </c>
      <c r="P21" t="str">
        <f t="shared" si="6"/>
        <v/>
      </c>
      <c r="Q21" t="str">
        <f t="shared" si="6"/>
        <v/>
      </c>
      <c r="R21" t="str">
        <f t="shared" si="7"/>
        <v/>
      </c>
      <c r="S21" t="str">
        <f t="shared" si="8"/>
        <v/>
      </c>
      <c r="U21" t="str">
        <f t="shared" si="9"/>
        <v/>
      </c>
    </row>
    <row r="22" spans="1:21" x14ac:dyDescent="0.25">
      <c r="A22" s="16" t="s">
        <v>8251</v>
      </c>
      <c r="B22" t="s">
        <v>8901</v>
      </c>
      <c r="C22">
        <v>3131</v>
      </c>
      <c r="D22">
        <v>2131</v>
      </c>
      <c r="E22">
        <v>1131</v>
      </c>
      <c r="H22" t="str">
        <f t="shared" si="0"/>
        <v>Mortar</v>
      </c>
      <c r="I22" t="str">
        <f t="shared" si="1"/>
        <v/>
      </c>
      <c r="J22" t="str">
        <f t="shared" si="2"/>
        <v>Mortar</v>
      </c>
      <c r="K22" t="str">
        <f t="shared" si="3"/>
        <v/>
      </c>
      <c r="L22" t="str">
        <f t="shared" si="4"/>
        <v/>
      </c>
      <c r="O22" t="str">
        <f t="shared" si="5"/>
        <v>Mortar</v>
      </c>
      <c r="P22" t="str">
        <f t="shared" si="6"/>
        <v/>
      </c>
      <c r="Q22" t="str">
        <f t="shared" si="6"/>
        <v/>
      </c>
      <c r="R22" t="str">
        <f t="shared" si="7"/>
        <v/>
      </c>
      <c r="S22" t="str">
        <f t="shared" si="8"/>
        <v/>
      </c>
      <c r="U22" t="str">
        <f t="shared" si="9"/>
        <v/>
      </c>
    </row>
    <row r="23" spans="1:21" x14ac:dyDescent="0.25">
      <c r="A23" s="16" t="s">
        <v>8251</v>
      </c>
      <c r="B23" t="s">
        <v>8317</v>
      </c>
      <c r="C23">
        <v>3112</v>
      </c>
      <c r="D23">
        <v>2112</v>
      </c>
      <c r="E23">
        <v>1112</v>
      </c>
      <c r="H23" t="str">
        <f t="shared" si="0"/>
        <v>Pulse Cannon</v>
      </c>
      <c r="I23" t="str">
        <f t="shared" si="1"/>
        <v/>
      </c>
      <c r="J23" t="str">
        <f t="shared" si="2"/>
        <v>Pulse Cannon</v>
      </c>
      <c r="K23" t="str">
        <f t="shared" si="3"/>
        <v/>
      </c>
      <c r="L23" t="str">
        <f t="shared" si="4"/>
        <v/>
      </c>
      <c r="O23" t="str">
        <f t="shared" si="5"/>
        <v>Pulse Cannon</v>
      </c>
      <c r="P23" t="str">
        <f t="shared" si="6"/>
        <v/>
      </c>
      <c r="Q23" t="str">
        <f t="shared" si="6"/>
        <v/>
      </c>
      <c r="R23" t="str">
        <f t="shared" si="7"/>
        <v/>
      </c>
      <c r="S23" t="str">
        <f t="shared" si="8"/>
        <v/>
      </c>
      <c r="U23" t="str">
        <f t="shared" si="9"/>
        <v/>
      </c>
    </row>
    <row r="24" spans="1:21" x14ac:dyDescent="0.25">
      <c r="A24" s="16" t="s">
        <v>8251</v>
      </c>
      <c r="B24" t="s">
        <v>8318</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s="16" t="s">
        <v>8252</v>
      </c>
      <c r="B25" t="s">
        <v>8319</v>
      </c>
      <c r="C25">
        <v>3102</v>
      </c>
      <c r="D25">
        <v>2102</v>
      </c>
      <c r="E25">
        <v>1102</v>
      </c>
      <c r="H25" t="str">
        <f t="shared" si="0"/>
        <v/>
      </c>
      <c r="I25" t="str">
        <f t="shared" si="1"/>
        <v/>
      </c>
      <c r="J25" t="str">
        <f t="shared" si="2"/>
        <v>Anti-Armor Rifle</v>
      </c>
      <c r="K25" t="str">
        <f t="shared" si="3"/>
        <v>Anti-Armor Rifle</v>
      </c>
      <c r="L25" t="str">
        <f t="shared" si="4"/>
        <v/>
      </c>
      <c r="O25" t="str">
        <f t="shared" si="5"/>
        <v>Anti-Armor Rifle</v>
      </c>
      <c r="P25" t="str">
        <f t="shared" si="6"/>
        <v>Anti-Armor Rifle</v>
      </c>
      <c r="Q25" t="str">
        <f t="shared" si="6"/>
        <v>Anti-Armor Rifle</v>
      </c>
      <c r="R25" t="str">
        <f t="shared" si="7"/>
        <v/>
      </c>
      <c r="S25" t="str">
        <f t="shared" si="8"/>
        <v/>
      </c>
      <c r="U25" t="str">
        <f t="shared" si="9"/>
        <v/>
      </c>
    </row>
    <row r="26" spans="1:21" x14ac:dyDescent="0.25">
      <c r="A26" s="16" t="s">
        <v>8252</v>
      </c>
      <c r="B26" t="s">
        <v>8320</v>
      </c>
      <c r="C26">
        <v>3107</v>
      </c>
      <c r="D26">
        <v>2107</v>
      </c>
      <c r="E26">
        <v>1107</v>
      </c>
      <c r="H26" t="str">
        <f t="shared" si="0"/>
        <v/>
      </c>
      <c r="I26" t="str">
        <f t="shared" si="1"/>
        <v/>
      </c>
      <c r="J26" t="str">
        <f t="shared" si="2"/>
        <v>Autocannon</v>
      </c>
      <c r="K26" t="str">
        <f t="shared" si="3"/>
        <v>Autocannon</v>
      </c>
      <c r="L26" t="str">
        <f t="shared" si="4"/>
        <v/>
      </c>
      <c r="O26" t="str">
        <f t="shared" si="5"/>
        <v>Autocannon</v>
      </c>
      <c r="P26" t="str">
        <f t="shared" si="6"/>
        <v>Autocannon</v>
      </c>
      <c r="Q26" t="str">
        <f t="shared" si="6"/>
        <v>Autocannon</v>
      </c>
      <c r="R26" t="str">
        <f t="shared" si="7"/>
        <v/>
      </c>
      <c r="S26" t="str">
        <f t="shared" si="8"/>
        <v/>
      </c>
      <c r="U26" t="str">
        <f t="shared" si="9"/>
        <v/>
      </c>
    </row>
    <row r="27" spans="1:21" x14ac:dyDescent="0.25">
      <c r="A27" s="16" t="s">
        <v>8252</v>
      </c>
      <c r="B27" t="s">
        <v>8321</v>
      </c>
      <c r="C27">
        <v>3101</v>
      </c>
      <c r="D27">
        <v>2101</v>
      </c>
      <c r="E27">
        <v>1101</v>
      </c>
      <c r="H27" t="str">
        <f t="shared" si="0"/>
        <v/>
      </c>
      <c r="I27" t="str">
        <f t="shared" si="1"/>
        <v/>
      </c>
      <c r="J27" t="str">
        <f t="shared" si="2"/>
        <v>Common MG MK-I</v>
      </c>
      <c r="K27" t="str">
        <f t="shared" si="3"/>
        <v>Common MG MK-I</v>
      </c>
      <c r="L27" t="str">
        <f t="shared" si="4"/>
        <v/>
      </c>
      <c r="O27" t="str">
        <f t="shared" si="5"/>
        <v>Common MG MK-I</v>
      </c>
      <c r="P27" t="str">
        <f t="shared" si="6"/>
        <v>Common MG MK-I</v>
      </c>
      <c r="Q27" t="str">
        <f t="shared" si="6"/>
        <v>Common MG MK-I</v>
      </c>
      <c r="R27" t="str">
        <f t="shared" si="7"/>
        <v/>
      </c>
      <c r="S27" t="str">
        <f t="shared" si="8"/>
        <v/>
      </c>
      <c r="U27" t="str">
        <f t="shared" si="9"/>
        <v/>
      </c>
    </row>
    <row r="28" spans="1:21" x14ac:dyDescent="0.25">
      <c r="A28" s="16" t="s">
        <v>8252</v>
      </c>
      <c r="B28" t="s">
        <v>8322</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s="16" t="s">
        <v>8252</v>
      </c>
      <c r="B29" t="s">
        <v>8323</v>
      </c>
      <c r="C29">
        <v>3104</v>
      </c>
      <c r="D29">
        <v>2104</v>
      </c>
      <c r="E29">
        <v>1104</v>
      </c>
      <c r="H29" t="str">
        <f t="shared" si="0"/>
        <v/>
      </c>
      <c r="I29" t="str">
        <f t="shared" si="1"/>
        <v/>
      </c>
      <c r="J29" t="str">
        <f t="shared" si="2"/>
        <v>Heavy MG</v>
      </c>
      <c r="K29" t="str">
        <f t="shared" si="3"/>
        <v>Heavy MG</v>
      </c>
      <c r="L29" t="str">
        <f t="shared" si="4"/>
        <v/>
      </c>
      <c r="O29" t="str">
        <f t="shared" si="5"/>
        <v>Heavy MG</v>
      </c>
      <c r="P29" t="str">
        <f t="shared" si="6"/>
        <v>Heavy MG</v>
      </c>
      <c r="Q29" t="str">
        <f t="shared" si="6"/>
        <v>Heavy MG</v>
      </c>
      <c r="R29" t="str">
        <f t="shared" si="7"/>
        <v/>
      </c>
      <c r="S29" t="str">
        <f t="shared" si="8"/>
        <v/>
      </c>
      <c r="U29" t="str">
        <f t="shared" si="9"/>
        <v/>
      </c>
    </row>
    <row r="30" spans="1:21" x14ac:dyDescent="0.25">
      <c r="A30" s="16" t="s">
        <v>8252</v>
      </c>
      <c r="B30" t="s">
        <v>8324</v>
      </c>
      <c r="C30">
        <v>3128</v>
      </c>
      <c r="D30">
        <v>2128</v>
      </c>
      <c r="E30">
        <v>1128</v>
      </c>
      <c r="H30" t="str">
        <f t="shared" si="0"/>
        <v/>
      </c>
      <c r="I30" t="str">
        <f t="shared" si="1"/>
        <v/>
      </c>
      <c r="J30" t="str">
        <f t="shared" si="2"/>
        <v>Light Rapid Railgun</v>
      </c>
      <c r="K30" t="str">
        <f t="shared" si="3"/>
        <v>Light Rapid Railgun</v>
      </c>
      <c r="L30" t="str">
        <f t="shared" si="4"/>
        <v/>
      </c>
      <c r="O30" t="str">
        <f t="shared" si="5"/>
        <v>Light Rapid Railgun</v>
      </c>
      <c r="P30" t="str">
        <f t="shared" si="6"/>
        <v>Light Rapid Railgun</v>
      </c>
      <c r="Q30" t="str">
        <f t="shared" si="6"/>
        <v>Light Rapid Railgun</v>
      </c>
      <c r="R30" t="str">
        <f t="shared" si="7"/>
        <v/>
      </c>
      <c r="S30" t="str">
        <f t="shared" si="8"/>
        <v/>
      </c>
      <c r="U30" t="str">
        <f t="shared" si="9"/>
        <v/>
      </c>
    </row>
    <row r="31" spans="1:21" x14ac:dyDescent="0.25">
      <c r="A31" s="16" t="s">
        <v>8252</v>
      </c>
      <c r="B31" t="s">
        <v>8325</v>
      </c>
      <c r="C31">
        <v>3126</v>
      </c>
      <c r="D31">
        <v>2126</v>
      </c>
      <c r="E31">
        <v>1126</v>
      </c>
      <c r="H31" t="str">
        <f t="shared" si="0"/>
        <v/>
      </c>
      <c r="I31" t="str">
        <f t="shared" si="1"/>
        <v/>
      </c>
      <c r="J31" t="str">
        <f t="shared" si="2"/>
        <v>LMG</v>
      </c>
      <c r="K31" t="str">
        <f t="shared" si="3"/>
        <v>LMG</v>
      </c>
      <c r="L31" t="str">
        <f t="shared" si="4"/>
        <v/>
      </c>
      <c r="O31" t="str">
        <f t="shared" si="5"/>
        <v>LMG</v>
      </c>
      <c r="P31" t="str">
        <f t="shared" si="6"/>
        <v>LMG</v>
      </c>
      <c r="Q31" t="str">
        <f t="shared" si="6"/>
        <v>LMG</v>
      </c>
      <c r="R31" t="str">
        <f t="shared" si="7"/>
        <v/>
      </c>
      <c r="S31" t="str">
        <f t="shared" si="8"/>
        <v/>
      </c>
      <c r="U31" t="str">
        <f t="shared" si="9"/>
        <v/>
      </c>
    </row>
    <row r="32" spans="1:21" x14ac:dyDescent="0.25">
      <c r="A32" s="16" t="s">
        <v>8252</v>
      </c>
      <c r="B32" t="s">
        <v>8326</v>
      </c>
      <c r="C32">
        <v>3103</v>
      </c>
      <c r="D32">
        <v>2103</v>
      </c>
      <c r="E32">
        <v>1103</v>
      </c>
      <c r="H32" t="str">
        <f t="shared" si="0"/>
        <v/>
      </c>
      <c r="I32" t="str">
        <f t="shared" si="1"/>
        <v/>
      </c>
      <c r="J32" t="str">
        <f t="shared" si="2"/>
        <v>MG Crew</v>
      </c>
      <c r="K32" t="str">
        <f t="shared" si="3"/>
        <v>MG Crew</v>
      </c>
      <c r="L32" t="str">
        <f t="shared" si="4"/>
        <v/>
      </c>
      <c r="O32" t="str">
        <f t="shared" si="5"/>
        <v>MG Crew</v>
      </c>
      <c r="P32" t="str">
        <f t="shared" si="6"/>
        <v>MG Crew</v>
      </c>
      <c r="Q32" t="str">
        <f t="shared" si="6"/>
        <v>MG Crew</v>
      </c>
      <c r="R32" t="str">
        <f t="shared" si="7"/>
        <v/>
      </c>
      <c r="S32" t="str">
        <f t="shared" si="8"/>
        <v/>
      </c>
      <c r="U32" t="str">
        <f t="shared" si="9"/>
        <v/>
      </c>
    </row>
    <row r="33" spans="1:21" x14ac:dyDescent="0.25">
      <c r="A33" s="16" t="s">
        <v>8252</v>
      </c>
      <c r="B33" t="s">
        <v>8902</v>
      </c>
      <c r="C33">
        <v>3130</v>
      </c>
      <c r="D33">
        <v>2130</v>
      </c>
      <c r="E33">
        <v>1130</v>
      </c>
      <c r="H33" t="str">
        <f t="shared" si="0"/>
        <v/>
      </c>
      <c r="I33" t="str">
        <f t="shared" si="1"/>
        <v/>
      </c>
      <c r="J33" t="str">
        <f t="shared" si="2"/>
        <v>Shotgun</v>
      </c>
      <c r="K33" t="str">
        <f t="shared" si="3"/>
        <v>Shotgun</v>
      </c>
      <c r="L33" t="str">
        <f t="shared" si="4"/>
        <v/>
      </c>
      <c r="O33" t="str">
        <f t="shared" si="5"/>
        <v>Shotgun</v>
      </c>
      <c r="P33" t="str">
        <f t="shared" si="6"/>
        <v>Shotgun</v>
      </c>
      <c r="Q33" t="str">
        <f t="shared" si="6"/>
        <v>Shotgun</v>
      </c>
      <c r="R33" t="str">
        <f t="shared" si="7"/>
        <v/>
      </c>
      <c r="S33" t="str">
        <f t="shared" si="8"/>
        <v/>
      </c>
      <c r="U33" t="str">
        <f t="shared" si="9"/>
        <v/>
      </c>
    </row>
    <row r="34" spans="1:21" x14ac:dyDescent="0.25">
      <c r="A34" s="16" t="s">
        <v>8252</v>
      </c>
      <c r="B34" t="s">
        <v>8327</v>
      </c>
      <c r="C34">
        <v>3122</v>
      </c>
      <c r="D34">
        <v>2122</v>
      </c>
      <c r="E34">
        <v>1122</v>
      </c>
      <c r="H34" t="str">
        <f t="shared" si="0"/>
        <v/>
      </c>
      <c r="I34" t="str">
        <f t="shared" si="1"/>
        <v/>
      </c>
      <c r="J34" t="str">
        <f t="shared" si="2"/>
        <v>Turret</v>
      </c>
      <c r="K34" t="str">
        <f t="shared" si="3"/>
        <v>Turret</v>
      </c>
      <c r="L34" t="str">
        <f t="shared" si="4"/>
        <v/>
      </c>
      <c r="O34" t="str">
        <f t="shared" si="5"/>
        <v>Turret</v>
      </c>
      <c r="P34" t="str">
        <f t="shared" si="6"/>
        <v>Turret</v>
      </c>
      <c r="Q34" t="str">
        <f t="shared" si="6"/>
        <v>Turret</v>
      </c>
      <c r="R34" t="str">
        <f t="shared" si="7"/>
        <v/>
      </c>
      <c r="S34" t="str">
        <f t="shared" si="8"/>
        <v/>
      </c>
      <c r="U34" t="str">
        <f t="shared" si="9"/>
        <v/>
      </c>
    </row>
    <row r="35" spans="1:21" x14ac:dyDescent="0.25">
      <c r="A35" s="16" t="s">
        <v>640</v>
      </c>
      <c r="B35" t="s">
        <v>8328</v>
      </c>
      <c r="C35">
        <v>3127</v>
      </c>
      <c r="D35">
        <v>2127</v>
      </c>
      <c r="E35">
        <v>1127</v>
      </c>
      <c r="H35" t="str">
        <f t="shared" si="0"/>
        <v/>
      </c>
      <c r="I35" t="str">
        <f t="shared" si="1"/>
        <v>Automatic Defense System</v>
      </c>
      <c r="J35" t="str">
        <f t="shared" si="2"/>
        <v/>
      </c>
      <c r="K35" t="str">
        <f t="shared" si="3"/>
        <v/>
      </c>
      <c r="L35" t="str">
        <f t="shared" si="4"/>
        <v/>
      </c>
      <c r="O35" t="str">
        <f t="shared" si="5"/>
        <v/>
      </c>
      <c r="P35" t="str">
        <f t="shared" si="6"/>
        <v/>
      </c>
      <c r="Q35" t="str">
        <f t="shared" si="6"/>
        <v/>
      </c>
      <c r="R35" t="str">
        <f t="shared" si="7"/>
        <v>Automatic Defense System</v>
      </c>
      <c r="S35" t="str">
        <f t="shared" si="8"/>
        <v/>
      </c>
      <c r="U35" t="str">
        <f t="shared" si="9"/>
        <v/>
      </c>
    </row>
    <row r="36" spans="1:21" x14ac:dyDescent="0.25">
      <c r="A36" s="16" t="s">
        <v>640</v>
      </c>
      <c r="B36" t="s">
        <v>8903</v>
      </c>
      <c r="C36">
        <v>3133</v>
      </c>
      <c r="D36">
        <v>2133</v>
      </c>
      <c r="E36">
        <v>1133</v>
      </c>
      <c r="H36" t="str">
        <f t="shared" si="0"/>
        <v/>
      </c>
      <c r="I36" t="str">
        <f t="shared" si="1"/>
        <v>Camouflage</v>
      </c>
      <c r="J36" t="str">
        <f t="shared" si="2"/>
        <v/>
      </c>
      <c r="K36" t="str">
        <f t="shared" si="3"/>
        <v/>
      </c>
      <c r="L36" t="str">
        <f t="shared" si="4"/>
        <v/>
      </c>
      <c r="O36" t="str">
        <f t="shared" si="5"/>
        <v/>
      </c>
      <c r="P36" t="str">
        <f t="shared" si="6"/>
        <v/>
      </c>
      <c r="Q36" t="str">
        <f t="shared" si="6"/>
        <v/>
      </c>
      <c r="R36" t="str">
        <f t="shared" si="7"/>
        <v>Camouflage</v>
      </c>
      <c r="S36" t="str">
        <f t="shared" si="8"/>
        <v/>
      </c>
      <c r="U36" t="str">
        <f t="shared" si="9"/>
        <v/>
      </c>
    </row>
    <row r="37" spans="1:21" x14ac:dyDescent="0.25">
      <c r="A37" s="16" t="s">
        <v>640</v>
      </c>
      <c r="B37" t="s">
        <v>8904</v>
      </c>
      <c r="C37">
        <v>3134</v>
      </c>
      <c r="D37">
        <v>2134</v>
      </c>
      <c r="E37">
        <v>1134</v>
      </c>
      <c r="H37" t="str">
        <f t="shared" si="0"/>
        <v/>
      </c>
      <c r="I37" t="str">
        <f t="shared" si="1"/>
        <v>Grille</v>
      </c>
      <c r="J37" t="str">
        <f t="shared" si="2"/>
        <v/>
      </c>
      <c r="K37" t="str">
        <f t="shared" si="3"/>
        <v/>
      </c>
      <c r="L37" t="str">
        <f t="shared" si="4"/>
        <v/>
      </c>
      <c r="O37" t="str">
        <f t="shared" si="5"/>
        <v/>
      </c>
      <c r="P37" t="str">
        <f t="shared" si="6"/>
        <v/>
      </c>
      <c r="Q37" t="str">
        <f t="shared" si="6"/>
        <v/>
      </c>
      <c r="R37" t="str">
        <f t="shared" si="7"/>
        <v>Grille</v>
      </c>
      <c r="S37" t="str">
        <f t="shared" si="8"/>
        <v/>
      </c>
      <c r="U37" t="str">
        <f t="shared" si="9"/>
        <v/>
      </c>
    </row>
    <row r="38" spans="1:21" x14ac:dyDescent="0.25">
      <c r="A38" s="16" t="s">
        <v>640</v>
      </c>
      <c r="B38" t="s">
        <v>8329</v>
      </c>
      <c r="C38">
        <v>3124</v>
      </c>
      <c r="D38">
        <v>2124</v>
      </c>
      <c r="E38">
        <v>1124</v>
      </c>
      <c r="H38" t="str">
        <f t="shared" si="0"/>
        <v/>
      </c>
      <c r="I38" t="str">
        <f t="shared" si="1"/>
        <v>Protection Generator</v>
      </c>
      <c r="J38" t="str">
        <f t="shared" si="2"/>
        <v/>
      </c>
      <c r="K38" t="str">
        <f t="shared" si="3"/>
        <v/>
      </c>
      <c r="L38" t="str">
        <f t="shared" si="4"/>
        <v/>
      </c>
      <c r="O38" t="str">
        <f t="shared" si="5"/>
        <v/>
      </c>
      <c r="P38" t="str">
        <f t="shared" si="6"/>
        <v/>
      </c>
      <c r="Q38" t="str">
        <f t="shared" si="6"/>
        <v/>
      </c>
      <c r="R38" t="str">
        <f t="shared" si="7"/>
        <v>Protection Generator</v>
      </c>
      <c r="S38" t="str">
        <f t="shared" si="8"/>
        <v/>
      </c>
      <c r="U38" t="str">
        <f t="shared" si="9"/>
        <v/>
      </c>
    </row>
    <row r="39" spans="1:21" x14ac:dyDescent="0.25">
      <c r="A39" s="16" t="s">
        <v>640</v>
      </c>
      <c r="B39" t="s">
        <v>8330</v>
      </c>
      <c r="C39">
        <v>3121</v>
      </c>
      <c r="D39">
        <v>2121</v>
      </c>
      <c r="E39">
        <v>1121</v>
      </c>
      <c r="H39" t="str">
        <f t="shared" si="0"/>
        <v/>
      </c>
      <c r="I39" t="str">
        <f t="shared" si="1"/>
        <v>Reactive Armor</v>
      </c>
      <c r="J39" t="str">
        <f t="shared" si="2"/>
        <v/>
      </c>
      <c r="K39" t="str">
        <f t="shared" si="3"/>
        <v/>
      </c>
      <c r="L39" t="str">
        <f t="shared" si="4"/>
        <v/>
      </c>
      <c r="O39" t="str">
        <f t="shared" si="5"/>
        <v/>
      </c>
      <c r="P39" t="str">
        <f t="shared" si="6"/>
        <v/>
      </c>
      <c r="Q39" t="str">
        <f t="shared" si="6"/>
        <v/>
      </c>
      <c r="R39" t="str">
        <f t="shared" si="7"/>
        <v>Reactive Armor</v>
      </c>
      <c r="S39" t="str">
        <f t="shared" si="8"/>
        <v/>
      </c>
      <c r="U39" t="str">
        <f t="shared" si="9"/>
        <v/>
      </c>
    </row>
    <row r="40" spans="1:21" x14ac:dyDescent="0.25">
      <c r="A40" s="16" t="s">
        <v>8253</v>
      </c>
      <c r="B40" t="s">
        <v>8331</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s="16" t="s">
        <v>8253</v>
      </c>
      <c r="B41" t="s">
        <v>8332</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s="16" t="s">
        <v>8253</v>
      </c>
      <c r="B42" t="s">
        <v>8333</v>
      </c>
      <c r="C42">
        <v>3129</v>
      </c>
      <c r="D42">
        <v>2129</v>
      </c>
      <c r="E42">
        <v>1129</v>
      </c>
      <c r="H42" t="str">
        <f t="shared" si="0"/>
        <v/>
      </c>
      <c r="I42" t="str">
        <f t="shared" si="1"/>
        <v>Laser Jammer</v>
      </c>
      <c r="J42" t="str">
        <f t="shared" si="2"/>
        <v/>
      </c>
      <c r="K42" t="str">
        <f t="shared" si="3"/>
        <v/>
      </c>
      <c r="L42" t="str">
        <f t="shared" si="4"/>
        <v>Laser Jammer</v>
      </c>
      <c r="O42" t="str">
        <f t="shared" si="5"/>
        <v/>
      </c>
      <c r="P42" t="str">
        <f t="shared" si="6"/>
        <v/>
      </c>
      <c r="Q42" t="str">
        <f t="shared" si="6"/>
        <v/>
      </c>
      <c r="R42" t="str">
        <f t="shared" si="7"/>
        <v>Laser Jammer</v>
      </c>
      <c r="S42" t="str">
        <f t="shared" si="8"/>
        <v>Laser Jammer</v>
      </c>
      <c r="U42" t="str">
        <f t="shared" si="9"/>
        <v/>
      </c>
    </row>
    <row r="43" spans="1:21" x14ac:dyDescent="0.25">
      <c r="A43" s="16" t="s">
        <v>8253</v>
      </c>
      <c r="B43" t="s">
        <v>8905</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s="16" t="s">
        <v>8253</v>
      </c>
      <c r="B44" t="s">
        <v>8334</v>
      </c>
      <c r="C44">
        <v>3125</v>
      </c>
      <c r="D44">
        <v>2125</v>
      </c>
      <c r="E44">
        <v>1125</v>
      </c>
      <c r="H44" t="str">
        <f t="shared" si="0"/>
        <v/>
      </c>
      <c r="I44" t="str">
        <f t="shared" si="1"/>
        <v>Phased Array</v>
      </c>
      <c r="J44" t="str">
        <f t="shared" si="2"/>
        <v/>
      </c>
      <c r="K44" t="str">
        <f t="shared" si="3"/>
        <v/>
      </c>
      <c r="L44" t="str">
        <f t="shared" si="4"/>
        <v>Phased Array</v>
      </c>
      <c r="O44" t="str">
        <f t="shared" si="5"/>
        <v/>
      </c>
      <c r="P44" t="str">
        <f t="shared" si="6"/>
        <v/>
      </c>
      <c r="Q44" t="str">
        <f t="shared" si="6"/>
        <v/>
      </c>
      <c r="R44" t="str">
        <f t="shared" si="7"/>
        <v>Phased Array</v>
      </c>
      <c r="S44" t="str">
        <f t="shared" si="8"/>
        <v>Phased Array</v>
      </c>
      <c r="U44" t="str">
        <f t="shared" si="9"/>
        <v/>
      </c>
    </row>
    <row r="45" spans="1:21" x14ac:dyDescent="0.25">
      <c r="A45" s="16" t="s">
        <v>8253</v>
      </c>
      <c r="B45" t="s">
        <v>8335</v>
      </c>
      <c r="C45">
        <v>3116</v>
      </c>
      <c r="D45">
        <v>2116</v>
      </c>
      <c r="E45">
        <v>1116</v>
      </c>
      <c r="H45" t="str">
        <f t="shared" si="0"/>
        <v/>
      </c>
      <c r="I45" t="str">
        <f t="shared" si="1"/>
        <v>Signal Tower</v>
      </c>
      <c r="J45" t="str">
        <f t="shared" si="2"/>
        <v/>
      </c>
      <c r="K45" t="str">
        <f t="shared" si="3"/>
        <v/>
      </c>
      <c r="L45" t="str">
        <f t="shared" si="4"/>
        <v>Signal Tower</v>
      </c>
      <c r="O45" t="str">
        <f t="shared" si="5"/>
        <v/>
      </c>
      <c r="P45" t="str">
        <f t="shared" si="6"/>
        <v/>
      </c>
      <c r="Q45" t="str">
        <f t="shared" si="6"/>
        <v/>
      </c>
      <c r="R45" t="str">
        <f t="shared" si="7"/>
        <v>Signal Tower</v>
      </c>
      <c r="S45" t="str">
        <f t="shared" si="8"/>
        <v>Signal Tower</v>
      </c>
      <c r="U45" t="str">
        <f t="shared" si="9"/>
        <v/>
      </c>
    </row>
    <row r="46" spans="1:21" x14ac:dyDescent="0.25">
      <c r="A46" s="16" t="s">
        <v>8253</v>
      </c>
      <c r="B46" t="s">
        <v>8336</v>
      </c>
      <c r="C46">
        <v>3117</v>
      </c>
      <c r="D46">
        <v>2117</v>
      </c>
      <c r="E46">
        <v>1117</v>
      </c>
      <c r="H46" t="str">
        <f t="shared" si="0"/>
        <v/>
      </c>
      <c r="I46" t="str">
        <f t="shared" si="1"/>
        <v>Smoke Generator</v>
      </c>
      <c r="J46" t="str">
        <f t="shared" si="2"/>
        <v/>
      </c>
      <c r="K46" t="str">
        <f t="shared" si="3"/>
        <v/>
      </c>
      <c r="L46" t="str">
        <f t="shared" si="4"/>
        <v>Smoke Generator</v>
      </c>
      <c r="O46" t="str">
        <f t="shared" si="5"/>
        <v/>
      </c>
      <c r="P46" t="str">
        <f t="shared" si="6"/>
        <v/>
      </c>
      <c r="Q46" t="str">
        <f t="shared" si="6"/>
        <v/>
      </c>
      <c r="R46" t="str">
        <f t="shared" si="7"/>
        <v>Smoke Generator</v>
      </c>
      <c r="S46" t="str">
        <f t="shared" si="8"/>
        <v>Smoke Generator</v>
      </c>
      <c r="U46" t="str">
        <f t="shared" si="9"/>
        <v/>
      </c>
    </row>
    <row r="47" spans="1:21" x14ac:dyDescent="0.25">
      <c r="A47" s="16" t="s">
        <v>8253</v>
      </c>
      <c r="B47" t="s">
        <v>8337</v>
      </c>
      <c r="C47">
        <v>3123</v>
      </c>
      <c r="D47">
        <v>2123</v>
      </c>
      <c r="E47">
        <v>1123</v>
      </c>
      <c r="H47" t="str">
        <f t="shared" si="0"/>
        <v/>
      </c>
      <c r="I47" t="str">
        <f t="shared" si="1"/>
        <v>UAV Storage</v>
      </c>
      <c r="J47" t="str">
        <f t="shared" si="2"/>
        <v/>
      </c>
      <c r="K47" t="str">
        <f t="shared" si="3"/>
        <v/>
      </c>
      <c r="L47" t="str">
        <f t="shared" si="4"/>
        <v>UAV Storage</v>
      </c>
      <c r="O47" t="str">
        <f t="shared" si="5"/>
        <v/>
      </c>
      <c r="P47" t="str">
        <f t="shared" si="6"/>
        <v/>
      </c>
      <c r="Q47" t="str">
        <f t="shared" si="6"/>
        <v/>
      </c>
      <c r="R47" t="str">
        <f t="shared" si="7"/>
        <v>UAV Storage</v>
      </c>
      <c r="S47" t="str">
        <f t="shared" si="8"/>
        <v>UAV Storage</v>
      </c>
      <c r="U47" t="str">
        <f t="shared" si="9"/>
        <v/>
      </c>
    </row>
    <row r="48" spans="1:21" x14ac:dyDescent="0.25">
      <c r="A48" s="16" t="s">
        <v>8253</v>
      </c>
      <c r="B48" t="s">
        <v>8338</v>
      </c>
      <c r="C48">
        <v>3105</v>
      </c>
      <c r="D48">
        <v>2105</v>
      </c>
      <c r="E48">
        <v>1105</v>
      </c>
      <c r="H48" t="str">
        <f t="shared" si="0"/>
        <v/>
      </c>
      <c r="I48" t="str">
        <f t="shared" si="1"/>
        <v>Vehicle Night Vision</v>
      </c>
      <c r="J48" t="str">
        <f t="shared" si="2"/>
        <v/>
      </c>
      <c r="K48" t="str">
        <f t="shared" si="3"/>
        <v/>
      </c>
      <c r="L48" t="str">
        <f t="shared" si="4"/>
        <v>Vehicle Night Vision</v>
      </c>
      <c r="O48" t="str">
        <f t="shared" si="5"/>
        <v/>
      </c>
      <c r="P48" t="str">
        <f t="shared" si="6"/>
        <v/>
      </c>
      <c r="Q48" t="str">
        <f t="shared" si="6"/>
        <v/>
      </c>
      <c r="R48" t="str">
        <f t="shared" si="7"/>
        <v>Vehicle Night Vision</v>
      </c>
      <c r="S48" t="str">
        <f t="shared" si="8"/>
        <v>Vehicle Night Vision</v>
      </c>
      <c r="U48" t="str">
        <f t="shared" si="9"/>
        <v/>
      </c>
    </row>
    <row r="49" spans="1:1" x14ac:dyDescent="0.25">
      <c r="A49" s="16"/>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ref="A2:E48">
    <sortCondition ref="A2:A48" customList="Common,Heavy,Light,Defense,Utility"/>
    <sortCondition ref="B2:B48"/>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8498</v>
      </c>
      <c r="I1" t="s">
        <v>8496</v>
      </c>
      <c r="J1" t="s">
        <v>25</v>
      </c>
      <c r="K1" t="s">
        <v>581</v>
      </c>
      <c r="L1" t="s">
        <v>8497</v>
      </c>
      <c r="M1" t="s">
        <v>8495</v>
      </c>
    </row>
    <row r="2" spans="1:13" x14ac:dyDescent="0.25">
      <c r="A2" t="s">
        <v>1778</v>
      </c>
      <c r="B2" t="s">
        <v>8346</v>
      </c>
      <c r="C2" t="s">
        <v>8347</v>
      </c>
      <c r="D2" t="s">
        <v>8348</v>
      </c>
      <c r="E2" t="s">
        <v>8349</v>
      </c>
      <c r="F2" t="s">
        <v>8350</v>
      </c>
      <c r="H2" t="s">
        <v>8494</v>
      </c>
      <c r="I2" t="s">
        <v>8351</v>
      </c>
      <c r="J2">
        <v>2001</v>
      </c>
      <c r="K2">
        <v>770036</v>
      </c>
      <c r="L2" t="s">
        <v>8440</v>
      </c>
      <c r="M2" t="s">
        <v>8352</v>
      </c>
    </row>
    <row r="3" spans="1:13" x14ac:dyDescent="0.25">
      <c r="A3" t="s">
        <v>8187</v>
      </c>
      <c r="B3">
        <v>24</v>
      </c>
      <c r="C3">
        <v>28</v>
      </c>
      <c r="D3">
        <v>33</v>
      </c>
      <c r="E3">
        <v>38</v>
      </c>
      <c r="F3">
        <v>48</v>
      </c>
      <c r="H3" t="s">
        <v>8493</v>
      </c>
      <c r="I3" t="s">
        <v>8353</v>
      </c>
      <c r="J3">
        <v>2002</v>
      </c>
      <c r="K3">
        <v>770038</v>
      </c>
      <c r="L3" t="s">
        <v>8441</v>
      </c>
      <c r="M3" t="s">
        <v>8354</v>
      </c>
    </row>
    <row r="4" spans="1:13" x14ac:dyDescent="0.25">
      <c r="A4" t="s">
        <v>8188</v>
      </c>
      <c r="B4">
        <v>24</v>
      </c>
      <c r="C4">
        <v>28</v>
      </c>
      <c r="D4">
        <v>33</v>
      </c>
      <c r="E4">
        <v>38</v>
      </c>
      <c r="F4">
        <v>48</v>
      </c>
      <c r="H4" t="s">
        <v>8500</v>
      </c>
      <c r="I4" t="s">
        <v>8355</v>
      </c>
      <c r="J4">
        <v>2003</v>
      </c>
      <c r="K4">
        <v>770125</v>
      </c>
      <c r="L4" t="s">
        <v>8442</v>
      </c>
      <c r="M4" t="s">
        <v>8356</v>
      </c>
    </row>
    <row r="5" spans="1:13" x14ac:dyDescent="0.25">
      <c r="A5" t="s">
        <v>8189</v>
      </c>
      <c r="B5">
        <v>8</v>
      </c>
      <c r="C5">
        <v>9</v>
      </c>
      <c r="D5">
        <v>11</v>
      </c>
      <c r="E5">
        <v>12</v>
      </c>
      <c r="F5">
        <v>16</v>
      </c>
      <c r="H5" t="s">
        <v>8492</v>
      </c>
      <c r="I5" t="s">
        <v>8357</v>
      </c>
      <c r="J5">
        <v>2004</v>
      </c>
      <c r="K5">
        <v>770106</v>
      </c>
      <c r="L5" t="s">
        <v>8443</v>
      </c>
      <c r="M5" t="s">
        <v>8358</v>
      </c>
    </row>
    <row r="6" spans="1:13" x14ac:dyDescent="0.25">
      <c r="A6" t="s">
        <v>7738</v>
      </c>
      <c r="B6">
        <v>16</v>
      </c>
      <c r="C6">
        <v>19</v>
      </c>
      <c r="D6">
        <v>22</v>
      </c>
      <c r="E6">
        <v>25</v>
      </c>
      <c r="F6">
        <v>32</v>
      </c>
      <c r="H6" t="s">
        <v>8491</v>
      </c>
      <c r="I6" t="s">
        <v>8359</v>
      </c>
      <c r="J6">
        <v>2005</v>
      </c>
      <c r="K6">
        <v>220187</v>
      </c>
      <c r="L6" t="s">
        <v>8447</v>
      </c>
      <c r="M6" t="s">
        <v>8360</v>
      </c>
    </row>
    <row r="7" spans="1:13" x14ac:dyDescent="0.25">
      <c r="A7" t="s">
        <v>878</v>
      </c>
      <c r="B7">
        <v>5</v>
      </c>
      <c r="C7">
        <v>6</v>
      </c>
      <c r="D7">
        <v>7</v>
      </c>
      <c r="E7">
        <v>8</v>
      </c>
      <c r="F7">
        <v>10</v>
      </c>
      <c r="H7" t="s">
        <v>8490</v>
      </c>
      <c r="I7" t="s">
        <v>8361</v>
      </c>
      <c r="J7">
        <v>2006</v>
      </c>
      <c r="K7">
        <v>770113</v>
      </c>
      <c r="L7" t="s">
        <v>8448</v>
      </c>
      <c r="M7" t="s">
        <v>8362</v>
      </c>
    </row>
    <row r="8" spans="1:13" x14ac:dyDescent="0.25">
      <c r="A8" t="s">
        <v>38</v>
      </c>
      <c r="B8">
        <v>5</v>
      </c>
      <c r="C8">
        <v>6</v>
      </c>
      <c r="D8">
        <v>7</v>
      </c>
      <c r="E8">
        <v>8</v>
      </c>
      <c r="F8">
        <v>10</v>
      </c>
      <c r="H8" t="s">
        <v>8489</v>
      </c>
      <c r="I8" t="s">
        <v>8363</v>
      </c>
      <c r="J8">
        <v>3001</v>
      </c>
      <c r="K8">
        <v>220173</v>
      </c>
      <c r="L8" t="s">
        <v>8444</v>
      </c>
      <c r="M8" t="s">
        <v>8364</v>
      </c>
    </row>
    <row r="9" spans="1:13" x14ac:dyDescent="0.25">
      <c r="A9" t="s">
        <v>278</v>
      </c>
      <c r="B9">
        <v>2</v>
      </c>
      <c r="C9">
        <v>3</v>
      </c>
      <c r="D9">
        <v>4</v>
      </c>
      <c r="E9">
        <v>5</v>
      </c>
      <c r="F9">
        <v>6</v>
      </c>
      <c r="H9" t="s">
        <v>8488</v>
      </c>
      <c r="I9" t="s">
        <v>8365</v>
      </c>
      <c r="J9">
        <v>3002</v>
      </c>
      <c r="K9">
        <v>220175</v>
      </c>
      <c r="L9" t="s">
        <v>8445</v>
      </c>
      <c r="M9" t="s">
        <v>8366</v>
      </c>
    </row>
    <row r="10" spans="1:13" x14ac:dyDescent="0.25">
      <c r="A10" t="s">
        <v>39</v>
      </c>
      <c r="B10">
        <v>2</v>
      </c>
      <c r="C10">
        <v>3</v>
      </c>
      <c r="D10">
        <v>4</v>
      </c>
      <c r="E10">
        <v>5</v>
      </c>
      <c r="F10">
        <v>6</v>
      </c>
      <c r="H10" t="s">
        <v>8487</v>
      </c>
      <c r="I10" t="s">
        <v>8367</v>
      </c>
      <c r="J10">
        <v>3003</v>
      </c>
      <c r="K10">
        <v>220181</v>
      </c>
      <c r="L10" t="s">
        <v>8446</v>
      </c>
      <c r="M10" t="s">
        <v>8368</v>
      </c>
    </row>
    <row r="11" spans="1:13" x14ac:dyDescent="0.25">
      <c r="A11" t="s">
        <v>8278</v>
      </c>
      <c r="B11">
        <v>10</v>
      </c>
      <c r="C11">
        <v>12</v>
      </c>
      <c r="D11">
        <v>14</v>
      </c>
      <c r="E11">
        <v>16</v>
      </c>
      <c r="F11">
        <v>20</v>
      </c>
      <c r="H11" t="s">
        <v>8436</v>
      </c>
      <c r="I11" t="s">
        <v>8369</v>
      </c>
      <c r="J11">
        <v>3004</v>
      </c>
      <c r="K11">
        <v>220180</v>
      </c>
      <c r="L11" t="s">
        <v>8449</v>
      </c>
      <c r="M11" t="s">
        <v>8370</v>
      </c>
    </row>
    <row r="12" spans="1:13" x14ac:dyDescent="0.25">
      <c r="A12" t="s">
        <v>8279</v>
      </c>
      <c r="B12">
        <v>10</v>
      </c>
      <c r="C12">
        <v>12</v>
      </c>
      <c r="D12">
        <v>14</v>
      </c>
      <c r="E12">
        <v>16</v>
      </c>
      <c r="F12">
        <v>20</v>
      </c>
      <c r="H12" t="s">
        <v>8486</v>
      </c>
      <c r="I12" t="s">
        <v>8371</v>
      </c>
      <c r="J12">
        <v>3005</v>
      </c>
      <c r="K12">
        <v>220167</v>
      </c>
      <c r="L12" t="s">
        <v>8411</v>
      </c>
      <c r="M12" t="s">
        <v>8411</v>
      </c>
    </row>
    <row r="13" spans="1:13" x14ac:dyDescent="0.25">
      <c r="A13" t="s">
        <v>8191</v>
      </c>
      <c r="B13">
        <v>13</v>
      </c>
      <c r="C13">
        <v>15</v>
      </c>
      <c r="D13">
        <v>18</v>
      </c>
      <c r="E13">
        <v>20</v>
      </c>
      <c r="F13">
        <v>26</v>
      </c>
      <c r="H13" t="s">
        <v>8485</v>
      </c>
      <c r="I13" t="s">
        <v>8372</v>
      </c>
      <c r="J13">
        <v>3006</v>
      </c>
      <c r="K13">
        <v>220185</v>
      </c>
      <c r="L13" t="s">
        <v>8450</v>
      </c>
      <c r="M13" t="s">
        <v>8373</v>
      </c>
    </row>
    <row r="14" spans="1:13" x14ac:dyDescent="0.25">
      <c r="A14" t="s">
        <v>8192</v>
      </c>
      <c r="B14">
        <v>38</v>
      </c>
      <c r="C14">
        <v>45</v>
      </c>
      <c r="D14">
        <v>53</v>
      </c>
      <c r="E14">
        <v>60</v>
      </c>
      <c r="F14">
        <v>76</v>
      </c>
      <c r="H14" t="s">
        <v>8484</v>
      </c>
      <c r="I14" t="s">
        <v>8374</v>
      </c>
      <c r="J14">
        <v>4001</v>
      </c>
      <c r="K14">
        <v>770090</v>
      </c>
      <c r="L14" t="s">
        <v>8412</v>
      </c>
      <c r="M14" t="s">
        <v>8412</v>
      </c>
    </row>
    <row r="15" spans="1:13" x14ac:dyDescent="0.25">
      <c r="A15" t="s">
        <v>8190</v>
      </c>
      <c r="B15">
        <v>19</v>
      </c>
      <c r="C15">
        <v>22</v>
      </c>
      <c r="D15">
        <v>26</v>
      </c>
      <c r="E15">
        <v>30</v>
      </c>
      <c r="F15">
        <v>38</v>
      </c>
      <c r="H15" t="s">
        <v>8483</v>
      </c>
      <c r="I15" t="s">
        <v>8375</v>
      </c>
      <c r="J15">
        <v>4002</v>
      </c>
      <c r="K15">
        <v>770091</v>
      </c>
      <c r="L15" t="s">
        <v>8413</v>
      </c>
      <c r="M15" t="s">
        <v>8413</v>
      </c>
    </row>
    <row r="16" spans="1:13" x14ac:dyDescent="0.25">
      <c r="A16" t="s">
        <v>1798</v>
      </c>
      <c r="B16" t="s">
        <v>8499</v>
      </c>
      <c r="C16" t="s">
        <v>8499</v>
      </c>
      <c r="D16" t="s">
        <v>8499</v>
      </c>
      <c r="E16" t="s">
        <v>8499</v>
      </c>
      <c r="F16" t="s">
        <v>8499</v>
      </c>
      <c r="H16" t="s">
        <v>8482</v>
      </c>
      <c r="I16" t="s">
        <v>8376</v>
      </c>
      <c r="J16">
        <v>4003</v>
      </c>
      <c r="K16">
        <v>770014</v>
      </c>
      <c r="L16" t="s">
        <v>8414</v>
      </c>
      <c r="M16" t="s">
        <v>8414</v>
      </c>
    </row>
    <row r="17" spans="8:13" x14ac:dyDescent="0.25">
      <c r="H17" t="s">
        <v>8481</v>
      </c>
      <c r="I17" t="s">
        <v>8377</v>
      </c>
      <c r="J17">
        <v>4004</v>
      </c>
      <c r="K17">
        <v>770016</v>
      </c>
      <c r="L17" t="s">
        <v>8415</v>
      </c>
      <c r="M17" t="s">
        <v>8415</v>
      </c>
    </row>
    <row r="18" spans="8:13" x14ac:dyDescent="0.25">
      <c r="H18" t="s">
        <v>8480</v>
      </c>
      <c r="I18" t="s">
        <v>8378</v>
      </c>
      <c r="J18">
        <v>4005</v>
      </c>
      <c r="K18">
        <v>770019</v>
      </c>
      <c r="L18" t="s">
        <v>8416</v>
      </c>
      <c r="M18" t="s">
        <v>8416</v>
      </c>
    </row>
    <row r="19" spans="8:13" x14ac:dyDescent="0.25">
      <c r="H19" t="s">
        <v>8479</v>
      </c>
      <c r="I19" t="s">
        <v>8379</v>
      </c>
      <c r="J19">
        <v>4006</v>
      </c>
      <c r="K19">
        <v>770024</v>
      </c>
      <c r="L19" t="s">
        <v>8417</v>
      </c>
      <c r="M19" t="s">
        <v>8417</v>
      </c>
    </row>
    <row r="20" spans="8:13" x14ac:dyDescent="0.25">
      <c r="H20" t="s">
        <v>8478</v>
      </c>
      <c r="I20" t="s">
        <v>8380</v>
      </c>
      <c r="J20">
        <v>4007</v>
      </c>
      <c r="K20">
        <v>770096</v>
      </c>
      <c r="L20" t="s">
        <v>8418</v>
      </c>
      <c r="M20" t="s">
        <v>8418</v>
      </c>
    </row>
    <row r="21" spans="8:13" x14ac:dyDescent="0.25">
      <c r="H21" t="s">
        <v>8477</v>
      </c>
      <c r="I21" t="s">
        <v>8381</v>
      </c>
      <c r="J21">
        <v>4008</v>
      </c>
      <c r="K21">
        <v>770107</v>
      </c>
      <c r="L21" t="s">
        <v>8451</v>
      </c>
      <c r="M21" t="s">
        <v>8382</v>
      </c>
    </row>
    <row r="22" spans="8:13" x14ac:dyDescent="0.25">
      <c r="H22" t="s">
        <v>7380</v>
      </c>
      <c r="I22" t="s">
        <v>7437</v>
      </c>
      <c r="J22">
        <v>4009</v>
      </c>
      <c r="K22">
        <v>770109</v>
      </c>
      <c r="L22" t="s">
        <v>8419</v>
      </c>
      <c r="M22" t="s">
        <v>8419</v>
      </c>
    </row>
    <row r="23" spans="8:13" x14ac:dyDescent="0.25">
      <c r="H23" t="s">
        <v>8437</v>
      </c>
      <c r="I23" t="s">
        <v>8383</v>
      </c>
      <c r="J23">
        <v>5001</v>
      </c>
      <c r="K23">
        <v>770037</v>
      </c>
      <c r="L23" t="s">
        <v>8452</v>
      </c>
      <c r="M23" t="s">
        <v>8384</v>
      </c>
    </row>
    <row r="24" spans="8:13" x14ac:dyDescent="0.25">
      <c r="H24" t="s">
        <v>8438</v>
      </c>
      <c r="I24" t="s">
        <v>8385</v>
      </c>
      <c r="J24">
        <v>5002</v>
      </c>
      <c r="K24">
        <v>770039</v>
      </c>
      <c r="L24" t="s">
        <v>8420</v>
      </c>
      <c r="M24" t="s">
        <v>8420</v>
      </c>
    </row>
    <row r="25" spans="8:13" x14ac:dyDescent="0.25">
      <c r="H25" t="s">
        <v>8476</v>
      </c>
      <c r="I25" t="s">
        <v>8386</v>
      </c>
      <c r="J25">
        <v>5003</v>
      </c>
      <c r="K25">
        <v>770040</v>
      </c>
      <c r="L25" t="s">
        <v>8421</v>
      </c>
      <c r="M25" t="s">
        <v>8421</v>
      </c>
    </row>
    <row r="26" spans="8:13" x14ac:dyDescent="0.25">
      <c r="H26" t="s">
        <v>8475</v>
      </c>
      <c r="I26" t="s">
        <v>8387</v>
      </c>
      <c r="J26">
        <v>5004</v>
      </c>
      <c r="K26">
        <v>770041</v>
      </c>
      <c r="L26" t="s">
        <v>8422</v>
      </c>
      <c r="M26" t="s">
        <v>8422</v>
      </c>
    </row>
    <row r="27" spans="8:13" x14ac:dyDescent="0.25">
      <c r="H27" t="s">
        <v>8439</v>
      </c>
      <c r="I27" t="s">
        <v>8388</v>
      </c>
      <c r="J27">
        <v>5005</v>
      </c>
      <c r="K27">
        <v>220183</v>
      </c>
      <c r="L27" t="s">
        <v>8423</v>
      </c>
      <c r="M27" t="s">
        <v>8423</v>
      </c>
    </row>
    <row r="28" spans="8:13" x14ac:dyDescent="0.25">
      <c r="H28" t="s">
        <v>8474</v>
      </c>
      <c r="I28" t="s">
        <v>8389</v>
      </c>
      <c r="J28">
        <v>5006</v>
      </c>
      <c r="K28">
        <v>770114</v>
      </c>
      <c r="L28" t="s">
        <v>8424</v>
      </c>
      <c r="M28" t="s">
        <v>8424</v>
      </c>
    </row>
    <row r="29" spans="8:13" x14ac:dyDescent="0.25">
      <c r="H29" t="s">
        <v>8473</v>
      </c>
      <c r="I29" t="s">
        <v>8390</v>
      </c>
      <c r="J29">
        <v>5007</v>
      </c>
      <c r="K29">
        <v>770104</v>
      </c>
      <c r="L29" t="s">
        <v>8425</v>
      </c>
      <c r="M29" t="s">
        <v>8425</v>
      </c>
    </row>
    <row r="30" spans="8:13" x14ac:dyDescent="0.25">
      <c r="H30" t="s">
        <v>8472</v>
      </c>
      <c r="I30" t="s">
        <v>8391</v>
      </c>
      <c r="J30">
        <v>6001</v>
      </c>
      <c r="K30">
        <v>770092</v>
      </c>
      <c r="L30" t="s">
        <v>8426</v>
      </c>
      <c r="M30" t="s">
        <v>8426</v>
      </c>
    </row>
    <row r="31" spans="8:13" x14ac:dyDescent="0.25">
      <c r="H31" t="s">
        <v>8471</v>
      </c>
      <c r="I31" t="s">
        <v>8392</v>
      </c>
      <c r="J31">
        <v>6002</v>
      </c>
      <c r="K31">
        <v>770093</v>
      </c>
      <c r="L31" t="s">
        <v>8453</v>
      </c>
      <c r="M31" t="s">
        <v>8393</v>
      </c>
    </row>
    <row r="32" spans="8:13" x14ac:dyDescent="0.25">
      <c r="H32" t="s">
        <v>8470</v>
      </c>
      <c r="I32" t="s">
        <v>8394</v>
      </c>
      <c r="J32">
        <v>6003</v>
      </c>
      <c r="K32">
        <v>770026</v>
      </c>
      <c r="L32" t="s">
        <v>8454</v>
      </c>
      <c r="M32" t="s">
        <v>8395</v>
      </c>
    </row>
    <row r="33" spans="8:13" x14ac:dyDescent="0.25">
      <c r="H33" t="s">
        <v>8469</v>
      </c>
      <c r="I33" t="s">
        <v>8396</v>
      </c>
      <c r="J33">
        <v>6004</v>
      </c>
      <c r="K33">
        <v>770028</v>
      </c>
      <c r="L33" t="s">
        <v>8427</v>
      </c>
      <c r="M33" t="s">
        <v>8427</v>
      </c>
    </row>
    <row r="34" spans="8:13" x14ac:dyDescent="0.25">
      <c r="H34" t="s">
        <v>8468</v>
      </c>
      <c r="I34" t="s">
        <v>8397</v>
      </c>
      <c r="J34">
        <v>6005</v>
      </c>
      <c r="K34">
        <v>220182</v>
      </c>
      <c r="L34" t="s">
        <v>8428</v>
      </c>
      <c r="M34" t="s">
        <v>8428</v>
      </c>
    </row>
    <row r="35" spans="8:13" x14ac:dyDescent="0.25">
      <c r="H35" t="s">
        <v>8467</v>
      </c>
      <c r="I35" t="s">
        <v>8398</v>
      </c>
      <c r="J35">
        <v>6006</v>
      </c>
      <c r="K35">
        <v>770030</v>
      </c>
      <c r="L35" t="s">
        <v>8429</v>
      </c>
      <c r="M35" t="s">
        <v>8429</v>
      </c>
    </row>
    <row r="36" spans="8:13" x14ac:dyDescent="0.25">
      <c r="H36" t="s">
        <v>8466</v>
      </c>
      <c r="I36" t="s">
        <v>8399</v>
      </c>
      <c r="J36">
        <v>6007</v>
      </c>
      <c r="K36">
        <v>770032</v>
      </c>
      <c r="L36" t="s">
        <v>8430</v>
      </c>
      <c r="M36" t="s">
        <v>8430</v>
      </c>
    </row>
    <row r="37" spans="8:13" x14ac:dyDescent="0.25">
      <c r="H37" t="s">
        <v>8465</v>
      </c>
      <c r="I37" t="s">
        <v>8400</v>
      </c>
      <c r="J37">
        <v>6008</v>
      </c>
      <c r="K37">
        <v>770034</v>
      </c>
      <c r="L37" t="s">
        <v>8431</v>
      </c>
      <c r="M37" t="s">
        <v>8431</v>
      </c>
    </row>
    <row r="38" spans="8:13" x14ac:dyDescent="0.25">
      <c r="H38" t="s">
        <v>8464</v>
      </c>
      <c r="I38" t="s">
        <v>8401</v>
      </c>
      <c r="J38">
        <v>6009</v>
      </c>
      <c r="K38">
        <v>770100</v>
      </c>
      <c r="L38" t="s">
        <v>8432</v>
      </c>
      <c r="M38" t="s">
        <v>8432</v>
      </c>
    </row>
    <row r="39" spans="8:13" x14ac:dyDescent="0.25">
      <c r="H39" t="s">
        <v>8463</v>
      </c>
      <c r="I39" t="s">
        <v>8402</v>
      </c>
      <c r="J39">
        <v>7001</v>
      </c>
      <c r="K39">
        <v>770046</v>
      </c>
      <c r="L39" t="s">
        <v>8455</v>
      </c>
      <c r="M39" t="s">
        <v>8403</v>
      </c>
    </row>
    <row r="40" spans="8:13" x14ac:dyDescent="0.25">
      <c r="H40" t="s">
        <v>8462</v>
      </c>
      <c r="I40" t="s">
        <v>8404</v>
      </c>
      <c r="J40">
        <v>7002</v>
      </c>
      <c r="K40">
        <v>770045</v>
      </c>
      <c r="L40" t="s">
        <v>8456</v>
      </c>
      <c r="M40" t="s">
        <v>8405</v>
      </c>
    </row>
    <row r="41" spans="8:13" x14ac:dyDescent="0.25">
      <c r="H41" t="s">
        <v>8461</v>
      </c>
      <c r="I41" t="s">
        <v>8406</v>
      </c>
      <c r="J41">
        <v>7003</v>
      </c>
      <c r="K41">
        <v>770047</v>
      </c>
      <c r="L41" t="s">
        <v>8457</v>
      </c>
      <c r="M41" t="s">
        <v>8407</v>
      </c>
    </row>
    <row r="42" spans="8:13" x14ac:dyDescent="0.25">
      <c r="H42" t="s">
        <v>8460</v>
      </c>
      <c r="I42" t="s">
        <v>8408</v>
      </c>
      <c r="J42">
        <v>7004</v>
      </c>
      <c r="K42">
        <v>770082</v>
      </c>
      <c r="L42" t="s">
        <v>8433</v>
      </c>
      <c r="M42" t="s">
        <v>8433</v>
      </c>
    </row>
    <row r="43" spans="8:13" x14ac:dyDescent="0.25">
      <c r="H43" t="s">
        <v>8459</v>
      </c>
      <c r="I43" t="s">
        <v>8409</v>
      </c>
      <c r="J43">
        <v>7005</v>
      </c>
      <c r="K43">
        <v>770081</v>
      </c>
      <c r="L43" t="s">
        <v>8434</v>
      </c>
      <c r="M43" t="s">
        <v>8434</v>
      </c>
    </row>
    <row r="44" spans="8:13" x14ac:dyDescent="0.25">
      <c r="H44" t="s">
        <v>8458</v>
      </c>
      <c r="I44" t="s">
        <v>8410</v>
      </c>
      <c r="J44">
        <v>7006</v>
      </c>
      <c r="K44">
        <v>770084</v>
      </c>
      <c r="L44" t="s">
        <v>8435</v>
      </c>
      <c r="M44" t="s">
        <v>8435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8546</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8547</v>
      </c>
      <c r="X1" s="91" t="s">
        <v>8548</v>
      </c>
      <c r="Y1" s="91" t="s">
        <v>8549</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8550</v>
      </c>
      <c r="D1" s="91" t="s">
        <v>8551</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8270</v>
      </c>
      <c r="D1" s="40" t="s">
        <v>8177</v>
      </c>
      <c r="E1" s="40" t="s">
        <v>8271</v>
      </c>
      <c r="F1" s="40" t="s">
        <v>54</v>
      </c>
      <c r="G1" s="40" t="s">
        <v>44</v>
      </c>
      <c r="H1" s="40" t="s">
        <v>8272</v>
      </c>
      <c r="I1" s="40" t="s">
        <v>8273</v>
      </c>
      <c r="J1" s="40" t="s">
        <v>8274</v>
      </c>
      <c r="K1" s="40" t="s">
        <v>8275</v>
      </c>
      <c r="L1" s="40" t="s">
        <v>8276</v>
      </c>
      <c r="M1" s="40" t="s">
        <v>8277</v>
      </c>
      <c r="N1" s="40" t="s">
        <v>8187</v>
      </c>
      <c r="O1" s="40" t="s">
        <v>8188</v>
      </c>
      <c r="P1" s="40" t="s">
        <v>8189</v>
      </c>
      <c r="Q1" s="40" t="s">
        <v>7738</v>
      </c>
      <c r="R1" s="40" t="s">
        <v>878</v>
      </c>
      <c r="S1" s="40" t="s">
        <v>38</v>
      </c>
      <c r="T1" s="40" t="s">
        <v>278</v>
      </c>
      <c r="U1" s="40" t="s">
        <v>39</v>
      </c>
      <c r="V1" s="40" t="s">
        <v>8278</v>
      </c>
      <c r="W1" s="40" t="s">
        <v>8279</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8736</v>
      </c>
      <c r="B8" s="1">
        <f>IF(DayNight="Day",2,2)</f>
        <v>2</v>
      </c>
      <c r="C8" t="str">
        <f>'Misc Inputs'!$C$37</f>
        <v>"ally_instance_info": "[]",</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8737</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8737</v>
      </c>
      <c r="E12" s="1" t="str">
        <f>IF(DayNight&lt;&gt;"Day","",_xlfn.IFNA(MATCH(A12,Main!$I$125:$I$127,0),""))</f>
        <v/>
      </c>
    </row>
    <row r="13" spans="1:6" x14ac:dyDescent="0.25">
      <c r="A13" s="1">
        <f t="shared" ref="A13" si="5">A4</f>
        <v>102</v>
      </c>
      <c r="B13" s="1">
        <f t="shared" si="3"/>
        <v>64</v>
      </c>
      <c r="C13" s="9" t="str">
        <f t="shared" si="4"/>
        <v>"ally_instance_ids": [],</v>
      </c>
      <c r="D13" s="1" t="s">
        <v>8737</v>
      </c>
      <c r="E13" s="1" t="str">
        <f>IF(DayNight&lt;&gt;"Day","",_xlfn.IFNA(MATCH(A13,Main!$I$125:$I$127,0),""))</f>
        <v/>
      </c>
    </row>
    <row r="14" spans="1:6" x14ac:dyDescent="0.25">
      <c r="A14" s="1">
        <f t="shared" ref="A14" si="6">A5</f>
        <v>104</v>
      </c>
      <c r="B14" s="1">
        <f t="shared" si="3"/>
        <v>112</v>
      </c>
      <c r="C14" s="9" t="str">
        <f t="shared" si="4"/>
        <v>"ally_instance_ids": [],</v>
      </c>
      <c r="D14" s="1" t="s">
        <v>8737</v>
      </c>
      <c r="E14" s="1" t="str">
        <f>IF(DayNight&lt;&gt;"Day","",_xlfn.IFNA(MATCH(A14,Main!$I$125:$I$127,0),""))</f>
        <v/>
      </c>
    </row>
    <row r="15" spans="1:6" x14ac:dyDescent="0.25">
      <c r="A15" s="1">
        <f t="shared" ref="A15" si="7">A6</f>
        <v>105</v>
      </c>
      <c r="B15" s="1">
        <f t="shared" si="3"/>
        <v>136</v>
      </c>
      <c r="C15" s="9" t="str">
        <f t="shared" si="4"/>
        <v>"ally_instance_ids": [],</v>
      </c>
      <c r="D15" s="1" t="s">
        <v>8737</v>
      </c>
      <c r="E15" s="1" t="str">
        <f>IF(DayNight&lt;&gt;"Day","",_xlfn.IFNA(MATCH(A15,Main!$I$125:$I$127,0),""))</f>
        <v/>
      </c>
    </row>
    <row r="16" spans="1:6" x14ac:dyDescent="0.25">
      <c r="A16" s="1">
        <f t="shared" ref="A16" si="8">A7</f>
        <v>106</v>
      </c>
      <c r="B16" s="1">
        <f t="shared" si="3"/>
        <v>160</v>
      </c>
      <c r="C16" s="9" t="str">
        <f t="shared" si="4"/>
        <v>"ally_instance_ids": [],</v>
      </c>
      <c r="D16" s="1" t="s">
        <v>8737</v>
      </c>
      <c r="E16" s="1" t="str">
        <f>IF(DayNight&lt;&gt;"Day","",_xlfn.IFNA(MATCH(A16,Main!$I$125:$I$127,0),""))</f>
        <v/>
      </c>
    </row>
    <row r="17" spans="1:5" x14ac:dyDescent="0.25">
      <c r="A17" s="1">
        <f t="shared" ref="A17" si="9">A8</f>
        <v>107</v>
      </c>
      <c r="B17" s="1">
        <f t="shared" si="3"/>
        <v>184</v>
      </c>
      <c r="C17" s="9" t="str">
        <f t="shared" si="4"/>
        <v>"ally_instance_ids": [],</v>
      </c>
      <c r="D17" s="1" t="s">
        <v>8737</v>
      </c>
      <c r="E17" s="1" t="str">
        <f>IF(DayNight&lt;&gt;"Day","",_xlfn.IFNA(MATCH(A17,Main!$I$125:$I$127,0),""))</f>
        <v/>
      </c>
    </row>
    <row r="18" spans="1:5" x14ac:dyDescent="0.25">
      <c r="A18" s="1">
        <f t="shared" ref="A18" si="10">A9</f>
        <v>99</v>
      </c>
      <c r="B18" s="1">
        <f t="shared" si="3"/>
        <v>203</v>
      </c>
      <c r="C18" s="9" t="str">
        <f t="shared" si="4"/>
        <v>"ally_instance_ids": [],</v>
      </c>
      <c r="D18" s="1" t="s">
        <v>8737</v>
      </c>
      <c r="E18" s="1" t="str">
        <f>IF(DayNight&lt;&gt;"Day","",_xlfn.IFNA(MATCH(A18,Main!$I$125:$I$127,0),""))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8737</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8737</v>
      </c>
      <c r="E34" s="1" t="str">
        <f>IF(DayNight&lt;&gt;"Night","",_xlfn.IFNA(MATCH(A34,Main!$I$125:$I$127,0),""))</f>
        <v/>
      </c>
    </row>
    <row r="35" spans="1:5" x14ac:dyDescent="0.25">
      <c r="A35" s="1">
        <f t="shared" ref="A35" si="4">A4</f>
        <v>7119</v>
      </c>
      <c r="B35" s="1">
        <f t="shared" si="2"/>
        <v>64</v>
      </c>
      <c r="C35" s="9" t="str">
        <f t="shared" si="3"/>
        <v>"ally_instance_ids": [],</v>
      </c>
      <c r="D35" s="1" t="s">
        <v>8737</v>
      </c>
      <c r="E35" s="1" t="str">
        <f>IF(DayNight&lt;&gt;"Night","",_xlfn.IFNA(MATCH(A35,Main!$I$125:$I$127,0),""))</f>
        <v/>
      </c>
    </row>
    <row r="36" spans="1:5" x14ac:dyDescent="0.25">
      <c r="A36" s="1">
        <f t="shared" ref="A36" si="5">A5</f>
        <v>7120</v>
      </c>
      <c r="B36" s="1">
        <f t="shared" si="2"/>
        <v>88</v>
      </c>
      <c r="C36" s="9" t="str">
        <f t="shared" si="3"/>
        <v>"ally_instance_ids": [],</v>
      </c>
      <c r="D36" s="1" t="s">
        <v>8737</v>
      </c>
      <c r="E36" s="1" t="str">
        <f>IF(DayNight&lt;&gt;"Night","",_xlfn.IFNA(MATCH(A36,Main!$I$125:$I$127,0),""))</f>
        <v/>
      </c>
    </row>
    <row r="37" spans="1:5" x14ac:dyDescent="0.25">
      <c r="A37" s="1">
        <f t="shared" ref="A37" si="6">A6</f>
        <v>7121</v>
      </c>
      <c r="B37" s="1">
        <f t="shared" si="2"/>
        <v>112</v>
      </c>
      <c r="C37" s="9" t="str">
        <f t="shared" si="3"/>
        <v>"ally_instance_ids": [],</v>
      </c>
      <c r="D37" s="1" t="s">
        <v>8737</v>
      </c>
      <c r="E37" s="1" t="str">
        <f>IF(DayNight&lt;&gt;"Night","",_xlfn.IFNA(MATCH(A37,Main!$I$125:$I$127,0),""))</f>
        <v/>
      </c>
    </row>
    <row r="38" spans="1:5" x14ac:dyDescent="0.25">
      <c r="A38" s="1">
        <f t="shared" ref="A38" si="7">A7</f>
        <v>7122</v>
      </c>
      <c r="B38" s="1">
        <f t="shared" si="2"/>
        <v>136</v>
      </c>
      <c r="C38" s="9" t="str">
        <f t="shared" si="3"/>
        <v>"ally_instance_ids": [],</v>
      </c>
      <c r="D38" s="1" t="s">
        <v>8737</v>
      </c>
      <c r="E38" s="1" t="str">
        <f>IF(DayNight&lt;&gt;"Night","",_xlfn.IFNA(MATCH(A38,Main!$I$125:$I$127,0),""))</f>
        <v/>
      </c>
    </row>
    <row r="39" spans="1:5" x14ac:dyDescent="0.25">
      <c r="A39" s="1">
        <f t="shared" ref="A39" si="8">A8</f>
        <v>7123</v>
      </c>
      <c r="B39" s="1">
        <f t="shared" si="2"/>
        <v>160</v>
      </c>
      <c r="C39" s="9" t="str">
        <f t="shared" si="3"/>
        <v>"ally_instance_ids": [],</v>
      </c>
      <c r="D39" s="1" t="s">
        <v>8737</v>
      </c>
      <c r="E39" s="1" t="str">
        <f>IF(DayNight&lt;&gt;"Night","",_xlfn.IFNA(MATCH(A39,Main!$I$125:$I$127,0),""))</f>
        <v/>
      </c>
    </row>
    <row r="40" spans="1:5" x14ac:dyDescent="0.25">
      <c r="A40" s="1">
        <f t="shared" ref="A40" si="9">A9</f>
        <v>7124</v>
      </c>
      <c r="B40" s="1">
        <f t="shared" si="2"/>
        <v>184</v>
      </c>
      <c r="C40" s="9" t="str">
        <f t="shared" si="3"/>
        <v>"ally_instance_ids": [],</v>
      </c>
      <c r="D40" s="1" t="s">
        <v>8737</v>
      </c>
      <c r="E40" s="1" t="str">
        <f>IF(DayNight&lt;&gt;"Night","",_xlfn.IFNA(MATCH(A40,Main!$I$125:$I$127,0),""))</f>
        <v/>
      </c>
    </row>
    <row r="41" spans="1:5" x14ac:dyDescent="0.25">
      <c r="A41" s="1">
        <f t="shared" ref="A41" si="10">A10</f>
        <v>7126</v>
      </c>
      <c r="B41" s="1">
        <f t="shared" si="2"/>
        <v>208</v>
      </c>
      <c r="C41" s="9" t="str">
        <f t="shared" si="3"/>
        <v>"ally_instance_ids": [],</v>
      </c>
      <c r="D41" s="1" t="s">
        <v>8737</v>
      </c>
      <c r="E41" s="1" t="str">
        <f>IF(DayNight&lt;&gt;"Night","",_xlfn.IFNA(MATCH(A41,Main!$I$125:$I$127,0),""))</f>
        <v/>
      </c>
    </row>
    <row r="42" spans="1:5" x14ac:dyDescent="0.25">
      <c r="A42" s="1">
        <f t="shared" ref="A42" si="11">A11</f>
        <v>7127</v>
      </c>
      <c r="B42" s="1">
        <f t="shared" si="2"/>
        <v>232</v>
      </c>
      <c r="C42" s="9" t="str">
        <f t="shared" si="3"/>
        <v>"ally_instance_ids": [],</v>
      </c>
      <c r="D42" s="1" t="s">
        <v>8737</v>
      </c>
      <c r="E42" s="1" t="str">
        <f>IF(DayNight&lt;&gt;"Night","",_xlfn.IFNA(MATCH(A42,Main!$I$125:$I$127,0),""))</f>
        <v/>
      </c>
    </row>
    <row r="43" spans="1:5" x14ac:dyDescent="0.25">
      <c r="A43" s="1">
        <f t="shared" ref="A43" si="12">A12</f>
        <v>7128</v>
      </c>
      <c r="B43" s="1">
        <f t="shared" si="2"/>
        <v>256</v>
      </c>
      <c r="C43" s="9" t="str">
        <f t="shared" si="3"/>
        <v>"ally_instance_ids": [],</v>
      </c>
      <c r="D43" s="1" t="s">
        <v>8737</v>
      </c>
      <c r="E43" s="1" t="str">
        <f>IF(DayNight&lt;&gt;"Night","",_xlfn.IFNA(MATCH(A43,Main!$I$125:$I$127,0),""))</f>
        <v/>
      </c>
    </row>
    <row r="44" spans="1:5" x14ac:dyDescent="0.25">
      <c r="A44" s="1">
        <f t="shared" ref="A44" si="13">A13</f>
        <v>7129</v>
      </c>
      <c r="B44" s="1">
        <f t="shared" si="2"/>
        <v>280</v>
      </c>
      <c r="C44" s="9" t="str">
        <f t="shared" si="3"/>
        <v>"ally_instance_ids": [],</v>
      </c>
      <c r="D44" s="1" t="s">
        <v>8737</v>
      </c>
      <c r="E44" s="1" t="str">
        <f>IF(DayNight&lt;&gt;"Night","",_xlfn.IFNA(MATCH(A44,Main!$I$125:$I$127,0),""))</f>
        <v/>
      </c>
    </row>
    <row r="45" spans="1:5" x14ac:dyDescent="0.25">
      <c r="A45" s="1">
        <f t="shared" ref="A45" si="14">A14</f>
        <v>7130</v>
      </c>
      <c r="B45" s="1">
        <f t="shared" si="2"/>
        <v>304</v>
      </c>
      <c r="C45" s="9" t="str">
        <f t="shared" si="3"/>
        <v>"ally_instance_ids": [],</v>
      </c>
      <c r="D45" s="1" t="s">
        <v>8737</v>
      </c>
      <c r="E45" s="1" t="str">
        <f>IF(DayNight&lt;&gt;"Night","",_xlfn.IFNA(MATCH(A45,Main!$I$125:$I$127,0),""))</f>
        <v/>
      </c>
    </row>
    <row r="46" spans="1:5" x14ac:dyDescent="0.25">
      <c r="A46" s="1">
        <f t="shared" ref="A46" si="15">A15</f>
        <v>7131</v>
      </c>
      <c r="B46" s="1">
        <f t="shared" si="2"/>
        <v>328</v>
      </c>
      <c r="C46" s="9" t="str">
        <f t="shared" si="3"/>
        <v>"ally_instance_ids": [],</v>
      </c>
      <c r="D46" s="1" t="s">
        <v>8737</v>
      </c>
      <c r="E46" s="1" t="str">
        <f>IF(DayNight&lt;&gt;"Night","",_xlfn.IFNA(MATCH(A46,Main!$I$125:$I$127,0),""))</f>
        <v/>
      </c>
    </row>
    <row r="47" spans="1:5" x14ac:dyDescent="0.25">
      <c r="A47" s="1">
        <f t="shared" ref="A47" si="16">A16</f>
        <v>7132</v>
      </c>
      <c r="B47" s="1">
        <f t="shared" si="2"/>
        <v>352</v>
      </c>
      <c r="C47" s="9" t="str">
        <f t="shared" si="3"/>
        <v>"ally_instance_ids": [],</v>
      </c>
      <c r="D47" s="1" t="s">
        <v>8737</v>
      </c>
      <c r="E47" s="1" t="str">
        <f>IF(DayNight&lt;&gt;"Night","",_xlfn.IFNA(MATCH(A47,Main!$I$125:$I$127,0),""))</f>
        <v/>
      </c>
    </row>
    <row r="48" spans="1:5" x14ac:dyDescent="0.25">
      <c r="A48" s="1">
        <f t="shared" ref="A48" si="17">A17</f>
        <v>7133</v>
      </c>
      <c r="B48" s="1">
        <f t="shared" si="2"/>
        <v>376</v>
      </c>
      <c r="C48" s="9" t="str">
        <f t="shared" si="3"/>
        <v>"ally_instance_ids": [],</v>
      </c>
      <c r="D48" s="1" t="s">
        <v>8737</v>
      </c>
      <c r="E48" s="1" t="str">
        <f>IF(DayNight&lt;&gt;"Night","",_xlfn.IFNA(MATCH(A48,Main!$I$125:$I$127,0),""))</f>
        <v/>
      </c>
    </row>
    <row r="49" spans="1:5" x14ac:dyDescent="0.25">
      <c r="A49" s="1">
        <f t="shared" ref="A49" si="18">A18</f>
        <v>7134</v>
      </c>
      <c r="B49" s="1">
        <f t="shared" si="2"/>
        <v>400</v>
      </c>
      <c r="C49" s="9" t="str">
        <f t="shared" si="3"/>
        <v>"ally_instance_ids": [],</v>
      </c>
      <c r="D49" s="1" t="s">
        <v>8737</v>
      </c>
      <c r="E49" s="1" t="str">
        <f>IF(DayNight&lt;&gt;"Night","",_xlfn.IFNA(MATCH(A49,Main!$I$125:$I$127,0),""))</f>
        <v/>
      </c>
    </row>
    <row r="50" spans="1:5" x14ac:dyDescent="0.25">
      <c r="A50" s="1">
        <f t="shared" ref="A50" si="19">A19</f>
        <v>7135</v>
      </c>
      <c r="B50" s="1">
        <f t="shared" si="2"/>
        <v>424</v>
      </c>
      <c r="C50" s="9" t="str">
        <f t="shared" si="3"/>
        <v>"ally_instance_ids": [],</v>
      </c>
      <c r="D50" s="1" t="s">
        <v>8737</v>
      </c>
      <c r="E50" s="1" t="str">
        <f>IF(DayNight&lt;&gt;"Night","",_xlfn.IFNA(MATCH(A50,Main!$I$125:$I$127,0),""))</f>
        <v/>
      </c>
    </row>
    <row r="51" spans="1:5" x14ac:dyDescent="0.25">
      <c r="A51" s="1">
        <f t="shared" ref="A51" si="20">A20</f>
        <v>7136</v>
      </c>
      <c r="B51" s="1">
        <f t="shared" si="2"/>
        <v>448</v>
      </c>
      <c r="C51" s="9" t="str">
        <f t="shared" si="3"/>
        <v>"ally_instance_ids": [],</v>
      </c>
      <c r="D51" s="1" t="s">
        <v>8737</v>
      </c>
      <c r="E51" s="1" t="str">
        <f>IF(DayNight&lt;&gt;"Night","",_xlfn.IFNA(MATCH(A51,Main!$I$125:$I$127,0),""))</f>
        <v/>
      </c>
    </row>
    <row r="52" spans="1:5" x14ac:dyDescent="0.25">
      <c r="A52" s="1">
        <f t="shared" ref="A52" si="21">A21</f>
        <v>7137</v>
      </c>
      <c r="B52" s="1">
        <f t="shared" si="2"/>
        <v>472</v>
      </c>
      <c r="C52" s="9" t="str">
        <f t="shared" si="3"/>
        <v>"ally_instance_ids": [],</v>
      </c>
      <c r="D52" s="1" t="s">
        <v>8737</v>
      </c>
      <c r="E52" s="1" t="str">
        <f>IF(DayNight&lt;&gt;"Night","",_xlfn.IFNA(MATCH(A52,Main!$I$125:$I$127,0),""))</f>
        <v/>
      </c>
    </row>
    <row r="53" spans="1:5" x14ac:dyDescent="0.25">
      <c r="A53" s="1">
        <f t="shared" ref="A53" si="22">A22</f>
        <v>7138</v>
      </c>
      <c r="B53" s="1">
        <f t="shared" si="2"/>
        <v>496</v>
      </c>
      <c r="C53" s="9" t="str">
        <f t="shared" si="3"/>
        <v>"ally_instance_ids": [],</v>
      </c>
      <c r="D53" s="1" t="s">
        <v>8737</v>
      </c>
      <c r="E53" s="1" t="str">
        <f>IF(DayNight&lt;&gt;"Night","",_xlfn.IFNA(MATCH(A53,Main!$I$125:$I$127,0),""))</f>
        <v/>
      </c>
    </row>
    <row r="54" spans="1:5" x14ac:dyDescent="0.25">
      <c r="A54" s="1">
        <f t="shared" ref="A54" si="23">A23</f>
        <v>7139</v>
      </c>
      <c r="B54" s="1">
        <f t="shared" si="2"/>
        <v>520</v>
      </c>
      <c r="C54" s="9" t="str">
        <f t="shared" si="3"/>
        <v>"ally_instance_ids": [],</v>
      </c>
      <c r="D54" s="1" t="s">
        <v>8737</v>
      </c>
      <c r="E54" s="1" t="str">
        <f>IF(DayNight&lt;&gt;"Night","",_xlfn.IFNA(MATCH(A54,Main!$I$125:$I$127,0),""))</f>
        <v/>
      </c>
    </row>
    <row r="55" spans="1:5" x14ac:dyDescent="0.25">
      <c r="A55" s="1">
        <f t="shared" ref="A55" si="24">A24</f>
        <v>7140</v>
      </c>
      <c r="B55" s="1">
        <f t="shared" si="2"/>
        <v>544</v>
      </c>
      <c r="C55" s="9" t="str">
        <f t="shared" si="3"/>
        <v>"ally_instance_ids": [],</v>
      </c>
      <c r="D55" s="1" t="s">
        <v>8737</v>
      </c>
      <c r="E55" s="1" t="str">
        <f>IF(DayNight&lt;&gt;"Night","",_xlfn.IFNA(MATCH(A55,Main!$I$125:$I$127,0),""))</f>
        <v/>
      </c>
    </row>
    <row r="56" spans="1:5" x14ac:dyDescent="0.25">
      <c r="A56" s="1">
        <f t="shared" ref="A56" si="25">A25</f>
        <v>7141</v>
      </c>
      <c r="B56" s="1">
        <f t="shared" si="2"/>
        <v>568</v>
      </c>
      <c r="C56" s="9" t="str">
        <f t="shared" si="3"/>
        <v>"ally_instance_ids": [],</v>
      </c>
      <c r="D56" s="1" t="s">
        <v>8737</v>
      </c>
      <c r="E56" s="1" t="str">
        <f>IF(DayNight&lt;&gt;"Night","",_xlfn.IFNA(MATCH(A56,Main!$I$125:$I$127,0),""))</f>
        <v/>
      </c>
    </row>
    <row r="57" spans="1:5" x14ac:dyDescent="0.25">
      <c r="A57" s="1">
        <f t="shared" ref="A57" si="26">A26</f>
        <v>7142</v>
      </c>
      <c r="B57" s="1">
        <f t="shared" si="2"/>
        <v>592</v>
      </c>
      <c r="C57" s="9" t="str">
        <f t="shared" si="3"/>
        <v>"ally_instance_ids": [],</v>
      </c>
      <c r="D57" s="1" t="s">
        <v>8737</v>
      </c>
      <c r="E57" s="1" t="str">
        <f>IF(DayNight&lt;&gt;"Night","",_xlfn.IFNA(MATCH(A57,Main!$I$125:$I$127,0),""))</f>
        <v/>
      </c>
    </row>
    <row r="58" spans="1:5" x14ac:dyDescent="0.25">
      <c r="A58" s="1">
        <f t="shared" ref="A58" si="27">A27</f>
        <v>7143</v>
      </c>
      <c r="B58" s="1">
        <f t="shared" si="2"/>
        <v>616</v>
      </c>
      <c r="C58" s="9" t="str">
        <f t="shared" si="3"/>
        <v>"ally_instance_ids": [],</v>
      </c>
      <c r="D58" s="1" t="s">
        <v>8737</v>
      </c>
      <c r="E58" s="1" t="str">
        <f>IF(DayNight&lt;&gt;"Night","",_xlfn.IFNA(MATCH(A58,Main!$I$125:$I$127,0),""))</f>
        <v/>
      </c>
    </row>
    <row r="59" spans="1:5" x14ac:dyDescent="0.25">
      <c r="A59" s="1">
        <f t="shared" ref="A59" si="28">A28</f>
        <v>7144</v>
      </c>
      <c r="B59" s="1">
        <f t="shared" si="2"/>
        <v>640</v>
      </c>
      <c r="C59" s="9" t="str">
        <f t="shared" si="3"/>
        <v>"ally_instance_ids": [],</v>
      </c>
      <c r="D59" s="1" t="s">
        <v>8737</v>
      </c>
      <c r="E59" s="1" t="str">
        <f>IF(DayNight&lt;&gt;"Night","",_xlfn.IFNA(MATCH(A59,Main!$I$125:$I$127,0),""))</f>
        <v/>
      </c>
    </row>
    <row r="60" spans="1:5" x14ac:dyDescent="0.25">
      <c r="A60" s="1">
        <f t="shared" ref="A60" si="29">A29</f>
        <v>7145</v>
      </c>
      <c r="B60" s="1">
        <f t="shared" si="2"/>
        <v>664</v>
      </c>
      <c r="C60" s="9" t="str">
        <f t="shared" si="3"/>
        <v>"ally_instance_ids": [],</v>
      </c>
      <c r="D60" s="1" t="s">
        <v>8737</v>
      </c>
      <c r="E60" s="1" t="str">
        <f>IF(DayNight&lt;&gt;"Night","",_xlfn.IFNA(MATCH(A60,Main!$I$125:$I$127,0),""))</f>
        <v/>
      </c>
    </row>
    <row r="61" spans="1:5" x14ac:dyDescent="0.25">
      <c r="A61" s="1">
        <f t="shared" ref="A61" si="30">A30</f>
        <v>7146</v>
      </c>
      <c r="B61" s="1">
        <f t="shared" si="2"/>
        <v>688</v>
      </c>
      <c r="C61" s="9" t="str">
        <f t="shared" si="3"/>
        <v>"ally_instance_ids": [],</v>
      </c>
      <c r="D61" s="1" t="s">
        <v>8737</v>
      </c>
      <c r="E61" s="1" t="str">
        <f>IF(DayNight&lt;&gt;"Night","",_xlfn.IFNA(MATCH(A61,Main!$I$125:$I$127,0),""))</f>
        <v/>
      </c>
    </row>
    <row r="62" spans="1:5" x14ac:dyDescent="0.25">
      <c r="A62" s="1">
        <f t="shared" ref="A62" si="31">A31</f>
        <v>7125</v>
      </c>
      <c r="B62" s="1">
        <f t="shared" si="2"/>
        <v>712</v>
      </c>
      <c r="C62" s="9" t="str">
        <f t="shared" si="3"/>
        <v>"ally_instance_ids": [],</v>
      </c>
      <c r="D62" s="1" t="s">
        <v>8737</v>
      </c>
      <c r="E62" s="1" t="str">
        <f>IF(DayNight&lt;&gt;"Night","",_xlfn.IFNA(MATCH(A62,Main!$I$125:$I$127,0),""))</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8286</v>
      </c>
      <c r="B2" s="1">
        <v>10</v>
      </c>
      <c r="C2" s="9" t="str">
        <f>CHAR(34)&amp;A2&amp;CHAR(34)&amp;": "&amp;CHAR(34)&amp;IF(DayNight="Day",107,7173)&amp;CHAR(34)&amp;","</f>
        <v>"from_spot_id": "107",</v>
      </c>
    </row>
    <row r="3" spans="1:3" x14ac:dyDescent="0.25">
      <c r="A3" t="s">
        <v>8287</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8509</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95"/>
  <sheetViews>
    <sheetView topLeftCell="AA1" workbookViewId="0">
      <pane ySplit="1" topLeftCell="A374" activePane="bottomLeft" state="frozen"/>
      <selection activeCell="L2" sqref="L2"/>
      <selection pane="bottomLeft" activeCell="L2" sqref="L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8289</v>
      </c>
      <c r="C364" t="s">
        <v>8290</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8340</v>
      </c>
      <c r="AH364" s="1">
        <v>3360</v>
      </c>
      <c r="AI364" t="s">
        <v>1844</v>
      </c>
      <c r="AJ364">
        <v>0</v>
      </c>
      <c r="AK364" s="1" t="s">
        <v>8291</v>
      </c>
      <c r="AL364" s="1" t="s">
        <v>8292</v>
      </c>
      <c r="AM364" s="1">
        <v>0.55000000000000004</v>
      </c>
      <c r="AN364" s="1">
        <v>0.16</v>
      </c>
      <c r="AO364" s="1">
        <v>0.6</v>
      </c>
      <c r="AP364" s="1">
        <v>0.16</v>
      </c>
      <c r="AQ364" s="1">
        <v>3</v>
      </c>
      <c r="AR364" t="s">
        <v>8293</v>
      </c>
      <c r="AS364">
        <v>0</v>
      </c>
      <c r="AT364" t="s">
        <v>8294</v>
      </c>
      <c r="AU364">
        <v>10</v>
      </c>
      <c r="AV364">
        <v>20070</v>
      </c>
      <c r="AX364">
        <v>0</v>
      </c>
    </row>
    <row r="365" spans="1:50" x14ac:dyDescent="0.25">
      <c r="A365">
        <v>366</v>
      </c>
      <c r="B365" t="s">
        <v>8295</v>
      </c>
      <c r="C365" t="s">
        <v>8296</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8339</v>
      </c>
      <c r="AH365" s="1">
        <v>3300</v>
      </c>
      <c r="AI365" t="s">
        <v>1844</v>
      </c>
      <c r="AJ365">
        <v>0</v>
      </c>
      <c r="AK365" s="1" t="s">
        <v>8297</v>
      </c>
      <c r="AL365" s="1" t="s">
        <v>8298</v>
      </c>
      <c r="AM365" s="1">
        <v>0.08</v>
      </c>
      <c r="AN365" s="1">
        <v>0.5</v>
      </c>
      <c r="AO365" s="1">
        <v>0.3</v>
      </c>
      <c r="AP365" s="1">
        <v>0.3</v>
      </c>
      <c r="AQ365" s="1">
        <v>3</v>
      </c>
      <c r="AR365" t="s">
        <v>8299</v>
      </c>
      <c r="AS365">
        <v>0</v>
      </c>
      <c r="AT365" t="s">
        <v>8300</v>
      </c>
      <c r="AU365">
        <v>10</v>
      </c>
      <c r="AV365">
        <v>19066</v>
      </c>
      <c r="AX365">
        <v>0</v>
      </c>
    </row>
    <row r="366" spans="1:50" x14ac:dyDescent="0.25">
      <c r="A366">
        <v>367</v>
      </c>
      <c r="B366" t="s">
        <v>8502</v>
      </c>
      <c r="C366" t="s">
        <v>8503</v>
      </c>
      <c r="D366">
        <v>5</v>
      </c>
      <c r="E366">
        <v>3</v>
      </c>
      <c r="F366">
        <v>20</v>
      </c>
      <c r="G366" s="1" t="s">
        <v>329</v>
      </c>
      <c r="H366" s="1" t="s">
        <v>332</v>
      </c>
      <c r="I366" s="1" t="s">
        <v>8504</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8505</v>
      </c>
      <c r="AL366" s="1" t="s">
        <v>8506</v>
      </c>
      <c r="AM366" s="1">
        <v>0.3</v>
      </c>
      <c r="AN366" s="1">
        <v>0.25</v>
      </c>
      <c r="AO366" s="1">
        <v>0.12</v>
      </c>
      <c r="AP366" s="1">
        <v>0.38</v>
      </c>
      <c r="AQ366" s="1">
        <v>3</v>
      </c>
      <c r="AR366" t="s">
        <v>8507</v>
      </c>
      <c r="AS366">
        <v>0</v>
      </c>
      <c r="AT366" t="s">
        <v>8508</v>
      </c>
      <c r="AU366">
        <v>10</v>
      </c>
      <c r="AV366">
        <v>20071</v>
      </c>
      <c r="AX366">
        <v>0</v>
      </c>
    </row>
    <row r="367" spans="1:50" x14ac:dyDescent="0.25">
      <c r="A367">
        <v>368</v>
      </c>
      <c r="B367" t="s">
        <v>8521</v>
      </c>
      <c r="C367" t="s">
        <v>8522</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8532</v>
      </c>
      <c r="AH367" s="1">
        <v>3600</v>
      </c>
      <c r="AI367" t="s">
        <v>1844</v>
      </c>
      <c r="AJ367">
        <v>0</v>
      </c>
      <c r="AK367" s="1" t="s">
        <v>8523</v>
      </c>
      <c r="AL367" s="1" t="s">
        <v>8524</v>
      </c>
      <c r="AM367" s="1">
        <v>0.15</v>
      </c>
      <c r="AN367" s="1">
        <v>0.6</v>
      </c>
      <c r="AO367" s="1">
        <v>0.38</v>
      </c>
      <c r="AP367" s="1">
        <v>0.23</v>
      </c>
      <c r="AQ367" s="1">
        <v>3</v>
      </c>
      <c r="AR367" t="s">
        <v>1530</v>
      </c>
      <c r="AS367">
        <v>0</v>
      </c>
      <c r="AT367" t="s">
        <v>8525</v>
      </c>
      <c r="AU367">
        <v>10</v>
      </c>
      <c r="AV367">
        <v>19067</v>
      </c>
      <c r="AX367">
        <v>0</v>
      </c>
    </row>
    <row r="368" spans="1:50" x14ac:dyDescent="0.25">
      <c r="A368">
        <v>369</v>
      </c>
      <c r="B368" t="s">
        <v>8526</v>
      </c>
      <c r="C368" t="s">
        <v>8527</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8531</v>
      </c>
      <c r="AH368" s="1">
        <v>3300</v>
      </c>
      <c r="AI368" t="s">
        <v>1844</v>
      </c>
      <c r="AJ368">
        <v>0</v>
      </c>
      <c r="AK368" s="1" t="s">
        <v>8528</v>
      </c>
      <c r="AL368" s="1" t="s">
        <v>8529</v>
      </c>
      <c r="AM368" s="1">
        <v>0.08</v>
      </c>
      <c r="AN368" s="1">
        <v>0.5</v>
      </c>
      <c r="AO368" s="1">
        <v>0.3</v>
      </c>
      <c r="AP368" s="1">
        <v>0.3</v>
      </c>
      <c r="AQ368" s="1">
        <v>3</v>
      </c>
      <c r="AR368" t="s">
        <v>6948</v>
      </c>
      <c r="AS368">
        <v>0</v>
      </c>
      <c r="AT368" t="s">
        <v>8530</v>
      </c>
      <c r="AU368">
        <v>10</v>
      </c>
      <c r="AV368">
        <v>19068</v>
      </c>
      <c r="AX368">
        <v>0</v>
      </c>
    </row>
    <row r="369" spans="1:50" x14ac:dyDescent="0.25">
      <c r="A369">
        <v>370</v>
      </c>
      <c r="B369" t="s">
        <v>8691</v>
      </c>
      <c r="C369" t="s">
        <v>8692</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8693</v>
      </c>
      <c r="AL369" s="1" t="s">
        <v>8694</v>
      </c>
      <c r="AM369" s="1">
        <v>0.15</v>
      </c>
      <c r="AN369" s="1">
        <v>0.6</v>
      </c>
      <c r="AO369" s="1">
        <v>0.38</v>
      </c>
      <c r="AP369" s="1">
        <v>0.23</v>
      </c>
      <c r="AQ369" s="1">
        <v>3</v>
      </c>
      <c r="AR369" t="s">
        <v>1474</v>
      </c>
      <c r="AS369">
        <v>0</v>
      </c>
      <c r="AT369" t="s">
        <v>8695</v>
      </c>
      <c r="AU369">
        <v>10</v>
      </c>
      <c r="AV369">
        <v>19069</v>
      </c>
      <c r="AX369">
        <v>0</v>
      </c>
    </row>
    <row r="370" spans="1:50" x14ac:dyDescent="0.25">
      <c r="A370">
        <v>371</v>
      </c>
      <c r="B370" t="s">
        <v>8696</v>
      </c>
      <c r="C370" t="s">
        <v>8697</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8707</v>
      </c>
      <c r="AH370" s="1">
        <v>3360</v>
      </c>
      <c r="AI370" t="s">
        <v>1844</v>
      </c>
      <c r="AJ370">
        <v>0</v>
      </c>
      <c r="AK370" s="1" t="s">
        <v>8698</v>
      </c>
      <c r="AL370" s="1" t="s">
        <v>8699</v>
      </c>
      <c r="AM370" s="1">
        <v>0.55000000000000004</v>
      </c>
      <c r="AN370" s="1">
        <v>0.16</v>
      </c>
      <c r="AO370" s="1">
        <v>0.6</v>
      </c>
      <c r="AP370" s="1">
        <v>0.16</v>
      </c>
      <c r="AQ370" s="1">
        <v>3</v>
      </c>
      <c r="AR370" t="s">
        <v>8700</v>
      </c>
      <c r="AS370">
        <v>0</v>
      </c>
      <c r="AT370" t="s">
        <v>8701</v>
      </c>
      <c r="AU370">
        <v>10</v>
      </c>
      <c r="AV370">
        <v>20072</v>
      </c>
      <c r="AX370">
        <v>0</v>
      </c>
    </row>
    <row r="371" spans="1:50" x14ac:dyDescent="0.25">
      <c r="A371">
        <v>372</v>
      </c>
      <c r="B371" t="s">
        <v>8702</v>
      </c>
      <c r="C371" t="s">
        <v>8703</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8708</v>
      </c>
      <c r="AH371" s="1">
        <v>3420</v>
      </c>
      <c r="AI371" t="s">
        <v>1844</v>
      </c>
      <c r="AJ371">
        <v>0</v>
      </c>
      <c r="AK371" s="1" t="s">
        <v>8704</v>
      </c>
      <c r="AL371" s="1" t="s">
        <v>8705</v>
      </c>
      <c r="AM371" s="1">
        <v>0.08</v>
      </c>
      <c r="AN371" s="1">
        <v>0.39</v>
      </c>
      <c r="AO371" s="1">
        <v>0.08</v>
      </c>
      <c r="AP371" s="1">
        <v>0.48</v>
      </c>
      <c r="AQ371" s="1">
        <v>3</v>
      </c>
      <c r="AR371" t="s">
        <v>1471</v>
      </c>
      <c r="AS371">
        <v>0</v>
      </c>
      <c r="AT371" t="s">
        <v>8706</v>
      </c>
      <c r="AU371">
        <v>10</v>
      </c>
      <c r="AV371">
        <v>19070</v>
      </c>
      <c r="AX371">
        <v>0</v>
      </c>
    </row>
    <row r="372" spans="1:50" x14ac:dyDescent="0.25">
      <c r="A372">
        <v>373</v>
      </c>
      <c r="B372" t="s">
        <v>8709</v>
      </c>
      <c r="C372" t="s">
        <v>8710</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8711</v>
      </c>
      <c r="AM372" s="1">
        <v>0.08</v>
      </c>
      <c r="AN372" s="1">
        <v>0.5</v>
      </c>
      <c r="AO372" s="1">
        <v>0.3</v>
      </c>
      <c r="AP372" s="1">
        <v>0.3</v>
      </c>
      <c r="AQ372" s="1">
        <v>3</v>
      </c>
      <c r="AR372" t="s">
        <v>1553</v>
      </c>
      <c r="AS372">
        <v>759303</v>
      </c>
      <c r="AT372" t="s">
        <v>8712</v>
      </c>
      <c r="AU372">
        <v>10</v>
      </c>
      <c r="AV372">
        <v>19071</v>
      </c>
      <c r="AX372">
        <v>0</v>
      </c>
    </row>
    <row r="373" spans="1:50" x14ac:dyDescent="0.25">
      <c r="A373">
        <v>374</v>
      </c>
      <c r="B373" t="s">
        <v>8713</v>
      </c>
      <c r="C373" t="s">
        <v>8714</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8723</v>
      </c>
      <c r="AH373" s="1">
        <v>3060</v>
      </c>
      <c r="AI373" t="s">
        <v>1844</v>
      </c>
      <c r="AJ373">
        <v>0</v>
      </c>
      <c r="AK373" s="1" t="s">
        <v>8715</v>
      </c>
      <c r="AL373" s="1" t="s">
        <v>8716</v>
      </c>
      <c r="AM373" s="1">
        <v>0.3</v>
      </c>
      <c r="AN373" s="1">
        <v>0.23</v>
      </c>
      <c r="AO373" s="1">
        <v>0.15</v>
      </c>
      <c r="AP373" s="1">
        <v>0.38</v>
      </c>
      <c r="AQ373" s="1">
        <v>3</v>
      </c>
      <c r="AR373" t="s">
        <v>7083</v>
      </c>
      <c r="AS373">
        <v>0</v>
      </c>
      <c r="AT373" t="s">
        <v>8717</v>
      </c>
      <c r="AU373">
        <v>10</v>
      </c>
      <c r="AV373">
        <v>20073</v>
      </c>
      <c r="AX373">
        <v>0</v>
      </c>
    </row>
    <row r="374" spans="1:50" x14ac:dyDescent="0.25">
      <c r="A374">
        <v>375</v>
      </c>
      <c r="B374" t="s">
        <v>8718</v>
      </c>
      <c r="C374" t="s">
        <v>8719</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8724</v>
      </c>
      <c r="AH374" s="1">
        <v>3540</v>
      </c>
      <c r="AI374" t="s">
        <v>1844</v>
      </c>
      <c r="AJ374">
        <v>0</v>
      </c>
      <c r="AK374" s="1" t="s">
        <v>8720</v>
      </c>
      <c r="AL374" s="1" t="s">
        <v>8721</v>
      </c>
      <c r="AM374" s="1">
        <v>0.45</v>
      </c>
      <c r="AN374" s="1">
        <v>0.15</v>
      </c>
      <c r="AO374" s="1">
        <v>0.3</v>
      </c>
      <c r="AP374" s="1">
        <v>0.15</v>
      </c>
      <c r="AQ374" s="1">
        <v>3</v>
      </c>
      <c r="AR374" t="s">
        <v>1578</v>
      </c>
      <c r="AS374">
        <v>0</v>
      </c>
      <c r="AT374" t="s">
        <v>8722</v>
      </c>
      <c r="AU374">
        <v>10</v>
      </c>
      <c r="AV374">
        <v>18116</v>
      </c>
      <c r="AX374">
        <v>0</v>
      </c>
    </row>
    <row r="375" spans="1:50" x14ac:dyDescent="0.25">
      <c r="A375">
        <v>376</v>
      </c>
      <c r="B375" t="s">
        <v>8739</v>
      </c>
      <c r="C375" t="s">
        <v>8740</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8741</v>
      </c>
      <c r="AL375" s="1" t="s">
        <v>8742</v>
      </c>
      <c r="AM375" s="1">
        <v>0.23</v>
      </c>
      <c r="AN375" s="1">
        <v>0.23</v>
      </c>
      <c r="AO375" s="1">
        <v>0.33</v>
      </c>
      <c r="AP375" s="1">
        <v>0.38</v>
      </c>
      <c r="AQ375" s="1">
        <v>3</v>
      </c>
      <c r="AR375" t="s">
        <v>1478</v>
      </c>
      <c r="AS375">
        <v>0</v>
      </c>
      <c r="AT375" t="s">
        <v>8743</v>
      </c>
      <c r="AU375">
        <v>10</v>
      </c>
      <c r="AV375">
        <v>20074</v>
      </c>
      <c r="AX375">
        <v>0</v>
      </c>
    </row>
    <row r="376" spans="1:50" x14ac:dyDescent="0.25">
      <c r="A376">
        <v>377</v>
      </c>
      <c r="B376" t="s">
        <v>8744</v>
      </c>
      <c r="C376" t="s">
        <v>8745</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8746</v>
      </c>
      <c r="AM376" s="1">
        <v>0.3</v>
      </c>
      <c r="AN376" s="1">
        <v>0.23</v>
      </c>
      <c r="AO376" s="1">
        <v>0.15</v>
      </c>
      <c r="AP376" s="1">
        <v>0.38</v>
      </c>
      <c r="AQ376" s="1">
        <v>3</v>
      </c>
      <c r="AR376" t="s">
        <v>1584</v>
      </c>
      <c r="AS376">
        <v>0</v>
      </c>
      <c r="AT376" t="s">
        <v>1807</v>
      </c>
      <c r="AU376">
        <v>10</v>
      </c>
      <c r="AV376">
        <v>20075</v>
      </c>
      <c r="AX376">
        <v>0</v>
      </c>
    </row>
    <row r="377" spans="1:50" x14ac:dyDescent="0.25">
      <c r="A377">
        <v>378</v>
      </c>
      <c r="B377" t="s">
        <v>8747</v>
      </c>
      <c r="C377" t="s">
        <v>8748</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8749</v>
      </c>
      <c r="AL377" s="1" t="s">
        <v>8750</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8751</v>
      </c>
      <c r="C378" t="s">
        <v>8752</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8753</v>
      </c>
      <c r="AL378" s="1" t="s">
        <v>8754</v>
      </c>
      <c r="AM378" s="1">
        <v>0.3</v>
      </c>
      <c r="AN378" s="1">
        <v>0.25</v>
      </c>
      <c r="AO378" s="1">
        <v>0.12</v>
      </c>
      <c r="AP378" s="1">
        <v>0.38</v>
      </c>
      <c r="AQ378" s="1">
        <v>3</v>
      </c>
      <c r="AR378" t="s">
        <v>1758</v>
      </c>
      <c r="AS378">
        <v>0</v>
      </c>
      <c r="AT378" t="s">
        <v>1807</v>
      </c>
      <c r="AU378">
        <v>10</v>
      </c>
      <c r="AV378">
        <v>20076</v>
      </c>
      <c r="AX378">
        <v>0</v>
      </c>
    </row>
    <row r="379" spans="1:50" x14ac:dyDescent="0.25">
      <c r="A379">
        <v>380</v>
      </c>
      <c r="B379" t="s">
        <v>8789</v>
      </c>
      <c r="C379" t="s">
        <v>8790</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8805</v>
      </c>
      <c r="AH379" s="1">
        <v>3120</v>
      </c>
      <c r="AI379" t="s">
        <v>1844</v>
      </c>
      <c r="AJ379">
        <v>0</v>
      </c>
      <c r="AK379" s="1" t="s">
        <v>8788</v>
      </c>
      <c r="AL379" s="1" t="s">
        <v>8791</v>
      </c>
      <c r="AM379" s="1">
        <v>0.3</v>
      </c>
      <c r="AN379" s="1">
        <v>0.25</v>
      </c>
      <c r="AO379" s="1">
        <v>0.12</v>
      </c>
      <c r="AP379" s="1">
        <v>0.38</v>
      </c>
      <c r="AQ379" s="1">
        <v>3</v>
      </c>
      <c r="AR379" t="s">
        <v>1476</v>
      </c>
      <c r="AS379">
        <v>0</v>
      </c>
      <c r="AT379" t="s">
        <v>1807</v>
      </c>
      <c r="AU379">
        <v>10</v>
      </c>
      <c r="AV379">
        <v>20062</v>
      </c>
      <c r="AX379">
        <v>0</v>
      </c>
    </row>
    <row r="380" spans="1:50" x14ac:dyDescent="0.25">
      <c r="A380">
        <v>381</v>
      </c>
      <c r="B380" t="s">
        <v>8792</v>
      </c>
      <c r="C380" t="s">
        <v>8793</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8806</v>
      </c>
      <c r="AH380" s="1">
        <v>3120</v>
      </c>
      <c r="AI380" t="s">
        <v>1844</v>
      </c>
      <c r="AJ380">
        <v>0</v>
      </c>
      <c r="AK380" s="1" t="s">
        <v>8787</v>
      </c>
      <c r="AL380" s="1" t="s">
        <v>8794</v>
      </c>
      <c r="AM380" s="1">
        <v>0.3</v>
      </c>
      <c r="AN380" s="1">
        <v>0.25</v>
      </c>
      <c r="AO380" s="1">
        <v>0.12</v>
      </c>
      <c r="AP380" s="1">
        <v>0.38</v>
      </c>
      <c r="AQ380" s="1">
        <v>3</v>
      </c>
      <c r="AR380" t="s">
        <v>1479</v>
      </c>
      <c r="AS380">
        <v>0</v>
      </c>
      <c r="AT380" t="s">
        <v>1807</v>
      </c>
      <c r="AU380">
        <v>10</v>
      </c>
      <c r="AV380">
        <v>20079</v>
      </c>
      <c r="AX380">
        <v>0</v>
      </c>
    </row>
    <row r="381" spans="1:50" x14ac:dyDescent="0.25">
      <c r="A381">
        <v>382</v>
      </c>
      <c r="B381" t="s">
        <v>8795</v>
      </c>
      <c r="C381" t="s">
        <v>8796</v>
      </c>
      <c r="D381">
        <v>5</v>
      </c>
      <c r="E381">
        <v>2</v>
      </c>
      <c r="F381">
        <v>19</v>
      </c>
      <c r="G381" s="1" t="s">
        <v>329</v>
      </c>
      <c r="H381" s="1" t="s">
        <v>329</v>
      </c>
      <c r="I381" s="1" t="s">
        <v>329</v>
      </c>
      <c r="J381" s="1" t="s">
        <v>329</v>
      </c>
      <c r="K381" s="1" t="s">
        <v>329</v>
      </c>
      <c r="L381" s="1" t="s">
        <v>339</v>
      </c>
      <c r="M381" s="1" t="s">
        <v>329</v>
      </c>
      <c r="N381" s="1" t="s">
        <v>8797</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8774</v>
      </c>
      <c r="AH381" s="1">
        <v>3300</v>
      </c>
      <c r="AI381" t="s">
        <v>1844</v>
      </c>
      <c r="AJ381">
        <v>0</v>
      </c>
      <c r="AK381" s="1" t="s">
        <v>8798</v>
      </c>
      <c r="AL381" s="1" t="s">
        <v>8799</v>
      </c>
      <c r="AM381" s="1">
        <v>0.08</v>
      </c>
      <c r="AN381" s="1">
        <v>0.5</v>
      </c>
      <c r="AO381" s="1">
        <v>0.3</v>
      </c>
      <c r="AP381" s="1">
        <v>0.3</v>
      </c>
      <c r="AQ381" s="1">
        <v>3</v>
      </c>
      <c r="AR381" t="s">
        <v>8299</v>
      </c>
      <c r="AS381">
        <v>0</v>
      </c>
      <c r="AT381" t="s">
        <v>1807</v>
      </c>
      <c r="AU381">
        <v>10</v>
      </c>
      <c r="AV381">
        <v>19073</v>
      </c>
      <c r="AX381">
        <v>0</v>
      </c>
    </row>
    <row r="382" spans="1:50" x14ac:dyDescent="0.25">
      <c r="A382">
        <v>383</v>
      </c>
      <c r="B382" t="s">
        <v>8800</v>
      </c>
      <c r="C382" t="s">
        <v>8801</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8780</v>
      </c>
      <c r="AH382" s="1">
        <v>3060</v>
      </c>
      <c r="AI382" t="s">
        <v>1844</v>
      </c>
      <c r="AJ382">
        <v>0</v>
      </c>
      <c r="AK382" s="1" t="s">
        <v>8802</v>
      </c>
      <c r="AL382" s="1" t="s">
        <v>8803</v>
      </c>
      <c r="AM382" s="1">
        <v>0.3</v>
      </c>
      <c r="AN382" s="1">
        <v>0.23</v>
      </c>
      <c r="AO382" s="1">
        <v>0.15</v>
      </c>
      <c r="AP382" s="1">
        <v>0.38</v>
      </c>
      <c r="AQ382" s="1">
        <v>3</v>
      </c>
      <c r="AR382" t="s">
        <v>8804</v>
      </c>
      <c r="AS382">
        <v>0</v>
      </c>
      <c r="AT382" t="s">
        <v>1807</v>
      </c>
      <c r="AU382">
        <v>10</v>
      </c>
      <c r="AV382">
        <v>20080</v>
      </c>
      <c r="AX382">
        <v>0</v>
      </c>
    </row>
    <row r="383" spans="1:50" x14ac:dyDescent="0.25">
      <c r="A383">
        <v>384</v>
      </c>
      <c r="B383" t="s">
        <v>8817</v>
      </c>
      <c r="C383" t="s">
        <v>8818</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8828</v>
      </c>
      <c r="AH383" s="1">
        <v>3120</v>
      </c>
      <c r="AI383" t="s">
        <v>1844</v>
      </c>
      <c r="AJ383">
        <v>0</v>
      </c>
      <c r="AK383" s="1" t="s">
        <v>8819</v>
      </c>
      <c r="AL383" s="1" t="s">
        <v>8820</v>
      </c>
      <c r="AM383" s="1">
        <v>0.3</v>
      </c>
      <c r="AN383" s="1">
        <v>0.25</v>
      </c>
      <c r="AO383" s="1">
        <v>0.12</v>
      </c>
      <c r="AP383" s="1">
        <v>0.38</v>
      </c>
      <c r="AQ383" s="1">
        <v>3</v>
      </c>
      <c r="AR383" t="s">
        <v>1479</v>
      </c>
      <c r="AS383">
        <v>0</v>
      </c>
      <c r="AT383" t="s">
        <v>8821</v>
      </c>
      <c r="AU383">
        <v>10</v>
      </c>
      <c r="AV383">
        <v>20081</v>
      </c>
      <c r="AX383">
        <v>0</v>
      </c>
    </row>
    <row r="384" spans="1:50" x14ac:dyDescent="0.25">
      <c r="A384">
        <v>385</v>
      </c>
      <c r="B384" t="s">
        <v>8822</v>
      </c>
      <c r="C384" t="s">
        <v>8823</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8829</v>
      </c>
      <c r="AH384" s="1">
        <v>3420</v>
      </c>
      <c r="AI384" t="s">
        <v>1844</v>
      </c>
      <c r="AJ384">
        <v>0</v>
      </c>
      <c r="AK384" s="1" t="s">
        <v>8824</v>
      </c>
      <c r="AL384" s="1" t="s">
        <v>8825</v>
      </c>
      <c r="AM384" s="1">
        <v>0.1</v>
      </c>
      <c r="AN384" s="1">
        <v>0.1</v>
      </c>
      <c r="AO384" s="1">
        <v>0.1</v>
      </c>
      <c r="AP384" s="1">
        <v>0.55000000000000004</v>
      </c>
      <c r="AQ384" s="1">
        <v>3</v>
      </c>
      <c r="AR384" t="s">
        <v>8826</v>
      </c>
      <c r="AS384">
        <v>0</v>
      </c>
      <c r="AT384" t="s">
        <v>8827</v>
      </c>
      <c r="AU384">
        <v>10</v>
      </c>
      <c r="AV384">
        <v>20082</v>
      </c>
      <c r="AX384">
        <v>0</v>
      </c>
    </row>
    <row r="385" spans="1:50" x14ac:dyDescent="0.25">
      <c r="A385">
        <v>386</v>
      </c>
      <c r="B385" t="s">
        <v>8853</v>
      </c>
      <c r="C385" t="s">
        <v>8854</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8855</v>
      </c>
      <c r="AL385" s="1" t="s">
        <v>8856</v>
      </c>
      <c r="AM385" s="1">
        <v>0.45</v>
      </c>
      <c r="AN385" s="1">
        <v>0.15</v>
      </c>
      <c r="AO385" s="1">
        <v>0.3</v>
      </c>
      <c r="AP385" s="1">
        <v>0.15</v>
      </c>
      <c r="AQ385" s="1">
        <v>3</v>
      </c>
      <c r="AR385" t="s">
        <v>1515</v>
      </c>
      <c r="AS385">
        <v>0</v>
      </c>
      <c r="AT385" t="s">
        <v>8857</v>
      </c>
      <c r="AU385">
        <v>10</v>
      </c>
      <c r="AV385">
        <v>18118</v>
      </c>
      <c r="AX385">
        <v>0</v>
      </c>
    </row>
    <row r="386" spans="1:50" x14ac:dyDescent="0.25">
      <c r="A386">
        <v>387</v>
      </c>
      <c r="B386" t="s">
        <v>8858</v>
      </c>
      <c r="C386" t="s">
        <v>8859</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8831</v>
      </c>
      <c r="AH386" s="1">
        <v>3600</v>
      </c>
      <c r="AI386" t="s">
        <v>1844</v>
      </c>
      <c r="AJ386">
        <v>0</v>
      </c>
      <c r="AK386" s="1" t="s">
        <v>8860</v>
      </c>
      <c r="AL386" s="1" t="s">
        <v>8861</v>
      </c>
      <c r="AM386" s="1">
        <v>0.3</v>
      </c>
      <c r="AN386" s="1">
        <v>0.23</v>
      </c>
      <c r="AO386" s="1">
        <v>0.15</v>
      </c>
      <c r="AP386" s="1">
        <v>0.38</v>
      </c>
      <c r="AQ386" s="1">
        <v>3</v>
      </c>
      <c r="AR386" t="s">
        <v>1758</v>
      </c>
      <c r="AS386">
        <v>0</v>
      </c>
      <c r="AT386" t="s">
        <v>1807</v>
      </c>
      <c r="AU386">
        <v>10</v>
      </c>
      <c r="AV386">
        <v>20077</v>
      </c>
      <c r="AX386">
        <v>0</v>
      </c>
    </row>
    <row r="387" spans="1:50" x14ac:dyDescent="0.25">
      <c r="A387">
        <v>388</v>
      </c>
      <c r="B387" t="s">
        <v>8862</v>
      </c>
      <c r="C387" t="s">
        <v>8863</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8839</v>
      </c>
      <c r="AH387" s="1">
        <v>3060</v>
      </c>
      <c r="AI387" t="s">
        <v>1844</v>
      </c>
      <c r="AJ387">
        <v>0</v>
      </c>
      <c r="AK387" s="1" t="s">
        <v>8864</v>
      </c>
      <c r="AL387" s="1" t="s">
        <v>8865</v>
      </c>
      <c r="AM387" s="1">
        <v>0.3</v>
      </c>
      <c r="AN387" s="1">
        <v>0.23</v>
      </c>
      <c r="AO387" s="1">
        <v>0.15</v>
      </c>
      <c r="AP387" s="1">
        <v>0.38</v>
      </c>
      <c r="AQ387" s="1">
        <v>3</v>
      </c>
      <c r="AR387" t="s">
        <v>7083</v>
      </c>
      <c r="AS387">
        <v>0</v>
      </c>
      <c r="AT387" t="s">
        <v>1807</v>
      </c>
      <c r="AU387">
        <v>10</v>
      </c>
      <c r="AV387">
        <v>20078</v>
      </c>
      <c r="AX387">
        <v>0</v>
      </c>
    </row>
    <row r="388" spans="1:50" x14ac:dyDescent="0.25">
      <c r="A388">
        <v>389</v>
      </c>
      <c r="B388" t="s">
        <v>8866</v>
      </c>
      <c r="C388" t="s">
        <v>8867</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8870</v>
      </c>
      <c r="AH388" s="1">
        <v>2700</v>
      </c>
      <c r="AI388" t="s">
        <v>1844</v>
      </c>
      <c r="AJ388">
        <v>0</v>
      </c>
      <c r="AK388" s="1" t="s">
        <v>8868</v>
      </c>
      <c r="AL388" s="1" t="s">
        <v>8869</v>
      </c>
      <c r="AM388" s="1">
        <v>0.45</v>
      </c>
      <c r="AN388" s="1">
        <v>0.15</v>
      </c>
      <c r="AO388" s="1">
        <v>0.3</v>
      </c>
      <c r="AP388" s="1">
        <v>0.15</v>
      </c>
      <c r="AQ388" s="1">
        <v>3</v>
      </c>
      <c r="AR388" t="s">
        <v>1562</v>
      </c>
      <c r="AS388">
        <v>0</v>
      </c>
      <c r="AT388" t="s">
        <v>1807</v>
      </c>
      <c r="AU388">
        <v>10</v>
      </c>
      <c r="AV388">
        <v>18117</v>
      </c>
      <c r="AX388">
        <v>0</v>
      </c>
    </row>
    <row r="389" spans="1:50" x14ac:dyDescent="0.25">
      <c r="A389">
        <v>390</v>
      </c>
      <c r="B389" t="s">
        <v>8871</v>
      </c>
      <c r="C389" t="s">
        <v>8872</v>
      </c>
      <c r="D389">
        <v>5</v>
      </c>
      <c r="E389">
        <v>3</v>
      </c>
      <c r="F389">
        <v>20</v>
      </c>
      <c r="G389" s="1" t="s">
        <v>390</v>
      </c>
      <c r="H389" s="1" t="s">
        <v>336</v>
      </c>
      <c r="I389" s="1" t="s">
        <v>403</v>
      </c>
      <c r="J389" s="1" t="s">
        <v>329</v>
      </c>
      <c r="K389" s="1" t="s">
        <v>329</v>
      </c>
      <c r="L389" s="1" t="s">
        <v>329</v>
      </c>
      <c r="M389" s="1" t="s">
        <v>329</v>
      </c>
      <c r="N389" s="1" t="s">
        <v>329</v>
      </c>
      <c r="O389" s="1" t="s">
        <v>329</v>
      </c>
      <c r="P389" s="1" t="s">
        <v>329</v>
      </c>
      <c r="Q389" s="1" t="s">
        <v>329</v>
      </c>
      <c r="R389" s="1" t="s">
        <v>329</v>
      </c>
      <c r="S389" s="1" t="s">
        <v>329</v>
      </c>
      <c r="T389" s="1" t="s">
        <v>329</v>
      </c>
      <c r="U389" s="1">
        <v>0</v>
      </c>
      <c r="V389" s="1">
        <v>0</v>
      </c>
      <c r="W389" s="1">
        <v>0</v>
      </c>
      <c r="X389" s="1">
        <v>0</v>
      </c>
      <c r="Y389" s="1">
        <v>0</v>
      </c>
      <c r="Z389" s="1">
        <v>0</v>
      </c>
      <c r="AA389" s="1">
        <v>0</v>
      </c>
      <c r="AB389" s="1">
        <v>0</v>
      </c>
      <c r="AC389" s="1">
        <v>4</v>
      </c>
      <c r="AD389" s="1">
        <v>2</v>
      </c>
      <c r="AE389" s="1">
        <v>0</v>
      </c>
      <c r="AF389" s="1">
        <v>4</v>
      </c>
      <c r="AG389" s="242" t="s">
        <v>8882</v>
      </c>
      <c r="AH389" s="1">
        <v>3600</v>
      </c>
      <c r="AI389" t="s">
        <v>1844</v>
      </c>
      <c r="AJ389">
        <v>0</v>
      </c>
      <c r="AK389" s="1" t="s">
        <v>8873</v>
      </c>
      <c r="AL389" s="1" t="s">
        <v>8874</v>
      </c>
      <c r="AM389" s="1">
        <v>0.3</v>
      </c>
      <c r="AN389" s="1">
        <v>0.25</v>
      </c>
      <c r="AO389" s="1">
        <v>0.12</v>
      </c>
      <c r="AP389" s="1">
        <v>0.38</v>
      </c>
      <c r="AQ389" s="1">
        <v>3</v>
      </c>
      <c r="AR389" t="s">
        <v>8875</v>
      </c>
      <c r="AS389">
        <v>0</v>
      </c>
      <c r="AT389" t="s">
        <v>8876</v>
      </c>
      <c r="AU389">
        <v>10</v>
      </c>
      <c r="AV389">
        <v>20079</v>
      </c>
      <c r="AX389">
        <v>0</v>
      </c>
    </row>
    <row r="390" spans="1:50" x14ac:dyDescent="0.25">
      <c r="A390">
        <v>391</v>
      </c>
      <c r="B390" t="s">
        <v>8877</v>
      </c>
      <c r="C390" t="s">
        <v>8878</v>
      </c>
      <c r="D390">
        <v>5</v>
      </c>
      <c r="E390">
        <v>2</v>
      </c>
      <c r="F390">
        <v>19</v>
      </c>
      <c r="G390" s="1" t="s">
        <v>329</v>
      </c>
      <c r="H390" s="1" t="s">
        <v>386</v>
      </c>
      <c r="I390" s="1" t="s">
        <v>329</v>
      </c>
      <c r="J390" s="1" t="s">
        <v>329</v>
      </c>
      <c r="K390" s="1" t="s">
        <v>329</v>
      </c>
      <c r="L390" s="1" t="s">
        <v>329</v>
      </c>
      <c r="M390" s="1" t="s">
        <v>329</v>
      </c>
      <c r="N390" s="1" t="s">
        <v>329</v>
      </c>
      <c r="O390" s="1" t="s">
        <v>329</v>
      </c>
      <c r="P390" s="1" t="s">
        <v>329</v>
      </c>
      <c r="Q390" s="1" t="s">
        <v>329</v>
      </c>
      <c r="R390" s="1" t="s">
        <v>329</v>
      </c>
      <c r="S390" s="1" t="s">
        <v>329</v>
      </c>
      <c r="T390" s="1" t="s">
        <v>329</v>
      </c>
      <c r="U390" s="1">
        <v>0</v>
      </c>
      <c r="V390" s="1">
        <v>150</v>
      </c>
      <c r="W390" s="1">
        <v>0</v>
      </c>
      <c r="X390" s="1">
        <v>0</v>
      </c>
      <c r="Y390" s="1">
        <v>0</v>
      </c>
      <c r="Z390" s="1">
        <v>0</v>
      </c>
      <c r="AA390" s="1">
        <v>0</v>
      </c>
      <c r="AB390" s="1">
        <v>0</v>
      </c>
      <c r="AC390" s="1">
        <v>4</v>
      </c>
      <c r="AD390" s="1">
        <v>4</v>
      </c>
      <c r="AE390" s="1">
        <v>0</v>
      </c>
      <c r="AF390" s="1">
        <v>2</v>
      </c>
      <c r="AG390" s="242" t="s">
        <v>8883</v>
      </c>
      <c r="AH390" s="1">
        <v>3600</v>
      </c>
      <c r="AI390" t="s">
        <v>1919</v>
      </c>
      <c r="AJ390">
        <v>0</v>
      </c>
      <c r="AK390" s="1" t="s">
        <v>8879</v>
      </c>
      <c r="AL390" s="1" t="s">
        <v>8880</v>
      </c>
      <c r="AM390" s="1">
        <v>0.48</v>
      </c>
      <c r="AN390" s="1">
        <v>0.48</v>
      </c>
      <c r="AO390" s="1">
        <v>0.08</v>
      </c>
      <c r="AP390" s="1">
        <v>0.25</v>
      </c>
      <c r="AQ390" s="1">
        <v>3</v>
      </c>
      <c r="AR390" t="s">
        <v>1494</v>
      </c>
      <c r="AS390">
        <v>0</v>
      </c>
      <c r="AT390" t="s">
        <v>8881</v>
      </c>
      <c r="AU390">
        <v>10</v>
      </c>
      <c r="AV390">
        <v>19074</v>
      </c>
      <c r="AX390">
        <v>0</v>
      </c>
    </row>
    <row r="391" spans="1:50" x14ac:dyDescent="0.25">
      <c r="A391">
        <v>392</v>
      </c>
      <c r="B391" t="s">
        <v>8884</v>
      </c>
      <c r="C391" t="s">
        <v>8885</v>
      </c>
      <c r="D391">
        <v>5</v>
      </c>
      <c r="E391">
        <v>2</v>
      </c>
      <c r="F391">
        <v>19</v>
      </c>
      <c r="G391" s="1" t="s">
        <v>386</v>
      </c>
      <c r="H391" s="1" t="s">
        <v>329</v>
      </c>
      <c r="I391" s="1" t="s">
        <v>329</v>
      </c>
      <c r="J391" s="1" t="s">
        <v>329</v>
      </c>
      <c r="K391" s="1" t="s">
        <v>329</v>
      </c>
      <c r="L391" s="1" t="s">
        <v>329</v>
      </c>
      <c r="M391" s="1" t="s">
        <v>329</v>
      </c>
      <c r="N391" s="1" t="s">
        <v>387</v>
      </c>
      <c r="O391" s="1" t="s">
        <v>329</v>
      </c>
      <c r="P391" s="1" t="s">
        <v>329</v>
      </c>
      <c r="Q391" s="1" t="s">
        <v>329</v>
      </c>
      <c r="R391" s="1" t="s">
        <v>329</v>
      </c>
      <c r="S391" s="1" t="s">
        <v>329</v>
      </c>
      <c r="T391" s="1" t="s">
        <v>329</v>
      </c>
      <c r="U391" s="1">
        <v>0</v>
      </c>
      <c r="V391" s="1">
        <v>0</v>
      </c>
      <c r="W391" s="1">
        <v>0</v>
      </c>
      <c r="X391" s="1">
        <v>0</v>
      </c>
      <c r="Y391" s="1">
        <v>0</v>
      </c>
      <c r="Z391" s="1">
        <v>0</v>
      </c>
      <c r="AA391" s="1">
        <v>0</v>
      </c>
      <c r="AB391" s="1">
        <v>0</v>
      </c>
      <c r="AC391" s="1">
        <v>4</v>
      </c>
      <c r="AD391" s="1">
        <v>4</v>
      </c>
      <c r="AE391" s="1">
        <v>0</v>
      </c>
      <c r="AF391" s="1">
        <v>2</v>
      </c>
      <c r="AG391" s="242" t="s">
        <v>144</v>
      </c>
      <c r="AH391" s="1">
        <v>3600</v>
      </c>
      <c r="AI391" t="s">
        <v>1844</v>
      </c>
      <c r="AJ391">
        <v>0</v>
      </c>
      <c r="AK391" s="1" t="s">
        <v>8886</v>
      </c>
      <c r="AL391" s="1" t="s">
        <v>8887</v>
      </c>
      <c r="AM391" s="1">
        <v>0.48</v>
      </c>
      <c r="AN391" s="1">
        <v>0.48</v>
      </c>
      <c r="AO391" s="1">
        <v>0.08</v>
      </c>
      <c r="AP391" s="1">
        <v>0.25</v>
      </c>
      <c r="AQ391" s="1">
        <v>3</v>
      </c>
      <c r="AR391" t="s">
        <v>1490</v>
      </c>
      <c r="AS391">
        <v>0</v>
      </c>
      <c r="AT391" t="s">
        <v>8888</v>
      </c>
      <c r="AU391">
        <v>10</v>
      </c>
      <c r="AV391">
        <v>19075</v>
      </c>
      <c r="AX391">
        <v>0</v>
      </c>
    </row>
    <row r="392" spans="1:50" x14ac:dyDescent="0.25">
      <c r="A392">
        <v>393</v>
      </c>
      <c r="B392" t="s">
        <v>8889</v>
      </c>
      <c r="C392" t="s">
        <v>8890</v>
      </c>
      <c r="D392">
        <v>5</v>
      </c>
      <c r="E392">
        <v>2</v>
      </c>
      <c r="F392">
        <v>19</v>
      </c>
      <c r="G392" s="1" t="s">
        <v>329</v>
      </c>
      <c r="H392" s="1" t="s">
        <v>329</v>
      </c>
      <c r="I392" s="1" t="s">
        <v>329</v>
      </c>
      <c r="J392" s="1" t="s">
        <v>329</v>
      </c>
      <c r="K392" s="1" t="s">
        <v>329</v>
      </c>
      <c r="L392" s="1" t="s">
        <v>336</v>
      </c>
      <c r="M392" s="1" t="s">
        <v>329</v>
      </c>
      <c r="N392" s="1" t="s">
        <v>7304</v>
      </c>
      <c r="O392" s="1" t="s">
        <v>329</v>
      </c>
      <c r="P392" s="1" t="s">
        <v>329</v>
      </c>
      <c r="Q392" s="1" t="s">
        <v>329</v>
      </c>
      <c r="R392" s="1" t="s">
        <v>329</v>
      </c>
      <c r="S392" s="1" t="s">
        <v>329</v>
      </c>
      <c r="T392" s="1" t="s">
        <v>329</v>
      </c>
      <c r="U392" s="1">
        <v>0</v>
      </c>
      <c r="V392" s="1">
        <v>0</v>
      </c>
      <c r="W392" s="1">
        <v>0</v>
      </c>
      <c r="X392" s="1">
        <v>0</v>
      </c>
      <c r="Y392" s="1">
        <v>0</v>
      </c>
      <c r="Z392" s="1">
        <v>0</v>
      </c>
      <c r="AA392" s="1">
        <v>0</v>
      </c>
      <c r="AB392" s="1">
        <v>0</v>
      </c>
      <c r="AC392" s="1">
        <v>0</v>
      </c>
      <c r="AD392" s="1">
        <v>4</v>
      </c>
      <c r="AE392" s="1">
        <v>2</v>
      </c>
      <c r="AF392" s="1">
        <v>3</v>
      </c>
      <c r="AG392" s="242" t="s">
        <v>8899</v>
      </c>
      <c r="AH392" s="1">
        <v>3300</v>
      </c>
      <c r="AI392" t="s">
        <v>1844</v>
      </c>
      <c r="AJ392">
        <v>0</v>
      </c>
      <c r="AK392" s="1" t="s">
        <v>8891</v>
      </c>
      <c r="AL392" s="1" t="s">
        <v>8892</v>
      </c>
      <c r="AM392" s="1">
        <v>0.08</v>
      </c>
      <c r="AN392" s="1">
        <v>0.5</v>
      </c>
      <c r="AO392" s="1">
        <v>0.3</v>
      </c>
      <c r="AP392" s="1">
        <v>0.3</v>
      </c>
      <c r="AQ392" s="1">
        <v>3</v>
      </c>
      <c r="AR392" t="s">
        <v>8299</v>
      </c>
      <c r="AS392">
        <v>0</v>
      </c>
      <c r="AT392" t="s">
        <v>8893</v>
      </c>
      <c r="AU392">
        <v>10</v>
      </c>
      <c r="AV392">
        <v>19076</v>
      </c>
      <c r="AX392">
        <v>0</v>
      </c>
    </row>
    <row r="393" spans="1:50" x14ac:dyDescent="0.25">
      <c r="A393">
        <v>394</v>
      </c>
      <c r="B393" t="s">
        <v>8894</v>
      </c>
      <c r="C393" t="s">
        <v>8895</v>
      </c>
      <c r="D393">
        <v>5</v>
      </c>
      <c r="E393">
        <v>3</v>
      </c>
      <c r="F393">
        <v>20</v>
      </c>
      <c r="G393" s="1" t="s">
        <v>329</v>
      </c>
      <c r="H393" s="1" t="s">
        <v>329</v>
      </c>
      <c r="I393" s="1" t="s">
        <v>329</v>
      </c>
      <c r="J393" s="1" t="s">
        <v>329</v>
      </c>
      <c r="K393" s="1" t="s">
        <v>329</v>
      </c>
      <c r="L393" s="1" t="s">
        <v>329</v>
      </c>
      <c r="M393" s="1" t="s">
        <v>403</v>
      </c>
      <c r="N393" s="1" t="s">
        <v>329</v>
      </c>
      <c r="O393" s="1" t="s">
        <v>325</v>
      </c>
      <c r="P393" s="1" t="s">
        <v>329</v>
      </c>
      <c r="Q393" s="1" t="s">
        <v>329</v>
      </c>
      <c r="R393" s="1" t="s">
        <v>329</v>
      </c>
      <c r="S393" s="1" t="s">
        <v>329</v>
      </c>
      <c r="T393" s="1" t="s">
        <v>329</v>
      </c>
      <c r="U393" s="1">
        <v>0</v>
      </c>
      <c r="V393" s="1">
        <v>0</v>
      </c>
      <c r="W393" s="1">
        <v>0</v>
      </c>
      <c r="X393" s="1">
        <v>0</v>
      </c>
      <c r="Y393" s="1">
        <v>0</v>
      </c>
      <c r="Z393" s="1">
        <v>0</v>
      </c>
      <c r="AA393" s="1">
        <v>0</v>
      </c>
      <c r="AB393" s="1">
        <v>0</v>
      </c>
      <c r="AC393" s="1">
        <v>2</v>
      </c>
      <c r="AD393" s="1">
        <v>2</v>
      </c>
      <c r="AE393" s="1">
        <v>3</v>
      </c>
      <c r="AF393" s="1">
        <v>3</v>
      </c>
      <c r="AG393" s="242" t="s">
        <v>8900</v>
      </c>
      <c r="AH393" s="1">
        <v>3060</v>
      </c>
      <c r="AI393" t="s">
        <v>1844</v>
      </c>
      <c r="AJ393">
        <v>0</v>
      </c>
      <c r="AK393" s="1" t="s">
        <v>487</v>
      </c>
      <c r="AL393" s="1" t="s">
        <v>8896</v>
      </c>
      <c r="AM393" s="1">
        <v>0.23</v>
      </c>
      <c r="AN393" s="1">
        <v>0.23</v>
      </c>
      <c r="AO393" s="1">
        <v>0.33</v>
      </c>
      <c r="AP393" s="1">
        <v>0.38</v>
      </c>
      <c r="AQ393" s="1">
        <v>3</v>
      </c>
      <c r="AR393" t="s">
        <v>8897</v>
      </c>
      <c r="AS393">
        <v>0</v>
      </c>
      <c r="AT393" t="s">
        <v>8898</v>
      </c>
      <c r="AU393">
        <v>10</v>
      </c>
      <c r="AV393">
        <v>20081</v>
      </c>
      <c r="AX393">
        <v>0</v>
      </c>
    </row>
    <row r="394" spans="1:50" x14ac:dyDescent="0.25">
      <c r="A394">
        <v>395</v>
      </c>
      <c r="B394" t="s">
        <v>8923</v>
      </c>
      <c r="C394" t="s">
        <v>8924</v>
      </c>
      <c r="D394">
        <v>5</v>
      </c>
      <c r="E394">
        <v>3</v>
      </c>
      <c r="F394">
        <v>20</v>
      </c>
      <c r="G394" s="1" t="s">
        <v>329</v>
      </c>
      <c r="H394" s="1" t="s">
        <v>332</v>
      </c>
      <c r="I394" s="1" t="s">
        <v>8504</v>
      </c>
      <c r="J394" s="1" t="s">
        <v>329</v>
      </c>
      <c r="K394" s="1" t="s">
        <v>329</v>
      </c>
      <c r="L394" s="1" t="s">
        <v>329</v>
      </c>
      <c r="M394" s="1" t="s">
        <v>329</v>
      </c>
      <c r="N394" s="1" t="s">
        <v>329</v>
      </c>
      <c r="O394" s="1" t="s">
        <v>329</v>
      </c>
      <c r="P394" s="1" t="s">
        <v>329</v>
      </c>
      <c r="Q394" s="1" t="s">
        <v>329</v>
      </c>
      <c r="R394" s="1" t="s">
        <v>329</v>
      </c>
      <c r="S394" s="1" t="s">
        <v>329</v>
      </c>
      <c r="T394" s="1" t="s">
        <v>329</v>
      </c>
      <c r="U394" s="1">
        <v>0</v>
      </c>
      <c r="V394" s="1">
        <v>0</v>
      </c>
      <c r="W394" s="1">
        <v>0</v>
      </c>
      <c r="X394" s="1">
        <v>0</v>
      </c>
      <c r="Y394" s="1">
        <v>0</v>
      </c>
      <c r="Z394" s="1">
        <v>0</v>
      </c>
      <c r="AA394" s="1">
        <v>0</v>
      </c>
      <c r="AB394" s="1">
        <v>0</v>
      </c>
      <c r="AC394" s="1">
        <v>4</v>
      </c>
      <c r="AD394" s="1">
        <v>2</v>
      </c>
      <c r="AE394" s="1">
        <v>0</v>
      </c>
      <c r="AF394" s="1">
        <v>4</v>
      </c>
      <c r="AG394" s="242" t="s">
        <v>1612</v>
      </c>
      <c r="AH394" s="1">
        <v>3120</v>
      </c>
      <c r="AI394" t="s">
        <v>1844</v>
      </c>
      <c r="AJ394">
        <v>0</v>
      </c>
      <c r="AK394" s="1" t="s">
        <v>4910</v>
      </c>
      <c r="AL394" s="1" t="s">
        <v>8925</v>
      </c>
      <c r="AM394" s="1">
        <v>0.3</v>
      </c>
      <c r="AN394" s="1">
        <v>0.25</v>
      </c>
      <c r="AO394" s="1">
        <v>0.12</v>
      </c>
      <c r="AP394" s="1">
        <v>0.38</v>
      </c>
      <c r="AQ394" s="1">
        <v>3</v>
      </c>
      <c r="AR394" t="s">
        <v>8507</v>
      </c>
      <c r="AS394">
        <v>0</v>
      </c>
      <c r="AT394" t="s">
        <v>1807</v>
      </c>
      <c r="AU394">
        <v>10</v>
      </c>
      <c r="AV394">
        <v>20082</v>
      </c>
      <c r="AX394">
        <v>0</v>
      </c>
    </row>
    <row r="395" spans="1:50" x14ac:dyDescent="0.25">
      <c r="A395">
        <v>396</v>
      </c>
      <c r="B395" t="s">
        <v>8926</v>
      </c>
      <c r="C395" t="s">
        <v>8927</v>
      </c>
      <c r="D395">
        <v>5</v>
      </c>
      <c r="E395">
        <v>3</v>
      </c>
      <c r="F395">
        <v>20</v>
      </c>
      <c r="G395" s="1" t="s">
        <v>329</v>
      </c>
      <c r="H395" s="1" t="s">
        <v>329</v>
      </c>
      <c r="I395" s="1" t="s">
        <v>8046</v>
      </c>
      <c r="J395" s="1" t="s">
        <v>329</v>
      </c>
      <c r="K395" s="1" t="s">
        <v>329</v>
      </c>
      <c r="L395" s="1" t="s">
        <v>8152</v>
      </c>
      <c r="M395" s="1" t="s">
        <v>329</v>
      </c>
      <c r="N395" s="1" t="s">
        <v>329</v>
      </c>
      <c r="O395" s="1" t="s">
        <v>329</v>
      </c>
      <c r="P395" s="1" t="s">
        <v>329</v>
      </c>
      <c r="Q395" s="1" t="s">
        <v>329</v>
      </c>
      <c r="R395" s="1" t="s">
        <v>329</v>
      </c>
      <c r="S395" s="1" t="s">
        <v>329</v>
      </c>
      <c r="T395" s="1" t="s">
        <v>329</v>
      </c>
      <c r="U395" s="1">
        <v>0</v>
      </c>
      <c r="V395" s="1">
        <v>0</v>
      </c>
      <c r="W395" s="1">
        <v>0</v>
      </c>
      <c r="X395" s="1">
        <v>0</v>
      </c>
      <c r="Y395" s="1">
        <v>0</v>
      </c>
      <c r="Z395" s="1">
        <v>0</v>
      </c>
      <c r="AA395" s="1">
        <v>0</v>
      </c>
      <c r="AB395" s="1">
        <v>0</v>
      </c>
      <c r="AC395" s="1">
        <v>4</v>
      </c>
      <c r="AD395" s="1">
        <v>2</v>
      </c>
      <c r="AE395" s="1">
        <v>0</v>
      </c>
      <c r="AF395" s="1">
        <v>4</v>
      </c>
      <c r="AG395" s="242" t="s">
        <v>8931</v>
      </c>
      <c r="AH395" s="1">
        <v>3120</v>
      </c>
      <c r="AI395" t="s">
        <v>1844</v>
      </c>
      <c r="AJ395">
        <v>0</v>
      </c>
      <c r="AK395" s="1" t="s">
        <v>8922</v>
      </c>
      <c r="AL395" s="1" t="s">
        <v>8928</v>
      </c>
      <c r="AM395" s="1">
        <v>0.3</v>
      </c>
      <c r="AN395" s="1">
        <v>0.25</v>
      </c>
      <c r="AO395" s="1">
        <v>0.12</v>
      </c>
      <c r="AP395" s="1">
        <v>0.38</v>
      </c>
      <c r="AQ395" s="1">
        <v>3</v>
      </c>
      <c r="AR395" t="s">
        <v>8929</v>
      </c>
      <c r="AS395">
        <v>0</v>
      </c>
      <c r="AT395" t="s">
        <v>8930</v>
      </c>
      <c r="AU395">
        <v>10</v>
      </c>
      <c r="AV395">
        <v>20080</v>
      </c>
      <c r="AX395">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6"/>
  <sheetViews>
    <sheetView workbookViewId="0">
      <pane ySplit="1" topLeftCell="A601" activePane="bottomLeft" state="frozen"/>
      <selection activeCell="L2" sqref="L2"/>
      <selection pane="bottomLeft" activeCell="L2" sqref="L2"/>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8931</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8662</v>
      </c>
      <c r="C614" s="242" t="s">
        <v>8663</v>
      </c>
      <c r="D614" t="s">
        <v>8663</v>
      </c>
      <c r="E614" t="s">
        <v>329</v>
      </c>
      <c r="F614" t="s">
        <v>329</v>
      </c>
      <c r="G614" t="s">
        <v>8664</v>
      </c>
      <c r="H614" t="s">
        <v>8665</v>
      </c>
      <c r="I614" t="s">
        <v>8666</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8667</v>
      </c>
      <c r="AK614" t="s">
        <v>329</v>
      </c>
      <c r="AL614">
        <v>18</v>
      </c>
      <c r="AM614" t="s">
        <v>4859</v>
      </c>
      <c r="AN614" t="s">
        <v>4985</v>
      </c>
      <c r="AO614" t="s">
        <v>5206</v>
      </c>
      <c r="AP614">
        <v>0</v>
      </c>
      <c r="AQ614" t="s">
        <v>1168</v>
      </c>
      <c r="AR614" t="s">
        <v>1169</v>
      </c>
      <c r="AS614" t="s">
        <v>6972</v>
      </c>
      <c r="AT614" t="s">
        <v>329</v>
      </c>
      <c r="AU614">
        <v>238</v>
      </c>
      <c r="AV614">
        <v>0</v>
      </c>
      <c r="AW614" t="s">
        <v>8668</v>
      </c>
      <c r="AX614" t="s">
        <v>332</v>
      </c>
      <c r="AY614">
        <v>5</v>
      </c>
      <c r="AZ614">
        <v>0</v>
      </c>
      <c r="BA614" t="s">
        <v>329</v>
      </c>
      <c r="BB614" t="s">
        <v>329</v>
      </c>
      <c r="BC614" t="s">
        <v>329</v>
      </c>
      <c r="BD614">
        <v>10403</v>
      </c>
      <c r="BE614">
        <v>0</v>
      </c>
    </row>
    <row r="615" spans="1:57" x14ac:dyDescent="0.25">
      <c r="A615">
        <v>396</v>
      </c>
      <c r="B615" t="s">
        <v>8669</v>
      </c>
      <c r="C615" s="242" t="s">
        <v>8670</v>
      </c>
      <c r="D615" t="s">
        <v>8670</v>
      </c>
      <c r="E615" t="s">
        <v>329</v>
      </c>
      <c r="F615" t="s">
        <v>329</v>
      </c>
      <c r="G615" t="s">
        <v>8671</v>
      </c>
      <c r="H615" t="s">
        <v>8672</v>
      </c>
      <c r="I615" t="s">
        <v>8673</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8674</v>
      </c>
      <c r="AK615" t="s">
        <v>8675</v>
      </c>
      <c r="AL615">
        <v>18</v>
      </c>
      <c r="AM615" t="s">
        <v>4859</v>
      </c>
      <c r="AN615" t="s">
        <v>8676</v>
      </c>
      <c r="AO615" t="s">
        <v>5115</v>
      </c>
      <c r="AP615">
        <v>0</v>
      </c>
      <c r="AQ615" t="s">
        <v>1168</v>
      </c>
      <c r="AR615" t="s">
        <v>1169</v>
      </c>
      <c r="AS615" t="s">
        <v>6972</v>
      </c>
      <c r="AT615" t="s">
        <v>329</v>
      </c>
      <c r="AU615">
        <v>238</v>
      </c>
      <c r="AV615">
        <v>0</v>
      </c>
      <c r="AW615" t="s">
        <v>8668</v>
      </c>
      <c r="AX615" t="s">
        <v>332</v>
      </c>
      <c r="AY615">
        <v>4</v>
      </c>
      <c r="AZ615">
        <v>0</v>
      </c>
      <c r="BA615" t="s">
        <v>329</v>
      </c>
      <c r="BB615" t="s">
        <v>329</v>
      </c>
      <c r="BC615" t="s">
        <v>4770</v>
      </c>
      <c r="BD615">
        <v>10402</v>
      </c>
      <c r="BE615">
        <v>0</v>
      </c>
    </row>
    <row r="616" spans="1:57" x14ac:dyDescent="0.25">
      <c r="A616">
        <v>397</v>
      </c>
      <c r="B616" t="s">
        <v>8677</v>
      </c>
      <c r="C616" s="242" t="s">
        <v>8678</v>
      </c>
      <c r="D616" t="s">
        <v>8678</v>
      </c>
      <c r="E616" t="s">
        <v>329</v>
      </c>
      <c r="F616" t="s">
        <v>329</v>
      </c>
      <c r="G616" t="s">
        <v>8679</v>
      </c>
      <c r="H616" t="s">
        <v>8680</v>
      </c>
      <c r="I616" t="s">
        <v>8681</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8682</v>
      </c>
      <c r="AK616" t="s">
        <v>329</v>
      </c>
      <c r="AL616">
        <v>8</v>
      </c>
      <c r="AM616" t="s">
        <v>4717</v>
      </c>
      <c r="AN616" t="s">
        <v>4729</v>
      </c>
      <c r="AO616" t="s">
        <v>4943</v>
      </c>
      <c r="AP616">
        <v>0</v>
      </c>
      <c r="AQ616" t="s">
        <v>1201</v>
      </c>
      <c r="AR616" t="s">
        <v>1202</v>
      </c>
      <c r="AS616" t="s">
        <v>6973</v>
      </c>
      <c r="AT616" t="s">
        <v>329</v>
      </c>
      <c r="AU616">
        <v>164</v>
      </c>
      <c r="AV616">
        <v>0</v>
      </c>
      <c r="AW616" t="s">
        <v>8668</v>
      </c>
      <c r="AX616" t="s">
        <v>4720</v>
      </c>
      <c r="AY616">
        <v>5</v>
      </c>
      <c r="AZ616">
        <v>0</v>
      </c>
      <c r="BA616" t="s">
        <v>329</v>
      </c>
      <c r="BB616" t="s">
        <v>329</v>
      </c>
      <c r="BC616" t="s">
        <v>4721</v>
      </c>
      <c r="BD616">
        <v>10202</v>
      </c>
      <c r="BE616">
        <v>0</v>
      </c>
    </row>
    <row r="617" spans="1:57" x14ac:dyDescent="0.25">
      <c r="A617">
        <v>398</v>
      </c>
      <c r="B617" t="s">
        <v>8683</v>
      </c>
      <c r="C617" s="242" t="s">
        <v>8684</v>
      </c>
      <c r="D617" t="s">
        <v>8684</v>
      </c>
      <c r="E617" t="s">
        <v>329</v>
      </c>
      <c r="F617" t="s">
        <v>329</v>
      </c>
      <c r="G617" t="s">
        <v>8685</v>
      </c>
      <c r="H617" t="s">
        <v>8686</v>
      </c>
      <c r="I617" t="s">
        <v>8687</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8688</v>
      </c>
      <c r="AK617" t="s">
        <v>8689</v>
      </c>
      <c r="AL617">
        <v>8</v>
      </c>
      <c r="AM617" t="s">
        <v>4717</v>
      </c>
      <c r="AN617" t="s">
        <v>8690</v>
      </c>
      <c r="AO617" t="s">
        <v>5191</v>
      </c>
      <c r="AP617">
        <v>0</v>
      </c>
      <c r="AQ617" t="s">
        <v>1201</v>
      </c>
      <c r="AR617" t="s">
        <v>1202</v>
      </c>
      <c r="AS617" t="s">
        <v>6973</v>
      </c>
      <c r="AT617" t="s">
        <v>329</v>
      </c>
      <c r="AU617">
        <v>164</v>
      </c>
      <c r="AV617">
        <v>0</v>
      </c>
      <c r="AW617" t="s">
        <v>8668</v>
      </c>
      <c r="AX617" t="s">
        <v>4720</v>
      </c>
      <c r="AY617">
        <v>5</v>
      </c>
      <c r="AZ617">
        <v>0</v>
      </c>
      <c r="BA617" t="s">
        <v>329</v>
      </c>
      <c r="BB617" t="s">
        <v>329</v>
      </c>
      <c r="BC617" t="s">
        <v>4721</v>
      </c>
      <c r="BD617">
        <v>10202</v>
      </c>
      <c r="BE617">
        <v>0</v>
      </c>
    </row>
    <row r="618" spans="1:57" x14ac:dyDescent="0.25">
      <c r="A618">
        <v>20131</v>
      </c>
      <c r="B618" t="s">
        <v>8760</v>
      </c>
      <c r="C618" s="242" t="s">
        <v>8805</v>
      </c>
      <c r="D618" t="s">
        <v>8761</v>
      </c>
      <c r="E618" t="s">
        <v>8756</v>
      </c>
      <c r="F618" t="s">
        <v>8757</v>
      </c>
      <c r="G618" t="s">
        <v>8762</v>
      </c>
      <c r="H618" t="s">
        <v>8763</v>
      </c>
      <c r="I618" t="s">
        <v>8764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8765</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8766</v>
      </c>
      <c r="C619" s="242" t="s">
        <v>8806</v>
      </c>
      <c r="D619" t="s">
        <v>8767</v>
      </c>
      <c r="E619" t="s">
        <v>329</v>
      </c>
      <c r="F619" t="s">
        <v>329</v>
      </c>
      <c r="G619" t="s">
        <v>8768</v>
      </c>
      <c r="H619" t="s">
        <v>8769</v>
      </c>
      <c r="I619" t="s">
        <v>8770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8771</v>
      </c>
      <c r="AK619" t="s">
        <v>8772</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8773</v>
      </c>
      <c r="C620" s="242" t="s">
        <v>8774</v>
      </c>
      <c r="D620" t="s">
        <v>8774</v>
      </c>
      <c r="E620" t="s">
        <v>8758</v>
      </c>
      <c r="F620" t="s">
        <v>329</v>
      </c>
      <c r="G620" t="s">
        <v>8775</v>
      </c>
      <c r="H620" t="s">
        <v>8776</v>
      </c>
      <c r="I620" t="s">
        <v>8777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8778</v>
      </c>
      <c r="AK620" t="s">
        <v>1268</v>
      </c>
      <c r="AL620">
        <v>13</v>
      </c>
      <c r="AM620" t="s">
        <v>4763</v>
      </c>
      <c r="AN620" t="s">
        <v>4885</v>
      </c>
      <c r="AO620" t="s">
        <v>4833</v>
      </c>
      <c r="AP620">
        <v>0</v>
      </c>
      <c r="AQ620" t="s">
        <v>1747</v>
      </c>
      <c r="AR620" t="s">
        <v>1142</v>
      </c>
      <c r="AS620" t="s">
        <v>8755</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8779</v>
      </c>
      <c r="C621" s="242" t="s">
        <v>8780</v>
      </c>
      <c r="D621" t="s">
        <v>8780</v>
      </c>
      <c r="E621" t="s">
        <v>8759</v>
      </c>
      <c r="F621" t="s">
        <v>329</v>
      </c>
      <c r="G621" t="s">
        <v>8781</v>
      </c>
      <c r="H621" t="s">
        <v>8782</v>
      </c>
      <c r="I621" t="s">
        <v>8783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8784</v>
      </c>
      <c r="AK621" t="s">
        <v>8785</v>
      </c>
      <c r="AL621">
        <v>13</v>
      </c>
      <c r="AM621" t="s">
        <v>4720</v>
      </c>
      <c r="AN621" t="s">
        <v>4835</v>
      </c>
      <c r="AO621" t="s">
        <v>8786</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8807</v>
      </c>
      <c r="C622" s="242" t="s">
        <v>8808</v>
      </c>
      <c r="D622" t="s">
        <v>8808</v>
      </c>
      <c r="E622" t="s">
        <v>329</v>
      </c>
      <c r="F622" t="s">
        <v>329</v>
      </c>
      <c r="G622" t="s">
        <v>8809</v>
      </c>
      <c r="H622" t="s">
        <v>8810</v>
      </c>
      <c r="I622" t="s">
        <v>8811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8812</v>
      </c>
      <c r="AK622" t="s">
        <v>8813</v>
      </c>
      <c r="AL622">
        <v>17</v>
      </c>
      <c r="AM622" t="s">
        <v>1807</v>
      </c>
      <c r="AN622" t="s">
        <v>8814</v>
      </c>
      <c r="AO622" t="s">
        <v>4876</v>
      </c>
      <c r="AP622">
        <v>0</v>
      </c>
      <c r="AQ622" t="s">
        <v>4743</v>
      </c>
      <c r="AR622" t="s">
        <v>1120</v>
      </c>
      <c r="AS622" t="s">
        <v>1121</v>
      </c>
      <c r="AT622" t="s">
        <v>329</v>
      </c>
      <c r="AU622">
        <v>96</v>
      </c>
      <c r="AV622">
        <v>0</v>
      </c>
      <c r="AW622" t="s">
        <v>8815</v>
      </c>
      <c r="AX622" t="s">
        <v>8816</v>
      </c>
      <c r="AY622">
        <v>5</v>
      </c>
      <c r="AZ622">
        <v>0</v>
      </c>
      <c r="BA622" t="s">
        <v>329</v>
      </c>
      <c r="BB622" t="s">
        <v>329</v>
      </c>
      <c r="BC622" t="s">
        <v>4770</v>
      </c>
      <c r="BD622">
        <v>10402</v>
      </c>
      <c r="BE622">
        <v>0</v>
      </c>
    </row>
    <row r="623" spans="1:57" x14ac:dyDescent="0.25">
      <c r="A623">
        <v>1042</v>
      </c>
      <c r="B623" t="s">
        <v>8830</v>
      </c>
      <c r="C623" s="242" t="s">
        <v>8831</v>
      </c>
      <c r="D623" t="s">
        <v>8831</v>
      </c>
      <c r="E623" t="s">
        <v>329</v>
      </c>
      <c r="F623" t="s">
        <v>329</v>
      </c>
      <c r="G623" t="s">
        <v>8832</v>
      </c>
      <c r="H623" t="s">
        <v>8833</v>
      </c>
      <c r="I623" t="s">
        <v>8834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8835</v>
      </c>
      <c r="AK623" t="s">
        <v>8836</v>
      </c>
      <c r="AL623">
        <v>13</v>
      </c>
      <c r="AM623" t="s">
        <v>1807</v>
      </c>
      <c r="AN623" t="s">
        <v>6981</v>
      </c>
      <c r="AO623" t="s">
        <v>4752</v>
      </c>
      <c r="AP623">
        <v>0</v>
      </c>
      <c r="AQ623" t="s">
        <v>1119</v>
      </c>
      <c r="AR623" t="s">
        <v>1120</v>
      </c>
      <c r="AS623" t="s">
        <v>4762</v>
      </c>
      <c r="AT623" t="s">
        <v>329</v>
      </c>
      <c r="AU623">
        <v>1035</v>
      </c>
      <c r="AV623">
        <v>1</v>
      </c>
      <c r="AW623" t="s">
        <v>8837</v>
      </c>
      <c r="AX623" t="s">
        <v>6941</v>
      </c>
      <c r="AY623">
        <v>7</v>
      </c>
      <c r="AZ623">
        <v>0</v>
      </c>
      <c r="BA623" t="s">
        <v>329</v>
      </c>
      <c r="BB623" t="s">
        <v>329</v>
      </c>
      <c r="BC623" t="s">
        <v>5387</v>
      </c>
      <c r="BD623">
        <v>0</v>
      </c>
      <c r="BE623">
        <v>0</v>
      </c>
    </row>
    <row r="624" spans="1:57" x14ac:dyDescent="0.25">
      <c r="A624">
        <v>1043</v>
      </c>
      <c r="B624" t="s">
        <v>8838</v>
      </c>
      <c r="C624" s="242" t="s">
        <v>8839</v>
      </c>
      <c r="D624" t="s">
        <v>8839</v>
      </c>
      <c r="E624" t="s">
        <v>329</v>
      </c>
      <c r="F624" t="s">
        <v>329</v>
      </c>
      <c r="G624" t="s">
        <v>8840</v>
      </c>
      <c r="H624" t="s">
        <v>8841</v>
      </c>
      <c r="I624" t="s">
        <v>8842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8843</v>
      </c>
      <c r="AK624" t="s">
        <v>8844</v>
      </c>
      <c r="AL624">
        <v>13</v>
      </c>
      <c r="AM624" t="s">
        <v>399</v>
      </c>
      <c r="AN624" t="s">
        <v>5385</v>
      </c>
      <c r="AO624" t="s">
        <v>5259</v>
      </c>
      <c r="AP624">
        <v>0</v>
      </c>
      <c r="AQ624" t="s">
        <v>1131</v>
      </c>
      <c r="AR624" t="s">
        <v>1155</v>
      </c>
      <c r="AS624" t="s">
        <v>1745</v>
      </c>
      <c r="AT624" t="s">
        <v>329</v>
      </c>
      <c r="AU624">
        <v>1007</v>
      </c>
      <c r="AV624">
        <v>1</v>
      </c>
      <c r="AW624" t="s">
        <v>8837</v>
      </c>
      <c r="AX624" t="s">
        <v>8845</v>
      </c>
      <c r="AY624">
        <v>7</v>
      </c>
      <c r="AZ624">
        <v>0</v>
      </c>
      <c r="BA624" t="s">
        <v>329</v>
      </c>
      <c r="BB624" t="s">
        <v>329</v>
      </c>
      <c r="BC624" t="s">
        <v>5387</v>
      </c>
      <c r="BD624">
        <v>0</v>
      </c>
      <c r="BE624">
        <v>0</v>
      </c>
    </row>
    <row r="625" spans="1:57" x14ac:dyDescent="0.25">
      <c r="A625">
        <v>1044</v>
      </c>
      <c r="B625" t="s">
        <v>8846</v>
      </c>
      <c r="C625" s="242" t="s">
        <v>8870</v>
      </c>
      <c r="D625" t="s">
        <v>8847</v>
      </c>
      <c r="E625" t="s">
        <v>329</v>
      </c>
      <c r="F625" t="s">
        <v>329</v>
      </c>
      <c r="G625" t="s">
        <v>8848</v>
      </c>
      <c r="H625" t="s">
        <v>8849</v>
      </c>
      <c r="I625" t="s">
        <v>8850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8851</v>
      </c>
      <c r="AK625" t="s">
        <v>8852</v>
      </c>
      <c r="AL625">
        <v>18</v>
      </c>
      <c r="AM625" t="s">
        <v>4859</v>
      </c>
      <c r="AN625" t="s">
        <v>4938</v>
      </c>
      <c r="AO625" t="s">
        <v>5156</v>
      </c>
      <c r="AP625">
        <v>0</v>
      </c>
      <c r="AQ625" t="s">
        <v>1168</v>
      </c>
      <c r="AR625" t="s">
        <v>4912</v>
      </c>
      <c r="AS625" t="s">
        <v>6972</v>
      </c>
      <c r="AT625" t="s">
        <v>329</v>
      </c>
      <c r="AU625">
        <v>1026</v>
      </c>
      <c r="AV625">
        <v>1</v>
      </c>
      <c r="AW625" t="s">
        <v>8837</v>
      </c>
      <c r="AX625" t="s">
        <v>6757</v>
      </c>
      <c r="AY625">
        <v>7</v>
      </c>
      <c r="AZ625">
        <v>0</v>
      </c>
      <c r="BA625" t="s">
        <v>329</v>
      </c>
      <c r="BB625" t="s">
        <v>329</v>
      </c>
      <c r="BC625" t="s">
        <v>5387</v>
      </c>
      <c r="BD625">
        <v>0</v>
      </c>
      <c r="BE625">
        <v>0</v>
      </c>
    </row>
    <row r="626" spans="1:57" x14ac:dyDescent="0.25">
      <c r="A626">
        <v>20127</v>
      </c>
      <c r="B626" t="s">
        <v>8914</v>
      </c>
      <c r="C626" s="242" t="s">
        <v>8932</v>
      </c>
      <c r="D626" t="s">
        <v>8915</v>
      </c>
      <c r="E626" t="s">
        <v>8912</v>
      </c>
      <c r="F626" t="s">
        <v>8913</v>
      </c>
      <c r="G626" t="s">
        <v>8916</v>
      </c>
      <c r="H626" t="s">
        <v>8917</v>
      </c>
      <c r="I626" t="s">
        <v>8918</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8919</v>
      </c>
      <c r="AK626" t="s">
        <v>8920</v>
      </c>
      <c r="AL626">
        <v>13</v>
      </c>
      <c r="AM626" t="s">
        <v>4791</v>
      </c>
      <c r="AN626" t="s">
        <v>4796</v>
      </c>
      <c r="AO626" t="s">
        <v>8921</v>
      </c>
      <c r="AP626">
        <v>0</v>
      </c>
      <c r="AQ626" t="s">
        <v>1745</v>
      </c>
      <c r="AR626" t="s">
        <v>1744</v>
      </c>
      <c r="AS626" t="s">
        <v>1131</v>
      </c>
      <c r="AT626" t="s">
        <v>329</v>
      </c>
      <c r="AU626">
        <v>127</v>
      </c>
      <c r="AV626">
        <v>0</v>
      </c>
      <c r="AW626" t="s">
        <v>5016</v>
      </c>
      <c r="AX626" t="s">
        <v>5417</v>
      </c>
      <c r="AY626">
        <v>6</v>
      </c>
      <c r="AZ626">
        <v>3127</v>
      </c>
      <c r="BA626" t="s">
        <v>329</v>
      </c>
      <c r="BB626" t="s">
        <v>4953</v>
      </c>
      <c r="BC626" t="s">
        <v>4784</v>
      </c>
      <c r="BD626">
        <v>0</v>
      </c>
      <c r="BE626">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8510</v>
      </c>
      <c r="C10" t="s">
        <v>8511</v>
      </c>
      <c r="D10" t="s">
        <v>8511</v>
      </c>
      <c r="E10" t="s">
        <v>8512</v>
      </c>
      <c r="F10" t="s">
        <v>6785</v>
      </c>
      <c r="G10" t="s">
        <v>4486</v>
      </c>
      <c r="H10" t="s">
        <v>8513</v>
      </c>
      <c r="I10">
        <v>1</v>
      </c>
      <c r="J10">
        <v>1</v>
      </c>
      <c r="K10" t="s">
        <v>973</v>
      </c>
      <c r="L10">
        <v>1</v>
      </c>
      <c r="M10">
        <v>126</v>
      </c>
      <c r="N10" t="s">
        <v>974</v>
      </c>
      <c r="O10">
        <v>10</v>
      </c>
      <c r="P10">
        <v>0</v>
      </c>
      <c r="Q10">
        <v>5</v>
      </c>
      <c r="R10">
        <v>750885</v>
      </c>
      <c r="S10">
        <v>1</v>
      </c>
      <c r="T10">
        <v>750887</v>
      </c>
      <c r="U10">
        <v>750888</v>
      </c>
      <c r="V10">
        <v>750889</v>
      </c>
      <c r="W10" t="s">
        <v>8514</v>
      </c>
      <c r="X10" t="s">
        <v>8515</v>
      </c>
      <c r="Y10" t="s">
        <v>8516</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8517</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8656</v>
      </c>
      <c r="F1" s="323" t="s">
        <v>873</v>
      </c>
      <c r="G1" s="323" t="s">
        <v>876</v>
      </c>
      <c r="H1" s="323" t="s">
        <v>875</v>
      </c>
      <c r="I1" s="323" t="s">
        <v>874</v>
      </c>
      <c r="J1" s="323" t="s">
        <v>877</v>
      </c>
      <c r="K1" s="323" t="s">
        <v>878</v>
      </c>
      <c r="L1" s="323" t="s">
        <v>38</v>
      </c>
      <c r="M1" s="323" t="s">
        <v>879</v>
      </c>
      <c r="N1" s="323" t="s">
        <v>8655</v>
      </c>
      <c r="O1" s="323" t="s">
        <v>8654</v>
      </c>
      <c r="P1" s="323" t="s">
        <v>8653</v>
      </c>
      <c r="Q1" s="323" t="s">
        <v>8652</v>
      </c>
    </row>
    <row r="2" spans="1:17" x14ac:dyDescent="0.25">
      <c r="A2" s="1">
        <v>1001</v>
      </c>
      <c r="B2" s="1" t="s">
        <v>8651</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8650</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8649</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8648</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8647</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8646</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8645</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8644</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8643</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8642</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8641</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8640</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8639</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8638</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8637</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8636</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8635</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8634</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8633</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8632</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8631</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8630</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8629</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8628</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8627</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8626</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8625</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8624</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8623</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8622</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8621</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8620</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8619</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8618</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8617</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8616</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8615</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8614</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8613</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8612</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8611</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8610</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8609</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8608</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8607</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8606</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8605</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8604</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8603</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8602</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8601</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8600</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8599</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8598</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8597</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8596</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8595</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8594</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8593</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8592</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8591</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8590</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8589</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8588</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8587</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8586</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8585</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8584</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8583</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8582</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8581</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8580</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8579</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8578</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8577</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8576</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8575</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8574</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8573</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8572</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8571</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8570</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8569</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8568</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8567</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8566</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8565</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8564</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8563</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8562</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8561</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8560</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8559</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8558</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8557</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8556</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8555</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8554</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8553</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8552</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8518</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8517</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8517</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8517</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8517</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8280</v>
      </c>
      <c r="Y1" s="300"/>
      <c r="Z1" s="300"/>
      <c r="AB1" s="324"/>
      <c r="AC1" s="300" t="s">
        <v>8657</v>
      </c>
      <c r="AD1" s="325"/>
      <c r="AE1" s="325"/>
      <c r="AF1" s="325"/>
      <c r="AG1" s="325"/>
      <c r="AH1" s="325"/>
      <c r="AI1" s="300" t="s">
        <v>8658</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8659</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8728</v>
      </c>
    </row>
    <row r="34" spans="1:6" x14ac:dyDescent="0.25">
      <c r="A34"/>
      <c r="B34" s="9" t="s">
        <v>950</v>
      </c>
      <c r="C34" t="str">
        <f>INDEX($F$34:$F$37,COUNTA(Main!$H$125:$H$127)+1)</f>
        <v>"ally_instance_info": "[]",</v>
      </c>
      <c r="F34" t="s">
        <v>8732</v>
      </c>
    </row>
    <row r="35" spans="1:6" x14ac:dyDescent="0.25">
      <c r="A35"/>
      <c r="B35" s="250" t="s">
        <v>8729</v>
      </c>
      <c r="C35" t="str">
        <f>SUBSTITUTE(C34,"ally1",Main!H125)</f>
        <v>"ally_instance_info": "[]",</v>
      </c>
      <c r="F35" t="s">
        <v>8733</v>
      </c>
    </row>
    <row r="36" spans="1:6" x14ac:dyDescent="0.25">
      <c r="A36"/>
      <c r="B36" s="250" t="s">
        <v>8730</v>
      </c>
      <c r="C36" t="str">
        <f>SUBSTITUTE(C35,"ally2",Main!H126)</f>
        <v>"ally_instance_info": "[]",</v>
      </c>
      <c r="F36" t="s">
        <v>8734</v>
      </c>
    </row>
    <row r="37" spans="1:6" x14ac:dyDescent="0.25">
      <c r="A37"/>
      <c r="B37" s="250" t="s">
        <v>8731</v>
      </c>
      <c r="C37" t="str">
        <f>SUBSTITUTE(C36,"ally3",Main!H127)</f>
        <v>"ally_instance_info": "[]",</v>
      </c>
      <c r="F37" t="s">
        <v>8735</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8519</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8281</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8288</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workbookViewId="0">
      <pane ySplit="1" topLeftCell="A2" activePane="bottomLeft" state="frozen"/>
      <selection activeCell="L2" sqref="L2"/>
      <selection pane="bottomLeft" activeCell="L2" sqref="L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8520</v>
      </c>
    </row>
    <row r="2" spans="1:73" x14ac:dyDescent="0.25">
      <c r="A2" s="9">
        <v>2</v>
      </c>
      <c r="B2" t="s">
        <v>3</v>
      </c>
      <c r="C2" s="9" t="s">
        <v>139</v>
      </c>
      <c r="D2" s="9" t="s">
        <v>74</v>
      </c>
      <c r="E2" s="9" t="s">
        <v>746</v>
      </c>
      <c r="F2" s="9" t="s">
        <v>1660</v>
      </c>
      <c r="G2" s="9" t="s">
        <v>263</v>
      </c>
      <c r="H2" s="9" t="s">
        <v>117</v>
      </c>
      <c r="I2" s="9" t="s">
        <v>751</v>
      </c>
      <c r="J2" s="9" t="s">
        <v>7117</v>
      </c>
      <c r="K2" s="9" t="s">
        <v>752</v>
      </c>
      <c r="L2" t="s">
        <v>7197</v>
      </c>
      <c r="M2" s="9" t="s">
        <v>1153</v>
      </c>
      <c r="N2" s="9" t="s">
        <v>801</v>
      </c>
      <c r="O2" t="s">
        <v>8774</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8806</v>
      </c>
      <c r="H3" s="9" t="s">
        <v>77</v>
      </c>
      <c r="I3" s="9" t="s">
        <v>1688</v>
      </c>
      <c r="J3" s="9" t="s">
        <v>1675</v>
      </c>
      <c r="K3" s="9" t="s">
        <v>1689</v>
      </c>
      <c r="L3" t="s">
        <v>1749</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8663</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8805</v>
      </c>
      <c r="K6" s="9" t="s">
        <v>1642</v>
      </c>
      <c r="L6" t="s">
        <v>8932</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8900</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1622</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213</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8670</v>
      </c>
      <c r="Z12" s="9" t="s">
        <v>205</v>
      </c>
      <c r="AD12" s="9" t="s">
        <v>928</v>
      </c>
      <c r="AE12" t="s">
        <v>4723</v>
      </c>
      <c r="AL12" s="37"/>
      <c r="AU12" t="s">
        <v>6935</v>
      </c>
      <c r="AV12" t="s">
        <v>210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920</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919</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921</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t="s">
        <v>8870</v>
      </c>
      <c r="AD16" s="9" t="s">
        <v>1640</v>
      </c>
      <c r="AE16" t="s">
        <v>6576</v>
      </c>
      <c r="AL16" s="37"/>
      <c r="AM16" s="37"/>
      <c r="AP16" s="37"/>
      <c r="AU16" t="s">
        <v>923</v>
      </c>
      <c r="AV16" t="s">
        <v>916</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918</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8780</v>
      </c>
      <c r="Y18" s="9" t="s">
        <v>787</v>
      </c>
      <c r="Z18" s="9" t="s">
        <v>154</v>
      </c>
      <c r="AD18" s="9" t="s">
        <v>1673</v>
      </c>
      <c r="AE18" s="249" t="s">
        <v>7024</v>
      </c>
      <c r="AU18" t="s">
        <v>913</v>
      </c>
      <c r="AV18" t="s">
        <v>917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t="s">
        <v>8831</v>
      </c>
      <c r="G19" s="9"/>
      <c r="I19" s="9" t="s">
        <v>156</v>
      </c>
      <c r="J19" s="9" t="s">
        <v>1628</v>
      </c>
      <c r="K19" s="9" t="s">
        <v>1646</v>
      </c>
      <c r="N19" s="9" t="s">
        <v>222</v>
      </c>
      <c r="O19" s="9" t="s">
        <v>244</v>
      </c>
      <c r="P19" s="9" t="s">
        <v>185</v>
      </c>
      <c r="T19" s="9" t="s">
        <v>832</v>
      </c>
      <c r="U19" t="s">
        <v>8839</v>
      </c>
      <c r="Y19" s="9" t="s">
        <v>1652</v>
      </c>
      <c r="Z19" s="9" t="s">
        <v>786</v>
      </c>
      <c r="AE19" s="210" t="s">
        <v>3422</v>
      </c>
      <c r="AU19" t="s">
        <v>912</v>
      </c>
      <c r="AV19" t="s">
        <v>7000</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193</v>
      </c>
      <c r="G20" s="9"/>
      <c r="I20" s="9" t="s">
        <v>1623</v>
      </c>
      <c r="J20" s="9" t="s">
        <v>226</v>
      </c>
      <c r="K20" s="9" t="s">
        <v>1653</v>
      </c>
      <c r="N20" s="9" t="s">
        <v>1604</v>
      </c>
      <c r="O20" s="9" t="s">
        <v>833</v>
      </c>
      <c r="P20" s="9" t="s">
        <v>132</v>
      </c>
      <c r="T20" s="9" t="s">
        <v>98</v>
      </c>
      <c r="U20" s="9" t="s">
        <v>124</v>
      </c>
      <c r="Z20" s="9" t="s">
        <v>1663</v>
      </c>
      <c r="AE20" s="210" t="s">
        <v>825</v>
      </c>
      <c r="AU20" t="s">
        <v>5670</v>
      </c>
      <c r="AV20" t="s">
        <v>5746</v>
      </c>
      <c r="AZ20" s="1" t="str">
        <f t="shared" si="2"/>
        <v>Ezaki</v>
      </c>
      <c r="BA20" s="1" t="str">
        <f t="shared" si="3"/>
        <v>Motoko</v>
      </c>
      <c r="BB20" s="1" t="str">
        <f t="shared" si="4"/>
        <v/>
      </c>
      <c r="BC20" s="1" t="str">
        <f t="shared" si="5"/>
        <v>Motoko</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131</v>
      </c>
      <c r="G21" s="9"/>
      <c r="J21" s="9" t="s">
        <v>1612</v>
      </c>
      <c r="K21" s="9" t="s">
        <v>1685</v>
      </c>
      <c r="N21" s="9" t="s">
        <v>119</v>
      </c>
      <c r="O21" s="9" t="s">
        <v>1681</v>
      </c>
      <c r="P21" s="9" t="s">
        <v>821</v>
      </c>
      <c r="T21" s="9" t="s">
        <v>99</v>
      </c>
      <c r="U21" s="9" t="s">
        <v>1187</v>
      </c>
      <c r="Z21" s="9" t="s">
        <v>1678</v>
      </c>
      <c r="AE21" t="s">
        <v>6566</v>
      </c>
      <c r="AU21" t="s">
        <v>5669</v>
      </c>
      <c r="AV21" t="s">
        <v>708</v>
      </c>
      <c r="AZ21" s="1" t="str">
        <f t="shared" si="2"/>
        <v>FAL</v>
      </c>
      <c r="BA21" s="1" t="str">
        <f t="shared" si="3"/>
        <v>Noel</v>
      </c>
      <c r="BB21" s="1" t="str">
        <f t="shared" si="4"/>
        <v/>
      </c>
      <c r="BC21" s="1" t="str">
        <f t="shared" si="5"/>
        <v>Noel</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8808</v>
      </c>
      <c r="J22" s="9" t="s">
        <v>1677</v>
      </c>
      <c r="K22" s="9" t="s">
        <v>141</v>
      </c>
      <c r="N22" s="9" t="s">
        <v>3397</v>
      </c>
      <c r="O22" s="9" t="s">
        <v>92</v>
      </c>
      <c r="P22" s="9" t="s">
        <v>1680</v>
      </c>
      <c r="T22" s="9" t="s">
        <v>22</v>
      </c>
      <c r="U22" s="9" t="s">
        <v>1430</v>
      </c>
      <c r="Z22" s="9" t="s">
        <v>834</v>
      </c>
      <c r="AE22" t="s">
        <v>8678</v>
      </c>
      <c r="AU22" t="s">
        <v>6842</v>
      </c>
      <c r="AV22" t="s">
        <v>709</v>
      </c>
      <c r="AZ22" s="1" t="str">
        <f t="shared" si="2"/>
        <v>G11</v>
      </c>
      <c r="BA22" s="1" t="str">
        <f t="shared" si="3"/>
        <v>NZ75</v>
      </c>
      <c r="BB22" s="1" t="str">
        <f t="shared" si="4"/>
        <v/>
      </c>
      <c r="BC22" s="1" t="str">
        <f t="shared" si="5"/>
        <v>NZ75</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197</v>
      </c>
      <c r="J23" s="9" t="s">
        <v>5775</v>
      </c>
      <c r="K23" s="9" t="s">
        <v>1703</v>
      </c>
      <c r="N23" s="9" t="s">
        <v>218</v>
      </c>
      <c r="O23" s="9" t="s">
        <v>1639</v>
      </c>
      <c r="P23" s="9" t="s">
        <v>1615</v>
      </c>
      <c r="T23" s="9" t="s">
        <v>796</v>
      </c>
      <c r="U23" s="9" t="s">
        <v>735</v>
      </c>
      <c r="Z23" t="s">
        <v>1691</v>
      </c>
      <c r="AE23" t="s">
        <v>8684</v>
      </c>
      <c r="AU23" t="s">
        <v>6936</v>
      </c>
      <c r="AV23" t="s">
        <v>710</v>
      </c>
      <c r="AZ23" s="1" t="str">
        <f t="shared" si="2"/>
        <v>G36Mod</v>
      </c>
      <c r="BA23" s="1" t="str">
        <f t="shared" si="3"/>
        <v>P2000</v>
      </c>
      <c r="BB23" s="1" t="str">
        <f t="shared" si="4"/>
        <v/>
      </c>
      <c r="BC23" s="1" t="str">
        <f t="shared" si="5"/>
        <v>P2000</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1654</v>
      </c>
      <c r="J24" s="9" t="s">
        <v>799</v>
      </c>
      <c r="K24" s="9" t="s">
        <v>1729</v>
      </c>
      <c r="O24" s="9" t="s">
        <v>800</v>
      </c>
      <c r="P24" t="s">
        <v>1394</v>
      </c>
      <c r="T24" s="9" t="s">
        <v>7131</v>
      </c>
      <c r="U24" s="9" t="s">
        <v>824</v>
      </c>
      <c r="Z24" s="9" t="s">
        <v>7016</v>
      </c>
      <c r="AE24" t="s">
        <v>7233</v>
      </c>
      <c r="AQ24" s="9"/>
      <c r="AU24" t="s">
        <v>6937</v>
      </c>
      <c r="AV24" t="s">
        <v>231</v>
      </c>
      <c r="AZ24" s="1" t="str">
        <f t="shared" si="2"/>
        <v>G41</v>
      </c>
      <c r="BA24" s="1" t="str">
        <f t="shared" si="3"/>
        <v>P22</v>
      </c>
      <c r="BB24" s="1" t="str">
        <f t="shared" si="4"/>
        <v/>
      </c>
      <c r="BC24" s="1" t="str">
        <f t="shared" si="5"/>
        <v>P22</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186</v>
      </c>
      <c r="J25" s="9" t="s">
        <v>144</v>
      </c>
      <c r="K25" s="9" t="s">
        <v>1627</v>
      </c>
      <c r="O25" s="9" t="s">
        <v>5699</v>
      </c>
      <c r="P25" t="s">
        <v>8003</v>
      </c>
      <c r="T25" s="9" t="s">
        <v>229</v>
      </c>
      <c r="U25" s="9" t="s">
        <v>223</v>
      </c>
      <c r="Z25" s="9" t="s">
        <v>1668</v>
      </c>
      <c r="AE25" s="9" t="s">
        <v>250</v>
      </c>
      <c r="AQ25" s="9"/>
      <c r="AU25" t="s">
        <v>6938</v>
      </c>
      <c r="AV25" t="s">
        <v>738</v>
      </c>
      <c r="AZ25" s="1" t="str">
        <f t="shared" si="2"/>
        <v>Himeko</v>
      </c>
      <c r="BA25" s="1" t="str">
        <f t="shared" si="3"/>
        <v>PA15</v>
      </c>
      <c r="BB25" s="1" t="str">
        <f t="shared" si="4"/>
        <v/>
      </c>
      <c r="BC25" s="1" t="str">
        <f t="shared" si="5"/>
        <v>PA15</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64</v>
      </c>
      <c r="J26" s="9" t="s">
        <v>829</v>
      </c>
      <c r="K26" s="9" t="s">
        <v>5691</v>
      </c>
      <c r="O26" s="9" t="s">
        <v>243</v>
      </c>
      <c r="P26" s="9" t="s">
        <v>1655</v>
      </c>
      <c r="T26" s="9" t="s">
        <v>1649</v>
      </c>
      <c r="U26" t="s">
        <v>8022</v>
      </c>
      <c r="AE26" s="210" t="s">
        <v>734</v>
      </c>
      <c r="AQ26" s="9"/>
      <c r="AV26" t="s">
        <v>162</v>
      </c>
      <c r="AZ26" s="1" t="str">
        <f t="shared" si="2"/>
        <v>HK416</v>
      </c>
      <c r="BA26" s="1" t="str">
        <f t="shared" si="3"/>
        <v>Px4 Storm</v>
      </c>
      <c r="BB26" s="1" t="str">
        <f t="shared" si="4"/>
        <v/>
      </c>
      <c r="BC26" s="1" t="str">
        <f t="shared" si="5"/>
        <v>Px4 Storm</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t="s">
        <v>5674</v>
      </c>
      <c r="J27" s="9" t="s">
        <v>741</v>
      </c>
      <c r="K27" s="9" t="s">
        <v>127</v>
      </c>
      <c r="O27" s="9" t="s">
        <v>830</v>
      </c>
      <c r="P27" s="9" t="s">
        <v>207</v>
      </c>
      <c r="T27" s="9" t="s">
        <v>1616</v>
      </c>
      <c r="U27" s="9" t="s">
        <v>7009</v>
      </c>
      <c r="AQ27" s="9"/>
      <c r="AV27" t="s">
        <v>5730</v>
      </c>
      <c r="AZ27" s="1" t="str">
        <f t="shared" si="2"/>
        <v>HK433</v>
      </c>
      <c r="BA27" s="1" t="str">
        <f t="shared" si="3"/>
        <v>Python</v>
      </c>
      <c r="BB27" s="1" t="str">
        <f t="shared" si="4"/>
        <v/>
      </c>
      <c r="BC27" s="1" t="str">
        <f t="shared" si="5"/>
        <v>Python</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267</v>
      </c>
      <c r="J28" s="9" t="s">
        <v>24</v>
      </c>
      <c r="K28" s="9" t="s">
        <v>76</v>
      </c>
      <c r="O28" s="9" t="s">
        <v>839</v>
      </c>
      <c r="P28" s="9" t="s">
        <v>249</v>
      </c>
      <c r="T28" s="9" t="s">
        <v>831</v>
      </c>
      <c r="U28" s="9" t="s">
        <v>188</v>
      </c>
      <c r="AV28" t="s">
        <v>252</v>
      </c>
      <c r="AZ28" s="1" t="str">
        <f t="shared" si="2"/>
        <v>Junko</v>
      </c>
      <c r="BA28" s="1" t="str">
        <f t="shared" si="3"/>
        <v>Rhino</v>
      </c>
      <c r="BB28" s="1" t="str">
        <f t="shared" si="4"/>
        <v/>
      </c>
      <c r="BC28" s="1" t="str">
        <f t="shared" si="5"/>
        <v>Rhino</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732</v>
      </c>
      <c r="J29" s="9" t="s">
        <v>23</v>
      </c>
      <c r="K29" s="9" t="s">
        <v>8931</v>
      </c>
      <c r="O29" s="9" t="s">
        <v>172</v>
      </c>
      <c r="P29" t="s">
        <v>236</v>
      </c>
      <c r="T29" s="9" t="s">
        <v>739</v>
      </c>
      <c r="U29" s="9" t="s">
        <v>168</v>
      </c>
      <c r="AV29" t="s">
        <v>137</v>
      </c>
      <c r="AZ29" s="1" t="str">
        <f t="shared" si="2"/>
        <v>K11</v>
      </c>
      <c r="BA29" s="1" t="str">
        <f t="shared" si="3"/>
        <v>SAAMod</v>
      </c>
      <c r="BB29" s="1" t="str">
        <f t="shared" si="4"/>
        <v/>
      </c>
      <c r="BC29" s="1" t="str">
        <f t="shared" si="5"/>
        <v>SAAMod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740</v>
      </c>
      <c r="J30" s="9" t="s">
        <v>123</v>
      </c>
      <c r="K30" s="9" t="s">
        <v>8102</v>
      </c>
      <c r="P30" s="9" t="s">
        <v>818</v>
      </c>
      <c r="T30" s="9" t="s">
        <v>6762</v>
      </c>
      <c r="U30" s="9" t="s">
        <v>1706</v>
      </c>
      <c r="AV30" t="s">
        <v>1626</v>
      </c>
      <c r="AZ30" s="1" t="str">
        <f t="shared" si="2"/>
        <v>K2</v>
      </c>
      <c r="BA30" s="1" t="str">
        <f t="shared" si="3"/>
        <v>Sei</v>
      </c>
      <c r="BB30" s="1" t="str">
        <f t="shared" si="4"/>
        <v/>
      </c>
      <c r="BC30" s="1" t="str">
        <f t="shared" si="5"/>
        <v>Sei</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6975</v>
      </c>
      <c r="J31" t="s">
        <v>5479</v>
      </c>
      <c r="K31" s="9" t="s">
        <v>265</v>
      </c>
      <c r="P31" s="9" t="s">
        <v>6898</v>
      </c>
      <c r="T31" s="9" t="s">
        <v>180</v>
      </c>
      <c r="U31" s="9" t="s">
        <v>257</v>
      </c>
      <c r="AV31" t="s">
        <v>101</v>
      </c>
      <c r="AZ31" s="1" t="str">
        <f t="shared" si="2"/>
        <v>KH2002</v>
      </c>
      <c r="BA31" s="1" t="str">
        <f t="shared" si="3"/>
        <v>StechkinMod</v>
      </c>
      <c r="BB31" s="1" t="str">
        <f t="shared" si="4"/>
        <v/>
      </c>
      <c r="BC31" s="1" t="str">
        <f t="shared" si="5"/>
        <v>StechkinMod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823</v>
      </c>
      <c r="K32" s="9" t="s">
        <v>264</v>
      </c>
      <c r="P32" s="9" t="s">
        <v>795</v>
      </c>
      <c r="U32" s="9" t="s">
        <v>256</v>
      </c>
      <c r="AV32" t="s">
        <v>258</v>
      </c>
      <c r="AZ32" s="1" t="str">
        <f t="shared" si="2"/>
        <v>M4 SOPMOD IIMod</v>
      </c>
      <c r="BA32" s="1" t="str">
        <f t="shared" si="3"/>
        <v>Tae</v>
      </c>
      <c r="BB32" s="1" t="str">
        <f t="shared" si="4"/>
        <v/>
      </c>
      <c r="BC32" s="1" t="str">
        <f t="shared" si="5"/>
        <v>Tae</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793</v>
      </c>
      <c r="K33" s="9" t="s">
        <v>79</v>
      </c>
      <c r="P33" s="9" t="s">
        <v>737</v>
      </c>
      <c r="U33" s="9" t="s">
        <v>179</v>
      </c>
      <c r="AV33" t="s">
        <v>74</v>
      </c>
      <c r="AZ33" s="1" t="str">
        <f t="shared" si="2"/>
        <v>M4A1Mod</v>
      </c>
      <c r="BA33" s="1" t="str">
        <f t="shared" si="3"/>
        <v>Theresa</v>
      </c>
      <c r="BB33" s="1" t="str">
        <f t="shared" si="4"/>
        <v/>
      </c>
      <c r="BC33" s="1" t="str">
        <f t="shared" si="5"/>
        <v>Theresa</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836</v>
      </c>
      <c r="K34" s="9" t="s">
        <v>817</v>
      </c>
      <c r="P34" s="9" t="s">
        <v>814</v>
      </c>
      <c r="U34" t="s">
        <v>1397</v>
      </c>
      <c r="AV34" t="s">
        <v>104</v>
      </c>
      <c r="AZ34" s="1" t="str">
        <f t="shared" si="2"/>
        <v>MDR</v>
      </c>
      <c r="BA34" s="1" t="str">
        <f t="shared" si="3"/>
        <v>Webley</v>
      </c>
      <c r="BB34" s="1" t="str">
        <f t="shared" si="4"/>
        <v/>
      </c>
      <c r="BC34" s="1" t="str">
        <f t="shared" si="5"/>
        <v>Webley</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s="9" t="s">
        <v>1625</v>
      </c>
      <c r="AV35" t="s">
        <v>744</v>
      </c>
      <c r="AZ35" s="1" t="str">
        <f t="shared" si="2"/>
        <v>Medusa</v>
      </c>
      <c r="BA35" s="1" t="str">
        <f t="shared" si="3"/>
        <v>Welrod MkII</v>
      </c>
      <c r="BB35" s="1" t="str">
        <f t="shared" si="4"/>
        <v/>
      </c>
      <c r="BC35" s="1" t="str">
        <f t="shared" si="5"/>
        <v>Welrod MkII</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t="s">
        <v>5708</v>
      </c>
      <c r="AV36" t="s">
        <v>8899</v>
      </c>
      <c r="AZ36" s="1" t="str">
        <f t="shared" si="2"/>
        <v>OTs14</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791</v>
      </c>
      <c r="AV37" t="s">
        <v>3214</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230</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t="s">
        <v>1755</v>
      </c>
      <c r="AV39" t="s">
        <v>746</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794</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748</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749</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718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1642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736</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1605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722</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7168</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25">
      <c r="A52" s="9"/>
      <c r="C52" s="9"/>
      <c r="D52" s="9"/>
      <c r="U52" s="9" t="s">
        <v>807</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25">
      <c r="A53" s="9"/>
      <c r="C53" s="9"/>
      <c r="D53" s="9"/>
      <c r="U53" t="s">
        <v>7216</v>
      </c>
      <c r="AV53" t="s">
        <v>8780</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25">
      <c r="A54" s="9"/>
      <c r="C54" s="9"/>
      <c r="D54" s="9"/>
      <c r="U54" t="s">
        <v>5737</v>
      </c>
      <c r="AV54" t="s">
        <v>8805</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EM2Mod</v>
      </c>
      <c r="BP54" s="1" t="str">
        <f t="shared" si="18"/>
        <v/>
      </c>
      <c r="BQ54" s="1" t="str">
        <f t="shared" si="19"/>
        <v/>
      </c>
      <c r="BR54" s="1" t="str">
        <f t="shared" si="20"/>
        <v/>
      </c>
      <c r="BS54" s="1" t="str">
        <f t="shared" si="21"/>
        <v/>
      </c>
    </row>
    <row r="55" spans="1:73" x14ac:dyDescent="0.25">
      <c r="A55" s="9"/>
      <c r="C55" s="9"/>
      <c r="D55" s="9"/>
      <c r="U55" s="9" t="s">
        <v>169</v>
      </c>
      <c r="AV55" t="s">
        <v>3179</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EVO 3Mod</v>
      </c>
      <c r="BP55" s="1" t="str">
        <f t="shared" si="18"/>
        <v/>
      </c>
      <c r="BQ55" s="1" t="str">
        <f t="shared" si="19"/>
        <v/>
      </c>
      <c r="BR55" s="1" t="str">
        <f t="shared" si="20"/>
        <v/>
      </c>
      <c r="BS55" s="1" t="str">
        <f t="shared" si="21"/>
        <v/>
      </c>
    </row>
    <row r="56" spans="1:73" x14ac:dyDescent="0.25">
      <c r="A56" s="9"/>
      <c r="C56" s="9"/>
      <c r="D56" s="9"/>
      <c r="AV56" t="s">
        <v>8839</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EVO3</v>
      </c>
      <c r="BP56" s="1" t="str">
        <f t="shared" si="18"/>
        <v/>
      </c>
      <c r="BQ56" s="1" t="str">
        <f t="shared" si="19"/>
        <v/>
      </c>
      <c r="BR56" s="1" t="str">
        <f t="shared" si="20"/>
        <v/>
      </c>
      <c r="BS56" s="1" t="str">
        <f t="shared" si="21"/>
        <v/>
      </c>
    </row>
    <row r="57" spans="1:73" x14ac:dyDescent="0.25">
      <c r="A57" s="9"/>
      <c r="C57" s="9"/>
      <c r="D57" s="9"/>
      <c r="AV57" t="s">
        <v>827</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Ezaki</v>
      </c>
      <c r="BP57" s="1" t="str">
        <f t="shared" si="18"/>
        <v/>
      </c>
      <c r="BQ57" s="1" t="str">
        <f t="shared" si="19"/>
        <v/>
      </c>
      <c r="BR57" s="1" t="str">
        <f t="shared" si="20"/>
        <v/>
      </c>
      <c r="BS57" s="1" t="str">
        <f t="shared" si="21"/>
        <v/>
      </c>
    </row>
    <row r="58" spans="1:73" x14ac:dyDescent="0.25">
      <c r="A58" s="9"/>
      <c r="C58" s="9"/>
      <c r="D58" s="9"/>
      <c r="AV58" t="s">
        <v>1184</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F1Mod</v>
      </c>
      <c r="BP58" s="1" t="str">
        <f t="shared" si="18"/>
        <v/>
      </c>
      <c r="BQ58" s="1" t="str">
        <f t="shared" si="19"/>
        <v/>
      </c>
      <c r="BR58" s="1" t="str">
        <f t="shared" si="20"/>
        <v/>
      </c>
      <c r="BS58" s="1" t="str">
        <f t="shared" si="21"/>
        <v/>
      </c>
    </row>
    <row r="59" spans="1:73" x14ac:dyDescent="0.25">
      <c r="A59" s="9"/>
      <c r="C59" s="9"/>
      <c r="D59" s="9"/>
      <c r="AV59" t="s">
        <v>719</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F2000</v>
      </c>
      <c r="BP59" s="1" t="str">
        <f t="shared" si="18"/>
        <v/>
      </c>
      <c r="BQ59" s="1" t="str">
        <f t="shared" si="19"/>
        <v/>
      </c>
      <c r="BR59" s="1" t="str">
        <f t="shared" si="20"/>
        <v/>
      </c>
      <c r="BS59" s="1" t="str">
        <f t="shared" si="21"/>
        <v/>
      </c>
    </row>
    <row r="60" spans="1:73" x14ac:dyDescent="0.25">
      <c r="A60" s="9"/>
      <c r="C60" s="9"/>
      <c r="D60" s="9"/>
      <c r="AV60" t="s">
        <v>8774</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Fail</v>
      </c>
      <c r="BP60" s="1" t="str">
        <f t="shared" si="18"/>
        <v/>
      </c>
      <c r="BQ60" s="1" t="str">
        <f t="shared" si="19"/>
        <v/>
      </c>
      <c r="BR60" s="1" t="str">
        <f t="shared" si="20"/>
        <v/>
      </c>
      <c r="BS60" s="1" t="str">
        <f t="shared" si="21"/>
        <v/>
      </c>
    </row>
    <row r="61" spans="1:73" x14ac:dyDescent="0.25">
      <c r="A61" s="9"/>
      <c r="C61" s="9"/>
      <c r="D61" s="9"/>
      <c r="AV61" t="s">
        <v>711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FalconMod</v>
      </c>
      <c r="BP61" s="1" t="str">
        <f t="shared" si="18"/>
        <v/>
      </c>
      <c r="BQ61" s="1" t="str">
        <f t="shared" si="19"/>
        <v/>
      </c>
      <c r="BR61" s="1" t="str">
        <f t="shared" si="20"/>
        <v/>
      </c>
      <c r="BS61" s="1" t="str">
        <f t="shared" si="21"/>
        <v/>
      </c>
    </row>
    <row r="62" spans="1:73" x14ac:dyDescent="0.25">
      <c r="A62" s="9"/>
      <c r="C62" s="9"/>
      <c r="D62" s="9"/>
      <c r="AV62" t="s">
        <v>125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FAMAS</v>
      </c>
      <c r="BP62" s="1" t="str">
        <f t="shared" si="18"/>
        <v/>
      </c>
      <c r="BQ62" s="1" t="str">
        <f t="shared" si="19"/>
        <v/>
      </c>
      <c r="BR62" s="1" t="str">
        <f t="shared" si="20"/>
        <v/>
      </c>
      <c r="BS62" s="1" t="str">
        <f t="shared" si="21"/>
        <v/>
      </c>
    </row>
    <row r="63" spans="1:73" x14ac:dyDescent="0.25">
      <c r="A63" s="9"/>
      <c r="C63" s="9"/>
      <c r="D63" s="9"/>
      <c r="AV63" t="s">
        <v>1629</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FG42</v>
      </c>
      <c r="BP63" s="1" t="str">
        <f t="shared" si="18"/>
        <v/>
      </c>
      <c r="BQ63" s="1" t="str">
        <f t="shared" si="19"/>
        <v/>
      </c>
      <c r="BR63" s="1" t="str">
        <f t="shared" si="20"/>
        <v/>
      </c>
      <c r="BS63" s="1" t="str">
        <f t="shared" si="21"/>
        <v/>
      </c>
    </row>
    <row r="64" spans="1:73" x14ac:dyDescent="0.25">
      <c r="C64" s="9"/>
      <c r="D64" s="9"/>
      <c r="AV64" t="s">
        <v>1418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Fiveseven</v>
      </c>
      <c r="BP64" s="1" t="str">
        <f t="shared" si="18"/>
        <v/>
      </c>
      <c r="BQ64" s="1" t="str">
        <f t="shared" si="19"/>
        <v/>
      </c>
      <c r="BR64" s="1" t="str">
        <f t="shared" si="20"/>
        <v/>
      </c>
      <c r="BS64" s="1" t="str">
        <f t="shared" si="21"/>
        <v/>
      </c>
    </row>
    <row r="65" spans="3:71" x14ac:dyDescent="0.25">
      <c r="C65" s="9"/>
      <c r="D65" s="9"/>
      <c r="AV65" t="s">
        <v>1637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FN49Mod</v>
      </c>
      <c r="BP65" s="1" t="str">
        <f t="shared" si="18"/>
        <v/>
      </c>
      <c r="BQ65" s="1" t="str">
        <f t="shared" si="19"/>
        <v/>
      </c>
      <c r="BR65" s="1" t="str">
        <f t="shared" si="20"/>
        <v/>
      </c>
      <c r="BS65" s="1" t="str">
        <f t="shared" si="21"/>
        <v/>
      </c>
    </row>
    <row r="66" spans="3:71" x14ac:dyDescent="0.25">
      <c r="C66" s="9"/>
      <c r="D66" s="9"/>
      <c r="AV66" t="s">
        <v>1448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FP6</v>
      </c>
      <c r="BP66" s="1" t="str">
        <f t="shared" si="18"/>
        <v/>
      </c>
      <c r="BQ66" s="1" t="str">
        <f t="shared" si="19"/>
        <v/>
      </c>
      <c r="BR66" s="1" t="str">
        <f t="shared" si="20"/>
        <v/>
      </c>
      <c r="BS66" s="1" t="str">
        <f t="shared" si="21"/>
        <v/>
      </c>
    </row>
    <row r="67" spans="3:71" x14ac:dyDescent="0.25">
      <c r="C67" s="9"/>
      <c r="D67" s="9"/>
      <c r="AV67" t="s">
        <v>75</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G11Mod</v>
      </c>
      <c r="BP67" s="1" t="str">
        <f t="shared" si="18"/>
        <v/>
      </c>
      <c r="BQ67" s="1" t="str">
        <f t="shared" si="19"/>
        <v/>
      </c>
      <c r="BR67" s="1" t="str">
        <f t="shared" si="20"/>
        <v/>
      </c>
      <c r="BS67" s="1" t="str">
        <f t="shared" si="21"/>
        <v/>
      </c>
    </row>
    <row r="68" spans="3:71" x14ac:dyDescent="0.25">
      <c r="D68" s="9"/>
      <c r="AV68" t="s">
        <v>1749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G17</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1430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G36CMod</v>
      </c>
      <c r="BP69" s="1" t="str">
        <f t="shared" si="38"/>
        <v/>
      </c>
      <c r="BQ69" s="1" t="str">
        <f t="shared" si="39"/>
        <v/>
      </c>
      <c r="BR69" s="1" t="str">
        <f t="shared" si="40"/>
        <v/>
      </c>
      <c r="BS69" s="1" t="str">
        <f t="shared" si="41"/>
        <v/>
      </c>
    </row>
    <row r="70" spans="3:71" x14ac:dyDescent="0.25">
      <c r="D70" s="9"/>
      <c r="AV70" t="s">
        <v>8882</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G36Mod</v>
      </c>
      <c r="BP70" s="1" t="str">
        <f t="shared" si="38"/>
        <v/>
      </c>
      <c r="BQ70" s="1" t="str">
        <f t="shared" si="39"/>
        <v/>
      </c>
      <c r="BR70" s="1" t="str">
        <f t="shared" si="40"/>
        <v/>
      </c>
      <c r="BS70" s="1" t="str">
        <f t="shared" si="41"/>
        <v/>
      </c>
    </row>
    <row r="71" spans="3:71" x14ac:dyDescent="0.25">
      <c r="AV71" t="s">
        <v>1428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G36ModGZ</v>
      </c>
      <c r="BP71" s="1" t="str">
        <f t="shared" si="38"/>
        <v/>
      </c>
      <c r="BQ71" s="1" t="str">
        <f t="shared" si="39"/>
        <v/>
      </c>
      <c r="BR71" s="1" t="str">
        <f t="shared" si="40"/>
        <v/>
      </c>
      <c r="BS71" s="1" t="str">
        <f t="shared" si="41"/>
        <v/>
      </c>
    </row>
    <row r="72" spans="3:71" x14ac:dyDescent="0.25">
      <c r="AV72" t="s">
        <v>8723</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G3Mod</v>
      </c>
      <c r="BP72" s="1" t="str">
        <f t="shared" si="38"/>
        <v/>
      </c>
      <c r="BQ72" s="1" t="str">
        <f t="shared" si="39"/>
        <v/>
      </c>
      <c r="BR72" s="1" t="str">
        <f t="shared" si="40"/>
        <v/>
      </c>
      <c r="BS72" s="1" t="str">
        <f t="shared" si="41"/>
        <v/>
      </c>
    </row>
    <row r="73" spans="3:71" x14ac:dyDescent="0.25">
      <c r="AV73" t="s">
        <v>735</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G3ModGZ</v>
      </c>
      <c r="BP73" s="1" t="str">
        <f t="shared" si="38"/>
        <v/>
      </c>
      <c r="BQ73" s="1" t="str">
        <f t="shared" si="39"/>
        <v/>
      </c>
      <c r="BR73" s="1" t="str">
        <f t="shared" si="40"/>
        <v/>
      </c>
      <c r="BS73" s="1" t="str">
        <f t="shared" si="41"/>
        <v/>
      </c>
    </row>
    <row r="74" spans="3:71" x14ac:dyDescent="0.25">
      <c r="AV74" t="s">
        <v>94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G41</v>
      </c>
      <c r="BP74" s="1" t="str">
        <f t="shared" si="38"/>
        <v/>
      </c>
      <c r="BQ74" s="1" t="str">
        <f t="shared" si="39"/>
        <v/>
      </c>
      <c r="BR74" s="1" t="str">
        <f t="shared" si="40"/>
        <v/>
      </c>
      <c r="BS74" s="1" t="str">
        <f t="shared" si="41"/>
        <v/>
      </c>
    </row>
    <row r="75" spans="3:71" x14ac:dyDescent="0.25">
      <c r="AV75" t="s">
        <v>832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G43</v>
      </c>
      <c r="BP75" s="1" t="str">
        <f t="shared" si="38"/>
        <v/>
      </c>
      <c r="BQ75" s="1" t="str">
        <f t="shared" si="39"/>
        <v/>
      </c>
      <c r="BR75" s="1" t="str">
        <f t="shared" si="40"/>
        <v/>
      </c>
      <c r="BS75" s="1" t="str">
        <f t="shared" si="41"/>
        <v/>
      </c>
    </row>
    <row r="76" spans="3:71" x14ac:dyDescent="0.25">
      <c r="AV76" t="s">
        <v>1756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Galil Mod</v>
      </c>
      <c r="BP76" s="1" t="str">
        <f t="shared" si="38"/>
        <v/>
      </c>
      <c r="BQ76" s="1" t="str">
        <f t="shared" si="39"/>
        <v/>
      </c>
      <c r="BR76" s="1" t="str">
        <f t="shared" si="40"/>
        <v/>
      </c>
      <c r="BS76" s="1" t="str">
        <f t="shared" si="41"/>
        <v/>
      </c>
    </row>
    <row r="77" spans="3:71" x14ac:dyDescent="0.25">
      <c r="AV77" t="s">
        <v>120</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Gepard M1Mod</v>
      </c>
      <c r="BP77" s="1" t="str">
        <f t="shared" si="38"/>
        <v/>
      </c>
      <c r="BQ77" s="1" t="str">
        <f t="shared" si="39"/>
        <v/>
      </c>
      <c r="BR77" s="1" t="str">
        <f t="shared" si="40"/>
        <v/>
      </c>
      <c r="BS77" s="1" t="str">
        <f t="shared" si="41"/>
        <v/>
      </c>
    </row>
    <row r="78" spans="3:71" x14ac:dyDescent="0.25">
      <c r="AV78" t="s">
        <v>1686</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Grizzly</v>
      </c>
      <c r="BP78" s="1" t="str">
        <f t="shared" si="38"/>
        <v/>
      </c>
      <c r="BQ78" s="1" t="str">
        <f t="shared" si="39"/>
        <v/>
      </c>
      <c r="BR78" s="1" t="str">
        <f t="shared" si="40"/>
        <v/>
      </c>
      <c r="BS78" s="1" t="str">
        <f t="shared" si="41"/>
        <v/>
      </c>
    </row>
    <row r="79" spans="3:71" x14ac:dyDescent="0.25">
      <c r="AV79" t="s">
        <v>248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GSh18Mod</v>
      </c>
      <c r="BP79" s="1" t="str">
        <f t="shared" si="38"/>
        <v/>
      </c>
      <c r="BQ79" s="1" t="str">
        <f t="shared" si="39"/>
        <v/>
      </c>
      <c r="BR79" s="1" t="str">
        <f t="shared" si="40"/>
        <v/>
      </c>
      <c r="BS79" s="1" t="str">
        <f t="shared" si="41"/>
        <v/>
      </c>
    </row>
    <row r="80" spans="3:71" x14ac:dyDescent="0.25">
      <c r="AV80" t="s">
        <v>223</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Henrietta</v>
      </c>
      <c r="BP80" s="1" t="str">
        <f t="shared" si="38"/>
        <v/>
      </c>
      <c r="BQ80" s="1" t="str">
        <f t="shared" si="39"/>
        <v/>
      </c>
      <c r="BR80" s="1" t="str">
        <f t="shared" si="40"/>
        <v/>
      </c>
      <c r="BS80" s="1" t="str">
        <f t="shared" si="41"/>
        <v/>
      </c>
    </row>
    <row r="81" spans="48:71" x14ac:dyDescent="0.25">
      <c r="AV81" t="s">
        <v>259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HK416</v>
      </c>
      <c r="BP81" s="1" t="str">
        <f t="shared" si="38"/>
        <v/>
      </c>
      <c r="BQ81" s="1" t="str">
        <f t="shared" si="39"/>
        <v/>
      </c>
      <c r="BR81" s="1" t="str">
        <f t="shared" si="40"/>
        <v/>
      </c>
      <c r="BS81" s="1" t="str">
        <f t="shared" si="41"/>
        <v/>
      </c>
    </row>
    <row r="82" spans="48:71" x14ac:dyDescent="0.25">
      <c r="AV82" t="s">
        <v>8119</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HK416Mod</v>
      </c>
      <c r="BP82" s="1" t="str">
        <f t="shared" si="38"/>
        <v/>
      </c>
      <c r="BQ82" s="1" t="str">
        <f t="shared" si="39"/>
        <v/>
      </c>
      <c r="BR82" s="1" t="str">
        <f t="shared" si="40"/>
        <v/>
      </c>
      <c r="BS82" s="1" t="str">
        <f t="shared" si="41"/>
        <v/>
      </c>
    </row>
    <row r="83" spans="48:71" x14ac:dyDescent="0.25">
      <c r="AV83" t="s">
        <v>1720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HK416ModGZ</v>
      </c>
      <c r="BP83" s="1" t="str">
        <f t="shared" si="38"/>
        <v/>
      </c>
      <c r="BQ83" s="1" t="str">
        <f t="shared" si="39"/>
        <v/>
      </c>
      <c r="BR83" s="1" t="str">
        <f t="shared" si="40"/>
        <v/>
      </c>
      <c r="BS83" s="1" t="str">
        <f t="shared" si="41"/>
        <v/>
      </c>
    </row>
    <row r="84" spans="48:71" x14ac:dyDescent="0.25">
      <c r="AV84" t="s">
        <v>262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Honey Badger</v>
      </c>
      <c r="BP84" s="1" t="str">
        <f t="shared" si="38"/>
        <v/>
      </c>
      <c r="BQ84" s="1" t="str">
        <f t="shared" si="39"/>
        <v/>
      </c>
      <c r="BR84" s="1" t="str">
        <f t="shared" si="40"/>
        <v/>
      </c>
      <c r="BS84" s="1" t="str">
        <f t="shared" si="41"/>
        <v/>
      </c>
    </row>
    <row r="85" spans="48:71" x14ac:dyDescent="0.25">
      <c r="AV85" t="s">
        <v>78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IDWMod</v>
      </c>
      <c r="BP85" s="1" t="str">
        <f t="shared" si="38"/>
        <v/>
      </c>
      <c r="BQ85" s="1" t="str">
        <f t="shared" si="39"/>
        <v/>
      </c>
      <c r="BR85" s="1" t="str">
        <f t="shared" si="40"/>
        <v/>
      </c>
      <c r="BS85" s="1" t="str">
        <f t="shared" si="41"/>
        <v/>
      </c>
    </row>
    <row r="86" spans="48:71" x14ac:dyDescent="0.25">
      <c r="AV86" t="s">
        <v>1692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Ingram</v>
      </c>
      <c r="BP86" s="1" t="str">
        <f t="shared" si="38"/>
        <v/>
      </c>
      <c r="BQ86" s="1" t="str">
        <f t="shared" si="39"/>
        <v/>
      </c>
      <c r="BR86" s="1" t="str">
        <f t="shared" si="40"/>
        <v/>
      </c>
      <c r="BS86" s="1" t="str">
        <f t="shared" si="41"/>
        <v/>
      </c>
    </row>
    <row r="87" spans="48:71" x14ac:dyDescent="0.25">
      <c r="AV87" t="s">
        <v>192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Jashin</v>
      </c>
      <c r="BP87" s="1" t="str">
        <f t="shared" si="38"/>
        <v/>
      </c>
      <c r="BQ87" s="1" t="str">
        <f t="shared" si="39"/>
        <v/>
      </c>
      <c r="BR87" s="1" t="str">
        <f t="shared" si="40"/>
        <v/>
      </c>
      <c r="BS87" s="1" t="str">
        <f t="shared" si="41"/>
        <v/>
      </c>
    </row>
    <row r="88" spans="48:71" x14ac:dyDescent="0.25">
      <c r="AV88" t="s">
        <v>756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Jericho</v>
      </c>
      <c r="BP88" s="1" t="str">
        <f t="shared" si="38"/>
        <v/>
      </c>
      <c r="BQ88" s="1" t="str">
        <f t="shared" si="39"/>
        <v/>
      </c>
      <c r="BR88" s="1" t="str">
        <f t="shared" si="40"/>
        <v/>
      </c>
      <c r="BS88" s="1" t="str">
        <f t="shared" si="41"/>
        <v/>
      </c>
    </row>
    <row r="89" spans="48:71" x14ac:dyDescent="0.25">
      <c r="AV89" t="s">
        <v>759</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JillAdelhyde1</v>
      </c>
      <c r="BP89" s="1" t="str">
        <f t="shared" si="38"/>
        <v/>
      </c>
      <c r="BQ89" s="1" t="str">
        <f t="shared" si="39"/>
        <v/>
      </c>
      <c r="BR89" s="1" t="str">
        <f t="shared" si="40"/>
        <v/>
      </c>
      <c r="BS89" s="1" t="str">
        <f t="shared" si="41"/>
        <v/>
      </c>
    </row>
    <row r="90" spans="48:71" x14ac:dyDescent="0.25">
      <c r="AV90" t="s">
        <v>760</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JillAdelhyde2</v>
      </c>
      <c r="BP90" s="1" t="str">
        <f t="shared" si="38"/>
        <v/>
      </c>
      <c r="BQ90" s="1" t="str">
        <f t="shared" si="39"/>
        <v/>
      </c>
      <c r="BR90" s="1" t="str">
        <f t="shared" si="40"/>
        <v/>
      </c>
      <c r="BS90" s="1" t="str">
        <f t="shared" si="41"/>
        <v/>
      </c>
    </row>
    <row r="91" spans="48:71" x14ac:dyDescent="0.25">
      <c r="AV91" t="s">
        <v>757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JillBronsonExtract</v>
      </c>
      <c r="BP91" s="1" t="str">
        <f t="shared" si="38"/>
        <v/>
      </c>
      <c r="BQ91" s="1" t="str">
        <f t="shared" si="39"/>
        <v/>
      </c>
      <c r="BR91" s="1" t="str">
        <f t="shared" si="40"/>
        <v/>
      </c>
      <c r="BS91" s="1" t="str">
        <f t="shared" si="41"/>
        <v/>
      </c>
    </row>
    <row r="92" spans="48:71" x14ac:dyDescent="0.25">
      <c r="AV92" t="s">
        <v>755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JillFlanergide</v>
      </c>
      <c r="BP92" s="1" t="str">
        <f t="shared" si="38"/>
        <v/>
      </c>
      <c r="BQ92" s="1" t="str">
        <f t="shared" si="39"/>
        <v/>
      </c>
      <c r="BR92" s="1" t="str">
        <f t="shared" si="40"/>
        <v/>
      </c>
      <c r="BS92" s="1" t="str">
        <f t="shared" si="41"/>
        <v/>
      </c>
    </row>
    <row r="93" spans="48:71" x14ac:dyDescent="0.25">
      <c r="AV93" t="s">
        <v>758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JillKarmotrine1</v>
      </c>
      <c r="BP93" s="1" t="str">
        <f t="shared" si="38"/>
        <v/>
      </c>
      <c r="BQ93" s="1" t="str">
        <f t="shared" si="39"/>
        <v/>
      </c>
      <c r="BR93" s="1" t="str">
        <f t="shared" si="40"/>
        <v/>
      </c>
      <c r="BS93" s="1" t="str">
        <f t="shared" si="41"/>
        <v/>
      </c>
    </row>
    <row r="94" spans="48:71" x14ac:dyDescent="0.25">
      <c r="AV94" t="s">
        <v>761</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JillKarmotrine2</v>
      </c>
      <c r="BP94" s="1" t="str">
        <f t="shared" si="38"/>
        <v/>
      </c>
      <c r="BQ94" s="1" t="str">
        <f t="shared" si="39"/>
        <v/>
      </c>
      <c r="BR94" s="1" t="str">
        <f t="shared" si="40"/>
        <v/>
      </c>
      <c r="BS94" s="1" t="str">
        <f t="shared" si="41"/>
        <v/>
      </c>
    </row>
    <row r="95" spans="48:71" x14ac:dyDescent="0.25">
      <c r="AV95" t="s">
        <v>842</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JillKarmotrine3</v>
      </c>
      <c r="BP95" s="1" t="str">
        <f t="shared" si="38"/>
        <v/>
      </c>
      <c r="BQ95" s="1" t="str">
        <f t="shared" si="39"/>
        <v/>
      </c>
      <c r="BR95" s="1" t="str">
        <f t="shared" si="40"/>
        <v/>
      </c>
      <c r="BS95" s="1" t="str">
        <f t="shared" si="41"/>
        <v/>
      </c>
    </row>
    <row r="96" spans="48:71" x14ac:dyDescent="0.25">
      <c r="AV96" t="s">
        <v>7009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JillPowderedDelta</v>
      </c>
      <c r="BP96" s="1" t="str">
        <f t="shared" si="38"/>
        <v/>
      </c>
      <c r="BQ96" s="1" t="str">
        <f t="shared" si="39"/>
        <v/>
      </c>
      <c r="BR96" s="1" t="str">
        <f t="shared" si="40"/>
        <v/>
      </c>
      <c r="BS96" s="1" t="str">
        <f t="shared" si="41"/>
        <v/>
      </c>
    </row>
    <row r="97" spans="48:71" x14ac:dyDescent="0.25">
      <c r="AV97" t="s">
        <v>188</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Junko</v>
      </c>
      <c r="BP97" s="1" t="str">
        <f t="shared" si="38"/>
        <v/>
      </c>
      <c r="BQ97" s="1" t="str">
        <f t="shared" si="39"/>
        <v/>
      </c>
      <c r="BR97" s="1" t="str">
        <f t="shared" si="40"/>
        <v/>
      </c>
      <c r="BS97" s="1" t="str">
        <f t="shared" si="41"/>
        <v/>
      </c>
    </row>
    <row r="98" spans="48:71" x14ac:dyDescent="0.25">
      <c r="AV98" t="s">
        <v>168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K11</v>
      </c>
      <c r="BP98" s="1" t="str">
        <f t="shared" si="38"/>
        <v/>
      </c>
      <c r="BQ98" s="1" t="str">
        <f t="shared" si="39"/>
        <v/>
      </c>
      <c r="BR98" s="1" t="str">
        <f t="shared" si="40"/>
        <v/>
      </c>
      <c r="BS98" s="1" t="str">
        <f t="shared" si="41"/>
        <v/>
      </c>
    </row>
    <row r="99" spans="48:71" x14ac:dyDescent="0.25">
      <c r="AV99" t="s">
        <v>191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K2</v>
      </c>
      <c r="BP99" s="1" t="str">
        <f t="shared" si="38"/>
        <v/>
      </c>
      <c r="BQ99" s="1" t="str">
        <f t="shared" si="39"/>
        <v/>
      </c>
      <c r="BR99" s="1" t="str">
        <f t="shared" si="40"/>
        <v/>
      </c>
      <c r="BS99" s="1" t="str">
        <f t="shared" si="41"/>
        <v/>
      </c>
    </row>
    <row r="100" spans="48:71" x14ac:dyDescent="0.25">
      <c r="AV100" t="s">
        <v>7153</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K31</v>
      </c>
      <c r="BP100" s="1" t="str">
        <f t="shared" si="38"/>
        <v/>
      </c>
      <c r="BQ100" s="1" t="str">
        <f t="shared" si="39"/>
        <v/>
      </c>
      <c r="BR100" s="1" t="str">
        <f t="shared" si="40"/>
        <v/>
      </c>
      <c r="BS100" s="1" t="str">
        <f t="shared" si="41"/>
        <v/>
      </c>
    </row>
    <row r="101" spans="48:71" x14ac:dyDescent="0.25">
      <c r="AV101" t="s">
        <v>93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K5Mod</v>
      </c>
      <c r="BP101" s="1" t="str">
        <f t="shared" si="38"/>
        <v/>
      </c>
      <c r="BQ101" s="1" t="str">
        <f t="shared" si="39"/>
        <v/>
      </c>
      <c r="BR101" s="1" t="str">
        <f t="shared" si="40"/>
        <v/>
      </c>
      <c r="BS101" s="1" t="str">
        <f t="shared" si="41"/>
        <v/>
      </c>
    </row>
    <row r="102" spans="48:71" x14ac:dyDescent="0.25">
      <c r="AV102" t="s">
        <v>6760</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Kar98k</v>
      </c>
      <c r="BP102" s="1" t="str">
        <f t="shared" si="38"/>
        <v/>
      </c>
      <c r="BQ102" s="1" t="str">
        <f t="shared" si="39"/>
        <v/>
      </c>
      <c r="BR102" s="1" t="str">
        <f t="shared" si="40"/>
        <v/>
      </c>
      <c r="BS102" s="1" t="str">
        <f t="shared" si="41"/>
        <v/>
      </c>
    </row>
    <row r="103" spans="48:71" x14ac:dyDescent="0.25">
      <c r="AV103" t="s">
        <v>723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Kar98kmod</v>
      </c>
      <c r="BP103" s="1" t="str">
        <f t="shared" si="38"/>
        <v/>
      </c>
      <c r="BQ103" s="1" t="str">
        <f t="shared" si="39"/>
        <v/>
      </c>
      <c r="BR103" s="1" t="str">
        <f t="shared" si="40"/>
        <v/>
      </c>
      <c r="BS103" s="1" t="str">
        <f t="shared" si="41"/>
        <v/>
      </c>
    </row>
    <row r="104" spans="48:71" x14ac:dyDescent="0.25">
      <c r="AV104" t="s">
        <v>266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KS23</v>
      </c>
      <c r="BP104" s="1" t="str">
        <f t="shared" si="38"/>
        <v/>
      </c>
      <c r="BQ104" s="1" t="str">
        <f t="shared" si="39"/>
        <v/>
      </c>
      <c r="BR104" s="1" t="str">
        <f t="shared" si="40"/>
        <v/>
      </c>
      <c r="BS104" s="1" t="str">
        <f t="shared" si="41"/>
        <v/>
      </c>
    </row>
    <row r="105" spans="48:71" x14ac:dyDescent="0.25">
      <c r="AV105" t="s">
        <v>103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KSVKMod</v>
      </c>
      <c r="BP105" s="1" t="str">
        <f t="shared" si="38"/>
        <v/>
      </c>
      <c r="BQ105" s="1" t="str">
        <f t="shared" si="39"/>
        <v/>
      </c>
      <c r="BR105" s="1" t="str">
        <f t="shared" si="40"/>
        <v/>
      </c>
      <c r="BS105" s="1" t="str">
        <f t="shared" si="41"/>
        <v/>
      </c>
    </row>
    <row r="106" spans="48:71" x14ac:dyDescent="0.25">
      <c r="AV106" t="s">
        <v>96</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L85A1</v>
      </c>
      <c r="BP106" s="1" t="str">
        <f t="shared" si="38"/>
        <v/>
      </c>
      <c r="BQ106" s="1" t="str">
        <f t="shared" si="39"/>
        <v/>
      </c>
      <c r="BR106" s="1" t="str">
        <f t="shared" si="40"/>
        <v/>
      </c>
      <c r="BS106" s="1" t="str">
        <f t="shared" si="41"/>
        <v/>
      </c>
    </row>
    <row r="107" spans="48:71" x14ac:dyDescent="0.25">
      <c r="AV107" t="s">
        <v>6761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Lee Enfield</v>
      </c>
      <c r="BP107" s="1" t="str">
        <f t="shared" si="38"/>
        <v/>
      </c>
      <c r="BQ107" s="1" t="str">
        <f t="shared" si="39"/>
        <v/>
      </c>
      <c r="BR107" s="1" t="str">
        <f t="shared" si="40"/>
        <v/>
      </c>
      <c r="BS107" s="1" t="str">
        <f t="shared" si="41"/>
        <v/>
      </c>
    </row>
    <row r="108" spans="48:71" x14ac:dyDescent="0.25">
      <c r="AV108" t="s">
        <v>217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Lee Enfieldmod</v>
      </c>
      <c r="BP108" s="1" t="str">
        <f t="shared" si="38"/>
        <v/>
      </c>
      <c r="BQ108" s="1" t="str">
        <f t="shared" si="39"/>
        <v/>
      </c>
      <c r="BR108" s="1" t="str">
        <f t="shared" si="40"/>
        <v/>
      </c>
      <c r="BS108" s="1" t="str">
        <f t="shared" si="41"/>
        <v/>
      </c>
    </row>
    <row r="109" spans="48:71" x14ac:dyDescent="0.25">
      <c r="AV109" t="s">
        <v>6985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Liberator</v>
      </c>
      <c r="BP109" s="1" t="str">
        <f t="shared" si="38"/>
        <v/>
      </c>
      <c r="BQ109" s="1" t="str">
        <f t="shared" si="39"/>
        <v/>
      </c>
      <c r="BR109" s="1" t="str">
        <f t="shared" si="40"/>
        <v/>
      </c>
      <c r="BS109" s="1" t="str">
        <f t="shared" si="41"/>
        <v/>
      </c>
    </row>
    <row r="110" spans="48:71" x14ac:dyDescent="0.25">
      <c r="AV110" t="s">
        <v>261</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Lily</v>
      </c>
      <c r="BP110" s="1" t="str">
        <f t="shared" si="38"/>
        <v/>
      </c>
      <c r="BQ110" s="1" t="str">
        <f t="shared" si="39"/>
        <v/>
      </c>
      <c r="BR110" s="1" t="str">
        <f t="shared" si="40"/>
        <v/>
      </c>
      <c r="BS110" s="1" t="str">
        <f t="shared" si="41"/>
        <v/>
      </c>
    </row>
    <row r="111" spans="48:71" x14ac:dyDescent="0.25">
      <c r="AV111" t="s">
        <v>8829</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LWMMGMod</v>
      </c>
      <c r="BP111" s="1" t="str">
        <f t="shared" si="38"/>
        <v/>
      </c>
      <c r="BQ111" s="1" t="str">
        <f t="shared" si="39"/>
        <v/>
      </c>
      <c r="BR111" s="1" t="str">
        <f t="shared" si="40"/>
        <v/>
      </c>
      <c r="BS111" s="1" t="str">
        <f t="shared" si="41"/>
        <v/>
      </c>
    </row>
    <row r="112" spans="48:71" x14ac:dyDescent="0.25">
      <c r="AV112" t="s">
        <v>86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LWMMGModGZ</v>
      </c>
      <c r="BP112" s="1" t="str">
        <f t="shared" si="38"/>
        <v/>
      </c>
      <c r="BQ112" s="1" t="str">
        <f t="shared" si="39"/>
        <v/>
      </c>
      <c r="BR112" s="1" t="str">
        <f t="shared" si="40"/>
        <v/>
      </c>
      <c r="BS112" s="1" t="str">
        <f t="shared" si="41"/>
        <v/>
      </c>
    </row>
    <row r="113" spans="48:71" x14ac:dyDescent="0.25">
      <c r="AV113" t="s">
        <v>255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 Garand</v>
      </c>
      <c r="BP113" s="1" t="str">
        <f t="shared" si="38"/>
        <v/>
      </c>
      <c r="BQ113" s="1" t="str">
        <f t="shared" si="39"/>
        <v/>
      </c>
      <c r="BR113" s="1" t="str">
        <f t="shared" si="40"/>
        <v/>
      </c>
      <c r="BS113" s="1" t="str">
        <f t="shared" si="41"/>
        <v/>
      </c>
    </row>
    <row r="114" spans="48:71" x14ac:dyDescent="0.25">
      <c r="AV114" t="s">
        <v>98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M14Mod</v>
      </c>
      <c r="BP114" s="1" t="str">
        <f t="shared" si="38"/>
        <v/>
      </c>
      <c r="BQ114" s="1" t="str">
        <f t="shared" si="39"/>
        <v/>
      </c>
      <c r="BR114" s="1" t="str">
        <f t="shared" si="40"/>
        <v/>
      </c>
      <c r="BS114" s="1" t="str">
        <f t="shared" si="41"/>
        <v/>
      </c>
    </row>
    <row r="115" spans="48:71" x14ac:dyDescent="0.25">
      <c r="AV115" t="s">
        <v>145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M16A1</v>
      </c>
      <c r="BP115" s="1" t="str">
        <f t="shared" si="38"/>
        <v/>
      </c>
      <c r="BQ115" s="1" t="str">
        <f t="shared" si="39"/>
        <v/>
      </c>
      <c r="BR115" s="1" t="str">
        <f t="shared" si="40"/>
        <v/>
      </c>
      <c r="BS115" s="1" t="str">
        <f t="shared" si="41"/>
        <v/>
      </c>
    </row>
    <row r="116" spans="48:71" x14ac:dyDescent="0.25">
      <c r="AV116" t="s">
        <v>785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M1887</v>
      </c>
      <c r="BP116" s="1" t="str">
        <f t="shared" si="38"/>
        <v/>
      </c>
      <c r="BQ116" s="1" t="str">
        <f t="shared" si="39"/>
        <v/>
      </c>
      <c r="BR116" s="1" t="str">
        <f t="shared" si="40"/>
        <v/>
      </c>
      <c r="BS116" s="1" t="str">
        <f t="shared" si="41"/>
        <v/>
      </c>
    </row>
    <row r="117" spans="48:71" x14ac:dyDescent="0.25">
      <c r="AV117" t="s">
        <v>725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M1895Mod</v>
      </c>
      <c r="BP117" s="1" t="str">
        <f t="shared" si="38"/>
        <v/>
      </c>
      <c r="BQ117" s="1" t="str">
        <f t="shared" si="39"/>
        <v/>
      </c>
      <c r="BR117" s="1" t="str">
        <f t="shared" si="40"/>
        <v/>
      </c>
      <c r="BS117" s="1" t="str">
        <f t="shared" si="41"/>
        <v/>
      </c>
    </row>
    <row r="118" spans="48:71" x14ac:dyDescent="0.25">
      <c r="AV118" t="s">
        <v>253</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M1897Mod</v>
      </c>
      <c r="BP118" s="1" t="str">
        <f t="shared" si="38"/>
        <v/>
      </c>
      <c r="BQ118" s="1" t="str">
        <f t="shared" si="39"/>
        <v/>
      </c>
      <c r="BR118" s="1" t="str">
        <f t="shared" si="40"/>
        <v/>
      </c>
      <c r="BS118" s="1" t="str">
        <f t="shared" si="41"/>
        <v/>
      </c>
    </row>
    <row r="119" spans="48:71" x14ac:dyDescent="0.25">
      <c r="AV119" t="s">
        <v>8724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M1911Mod</v>
      </c>
      <c r="BP119" s="1" t="str">
        <f t="shared" si="38"/>
        <v/>
      </c>
      <c r="BQ119" s="1" t="str">
        <f t="shared" si="39"/>
        <v/>
      </c>
      <c r="BR119" s="1" t="str">
        <f t="shared" si="40"/>
        <v/>
      </c>
      <c r="BS119" s="1" t="str">
        <f t="shared" si="41"/>
        <v/>
      </c>
    </row>
    <row r="120" spans="48:71" x14ac:dyDescent="0.25">
      <c r="AV120" t="s">
        <v>105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M1911ModGZ</v>
      </c>
      <c r="BP120" s="1" t="str">
        <f t="shared" si="38"/>
        <v/>
      </c>
      <c r="BQ120" s="1" t="str">
        <f t="shared" si="39"/>
        <v/>
      </c>
      <c r="BR120" s="1" t="str">
        <f t="shared" si="40"/>
        <v/>
      </c>
      <c r="BS120" s="1" t="str">
        <f t="shared" si="41"/>
        <v/>
      </c>
    </row>
    <row r="121" spans="48:71" x14ac:dyDescent="0.25">
      <c r="AV121" t="s">
        <v>260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M1918</v>
      </c>
      <c r="BP121" s="1" t="str">
        <f t="shared" si="38"/>
        <v/>
      </c>
      <c r="BQ121" s="1" t="str">
        <f t="shared" si="39"/>
        <v/>
      </c>
      <c r="BR121" s="1" t="str">
        <f t="shared" si="40"/>
        <v/>
      </c>
      <c r="BS121" s="1" t="str">
        <f t="shared" si="41"/>
        <v/>
      </c>
    </row>
    <row r="122" spans="48:71" x14ac:dyDescent="0.25">
      <c r="AV122" t="s">
        <v>7307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M1918Mod</v>
      </c>
      <c r="BP122" s="1" t="str">
        <f t="shared" si="38"/>
        <v/>
      </c>
      <c r="BQ122" s="1" t="str">
        <f t="shared" si="39"/>
        <v/>
      </c>
      <c r="BR122" s="1" t="str">
        <f t="shared" si="40"/>
        <v/>
      </c>
      <c r="BS122" s="1" t="str">
        <f t="shared" si="41"/>
        <v/>
      </c>
    </row>
    <row r="123" spans="48:71" x14ac:dyDescent="0.25">
      <c r="AV123" t="s">
        <v>107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M1918Ranking</v>
      </c>
      <c r="BP123" s="1" t="str">
        <f t="shared" si="38"/>
        <v/>
      </c>
      <c r="BQ123" s="1" t="str">
        <f t="shared" si="39"/>
        <v/>
      </c>
      <c r="BR123" s="1" t="str">
        <f t="shared" si="40"/>
        <v/>
      </c>
      <c r="BS123" s="1" t="str">
        <f t="shared" si="41"/>
        <v/>
      </c>
    </row>
    <row r="124" spans="48:71" x14ac:dyDescent="0.25">
      <c r="AV124" t="s">
        <v>7146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M1919A4</v>
      </c>
      <c r="BP124" s="1" t="str">
        <f t="shared" si="38"/>
        <v/>
      </c>
      <c r="BQ124" s="1" t="str">
        <f t="shared" si="39"/>
        <v/>
      </c>
      <c r="BR124" s="1" t="str">
        <f t="shared" si="40"/>
        <v/>
      </c>
      <c r="BS124" s="1" t="str">
        <f t="shared" si="41"/>
        <v/>
      </c>
    </row>
    <row r="125" spans="48:71" x14ac:dyDescent="0.25">
      <c r="AV125" t="s">
        <v>8339</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M1919A4Mod</v>
      </c>
      <c r="BP125" s="1" t="str">
        <f t="shared" si="38"/>
        <v/>
      </c>
      <c r="BQ125" s="1" t="str">
        <f t="shared" si="39"/>
        <v/>
      </c>
      <c r="BR125" s="1" t="str">
        <f t="shared" si="40"/>
        <v/>
      </c>
      <c r="BS125" s="1" t="str">
        <f t="shared" si="41"/>
        <v/>
      </c>
    </row>
    <row r="126" spans="48:71" x14ac:dyDescent="0.25">
      <c r="AV126" t="s">
        <v>789</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M1919A4ModGZ</v>
      </c>
      <c r="BP126" s="1" t="str">
        <f t="shared" si="38"/>
        <v/>
      </c>
      <c r="BQ126" s="1" t="str">
        <f t="shared" si="39"/>
        <v/>
      </c>
      <c r="BR126" s="1" t="str">
        <f t="shared" si="40"/>
        <v/>
      </c>
      <c r="BS126" s="1" t="str">
        <f t="shared" si="41"/>
        <v/>
      </c>
    </row>
    <row r="127" spans="48:71" x14ac:dyDescent="0.25">
      <c r="AV127" t="s">
        <v>89</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M1A1</v>
      </c>
      <c r="BP127" s="1" t="str">
        <f t="shared" si="38"/>
        <v/>
      </c>
      <c r="BQ127" s="1" t="str">
        <f t="shared" si="39"/>
        <v/>
      </c>
      <c r="BR127" s="1" t="str">
        <f t="shared" si="40"/>
        <v/>
      </c>
      <c r="BS127" s="1" t="str">
        <f t="shared" si="41"/>
        <v/>
      </c>
    </row>
    <row r="128" spans="48:71" x14ac:dyDescent="0.25">
      <c r="AV128" t="s">
        <v>1172</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M21</v>
      </c>
      <c r="BP128" s="1" t="str">
        <f t="shared" si="38"/>
        <v/>
      </c>
      <c r="BQ128" s="1" t="str">
        <f t="shared" si="39"/>
        <v/>
      </c>
      <c r="BR128" s="1" t="str">
        <f t="shared" si="40"/>
        <v/>
      </c>
      <c r="BS128" s="1" t="str">
        <f t="shared" si="41"/>
        <v/>
      </c>
    </row>
    <row r="129" spans="48:71" x14ac:dyDescent="0.25">
      <c r="AV129" t="s">
        <v>77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M249SAW</v>
      </c>
      <c r="BP129" s="1" t="str">
        <f t="shared" si="38"/>
        <v/>
      </c>
      <c r="BQ129" s="1" t="str">
        <f t="shared" si="39"/>
        <v/>
      </c>
      <c r="BR129" s="1" t="str">
        <f t="shared" si="40"/>
        <v/>
      </c>
      <c r="BS129" s="1" t="str">
        <f t="shared" si="41"/>
        <v/>
      </c>
    </row>
    <row r="130" spans="48:71" x14ac:dyDescent="0.25">
      <c r="AV130" t="s">
        <v>147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M3</v>
      </c>
      <c r="BP130" s="1" t="str">
        <f t="shared" si="38"/>
        <v/>
      </c>
      <c r="BQ130" s="1" t="str">
        <f t="shared" si="39"/>
        <v/>
      </c>
      <c r="BR130" s="1" t="str">
        <f t="shared" si="40"/>
        <v/>
      </c>
      <c r="BS130" s="1" t="str">
        <f t="shared" si="41"/>
        <v/>
      </c>
    </row>
    <row r="131" spans="48:71" x14ac:dyDescent="0.25">
      <c r="AV131" t="s">
        <v>715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M37</v>
      </c>
      <c r="BP131" s="1" t="str">
        <f t="shared" si="38"/>
        <v/>
      </c>
      <c r="BQ131" s="1" t="str">
        <f t="shared" si="39"/>
        <v/>
      </c>
      <c r="BR131" s="1" t="str">
        <f t="shared" si="40"/>
        <v/>
      </c>
      <c r="BS131" s="1" t="str">
        <f t="shared" si="41"/>
        <v/>
      </c>
    </row>
    <row r="132" spans="48:71" x14ac:dyDescent="0.25">
      <c r="AV132" t="s">
        <v>257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M38Mod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256</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M4 SOPMOD IIMod</v>
      </c>
      <c r="BP133" s="1" t="str">
        <f t="shared" si="58"/>
        <v/>
      </c>
      <c r="BQ133" s="1" t="str">
        <f t="shared" si="59"/>
        <v/>
      </c>
      <c r="BR133" s="1" t="str">
        <f t="shared" si="60"/>
        <v/>
      </c>
      <c r="BS133" s="1" t="str">
        <f t="shared" si="61"/>
        <v/>
      </c>
    </row>
    <row r="134" spans="48:71" x14ac:dyDescent="0.25">
      <c r="AV134" t="s">
        <v>716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M4A1Mod</v>
      </c>
      <c r="BP134" s="1" t="str">
        <f t="shared" si="58"/>
        <v/>
      </c>
      <c r="BQ134" s="1" t="str">
        <f t="shared" si="59"/>
        <v/>
      </c>
      <c r="BR134" s="1" t="str">
        <f t="shared" si="60"/>
        <v/>
      </c>
      <c r="BS134" s="1" t="str">
        <f t="shared" si="61"/>
        <v/>
      </c>
    </row>
    <row r="135" spans="48:71" x14ac:dyDescent="0.25">
      <c r="AV135" t="s">
        <v>812</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M500Mod</v>
      </c>
      <c r="BP135" s="1" t="str">
        <f t="shared" si="58"/>
        <v/>
      </c>
      <c r="BQ135" s="1" t="str">
        <f t="shared" si="59"/>
        <v/>
      </c>
      <c r="BR135" s="1" t="str">
        <f t="shared" si="60"/>
        <v/>
      </c>
      <c r="BS135" s="1" t="str">
        <f t="shared" si="61"/>
        <v/>
      </c>
    </row>
    <row r="136" spans="48:71" x14ac:dyDescent="0.25">
      <c r="AV136" t="s">
        <v>185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M6 ASW</v>
      </c>
      <c r="BP136" s="1" t="str">
        <f t="shared" si="58"/>
        <v/>
      </c>
      <c r="BQ136" s="1" t="str">
        <f t="shared" si="59"/>
        <v/>
      </c>
      <c r="BR136" s="1" t="str">
        <f t="shared" si="60"/>
        <v/>
      </c>
      <c r="BS136" s="1" t="str">
        <f t="shared" si="61"/>
        <v/>
      </c>
    </row>
    <row r="137" spans="48:71" x14ac:dyDescent="0.25">
      <c r="AV137" t="s">
        <v>5633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M82A1</v>
      </c>
      <c r="BP137" s="1" t="str">
        <f t="shared" si="58"/>
        <v/>
      </c>
      <c r="BQ137" s="1" t="str">
        <f t="shared" si="59"/>
        <v/>
      </c>
      <c r="BR137" s="1" t="str">
        <f t="shared" si="60"/>
        <v/>
      </c>
      <c r="BS137" s="1" t="str">
        <f t="shared" si="61"/>
        <v/>
      </c>
    </row>
    <row r="138" spans="48:71" x14ac:dyDescent="0.25">
      <c r="AV138" t="s">
        <v>63</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M870</v>
      </c>
      <c r="BP138" s="1" t="str">
        <f t="shared" si="58"/>
        <v/>
      </c>
      <c r="BQ138" s="1" t="str">
        <f t="shared" si="59"/>
        <v/>
      </c>
      <c r="BR138" s="1" t="str">
        <f t="shared" si="60"/>
        <v/>
      </c>
      <c r="BS138" s="1" t="str">
        <f t="shared" si="61"/>
        <v/>
      </c>
    </row>
    <row r="139" spans="48:71" x14ac:dyDescent="0.25">
      <c r="AV139" t="s">
        <v>263</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M9</v>
      </c>
      <c r="BP139" s="1" t="str">
        <f t="shared" si="58"/>
        <v/>
      </c>
      <c r="BQ139" s="1" t="str">
        <f t="shared" si="59"/>
        <v/>
      </c>
      <c r="BR139" s="1" t="str">
        <f t="shared" si="60"/>
        <v/>
      </c>
      <c r="BS139" s="1" t="str">
        <f t="shared" si="61"/>
        <v/>
      </c>
    </row>
    <row r="140" spans="48:71" x14ac:dyDescent="0.25">
      <c r="AV140" t="s">
        <v>8828</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M950AMod</v>
      </c>
      <c r="BP140" s="1" t="str">
        <f t="shared" si="58"/>
        <v/>
      </c>
      <c r="BQ140" s="1" t="str">
        <f t="shared" si="59"/>
        <v/>
      </c>
      <c r="BR140" s="1" t="str">
        <f t="shared" si="60"/>
        <v/>
      </c>
      <c r="BS140" s="1" t="str">
        <f t="shared" si="61"/>
        <v/>
      </c>
    </row>
    <row r="141" spans="48:71" x14ac:dyDescent="0.25">
      <c r="AV141" t="s">
        <v>68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M950AModGZ</v>
      </c>
      <c r="BP141" s="1" t="str">
        <f t="shared" si="58"/>
        <v/>
      </c>
      <c r="BQ141" s="1" t="str">
        <f t="shared" si="59"/>
        <v/>
      </c>
      <c r="BR141" s="1" t="str">
        <f t="shared" si="60"/>
        <v/>
      </c>
      <c r="BS141" s="1" t="str">
        <f t="shared" si="61"/>
        <v/>
      </c>
    </row>
    <row r="142" spans="48:71" x14ac:dyDescent="0.25">
      <c r="AV142" t="s">
        <v>938</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Makarov</v>
      </c>
      <c r="BP142" s="1" t="str">
        <f t="shared" si="58"/>
        <v/>
      </c>
      <c r="BQ142" s="1" t="str">
        <f t="shared" si="59"/>
        <v/>
      </c>
      <c r="BR142" s="1" t="str">
        <f t="shared" si="60"/>
        <v/>
      </c>
      <c r="BS142" s="1" t="str">
        <f t="shared" si="61"/>
        <v/>
      </c>
    </row>
    <row r="143" spans="48:71" x14ac:dyDescent="0.25">
      <c r="AV143" t="s">
        <v>8128</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MakarovMod</v>
      </c>
      <c r="BP143" s="1" t="str">
        <f t="shared" si="58"/>
        <v/>
      </c>
      <c r="BQ143" s="1" t="str">
        <f t="shared" si="59"/>
        <v/>
      </c>
      <c r="BR143" s="1" t="str">
        <f t="shared" si="60"/>
        <v/>
      </c>
      <c r="BS143" s="1" t="str">
        <f t="shared" si="61"/>
        <v/>
      </c>
    </row>
    <row r="144" spans="48:71" x14ac:dyDescent="0.25">
      <c r="AV144" t="s">
        <v>179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MakarovModGZ</v>
      </c>
      <c r="BP144" s="1" t="str">
        <f t="shared" si="58"/>
        <v/>
      </c>
      <c r="BQ144" s="1" t="str">
        <f t="shared" si="59"/>
        <v/>
      </c>
      <c r="BR144" s="1" t="str">
        <f t="shared" si="60"/>
        <v/>
      </c>
      <c r="BS144" s="1" t="str">
        <f t="shared" si="61"/>
        <v/>
      </c>
    </row>
    <row r="145" spans="48:71" x14ac:dyDescent="0.25">
      <c r="AV145" t="s">
        <v>1397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MDR</v>
      </c>
      <c r="BP145" s="1" t="str">
        <f t="shared" si="58"/>
        <v/>
      </c>
      <c r="BQ145" s="1" t="str">
        <f t="shared" si="59"/>
        <v/>
      </c>
      <c r="BR145" s="1" t="str">
        <f t="shared" si="60"/>
        <v/>
      </c>
      <c r="BS145" s="1" t="str">
        <f t="shared" si="61"/>
        <v/>
      </c>
    </row>
    <row r="146" spans="48:71" x14ac:dyDescent="0.25">
      <c r="AV146" t="s">
        <v>114</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Medusa</v>
      </c>
      <c r="BP146" s="1" t="str">
        <f t="shared" si="58"/>
        <v/>
      </c>
      <c r="BQ146" s="1" t="str">
        <f t="shared" si="59"/>
        <v/>
      </c>
      <c r="BR146" s="1" t="str">
        <f t="shared" si="60"/>
        <v/>
      </c>
      <c r="BS146" s="1" t="str">
        <f t="shared" si="61"/>
        <v/>
      </c>
    </row>
    <row r="147" spans="48:71" x14ac:dyDescent="0.25">
      <c r="AV147" t="s">
        <v>6475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MG3</v>
      </c>
      <c r="BP147" s="1" t="str">
        <f t="shared" si="58"/>
        <v/>
      </c>
      <c r="BQ147" s="1" t="str">
        <f t="shared" si="59"/>
        <v/>
      </c>
      <c r="BR147" s="1" t="str">
        <f t="shared" si="60"/>
        <v/>
      </c>
      <c r="BS147" s="1" t="str">
        <f t="shared" si="61"/>
        <v/>
      </c>
    </row>
    <row r="148" spans="48:71" x14ac:dyDescent="0.25">
      <c r="AV148" t="s">
        <v>8531</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MG3Mod</v>
      </c>
      <c r="BP148" s="1" t="str">
        <f t="shared" si="58"/>
        <v/>
      </c>
      <c r="BQ148" s="1" t="str">
        <f t="shared" si="59"/>
        <v/>
      </c>
      <c r="BR148" s="1" t="str">
        <f t="shared" si="60"/>
        <v/>
      </c>
      <c r="BS148" s="1" t="str">
        <f t="shared" si="61"/>
        <v/>
      </c>
    </row>
    <row r="149" spans="48:71" x14ac:dyDescent="0.25">
      <c r="AV149" t="s">
        <v>300</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MG3ModGZ</v>
      </c>
      <c r="BP149" s="1" t="str">
        <f t="shared" si="58"/>
        <v/>
      </c>
      <c r="BQ149" s="1" t="str">
        <f t="shared" si="59"/>
        <v/>
      </c>
      <c r="BR149" s="1" t="str">
        <f t="shared" si="60"/>
        <v/>
      </c>
      <c r="BS149" s="1" t="str">
        <f t="shared" si="61"/>
        <v/>
      </c>
    </row>
    <row r="150" spans="48:71" x14ac:dyDescent="0.25">
      <c r="AV150" t="s">
        <v>112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v>
      </c>
      <c r="BP150" s="1" t="str">
        <f t="shared" si="58"/>
        <v/>
      </c>
      <c r="BQ150" s="1" t="str">
        <f t="shared" si="59"/>
        <v/>
      </c>
      <c r="BR150" s="1" t="str">
        <f t="shared" si="60"/>
        <v/>
      </c>
      <c r="BS150" s="1" t="str">
        <f t="shared" si="61"/>
        <v/>
      </c>
    </row>
    <row r="151" spans="48:71" x14ac:dyDescent="0.25">
      <c r="AV151" t="s">
        <v>927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MG42</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MG4Mod</v>
      </c>
      <c r="BP152" s="1" t="str">
        <f t="shared" si="58"/>
        <v/>
      </c>
      <c r="BQ152" s="1" t="str">
        <f t="shared" si="59"/>
        <v/>
      </c>
      <c r="BR152" s="1" t="str">
        <f t="shared" si="60"/>
        <v/>
      </c>
      <c r="BS152" s="1" t="str">
        <f t="shared" si="61"/>
        <v/>
      </c>
    </row>
    <row r="153" spans="48:71" x14ac:dyDescent="0.25">
      <c r="AV153" t="s">
        <v>301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MG4ModGZ</v>
      </c>
      <c r="BP153" s="1" t="str">
        <f t="shared" si="58"/>
        <v/>
      </c>
      <c r="BQ153" s="1" t="str">
        <f t="shared" si="59"/>
        <v/>
      </c>
      <c r="BR153" s="1" t="str">
        <f t="shared" si="60"/>
        <v/>
      </c>
      <c r="BS153" s="1" t="str">
        <f t="shared" si="61"/>
        <v/>
      </c>
    </row>
    <row r="154" spans="48:71" x14ac:dyDescent="0.25">
      <c r="AV154" t="s">
        <v>254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MG5</v>
      </c>
      <c r="BP154" s="1" t="str">
        <f t="shared" si="58"/>
        <v/>
      </c>
      <c r="BQ154" s="1" t="str">
        <f t="shared" si="59"/>
        <v/>
      </c>
      <c r="BR154" s="1" t="str">
        <f t="shared" si="60"/>
        <v/>
      </c>
      <c r="BS154" s="1" t="str">
        <f t="shared" si="61"/>
        <v/>
      </c>
    </row>
    <row r="155" spans="48:71" x14ac:dyDescent="0.25">
      <c r="AV155" t="s">
        <v>1401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Micro UziMod</v>
      </c>
      <c r="BP155" s="1" t="str">
        <f t="shared" si="58"/>
        <v/>
      </c>
      <c r="BQ155" s="1" t="str">
        <f t="shared" si="59"/>
        <v/>
      </c>
      <c r="BR155" s="1" t="str">
        <f t="shared" si="60"/>
        <v/>
      </c>
      <c r="BS155" s="1" t="str">
        <f t="shared" si="61"/>
        <v/>
      </c>
    </row>
    <row r="156" spans="48:71" x14ac:dyDescent="0.25">
      <c r="AV156" t="s">
        <v>8870</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Minos</v>
      </c>
      <c r="BP156" s="1" t="str">
        <f t="shared" si="58"/>
        <v/>
      </c>
      <c r="BQ156" s="1" t="str">
        <f t="shared" si="59"/>
        <v/>
      </c>
      <c r="BR156" s="1" t="str">
        <f t="shared" si="60"/>
        <v/>
      </c>
      <c r="BS156" s="1" t="str">
        <f t="shared" si="61"/>
        <v/>
      </c>
    </row>
    <row r="157" spans="48:71" x14ac:dyDescent="0.25">
      <c r="AV157" t="s">
        <v>1179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Mizukane</v>
      </c>
      <c r="BP157" s="1" t="str">
        <f t="shared" si="58"/>
        <v/>
      </c>
      <c r="BQ157" s="1" t="str">
        <f t="shared" si="59"/>
        <v/>
      </c>
      <c r="BR157" s="1" t="str">
        <f t="shared" si="60"/>
        <v/>
      </c>
      <c r="BS157" s="1" t="str">
        <f t="shared" si="61"/>
        <v/>
      </c>
    </row>
    <row r="158" spans="48:71" x14ac:dyDescent="0.25">
      <c r="AV158" t="s">
        <v>806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Mk23</v>
      </c>
      <c r="BP158" s="1" t="str">
        <f t="shared" si="58"/>
        <v/>
      </c>
      <c r="BQ158" s="1" t="str">
        <f t="shared" si="59"/>
        <v/>
      </c>
      <c r="BR158" s="1" t="str">
        <f t="shared" si="60"/>
        <v/>
      </c>
      <c r="BS158" s="1" t="str">
        <f t="shared" si="61"/>
        <v/>
      </c>
    </row>
    <row r="159" spans="48:71" x14ac:dyDescent="0.25">
      <c r="AV159" t="s">
        <v>729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MondragonM1908</v>
      </c>
      <c r="BP159" s="1" t="str">
        <f t="shared" si="58"/>
        <v/>
      </c>
      <c r="BQ159" s="1" t="str">
        <f t="shared" si="59"/>
        <v/>
      </c>
      <c r="BR159" s="1" t="str">
        <f t="shared" si="60"/>
        <v/>
      </c>
      <c r="BS159" s="1" t="str">
        <f t="shared" si="61"/>
        <v/>
      </c>
    </row>
    <row r="160" spans="48:71" x14ac:dyDescent="0.25">
      <c r="AV160" t="s">
        <v>1680</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MosinNagant</v>
      </c>
      <c r="BP160" s="1" t="str">
        <f t="shared" si="58"/>
        <v/>
      </c>
      <c r="BQ160" s="1" t="str">
        <f t="shared" si="59"/>
        <v/>
      </c>
      <c r="BR160" s="1" t="str">
        <f t="shared" si="60"/>
        <v/>
      </c>
      <c r="BS160" s="1" t="str">
        <f t="shared" si="61"/>
        <v/>
      </c>
    </row>
    <row r="161" spans="48:71" x14ac:dyDescent="0.25">
      <c r="AV161" t="s">
        <v>8122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MosinNagantMod</v>
      </c>
      <c r="BP161" s="1" t="str">
        <f t="shared" si="58"/>
        <v/>
      </c>
      <c r="BQ161" s="1" t="str">
        <f t="shared" si="59"/>
        <v/>
      </c>
      <c r="BR161" s="1" t="str">
        <f t="shared" si="60"/>
        <v/>
      </c>
      <c r="BS161" s="1" t="str">
        <f t="shared" si="61"/>
        <v/>
      </c>
    </row>
    <row r="162" spans="48:71" x14ac:dyDescent="0.25">
      <c r="AV162" t="s">
        <v>8831</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MosinNagantModGZ</v>
      </c>
      <c r="BP162" s="1" t="str">
        <f t="shared" si="58"/>
        <v/>
      </c>
      <c r="BQ162" s="1" t="str">
        <f t="shared" si="59"/>
        <v/>
      </c>
      <c r="BR162" s="1" t="str">
        <f t="shared" si="60"/>
        <v/>
      </c>
      <c r="BS162" s="1" t="str">
        <f t="shared" si="61"/>
        <v/>
      </c>
    </row>
    <row r="163" spans="48:71" x14ac:dyDescent="0.25">
      <c r="AV163" t="s">
        <v>1754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Motoko</v>
      </c>
      <c r="BP163" s="1" t="str">
        <f t="shared" si="58"/>
        <v/>
      </c>
      <c r="BQ163" s="1" t="str">
        <f t="shared" si="59"/>
        <v/>
      </c>
      <c r="BR163" s="1" t="str">
        <f t="shared" si="60"/>
        <v/>
      </c>
      <c r="BS163" s="1" t="str">
        <f t="shared" si="61"/>
        <v/>
      </c>
    </row>
    <row r="164" spans="48:71" x14ac:dyDescent="0.25">
      <c r="AV164" t="s">
        <v>1684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MP443Mod</v>
      </c>
      <c r="BP164" s="1" t="str">
        <f t="shared" si="58"/>
        <v/>
      </c>
      <c r="BQ164" s="1" t="str">
        <f t="shared" si="59"/>
        <v/>
      </c>
      <c r="BR164" s="1" t="str">
        <f t="shared" si="60"/>
        <v/>
      </c>
      <c r="BS164" s="1" t="str">
        <f t="shared" si="61"/>
        <v/>
      </c>
    </row>
    <row r="165" spans="48:71" x14ac:dyDescent="0.25">
      <c r="AV165" t="s">
        <v>730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MP446Mod</v>
      </c>
      <c r="BP165" s="1" t="str">
        <f t="shared" si="58"/>
        <v/>
      </c>
      <c r="BQ165" s="1" t="str">
        <f t="shared" si="59"/>
        <v/>
      </c>
      <c r="BR165" s="1" t="str">
        <f t="shared" si="60"/>
        <v/>
      </c>
      <c r="BS165" s="1" t="str">
        <f t="shared" si="61"/>
        <v/>
      </c>
    </row>
    <row r="166" spans="48:71" x14ac:dyDescent="0.25">
      <c r="AV166" t="s">
        <v>1410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MP5</v>
      </c>
      <c r="BP166" s="1" t="str">
        <f t="shared" si="58"/>
        <v/>
      </c>
      <c r="BQ166" s="1" t="str">
        <f t="shared" si="59"/>
        <v/>
      </c>
      <c r="BR166" s="1" t="str">
        <f t="shared" si="60"/>
        <v/>
      </c>
      <c r="BS166" s="1" t="str">
        <f t="shared" si="61"/>
        <v/>
      </c>
    </row>
    <row r="167" spans="48:71" x14ac:dyDescent="0.25">
      <c r="AV167" t="s">
        <v>8126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MP5Mod</v>
      </c>
      <c r="BP167" s="1" t="str">
        <f t="shared" si="58"/>
        <v/>
      </c>
      <c r="BQ167" s="1" t="str">
        <f t="shared" si="59"/>
        <v/>
      </c>
      <c r="BR167" s="1" t="str">
        <f t="shared" si="60"/>
        <v/>
      </c>
      <c r="BS167" s="1" t="str">
        <f t="shared" si="61"/>
        <v/>
      </c>
    </row>
    <row r="168" spans="48:71" x14ac:dyDescent="0.25">
      <c r="AV168" t="s">
        <v>1682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MP5ModGZ</v>
      </c>
      <c r="BP168" s="1" t="str">
        <f t="shared" si="58"/>
        <v/>
      </c>
      <c r="BQ168" s="1" t="str">
        <f t="shared" si="59"/>
        <v/>
      </c>
      <c r="BR168" s="1" t="str">
        <f t="shared" si="60"/>
        <v/>
      </c>
      <c r="BS168" s="1" t="str">
        <f t="shared" si="61"/>
        <v/>
      </c>
    </row>
    <row r="169" spans="48:71" x14ac:dyDescent="0.25">
      <c r="AV169" t="s">
        <v>8707</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NTW20Mod</v>
      </c>
      <c r="BP169" s="1" t="str">
        <f t="shared" si="58"/>
        <v/>
      </c>
      <c r="BQ169" s="1" t="str">
        <f t="shared" si="59"/>
        <v/>
      </c>
      <c r="BR169" s="1" t="str">
        <f t="shared" si="60"/>
        <v/>
      </c>
      <c r="BS169" s="1" t="str">
        <f t="shared" si="61"/>
        <v/>
      </c>
    </row>
    <row r="170" spans="48:71" x14ac:dyDescent="0.25">
      <c r="AV170" t="s">
        <v>131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NTW20ModGZ</v>
      </c>
      <c r="BP170" s="1" t="str">
        <f t="shared" si="58"/>
        <v/>
      </c>
      <c r="BQ170" s="1" t="str">
        <f t="shared" si="59"/>
        <v/>
      </c>
      <c r="BR170" s="1" t="str">
        <f t="shared" si="60"/>
        <v/>
      </c>
      <c r="BS170" s="1" t="str">
        <f t="shared" si="61"/>
        <v/>
      </c>
    </row>
    <row r="171" spans="48:71" x14ac:dyDescent="0.25">
      <c r="AV171" t="s">
        <v>6488</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NZ75</v>
      </c>
      <c r="BP171" s="1" t="str">
        <f t="shared" si="58"/>
        <v/>
      </c>
      <c r="BQ171" s="1" t="str">
        <f t="shared" si="59"/>
        <v/>
      </c>
      <c r="BR171" s="1" t="str">
        <f t="shared" si="60"/>
        <v/>
      </c>
      <c r="BS171" s="1" t="str">
        <f t="shared" si="61"/>
        <v/>
      </c>
    </row>
    <row r="172" spans="48:71" x14ac:dyDescent="0.25">
      <c r="AV172" t="s">
        <v>1694</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OBRMod</v>
      </c>
      <c r="BP172" s="1" t="str">
        <f t="shared" si="58"/>
        <v/>
      </c>
      <c r="BQ172" s="1" t="str">
        <f t="shared" si="59"/>
        <v/>
      </c>
      <c r="BR172" s="1" t="str">
        <f t="shared" si="60"/>
        <v/>
      </c>
      <c r="BS172" s="1" t="str">
        <f t="shared" si="61"/>
        <v/>
      </c>
    </row>
    <row r="173" spans="48:71" x14ac:dyDescent="0.25">
      <c r="AV173" t="s">
        <v>1695</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Ots12</v>
      </c>
      <c r="BP173" s="1" t="str">
        <f t="shared" si="58"/>
        <v/>
      </c>
      <c r="BQ173" s="1" t="str">
        <f t="shared" si="59"/>
        <v/>
      </c>
      <c r="BR173" s="1" t="str">
        <f t="shared" si="60"/>
        <v/>
      </c>
      <c r="BS173" s="1" t="str">
        <f t="shared" si="61"/>
        <v/>
      </c>
    </row>
    <row r="174" spans="48:71" x14ac:dyDescent="0.25">
      <c r="AV174" t="s">
        <v>71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Ots44</v>
      </c>
      <c r="BP174" s="1" t="str">
        <f t="shared" si="58"/>
        <v/>
      </c>
      <c r="BQ174" s="1" t="str">
        <f t="shared" si="59"/>
        <v/>
      </c>
      <c r="BR174" s="1" t="str">
        <f t="shared" si="60"/>
        <v/>
      </c>
      <c r="BS174" s="1" t="str">
        <f t="shared" si="61"/>
        <v/>
      </c>
    </row>
    <row r="175" spans="48:71" x14ac:dyDescent="0.25">
      <c r="AV175" t="s">
        <v>197</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P08</v>
      </c>
      <c r="BP175" s="1" t="str">
        <f t="shared" si="58"/>
        <v/>
      </c>
      <c r="BQ175" s="1" t="str">
        <f t="shared" si="59"/>
        <v/>
      </c>
      <c r="BR175" s="1" t="str">
        <f t="shared" si="60"/>
        <v/>
      </c>
      <c r="BS175" s="1" t="str">
        <f t="shared" si="61"/>
        <v/>
      </c>
    </row>
    <row r="176" spans="48:71" x14ac:dyDescent="0.25">
      <c r="AV176" t="s">
        <v>69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P22</v>
      </c>
      <c r="BP176" s="1" t="str">
        <f t="shared" si="58"/>
        <v/>
      </c>
      <c r="BQ176" s="1" t="str">
        <f t="shared" si="59"/>
        <v/>
      </c>
      <c r="BR176" s="1" t="str">
        <f t="shared" si="60"/>
        <v/>
      </c>
      <c r="BS176" s="1" t="str">
        <f t="shared" si="61"/>
        <v/>
      </c>
    </row>
    <row r="177" spans="48:71" x14ac:dyDescent="0.25">
      <c r="AV177" t="s">
        <v>122</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P38</v>
      </c>
      <c r="BP177" s="1" t="str">
        <f t="shared" si="58"/>
        <v/>
      </c>
      <c r="BQ177" s="1" t="str">
        <f t="shared" si="59"/>
        <v/>
      </c>
      <c r="BR177" s="1" t="str">
        <f t="shared" si="60"/>
        <v/>
      </c>
      <c r="BS177" s="1" t="str">
        <f t="shared" si="61"/>
        <v/>
      </c>
    </row>
    <row r="178" spans="48:71" x14ac:dyDescent="0.25">
      <c r="AV178" t="s">
        <v>190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P7</v>
      </c>
      <c r="BP178" s="1" t="str">
        <f t="shared" si="58"/>
        <v/>
      </c>
      <c r="BQ178" s="1" t="str">
        <f t="shared" si="59"/>
        <v/>
      </c>
      <c r="BR178" s="1" t="str">
        <f t="shared" si="60"/>
        <v/>
      </c>
      <c r="BS178" s="1" t="str">
        <f t="shared" si="61"/>
        <v/>
      </c>
    </row>
    <row r="179" spans="48:71" x14ac:dyDescent="0.25">
      <c r="AV179" t="s">
        <v>129</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P90</v>
      </c>
      <c r="BP179" s="1" t="str">
        <f t="shared" si="58"/>
        <v/>
      </c>
      <c r="BQ179" s="1" t="str">
        <f t="shared" si="59"/>
        <v/>
      </c>
      <c r="BR179" s="1" t="str">
        <f t="shared" si="60"/>
        <v/>
      </c>
      <c r="BS179" s="1" t="str">
        <f t="shared" si="61"/>
        <v/>
      </c>
    </row>
    <row r="180" spans="48:71" x14ac:dyDescent="0.25">
      <c r="AV180" t="s">
        <v>1394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P99</v>
      </c>
      <c r="BP180" s="1" t="str">
        <f t="shared" si="58"/>
        <v/>
      </c>
      <c r="BQ180" s="1" t="str">
        <f t="shared" si="59"/>
        <v/>
      </c>
      <c r="BR180" s="1" t="str">
        <f t="shared" si="60"/>
        <v/>
      </c>
      <c r="BS180" s="1" t="str">
        <f t="shared" si="61"/>
        <v/>
      </c>
    </row>
    <row r="181" spans="48:71" x14ac:dyDescent="0.25">
      <c r="AV181" t="s">
        <v>111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Pekola</v>
      </c>
      <c r="BP181" s="1" t="str">
        <f t="shared" si="58"/>
        <v/>
      </c>
      <c r="BQ181" s="1" t="str">
        <f t="shared" si="59"/>
        <v/>
      </c>
      <c r="BR181" s="1" t="str">
        <f t="shared" si="60"/>
        <v/>
      </c>
      <c r="BS181" s="1" t="str">
        <f t="shared" si="61"/>
        <v/>
      </c>
    </row>
    <row r="182" spans="48:71" x14ac:dyDescent="0.25">
      <c r="AV182" t="s">
        <v>154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PK</v>
      </c>
      <c r="BP182" s="1" t="str">
        <f t="shared" si="58"/>
        <v/>
      </c>
      <c r="BQ182" s="1" t="str">
        <f t="shared" si="59"/>
        <v/>
      </c>
      <c r="BR182" s="1" t="str">
        <f t="shared" si="60"/>
        <v/>
      </c>
      <c r="BS182" s="1" t="str">
        <f t="shared" si="61"/>
        <v/>
      </c>
    </row>
    <row r="183" spans="48:71" x14ac:dyDescent="0.25">
      <c r="AV183" t="s">
        <v>1685</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PKP</v>
      </c>
      <c r="BP183" s="1" t="str">
        <f t="shared" si="58"/>
        <v/>
      </c>
      <c r="BQ183" s="1" t="str">
        <f t="shared" si="59"/>
        <v/>
      </c>
      <c r="BR183" s="1" t="str">
        <f t="shared" si="60"/>
        <v/>
      </c>
      <c r="BS183" s="1" t="str">
        <f t="shared" si="61"/>
        <v/>
      </c>
    </row>
    <row r="184" spans="48:71" x14ac:dyDescent="0.25">
      <c r="AV184" t="s">
        <v>1134</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PP19Mod</v>
      </c>
      <c r="BP184" s="1" t="str">
        <f t="shared" si="58"/>
        <v/>
      </c>
      <c r="BQ184" s="1" t="str">
        <f t="shared" si="59"/>
        <v/>
      </c>
      <c r="BR184" s="1" t="str">
        <f t="shared" si="60"/>
        <v/>
      </c>
      <c r="BS184" s="1" t="str">
        <f t="shared" si="61"/>
        <v/>
      </c>
    </row>
    <row r="185" spans="48:71" x14ac:dyDescent="0.25">
      <c r="AV185" t="s">
        <v>1612</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PP2000</v>
      </c>
      <c r="BP185" s="1" t="str">
        <f t="shared" si="58"/>
        <v/>
      </c>
      <c r="BQ185" s="1" t="str">
        <f t="shared" si="59"/>
        <v/>
      </c>
      <c r="BR185" s="1" t="str">
        <f t="shared" si="60"/>
        <v/>
      </c>
      <c r="BS185" s="1" t="str">
        <f t="shared" si="61"/>
        <v/>
      </c>
    </row>
    <row r="186" spans="48:71" x14ac:dyDescent="0.25">
      <c r="AV186" t="s">
        <v>70</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PP90</v>
      </c>
      <c r="BP186" s="1" t="str">
        <f t="shared" si="58"/>
        <v/>
      </c>
      <c r="BQ186" s="1" t="str">
        <f t="shared" si="59"/>
        <v/>
      </c>
      <c r="BR186" s="1" t="str">
        <f t="shared" si="60"/>
        <v/>
      </c>
      <c r="BS186" s="1" t="str">
        <f t="shared" si="61"/>
        <v/>
      </c>
    </row>
    <row r="187" spans="48:71" x14ac:dyDescent="0.25">
      <c r="AV187" t="s">
        <v>6467</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PPK</v>
      </c>
      <c r="BP187" s="1" t="str">
        <f t="shared" si="58"/>
        <v/>
      </c>
      <c r="BQ187" s="1" t="str">
        <f t="shared" si="59"/>
        <v/>
      </c>
      <c r="BR187" s="1" t="str">
        <f t="shared" si="60"/>
        <v/>
      </c>
      <c r="BS187" s="1" t="str">
        <f t="shared" si="61"/>
        <v/>
      </c>
    </row>
    <row r="188" spans="48:71" x14ac:dyDescent="0.25">
      <c r="AV188" t="s">
        <v>8120</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PPKMod</v>
      </c>
      <c r="BP188" s="1" t="str">
        <f t="shared" si="58"/>
        <v/>
      </c>
      <c r="BQ188" s="1" t="str">
        <f t="shared" si="59"/>
        <v/>
      </c>
      <c r="BR188" s="1" t="str">
        <f t="shared" si="60"/>
        <v/>
      </c>
      <c r="BS188" s="1" t="str">
        <f t="shared" si="61"/>
        <v/>
      </c>
    </row>
    <row r="189" spans="48:71" x14ac:dyDescent="0.25">
      <c r="AV189" t="s">
        <v>905</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PPKModGZ</v>
      </c>
      <c r="BP189" s="1" t="str">
        <f t="shared" si="58"/>
        <v/>
      </c>
      <c r="BQ189" s="1" t="str">
        <f t="shared" si="59"/>
        <v/>
      </c>
      <c r="BR189" s="1" t="str">
        <f t="shared" si="60"/>
        <v/>
      </c>
      <c r="BS189" s="1" t="str">
        <f t="shared" si="61"/>
        <v/>
      </c>
    </row>
    <row r="190" spans="48:71" x14ac:dyDescent="0.25">
      <c r="AV190" t="s">
        <v>5722</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PPSh41</v>
      </c>
      <c r="BP190" s="1" t="str">
        <f t="shared" si="58"/>
        <v/>
      </c>
      <c r="BQ190" s="1" t="str">
        <f t="shared" si="59"/>
        <v/>
      </c>
      <c r="BR190" s="1" t="str">
        <f t="shared" si="60"/>
        <v/>
      </c>
      <c r="BS190" s="1" t="str">
        <f t="shared" si="61"/>
        <v/>
      </c>
    </row>
    <row r="191" spans="48:71" x14ac:dyDescent="0.25">
      <c r="AV191" t="s">
        <v>8121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PPsh41Mod</v>
      </c>
      <c r="BP191" s="1" t="str">
        <f t="shared" si="58"/>
        <v/>
      </c>
      <c r="BQ191" s="1" t="str">
        <f t="shared" si="59"/>
        <v/>
      </c>
      <c r="BR191" s="1" t="str">
        <f t="shared" si="60"/>
        <v/>
      </c>
      <c r="BS191" s="1" t="str">
        <f t="shared" si="61"/>
        <v/>
      </c>
    </row>
    <row r="192" spans="48:71" x14ac:dyDescent="0.25">
      <c r="AV192" t="s">
        <v>91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PPSh41ModGZ</v>
      </c>
      <c r="BP192" s="1" t="str">
        <f t="shared" si="58"/>
        <v/>
      </c>
      <c r="BQ192" s="1" t="str">
        <f t="shared" si="59"/>
        <v/>
      </c>
      <c r="BR192" s="1" t="str">
        <f t="shared" si="60"/>
        <v/>
      </c>
      <c r="BS192" s="1" t="str">
        <f t="shared" si="61"/>
        <v/>
      </c>
    </row>
    <row r="193" spans="48:71" x14ac:dyDescent="0.25">
      <c r="AV193" t="s">
        <v>186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PTRD</v>
      </c>
      <c r="BP193" s="1" t="str">
        <f t="shared" si="58"/>
        <v/>
      </c>
      <c r="BQ193" s="1" t="str">
        <f t="shared" si="59"/>
        <v/>
      </c>
      <c r="BR193" s="1" t="str">
        <f t="shared" si="60"/>
        <v/>
      </c>
      <c r="BS193" s="1" t="str">
        <f t="shared" si="61"/>
        <v/>
      </c>
    </row>
    <row r="194" spans="48:71" x14ac:dyDescent="0.25">
      <c r="AV194" t="s">
        <v>8806</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Px4 Storm</v>
      </c>
      <c r="BP194" s="1" t="str">
        <f t="shared" si="58"/>
        <v/>
      </c>
      <c r="BQ194" s="1" t="str">
        <f t="shared" si="59"/>
        <v/>
      </c>
      <c r="BR194" s="1" t="str">
        <f t="shared" si="60"/>
        <v/>
      </c>
      <c r="BS194" s="1" t="str">
        <f t="shared" si="61"/>
        <v/>
      </c>
    </row>
    <row r="195" spans="48:71" x14ac:dyDescent="0.25">
      <c r="AV195" t="s">
        <v>64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Px4 StormMod</v>
      </c>
      <c r="BP195" s="1" t="str">
        <f t="shared" si="58"/>
        <v/>
      </c>
      <c r="BQ195" s="1" t="str">
        <f t="shared" si="59"/>
        <v/>
      </c>
      <c r="BR195" s="1" t="str">
        <f t="shared" si="60"/>
        <v/>
      </c>
      <c r="BS195" s="1" t="str">
        <f t="shared" si="61"/>
        <v/>
      </c>
    </row>
    <row r="196" spans="48:71" x14ac:dyDescent="0.25">
      <c r="AV196" t="s">
        <v>159</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Python</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1655</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PzB39</v>
      </c>
      <c r="BP197" s="1" t="str">
        <f t="shared" si="78"/>
        <v/>
      </c>
      <c r="BQ197" s="1" t="str">
        <f t="shared" si="79"/>
        <v/>
      </c>
      <c r="BR197" s="1" t="str">
        <f t="shared" si="80"/>
        <v/>
      </c>
      <c r="BS197" s="1" t="str">
        <f t="shared" si="81"/>
        <v/>
      </c>
    </row>
    <row r="198" spans="48:71" x14ac:dyDescent="0.25">
      <c r="AV198" t="s">
        <v>230</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QBU88</v>
      </c>
      <c r="BP198" s="1" t="str">
        <f t="shared" si="78"/>
        <v/>
      </c>
      <c r="BQ198" s="1" t="str">
        <f t="shared" si="79"/>
        <v/>
      </c>
      <c r="BR198" s="1" t="str">
        <f t="shared" si="80"/>
        <v/>
      </c>
      <c r="BS198" s="1" t="str">
        <f t="shared" si="81"/>
        <v/>
      </c>
    </row>
    <row r="199" spans="48:71" x14ac:dyDescent="0.25">
      <c r="AV199" t="s">
        <v>1755</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RFB</v>
      </c>
      <c r="BP199" s="1" t="str">
        <f t="shared" si="78"/>
        <v/>
      </c>
      <c r="BQ199" s="1" t="str">
        <f t="shared" si="79"/>
        <v/>
      </c>
      <c r="BR199" s="1" t="str">
        <f t="shared" si="80"/>
        <v/>
      </c>
      <c r="BS199" s="1" t="str">
        <f t="shared" si="81"/>
        <v/>
      </c>
    </row>
    <row r="200" spans="48:71" x14ac:dyDescent="0.25">
      <c r="AV200" t="s">
        <v>249</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Ribeyrolles1918Mod</v>
      </c>
      <c r="BP200" s="1" t="str">
        <f t="shared" si="78"/>
        <v/>
      </c>
      <c r="BQ200" s="1" t="str">
        <f t="shared" si="79"/>
        <v/>
      </c>
      <c r="BR200" s="1" t="str">
        <f t="shared" si="80"/>
        <v/>
      </c>
      <c r="BS200" s="1" t="str">
        <f t="shared" si="81"/>
        <v/>
      </c>
    </row>
    <row r="201" spans="48:71" x14ac:dyDescent="0.25">
      <c r="AV201" t="s">
        <v>928</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Rico</v>
      </c>
      <c r="BP201" s="1" t="str">
        <f t="shared" si="78"/>
        <v/>
      </c>
      <c r="BQ201" s="1" t="str">
        <f t="shared" si="79"/>
        <v/>
      </c>
      <c r="BR201" s="1" t="str">
        <f t="shared" si="80"/>
        <v/>
      </c>
      <c r="BS201" s="1" t="str">
        <f t="shared" si="81"/>
        <v/>
      </c>
    </row>
    <row r="202" spans="48:71" x14ac:dyDescent="0.25">
      <c r="AV202" t="s">
        <v>826</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RMB93Mod</v>
      </c>
      <c r="BP202" s="1" t="str">
        <f t="shared" si="78"/>
        <v/>
      </c>
      <c r="BQ202" s="1" t="str">
        <f t="shared" si="79"/>
        <v/>
      </c>
      <c r="BR202" s="1" t="str">
        <f t="shared" si="80"/>
        <v/>
      </c>
      <c r="BS202" s="1" t="str">
        <f t="shared" si="81"/>
        <v/>
      </c>
    </row>
    <row r="203" spans="48:71" x14ac:dyDescent="0.25">
      <c r="AV203" t="s">
        <v>8883</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RO635Mod</v>
      </c>
      <c r="BP203" s="1" t="str">
        <f t="shared" si="78"/>
        <v/>
      </c>
      <c r="BQ203" s="1" t="str">
        <f t="shared" si="79"/>
        <v/>
      </c>
      <c r="BR203" s="1" t="str">
        <f t="shared" si="80"/>
        <v/>
      </c>
      <c r="BS203" s="1" t="str">
        <f t="shared" si="81"/>
        <v/>
      </c>
    </row>
    <row r="204" spans="48:71" x14ac:dyDescent="0.25">
      <c r="AV204" t="s">
        <v>110</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RO635ModGZ</v>
      </c>
      <c r="BP204" s="1" t="str">
        <f t="shared" si="78"/>
        <v/>
      </c>
      <c r="BQ204" s="1" t="str">
        <f t="shared" si="79"/>
        <v/>
      </c>
      <c r="BR204" s="1" t="str">
        <f t="shared" si="80"/>
        <v/>
      </c>
      <c r="BS204" s="1" t="str">
        <f t="shared" si="81"/>
        <v/>
      </c>
    </row>
    <row r="205" spans="48:71" x14ac:dyDescent="0.25">
      <c r="AV205" t="s">
        <v>267</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RPD</v>
      </c>
      <c r="BP205" s="1" t="str">
        <f t="shared" si="78"/>
        <v/>
      </c>
      <c r="BQ205" s="1" t="str">
        <f t="shared" si="79"/>
        <v/>
      </c>
      <c r="BR205" s="1" t="str">
        <f t="shared" si="80"/>
        <v/>
      </c>
      <c r="BS205" s="1" t="str">
        <f t="shared" si="81"/>
        <v/>
      </c>
    </row>
    <row r="206" spans="48:71" x14ac:dyDescent="0.25">
      <c r="AV206" t="s">
        <v>1635</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SAAMod</v>
      </c>
      <c r="BP206" s="1" t="str">
        <f t="shared" si="78"/>
        <v/>
      </c>
      <c r="BQ206" s="1" t="str">
        <f t="shared" si="79"/>
        <v/>
      </c>
      <c r="BR206" s="1" t="str">
        <f t="shared" si="80"/>
        <v/>
      </c>
      <c r="BS206" s="1" t="str">
        <f t="shared" si="81"/>
        <v/>
      </c>
    </row>
    <row r="207" spans="48:71" x14ac:dyDescent="0.25">
      <c r="AV207" t="s">
        <v>7024</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Saiga12</v>
      </c>
      <c r="BP207" s="1" t="str">
        <f t="shared" si="78"/>
        <v/>
      </c>
      <c r="BQ207" s="1" t="str">
        <f t="shared" si="79"/>
        <v/>
      </c>
      <c r="BR207" s="1" t="str">
        <f t="shared" si="80"/>
        <v/>
      </c>
      <c r="BS207" s="1" t="str">
        <f t="shared" si="81"/>
        <v/>
      </c>
    </row>
    <row r="208" spans="48:71" x14ac:dyDescent="0.25">
      <c r="AV208" t="s">
        <v>236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Saki</v>
      </c>
      <c r="BP208" s="1" t="str">
        <f t="shared" si="78"/>
        <v/>
      </c>
      <c r="BQ208" s="1" t="str">
        <f t="shared" si="79"/>
        <v/>
      </c>
      <c r="BR208" s="1" t="str">
        <f t="shared" si="80"/>
        <v/>
      </c>
      <c r="BS208" s="1" t="str">
        <f t="shared" si="81"/>
        <v/>
      </c>
    </row>
    <row r="209" spans="48:71" x14ac:dyDescent="0.25">
      <c r="AV209" t="s">
        <v>6898</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Sakura</v>
      </c>
      <c r="BP209" s="1" t="str">
        <f t="shared" si="78"/>
        <v/>
      </c>
      <c r="BQ209" s="1" t="str">
        <f t="shared" si="79"/>
        <v/>
      </c>
      <c r="BR209" s="1" t="str">
        <f t="shared" si="80"/>
        <v/>
      </c>
      <c r="BS209" s="1" t="str">
        <f t="shared" si="81"/>
        <v/>
      </c>
    </row>
    <row r="210" spans="48:71" x14ac:dyDescent="0.25">
      <c r="AV210" t="s">
        <v>6906</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SCAR-H</v>
      </c>
      <c r="BP210" s="1" t="str">
        <f t="shared" si="78"/>
        <v/>
      </c>
      <c r="BQ210" s="1" t="str">
        <f t="shared" si="79"/>
        <v/>
      </c>
      <c r="BR210" s="1" t="str">
        <f t="shared" si="80"/>
        <v/>
      </c>
      <c r="BS210" s="1" t="str">
        <f t="shared" si="81"/>
        <v/>
      </c>
    </row>
    <row r="211" spans="48:71" x14ac:dyDescent="0.25">
      <c r="AV211" t="s">
        <v>751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SCAR-L</v>
      </c>
      <c r="BP211" s="1" t="str">
        <f t="shared" si="78"/>
        <v/>
      </c>
      <c r="BQ211" s="1" t="str">
        <f t="shared" si="79"/>
        <v/>
      </c>
      <c r="BR211" s="1" t="str">
        <f t="shared" si="80"/>
        <v/>
      </c>
      <c r="BS211" s="1" t="str">
        <f t="shared" si="81"/>
        <v/>
      </c>
    </row>
    <row r="212" spans="48:71" x14ac:dyDescent="0.25">
      <c r="AV212" t="s">
        <v>732</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SCW</v>
      </c>
      <c r="BP212" s="1" t="str">
        <f t="shared" si="78"/>
        <v/>
      </c>
      <c r="BQ212" s="1" t="str">
        <f t="shared" si="79"/>
        <v/>
      </c>
      <c r="BR212" s="1" t="str">
        <f t="shared" si="80"/>
        <v/>
      </c>
      <c r="BS212" s="1" t="str">
        <f t="shared" si="81"/>
        <v/>
      </c>
    </row>
    <row r="213" spans="48:71" x14ac:dyDescent="0.25">
      <c r="AV213" t="s">
        <v>750</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Sei</v>
      </c>
      <c r="BP213" s="1" t="str">
        <f t="shared" si="78"/>
        <v/>
      </c>
      <c r="BQ213" s="1" t="str">
        <f t="shared" si="79"/>
        <v/>
      </c>
      <c r="BR213" s="1" t="str">
        <f t="shared" si="80"/>
        <v/>
      </c>
      <c r="BS213" s="1" t="str">
        <f t="shared" si="81"/>
        <v/>
      </c>
    </row>
    <row r="214" spans="48:71" x14ac:dyDescent="0.25">
      <c r="AV214" t="s">
        <v>144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Serdyukov</v>
      </c>
      <c r="BP214" s="1" t="str">
        <f t="shared" si="78"/>
        <v/>
      </c>
      <c r="BQ214" s="1" t="str">
        <f t="shared" si="79"/>
        <v/>
      </c>
      <c r="BR214" s="1" t="str">
        <f t="shared" si="80"/>
        <v/>
      </c>
      <c r="BS214" s="1" t="str">
        <f t="shared" si="81"/>
        <v/>
      </c>
    </row>
    <row r="215" spans="48:71" x14ac:dyDescent="0.25">
      <c r="AV215" t="s">
        <v>745</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Shipka</v>
      </c>
      <c r="BP215" s="1" t="str">
        <f t="shared" si="78"/>
        <v/>
      </c>
      <c r="BQ215" s="1" t="str">
        <f t="shared" si="79"/>
        <v/>
      </c>
      <c r="BR215" s="1" t="str">
        <f t="shared" si="80"/>
        <v/>
      </c>
      <c r="BS215" s="1" t="str">
        <f t="shared" si="81"/>
        <v/>
      </c>
    </row>
    <row r="216" spans="48:71" x14ac:dyDescent="0.25">
      <c r="AV216" t="s">
        <v>81</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SIG510</v>
      </c>
      <c r="BP216" s="1" t="str">
        <f t="shared" si="78"/>
        <v/>
      </c>
      <c r="BQ216" s="1" t="str">
        <f t="shared" si="79"/>
        <v/>
      </c>
      <c r="BR216" s="1" t="str">
        <f t="shared" si="80"/>
        <v/>
      </c>
      <c r="BS216" s="1" t="str">
        <f t="shared" si="81"/>
        <v/>
      </c>
    </row>
    <row r="217" spans="48:71" x14ac:dyDescent="0.25">
      <c r="AV217" t="s">
        <v>795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Skorpion</v>
      </c>
      <c r="BP217" s="1" t="str">
        <f t="shared" si="78"/>
        <v/>
      </c>
      <c r="BQ217" s="1" t="str">
        <f t="shared" si="79"/>
        <v/>
      </c>
      <c r="BR217" s="1" t="str">
        <f t="shared" si="80"/>
        <v/>
      </c>
      <c r="BS217" s="1" t="str">
        <f t="shared" si="81"/>
        <v/>
      </c>
    </row>
    <row r="218" spans="48:71" x14ac:dyDescent="0.25">
      <c r="AV218" t="s">
        <v>116</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SL8</v>
      </c>
      <c r="BP218" s="1" t="str">
        <f t="shared" si="78"/>
        <v/>
      </c>
      <c r="BQ218" s="1" t="str">
        <f t="shared" si="79"/>
        <v/>
      </c>
      <c r="BR218" s="1" t="str">
        <f t="shared" si="80"/>
        <v/>
      </c>
      <c r="BS218" s="1" t="str">
        <f t="shared" si="81"/>
        <v/>
      </c>
    </row>
    <row r="219" spans="48:71" x14ac:dyDescent="0.25">
      <c r="AV219" t="s">
        <v>87</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Spectre M4</v>
      </c>
      <c r="BP219" s="1" t="str">
        <f t="shared" si="78"/>
        <v/>
      </c>
      <c r="BQ219" s="1" t="str">
        <f t="shared" si="79"/>
        <v/>
      </c>
      <c r="BR219" s="1" t="str">
        <f t="shared" si="80"/>
        <v/>
      </c>
      <c r="BS219" s="1" t="str">
        <f t="shared" si="81"/>
        <v/>
      </c>
    </row>
    <row r="220" spans="48:71" x14ac:dyDescent="0.25">
      <c r="AV220" t="s">
        <v>1627</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Springfield</v>
      </c>
      <c r="BP220" s="1" t="str">
        <f t="shared" si="78"/>
        <v/>
      </c>
      <c r="BQ220" s="1" t="str">
        <f t="shared" si="79"/>
        <v/>
      </c>
      <c r="BR220" s="1" t="str">
        <f t="shared" si="80"/>
        <v/>
      </c>
      <c r="BS220" s="1" t="str">
        <f t="shared" si="81"/>
        <v/>
      </c>
    </row>
    <row r="221" spans="48:71" x14ac:dyDescent="0.25">
      <c r="AV221" t="s">
        <v>100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SR3MP</v>
      </c>
      <c r="BP221" s="1" t="str">
        <f t="shared" si="78"/>
        <v/>
      </c>
      <c r="BQ221" s="1" t="str">
        <f t="shared" si="79"/>
        <v/>
      </c>
      <c r="BR221" s="1" t="str">
        <f t="shared" si="80"/>
        <v/>
      </c>
      <c r="BS221" s="1" t="str">
        <f t="shared" si="81"/>
        <v/>
      </c>
    </row>
    <row r="222" spans="48:71" x14ac:dyDescent="0.25">
      <c r="AV222" t="s">
        <v>1683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ST AR-15</v>
      </c>
      <c r="BP222" s="1" t="str">
        <f t="shared" si="78"/>
        <v/>
      </c>
      <c r="BQ222" s="1" t="str">
        <f t="shared" si="79"/>
        <v/>
      </c>
      <c r="BR222" s="1" t="str">
        <f t="shared" si="80"/>
        <v/>
      </c>
      <c r="BS222" s="1" t="str">
        <f t="shared" si="81"/>
        <v/>
      </c>
    </row>
    <row r="223" spans="48:71" x14ac:dyDescent="0.25">
      <c r="AV223" t="s">
        <v>8123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 AR15Mod</v>
      </c>
      <c r="BP223" s="1" t="str">
        <f t="shared" si="78"/>
        <v/>
      </c>
      <c r="BQ223" s="1" t="str">
        <f t="shared" si="79"/>
        <v/>
      </c>
      <c r="BR223" s="1" t="str">
        <f t="shared" si="80"/>
        <v/>
      </c>
      <c r="BS223" s="1" t="str">
        <f t="shared" si="81"/>
        <v/>
      </c>
    </row>
    <row r="224" spans="48:71" x14ac:dyDescent="0.25">
      <c r="AV224" t="s">
        <v>67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 AR15ModGZ</v>
      </c>
      <c r="BP224" s="1" t="str">
        <f t="shared" si="78"/>
        <v/>
      </c>
      <c r="BQ224" s="1" t="str">
        <f t="shared" si="79"/>
        <v/>
      </c>
      <c r="BR224" s="1" t="str">
        <f t="shared" si="80"/>
        <v/>
      </c>
      <c r="BS224" s="1" t="str">
        <f t="shared" si="81"/>
        <v/>
      </c>
    </row>
    <row r="225" spans="48:71" x14ac:dyDescent="0.25">
      <c r="AV225" t="s">
        <v>740</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Stechkin</v>
      </c>
      <c r="BP225" s="1" t="str">
        <f t="shared" si="78"/>
        <v/>
      </c>
      <c r="BQ225" s="1" t="str">
        <f t="shared" si="79"/>
        <v/>
      </c>
      <c r="BR225" s="1" t="str">
        <f t="shared" si="80"/>
        <v/>
      </c>
      <c r="BS225" s="1" t="str">
        <f t="shared" si="81"/>
        <v/>
      </c>
    </row>
    <row r="226" spans="48:71" x14ac:dyDescent="0.25">
      <c r="AV226" t="s">
        <v>8124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StechkinMod</v>
      </c>
      <c r="BP226" s="1" t="str">
        <f t="shared" si="78"/>
        <v/>
      </c>
      <c r="BQ226" s="1" t="str">
        <f t="shared" si="79"/>
        <v/>
      </c>
      <c r="BR226" s="1" t="str">
        <f t="shared" si="80"/>
        <v/>
      </c>
      <c r="BS226" s="1" t="str">
        <f t="shared" si="81"/>
        <v/>
      </c>
    </row>
    <row r="227" spans="48:71" x14ac:dyDescent="0.25">
      <c r="AV227" t="s">
        <v>737</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StechkinModGZ</v>
      </c>
      <c r="BP227" s="1" t="str">
        <f t="shared" si="78"/>
        <v/>
      </c>
      <c r="BQ227" s="1" t="str">
        <f t="shared" si="79"/>
        <v/>
      </c>
      <c r="BR227" s="1" t="str">
        <f t="shared" si="80"/>
        <v/>
      </c>
      <c r="BS227" s="1" t="str">
        <f t="shared" si="81"/>
        <v/>
      </c>
    </row>
    <row r="228" spans="48:71" x14ac:dyDescent="0.25">
      <c r="AV228" t="s">
        <v>829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Stella</v>
      </c>
      <c r="BP228" s="1" t="str">
        <f t="shared" si="78"/>
        <v/>
      </c>
      <c r="BQ228" s="1" t="str">
        <f t="shared" si="79"/>
        <v/>
      </c>
      <c r="BR228" s="1" t="str">
        <f t="shared" si="80"/>
        <v/>
      </c>
      <c r="BS228" s="1" t="str">
        <f t="shared" si="81"/>
        <v/>
      </c>
    </row>
    <row r="229" spans="48:71" x14ac:dyDescent="0.25">
      <c r="AV229" t="s">
        <v>726</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STEN MkIIMod</v>
      </c>
      <c r="BP229" s="1" t="str">
        <f t="shared" si="78"/>
        <v/>
      </c>
      <c r="BQ229" s="1" t="str">
        <f t="shared" si="79"/>
        <v/>
      </c>
      <c r="BR229" s="1" t="str">
        <f t="shared" si="80"/>
        <v/>
      </c>
      <c r="BS229" s="1" t="str">
        <f t="shared" si="81"/>
        <v/>
      </c>
    </row>
    <row r="230" spans="48:71" x14ac:dyDescent="0.25">
      <c r="AV230" t="s">
        <v>127</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Stg44Mod</v>
      </c>
      <c r="BP230" s="1" t="str">
        <f t="shared" si="78"/>
        <v/>
      </c>
      <c r="BQ230" s="1" t="str">
        <f t="shared" si="79"/>
        <v/>
      </c>
      <c r="BR230" s="1" t="str">
        <f t="shared" si="80"/>
        <v/>
      </c>
      <c r="BS230" s="1" t="str">
        <f t="shared" si="81"/>
        <v/>
      </c>
    </row>
    <row r="231" spans="48:71" x14ac:dyDescent="0.25">
      <c r="AV231" t="s">
        <v>6513</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Suomi</v>
      </c>
      <c r="BP231" s="1" t="str">
        <f t="shared" si="78"/>
        <v/>
      </c>
      <c r="BQ231" s="1" t="str">
        <f t="shared" si="79"/>
        <v/>
      </c>
      <c r="BR231" s="1" t="str">
        <f t="shared" si="80"/>
        <v/>
      </c>
      <c r="BS231" s="1" t="str">
        <f t="shared" si="81"/>
        <v/>
      </c>
    </row>
    <row r="232" spans="48:71" x14ac:dyDescent="0.25">
      <c r="AV232" t="s">
        <v>833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SuomiMod</v>
      </c>
      <c r="BP232" s="1" t="str">
        <f t="shared" si="78"/>
        <v/>
      </c>
      <c r="BQ232" s="1" t="str">
        <f t="shared" si="79"/>
        <v/>
      </c>
      <c r="BR232" s="1" t="str">
        <f t="shared" si="80"/>
        <v/>
      </c>
      <c r="BS232" s="1" t="str">
        <f t="shared" si="81"/>
        <v/>
      </c>
    </row>
    <row r="233" spans="48:71" x14ac:dyDescent="0.25">
      <c r="AV233" t="s">
        <v>1681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Super SASSMod</v>
      </c>
      <c r="BP233" s="1" t="str">
        <f t="shared" si="78"/>
        <v/>
      </c>
      <c r="BQ233" s="1" t="str">
        <f t="shared" si="79"/>
        <v/>
      </c>
      <c r="BR233" s="1" t="str">
        <f t="shared" si="80"/>
        <v/>
      </c>
      <c r="BS233" s="1" t="str">
        <f t="shared" si="81"/>
        <v/>
      </c>
    </row>
    <row r="234" spans="48:71" x14ac:dyDescent="0.25">
      <c r="AV234" t="s">
        <v>92</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SV98Mod</v>
      </c>
      <c r="BP234" s="1" t="str">
        <f t="shared" si="78"/>
        <v/>
      </c>
      <c r="BQ234" s="1" t="str">
        <f t="shared" si="79"/>
        <v/>
      </c>
      <c r="BR234" s="1" t="str">
        <f t="shared" si="80"/>
        <v/>
      </c>
      <c r="BS234" s="1" t="str">
        <f t="shared" si="81"/>
        <v/>
      </c>
    </row>
    <row r="235" spans="48:71" x14ac:dyDescent="0.25">
      <c r="AV235" t="s">
        <v>1613</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SVD</v>
      </c>
      <c r="BP235" s="1" t="str">
        <f t="shared" si="78"/>
        <v/>
      </c>
      <c r="BQ235" s="1" t="str">
        <f t="shared" si="79"/>
        <v/>
      </c>
      <c r="BR235" s="1" t="str">
        <f t="shared" si="80"/>
        <v/>
      </c>
      <c r="BS235" s="1" t="str">
        <f t="shared" si="81"/>
        <v/>
      </c>
    </row>
    <row r="236" spans="48:71" x14ac:dyDescent="0.25">
      <c r="AV236" t="s">
        <v>181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SVT38</v>
      </c>
      <c r="BP236" s="1" t="str">
        <f t="shared" si="78"/>
        <v/>
      </c>
      <c r="BQ236" s="1" t="str">
        <f t="shared" si="79"/>
        <v/>
      </c>
      <c r="BR236" s="1" t="str">
        <f t="shared" si="80"/>
        <v/>
      </c>
      <c r="BS236" s="1" t="str">
        <f t="shared" si="81"/>
        <v/>
      </c>
    </row>
    <row r="237" spans="48:71" x14ac:dyDescent="0.25">
      <c r="AV237" t="s">
        <v>1238</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T77</v>
      </c>
      <c r="BP237" s="1" t="str">
        <f t="shared" si="78"/>
        <v/>
      </c>
      <c r="BQ237" s="1" t="str">
        <f t="shared" si="79"/>
        <v/>
      </c>
      <c r="BR237" s="1" t="str">
        <f t="shared" si="80"/>
        <v/>
      </c>
      <c r="BS237" s="1" t="str">
        <f t="shared" si="81"/>
        <v/>
      </c>
    </row>
    <row r="238" spans="48:71" x14ac:dyDescent="0.25">
      <c r="AV238" t="s">
        <v>6975</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TAC50</v>
      </c>
      <c r="BP238" s="1" t="str">
        <f t="shared" si="78"/>
        <v/>
      </c>
      <c r="BQ238" s="1" t="str">
        <f t="shared" si="79"/>
        <v/>
      </c>
      <c r="BR238" s="1" t="str">
        <f t="shared" si="80"/>
        <v/>
      </c>
      <c r="BS238" s="1" t="str">
        <f t="shared" si="81"/>
        <v/>
      </c>
    </row>
    <row r="239" spans="48:71" x14ac:dyDescent="0.25">
      <c r="AV239" t="s">
        <v>739</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Tae</v>
      </c>
      <c r="BP239" s="1" t="str">
        <f t="shared" si="78"/>
        <v/>
      </c>
      <c r="BQ239" s="1" t="str">
        <f t="shared" si="79"/>
        <v/>
      </c>
      <c r="BR239" s="1" t="str">
        <f t="shared" si="80"/>
        <v/>
      </c>
      <c r="BS239" s="1" t="str">
        <f t="shared" si="81"/>
        <v/>
      </c>
    </row>
    <row r="240" spans="48:71" x14ac:dyDescent="0.25">
      <c r="AV240" t="s">
        <v>76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TAR21</v>
      </c>
      <c r="BP240" s="1" t="str">
        <f t="shared" si="78"/>
        <v/>
      </c>
      <c r="BQ240" s="1" t="str">
        <f t="shared" si="79"/>
        <v/>
      </c>
      <c r="BR240" s="1" t="str">
        <f t="shared" si="80"/>
        <v/>
      </c>
      <c r="BS240" s="1" t="str">
        <f t="shared" si="81"/>
        <v/>
      </c>
    </row>
    <row r="241" spans="48:71" x14ac:dyDescent="0.25">
      <c r="AV241" t="s">
        <v>156</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Thompson</v>
      </c>
      <c r="BP241" s="1" t="str">
        <f t="shared" si="78"/>
        <v/>
      </c>
      <c r="BQ241" s="1" t="str">
        <f t="shared" si="79"/>
        <v/>
      </c>
      <c r="BR241" s="1" t="str">
        <f t="shared" si="80"/>
        <v/>
      </c>
      <c r="BS241" s="1" t="str">
        <f t="shared" si="81"/>
        <v/>
      </c>
    </row>
    <row r="242" spans="48:71" x14ac:dyDescent="0.25">
      <c r="AV242" t="s">
        <v>66</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TMP</v>
      </c>
      <c r="BP242" s="1" t="str">
        <f t="shared" si="78"/>
        <v/>
      </c>
      <c r="BQ242" s="1" t="str">
        <f t="shared" si="79"/>
        <v/>
      </c>
      <c r="BR242" s="1" t="str">
        <f t="shared" si="80"/>
        <v/>
      </c>
      <c r="BS242" s="1" t="str">
        <f t="shared" si="81"/>
        <v/>
      </c>
    </row>
    <row r="243" spans="48:71" x14ac:dyDescent="0.25">
      <c r="AV243" t="s">
        <v>250</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Tokarev</v>
      </c>
      <c r="BP243" s="1" t="str">
        <f t="shared" si="78"/>
        <v/>
      </c>
      <c r="BQ243" s="1" t="str">
        <f t="shared" si="79"/>
        <v/>
      </c>
      <c r="BR243" s="1" t="str">
        <f t="shared" si="80"/>
        <v/>
      </c>
      <c r="BS243" s="1" t="str">
        <f t="shared" si="81"/>
        <v/>
      </c>
    </row>
    <row r="244" spans="48:71" x14ac:dyDescent="0.25">
      <c r="AV244" t="s">
        <v>243</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Triela</v>
      </c>
      <c r="BP244" s="1" t="str">
        <f t="shared" si="78"/>
        <v/>
      </c>
      <c r="BQ244" s="1" t="str">
        <f t="shared" si="79"/>
        <v/>
      </c>
      <c r="BR244" s="1" t="str">
        <f t="shared" si="80"/>
        <v/>
      </c>
      <c r="BS244" s="1" t="str">
        <f t="shared" si="81"/>
        <v/>
      </c>
    </row>
    <row r="245" spans="48:71" x14ac:dyDescent="0.25">
      <c r="AV245" t="s">
        <v>830</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 4</v>
      </c>
      <c r="BP245" s="1" t="str">
        <f t="shared" si="78"/>
        <v/>
      </c>
      <c r="BQ245" s="1" t="str">
        <f t="shared" si="79"/>
        <v/>
      </c>
      <c r="BR245" s="1" t="str">
        <f t="shared" si="80"/>
        <v/>
      </c>
      <c r="BS245" s="1" t="str">
        <f t="shared" si="81"/>
        <v/>
      </c>
    </row>
    <row r="246" spans="48:71" x14ac:dyDescent="0.25">
      <c r="AV246" t="s">
        <v>239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 56 RMod</v>
      </c>
      <c r="BP246" s="1" t="str">
        <f t="shared" si="78"/>
        <v/>
      </c>
      <c r="BQ246" s="1" t="str">
        <f t="shared" si="79"/>
        <v/>
      </c>
      <c r="BR246" s="1" t="str">
        <f t="shared" si="80"/>
        <v/>
      </c>
      <c r="BS246" s="1" t="str">
        <f t="shared" si="81"/>
        <v/>
      </c>
    </row>
    <row r="247" spans="48:71" x14ac:dyDescent="0.25">
      <c r="AV247" t="s">
        <v>6763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Type03</v>
      </c>
      <c r="BP247" s="1" t="str">
        <f t="shared" si="78"/>
        <v/>
      </c>
      <c r="BQ247" s="1" t="str">
        <f t="shared" si="79"/>
        <v/>
      </c>
      <c r="BR247" s="1" t="str">
        <f t="shared" si="80"/>
        <v/>
      </c>
      <c r="BS247" s="1" t="str">
        <f t="shared" si="81"/>
        <v/>
      </c>
    </row>
    <row r="248" spans="48:71" x14ac:dyDescent="0.25">
      <c r="AV248" t="s">
        <v>8532</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Type56-1mod</v>
      </c>
      <c r="BP248" s="1" t="str">
        <f t="shared" si="78"/>
        <v/>
      </c>
      <c r="BQ248" s="1" t="str">
        <f t="shared" si="79"/>
        <v/>
      </c>
      <c r="BR248" s="1" t="str">
        <f t="shared" si="80"/>
        <v/>
      </c>
      <c r="BS248" s="1" t="str">
        <f t="shared" si="81"/>
        <v/>
      </c>
    </row>
    <row r="249" spans="48:71" x14ac:dyDescent="0.25">
      <c r="AV249" t="s">
        <v>136</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Type56-1modGZ</v>
      </c>
      <c r="BP249" s="1" t="str">
        <f t="shared" si="78"/>
        <v/>
      </c>
      <c r="BQ249" s="1" t="str">
        <f t="shared" si="79"/>
        <v/>
      </c>
      <c r="BR249" s="1" t="str">
        <f t="shared" si="80"/>
        <v/>
      </c>
      <c r="BS249" s="1" t="str">
        <f t="shared" si="81"/>
        <v/>
      </c>
    </row>
    <row r="250" spans="48:71" x14ac:dyDescent="0.25">
      <c r="AV250" t="s">
        <v>118</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Type63</v>
      </c>
      <c r="BP250" s="1" t="str">
        <f t="shared" si="78"/>
        <v/>
      </c>
      <c r="BQ250" s="1" t="str">
        <f t="shared" si="79"/>
        <v/>
      </c>
      <c r="BR250" s="1" t="str">
        <f t="shared" si="80"/>
        <v/>
      </c>
      <c r="BS250" s="1" t="str">
        <f t="shared" si="81"/>
        <v/>
      </c>
    </row>
    <row r="251" spans="48:71" x14ac:dyDescent="0.25">
      <c r="AV251" t="s">
        <v>741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Type64</v>
      </c>
      <c r="BP251" s="1" t="str">
        <f t="shared" si="78"/>
        <v/>
      </c>
      <c r="BQ251" s="1" t="str">
        <f t="shared" si="79"/>
        <v/>
      </c>
      <c r="BR251" s="1" t="str">
        <f t="shared" si="80"/>
        <v/>
      </c>
      <c r="BS251" s="1" t="str">
        <f t="shared" si="81"/>
        <v/>
      </c>
    </row>
    <row r="252" spans="48:71" x14ac:dyDescent="0.25">
      <c r="AV252" t="s">
        <v>8125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Type64Mod</v>
      </c>
      <c r="BP252" s="1" t="str">
        <f t="shared" si="78"/>
        <v/>
      </c>
      <c r="BQ252" s="1" t="str">
        <f t="shared" si="79"/>
        <v/>
      </c>
      <c r="BR252" s="1" t="str">
        <f t="shared" si="80"/>
        <v/>
      </c>
      <c r="BS252" s="1" t="str">
        <f t="shared" si="81"/>
        <v/>
      </c>
    </row>
    <row r="253" spans="48:71" x14ac:dyDescent="0.25">
      <c r="AV253" t="s">
        <v>8931</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Type64ModGZ</v>
      </c>
      <c r="BP253" s="1" t="str">
        <f t="shared" si="78"/>
        <v/>
      </c>
      <c r="BQ253" s="1" t="str">
        <f t="shared" si="79"/>
        <v/>
      </c>
      <c r="BR253" s="1" t="str">
        <f t="shared" si="80"/>
        <v/>
      </c>
      <c r="BS253" s="1" t="str">
        <f t="shared" si="81"/>
        <v/>
      </c>
    </row>
    <row r="254" spans="48:71" x14ac:dyDescent="0.25">
      <c r="AV254" t="s">
        <v>8931</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Type79</v>
      </c>
      <c r="BP254" s="1" t="str">
        <f t="shared" si="78"/>
        <v/>
      </c>
      <c r="BQ254" s="1" t="str">
        <f t="shared" si="79"/>
        <v/>
      </c>
      <c r="BR254" s="1" t="str">
        <f t="shared" si="80"/>
        <v/>
      </c>
      <c r="BS254" s="1" t="str">
        <f t="shared" si="81"/>
        <v/>
      </c>
    </row>
    <row r="255" spans="48:71" x14ac:dyDescent="0.25">
      <c r="AV255" t="s">
        <v>834</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Type79</v>
      </c>
      <c r="BP255" s="1" t="str">
        <f t="shared" si="78"/>
        <v/>
      </c>
      <c r="BQ255" s="1" t="str">
        <f t="shared" si="79"/>
        <v/>
      </c>
      <c r="BR255" s="1" t="str">
        <f t="shared" si="80"/>
        <v/>
      </c>
      <c r="BS255" s="1" t="str">
        <f t="shared" si="81"/>
        <v/>
      </c>
    </row>
    <row r="256" spans="48:71" x14ac:dyDescent="0.25">
      <c r="AV256" t="s">
        <v>119</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Type80Mod</v>
      </c>
      <c r="BP256" s="1" t="str">
        <f t="shared" si="78"/>
        <v/>
      </c>
      <c r="BQ256" s="1" t="str">
        <f t="shared" si="79"/>
        <v/>
      </c>
      <c r="BR256" s="1" t="str">
        <f t="shared" si="80"/>
        <v/>
      </c>
      <c r="BS256" s="1" t="str">
        <f t="shared" si="81"/>
        <v/>
      </c>
    </row>
    <row r="257" spans="48:71" x14ac:dyDescent="0.25">
      <c r="AV257" t="s">
        <v>839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Type88</v>
      </c>
      <c r="BP257" s="1" t="str">
        <f t="shared" si="78"/>
        <v/>
      </c>
      <c r="BQ257" s="1" t="str">
        <f t="shared" si="79"/>
        <v/>
      </c>
      <c r="BR257" s="1" t="str">
        <f t="shared" si="80"/>
        <v/>
      </c>
      <c r="BS257" s="1" t="str">
        <f t="shared" si="81"/>
        <v/>
      </c>
    </row>
    <row r="258" spans="48:71" x14ac:dyDescent="0.25">
      <c r="AV258" t="s">
        <v>8340</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Type88Mod</v>
      </c>
      <c r="BP258" s="1" t="str">
        <f t="shared" si="78"/>
        <v/>
      </c>
      <c r="BQ258" s="1" t="str">
        <f t="shared" si="79"/>
        <v/>
      </c>
      <c r="BR258" s="1" t="str">
        <f t="shared" si="80"/>
        <v/>
      </c>
      <c r="BS258" s="1" t="str">
        <f t="shared" si="81"/>
        <v/>
      </c>
    </row>
    <row r="259" spans="48:71" x14ac:dyDescent="0.25">
      <c r="AV259" t="s">
        <v>6759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Type88ModGZ</v>
      </c>
      <c r="BP259" s="1" t="str">
        <f t="shared" si="78"/>
        <v/>
      </c>
      <c r="BQ259" s="1" t="str">
        <f t="shared" si="79"/>
        <v/>
      </c>
      <c r="BR259" s="1" t="str">
        <f t="shared" si="80"/>
        <v/>
      </c>
      <c r="BS259" s="1" t="str">
        <f t="shared" si="81"/>
        <v/>
      </c>
    </row>
    <row r="260" spans="48:71" x14ac:dyDescent="0.25">
      <c r="AV260" t="s">
        <v>712</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Type92mod</v>
      </c>
      <c r="BP260" s="1" t="str">
        <f t="shared" si="83"/>
        <v/>
      </c>
      <c r="BQ260" s="1" t="str">
        <f t="shared" si="83"/>
        <v/>
      </c>
      <c r="BR260" s="1" t="str">
        <f t="shared" si="83"/>
        <v/>
      </c>
      <c r="BS260" s="1" t="str">
        <f t="shared" si="83"/>
        <v/>
      </c>
    </row>
    <row r="261" spans="48:71" x14ac:dyDescent="0.25">
      <c r="AV261" t="s">
        <v>734</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Type95/97</v>
      </c>
      <c r="BP261" s="1" t="str">
        <f t="shared" si="83"/>
        <v/>
      </c>
      <c r="BQ261" s="1" t="str">
        <f t="shared" si="83"/>
        <v/>
      </c>
      <c r="BR261" s="1" t="str">
        <f t="shared" si="83"/>
        <v/>
      </c>
      <c r="BS261" s="1" t="str">
        <f t="shared" si="83"/>
        <v/>
      </c>
    </row>
    <row r="262" spans="48:71" x14ac:dyDescent="0.25">
      <c r="AV262" t="s">
        <v>8708</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Type97SMod</v>
      </c>
      <c r="BP262" s="1" t="str">
        <f t="shared" si="83"/>
        <v/>
      </c>
      <c r="BQ262" s="1" t="str">
        <f t="shared" si="83"/>
        <v/>
      </c>
      <c r="BR262" s="1" t="str">
        <f t="shared" si="83"/>
        <v/>
      </c>
      <c r="BS262" s="1" t="str">
        <f t="shared" si="83"/>
        <v/>
      </c>
    </row>
    <row r="263" spans="48:71" x14ac:dyDescent="0.25">
      <c r="AV263" t="s">
        <v>1652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Type97SModGZ</v>
      </c>
      <c r="BP263" s="1" t="str">
        <f t="shared" si="83"/>
        <v/>
      </c>
      <c r="BQ263" s="1" t="str">
        <f t="shared" si="83"/>
        <v/>
      </c>
      <c r="BR263" s="1" t="str">
        <f t="shared" si="83"/>
        <v/>
      </c>
      <c r="BS263" s="1" t="str">
        <f t="shared" si="83"/>
        <v/>
      </c>
    </row>
    <row r="264" spans="48:71" x14ac:dyDescent="0.25">
      <c r="AV264" t="s">
        <v>731</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UKM2000</v>
      </c>
      <c r="BP264" s="1" t="str">
        <f t="shared" si="83"/>
        <v/>
      </c>
      <c r="BQ264" s="1" t="str">
        <f t="shared" si="83"/>
        <v/>
      </c>
      <c r="BR264" s="1" t="str">
        <f t="shared" si="83"/>
        <v/>
      </c>
      <c r="BS264" s="1" t="str">
        <f t="shared" si="83"/>
        <v/>
      </c>
    </row>
    <row r="265" spans="48:71" x14ac:dyDescent="0.25">
      <c r="AV265" t="s">
        <v>265</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UMP</v>
      </c>
      <c r="BP265" s="1" t="str">
        <f t="shared" si="83"/>
        <v/>
      </c>
      <c r="BQ265" s="1" t="str">
        <f t="shared" si="83"/>
        <v/>
      </c>
      <c r="BR265" s="1" t="str">
        <f t="shared" si="83"/>
        <v/>
      </c>
      <c r="BS265" s="1" t="str">
        <f t="shared" si="83"/>
        <v/>
      </c>
    </row>
    <row r="266" spans="48:71" x14ac:dyDescent="0.25">
      <c r="AV266" t="s">
        <v>8164</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UMP45Mod</v>
      </c>
      <c r="BP266" s="1" t="str">
        <f t="shared" si="83"/>
        <v/>
      </c>
      <c r="BQ266" s="1" t="str">
        <f t="shared" si="83"/>
        <v/>
      </c>
      <c r="BR266" s="1" t="str">
        <f t="shared" si="83"/>
        <v/>
      </c>
      <c r="BS266" s="1" t="str">
        <f t="shared" si="83"/>
        <v/>
      </c>
    </row>
    <row r="267" spans="48:71" x14ac:dyDescent="0.25">
      <c r="AV267" t="s">
        <v>264</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UMP45ModGZ</v>
      </c>
      <c r="BP267" s="1" t="str">
        <f t="shared" si="83"/>
        <v/>
      </c>
      <c r="BQ267" s="1" t="str">
        <f t="shared" si="83"/>
        <v/>
      </c>
      <c r="BR267" s="1" t="str">
        <f t="shared" si="83"/>
        <v/>
      </c>
      <c r="BS267" s="1" t="str">
        <f t="shared" si="83"/>
        <v/>
      </c>
    </row>
    <row r="268" spans="48:71" x14ac:dyDescent="0.25">
      <c r="AV268" t="s">
        <v>8165</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UMP9Mod</v>
      </c>
      <c r="BP268" s="1" t="str">
        <f t="shared" si="83"/>
        <v/>
      </c>
      <c r="BQ268" s="1" t="str">
        <f t="shared" si="83"/>
        <v/>
      </c>
      <c r="BR268" s="1" t="str">
        <f t="shared" si="83"/>
        <v/>
      </c>
      <c r="BS268" s="1" t="str">
        <f t="shared" si="83"/>
        <v/>
      </c>
    </row>
    <row r="269" spans="48:71" x14ac:dyDescent="0.25">
      <c r="AV269" t="s">
        <v>97</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UMP9ModGZ</v>
      </c>
      <c r="BP269" s="1" t="str">
        <f t="shared" si="83"/>
        <v/>
      </c>
      <c r="BQ269" s="1" t="str">
        <f t="shared" si="83"/>
        <v/>
      </c>
      <c r="BR269" s="1" t="str">
        <f t="shared" si="83"/>
        <v/>
      </c>
      <c r="BS269" s="1" t="str">
        <f t="shared" si="83"/>
        <v/>
      </c>
    </row>
    <row r="270" spans="48:71" x14ac:dyDescent="0.25">
      <c r="AV270" t="s">
        <v>1669</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VM59</v>
      </c>
      <c r="BP270" s="1" t="str">
        <f t="shared" si="83"/>
        <v/>
      </c>
      <c r="BQ270" s="1" t="str">
        <f t="shared" si="83"/>
        <v/>
      </c>
      <c r="BR270" s="1" t="str">
        <f t="shared" si="83"/>
        <v/>
      </c>
      <c r="BS270" s="1" t="str">
        <f t="shared" si="83"/>
        <v/>
      </c>
    </row>
    <row r="271" spans="48:71" x14ac:dyDescent="0.25">
      <c r="AV271" t="s">
        <v>95</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VSK94</v>
      </c>
      <c r="BP271" s="1" t="str">
        <f t="shared" si="83"/>
        <v/>
      </c>
      <c r="BQ271" s="1" t="str">
        <f t="shared" si="83"/>
        <v/>
      </c>
      <c r="BR271" s="1" t="str">
        <f t="shared" si="83"/>
        <v/>
      </c>
      <c r="BS271" s="1" t="str">
        <f t="shared" si="83"/>
        <v/>
      </c>
    </row>
    <row r="272" spans="48:71" x14ac:dyDescent="0.25">
      <c r="AV272" t="s">
        <v>835</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WA2000</v>
      </c>
      <c r="BP272" s="1" t="str">
        <f t="shared" si="83"/>
        <v/>
      </c>
      <c r="BQ272" s="1" t="str">
        <f t="shared" si="83"/>
        <v/>
      </c>
      <c r="BR272" s="1" t="str">
        <f t="shared" si="83"/>
        <v/>
      </c>
      <c r="BS272" s="1" t="str">
        <f t="shared" si="83"/>
        <v/>
      </c>
    </row>
    <row r="273" spans="48:71" x14ac:dyDescent="0.25">
      <c r="AV273" t="s">
        <v>929</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Welrod MkIIMod</v>
      </c>
      <c r="BP273" s="1" t="str">
        <f t="shared" si="83"/>
        <v/>
      </c>
      <c r="BQ273" s="1" t="str">
        <f t="shared" si="83"/>
        <v/>
      </c>
      <c r="BR273" s="1" t="str">
        <f t="shared" si="83"/>
        <v/>
      </c>
      <c r="BS273" s="1" t="str">
        <f t="shared" si="83"/>
        <v/>
      </c>
    </row>
    <row r="274" spans="48:71" x14ac:dyDescent="0.25">
      <c r="AV274" t="s">
        <v>5737</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XM3Mod</v>
      </c>
      <c r="BP274" s="1" t="str">
        <f t="shared" si="83"/>
        <v/>
      </c>
      <c r="BQ274" s="1" t="str">
        <f t="shared" si="83"/>
        <v/>
      </c>
      <c r="BR274" s="1" t="str">
        <f t="shared" si="83"/>
        <v/>
      </c>
      <c r="BS274" s="1" t="str">
        <f t="shared" si="83"/>
        <v/>
      </c>
    </row>
    <row r="275" spans="48:71" x14ac:dyDescent="0.25">
      <c r="AV275" t="s">
        <v>1691</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XM8Mod</v>
      </c>
      <c r="BP275" s="1" t="str">
        <f t="shared" si="83"/>
        <v/>
      </c>
      <c r="BQ275" s="1" t="str">
        <f t="shared" si="83"/>
        <v/>
      </c>
      <c r="BR275" s="1" t="str">
        <f t="shared" si="83"/>
        <v/>
      </c>
      <c r="BS275" s="1" t="str">
        <f t="shared" si="83"/>
        <v/>
      </c>
    </row>
    <row r="276" spans="48:71" x14ac:dyDescent="0.25">
      <c r="AV276" t="s">
        <v>7016</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Yurine</v>
      </c>
      <c r="BP276" s="1" t="str">
        <f t="shared" si="85"/>
        <v/>
      </c>
      <c r="BQ276" s="1" t="str">
        <f t="shared" si="85"/>
        <v/>
      </c>
      <c r="BR276" s="1" t="str">
        <f t="shared" si="85"/>
        <v/>
      </c>
      <c r="BS276" s="1" t="str">
        <f t="shared" si="85"/>
        <v/>
      </c>
    </row>
    <row r="277" spans="48:71" x14ac:dyDescent="0.25">
      <c r="AV277" t="s">
        <v>1623</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Yuugiri</v>
      </c>
      <c r="BP277" s="1" t="str">
        <f t="shared" si="85"/>
        <v/>
      </c>
      <c r="BQ277" s="1" t="str">
        <f t="shared" si="85"/>
        <v/>
      </c>
      <c r="BR277" s="1" t="str">
        <f t="shared" si="85"/>
        <v/>
      </c>
      <c r="BS277" s="1" t="str">
        <f t="shared" si="85"/>
        <v/>
      </c>
    </row>
    <row r="278" spans="48: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Z62</v>
      </c>
      <c r="BP278" s="1" t="str">
        <f t="shared" si="85"/>
        <v/>
      </c>
      <c r="BQ278" s="1" t="str">
        <f t="shared" si="85"/>
        <v/>
      </c>
      <c r="BR278" s="1" t="str">
        <f t="shared" si="85"/>
        <v/>
      </c>
      <c r="BS278" s="1" t="str">
        <f t="shared" si="85"/>
        <v/>
      </c>
    </row>
    <row r="279" spans="48: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48: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48: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48: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48: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48: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48: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48: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48: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48: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ref="L2:L6">
    <sortCondition ref="L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A67DB3-101F-4A92-8428-C1CEA36C18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Vehicle Comp</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2024-04-19T18:10:03Z</dcterms:modified>
</cp:coreProperties>
</file>