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91038BB4-69F9-4549-82D6-FDADCDDC9CC4}" xr6:coauthVersionLast="36" xr6:coauthVersionMax="36" xr10:uidLastSave="{00000000-0000-0000-0000-000000000000}"/>
  <bookViews>
    <workbookView xWindow="0" yWindow="0" windowWidth="24000" windowHeight="86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state="hidden" r:id="rId8"/>
    <sheet name="SF Team" sheetId="43" state="hidden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Data'!$A$1:$S$413</definedName>
    <definedName name="_xlnm._FilterDatabase" localSheetId="18" hidden="1">'Equip Data'!$A$1:$X$220</definedName>
    <definedName name="_xlnm._FilterDatabase" localSheetId="15" hidden="1">'Fairy Data'!$A$1:$K$38</definedName>
    <definedName name="_xlnm._FilterDatabase" localSheetId="20" hidden="1">'SF Data'!$A$1:$P$39</definedName>
    <definedName name="_xlnm._FilterDatabase" localSheetId="16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Main!$C$74</definedName>
    <definedName name="StratSL1">Main!$C$74</definedName>
    <definedName name="StratSL2">Main!$C$75</definedName>
    <definedName name="StratSL3">Main!$C$76</definedName>
    <definedName name="ThreeStack">'Misc Inputs'!$C$11</definedName>
    <definedName name="TurnNum">Main!$B$12</definedName>
    <definedName name="TwoStack">'Misc Inputs'!$C$10</definedName>
    <definedName name="UseCustomStats">Main!$AC$21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B7" i="43"/>
  <c r="P12" i="33"/>
  <c r="P13" i="33"/>
  <c r="P14" i="33"/>
  <c r="P15" i="33"/>
  <c r="P11" i="33"/>
  <c r="O12" i="33"/>
  <c r="O13" i="33"/>
  <c r="O14" i="33"/>
  <c r="O15" i="33"/>
  <c r="O11" i="33"/>
  <c r="B4" i="43"/>
  <c r="B5" i="43"/>
  <c r="B6" i="43"/>
  <c r="B3" i="43"/>
  <c r="B26" i="42"/>
  <c r="A26" i="42" s="1"/>
  <c r="B27" i="42"/>
  <c r="A27" i="42" s="1"/>
  <c r="B28" i="42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A28" i="42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J15" i="36"/>
  <c r="L15" i="36"/>
  <c r="R15" i="36" s="1"/>
  <c r="M15" i="36"/>
  <c r="O15" i="36" s="1"/>
  <c r="V15" i="36" s="1"/>
  <c r="J16" i="36"/>
  <c r="L16" i="36"/>
  <c r="M16" i="36"/>
  <c r="O16" i="36" s="1"/>
  <c r="T16" i="36" s="1"/>
  <c r="O14" i="36"/>
  <c r="V14" i="36" s="1"/>
  <c r="R16" i="36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B12" i="33"/>
  <c r="E12" i="33"/>
  <c r="D12" i="33" s="1"/>
  <c r="F12" i="33"/>
  <c r="G12" i="33"/>
  <c r="K12" i="33"/>
  <c r="L12" i="33"/>
  <c r="M12" i="33"/>
  <c r="N12" i="33"/>
  <c r="B13" i="33"/>
  <c r="E13" i="33"/>
  <c r="D13" i="33" s="1"/>
  <c r="F13" i="33"/>
  <c r="G13" i="33"/>
  <c r="K13" i="33"/>
  <c r="L13" i="33"/>
  <c r="M13" i="33"/>
  <c r="N13" i="33"/>
  <c r="B14" i="33"/>
  <c r="E14" i="33"/>
  <c r="D14" i="33" s="1"/>
  <c r="F14" i="33"/>
  <c r="G14" i="33"/>
  <c r="K14" i="33"/>
  <c r="L14" i="33"/>
  <c r="M14" i="33"/>
  <c r="N14" i="33"/>
  <c r="B15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B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0" i="1"/>
  <c r="P3" i="33" s="1"/>
  <c r="B39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7" i="1" l="1"/>
  <c r="P10" i="33" s="1"/>
  <c r="B46" i="1"/>
  <c r="P9" i="33" s="1"/>
  <c r="B45" i="1"/>
  <c r="P8" i="33" s="1"/>
  <c r="B44" i="1"/>
  <c r="P7" i="33" s="1"/>
  <c r="B43" i="1"/>
  <c r="P6" i="33" s="1"/>
  <c r="B42" i="1"/>
  <c r="P5" i="33" s="1"/>
  <c r="B41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B14" authorId="0" shapeId="0" xr:uid="{E51D6261-D825-4BBE-9AAE-F6ADEB18AA0A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AB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C61" authorId="0" shapeId="0" xr:uid="{775CC1C8-7FBE-41E1-BA24-9527A9916CA7}">
      <text>
        <r>
          <rPr>
            <sz val="9"/>
            <color indexed="81"/>
            <rFont val="Tahoma"/>
            <family val="2"/>
          </rPr>
          <t>These stats are the max without iteration. Need to calculate the max with iteration.</t>
        </r>
      </text>
    </comment>
    <comment ref="K64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4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4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5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5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5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<sst xmlns="http://schemas.openxmlformats.org/spreadsheetml/2006/main" count="8697" uniqueCount="1912">
  <si>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</si>
  <si>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</si>
  <si>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</si>
  <si>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</si>
  <si>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</si>
  <si>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</si>
  <si>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</si>
  <si>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</si>
  <si>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</si>
  <si>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</si>
  <si>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</si>
  <si>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</si>
  <si>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</si>
  <si>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</si>
  <si>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</si>
  <si>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</si>
  <si>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</si>
  <si>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</si>
  <si>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</si>
  <si>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</si>
  <si>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</si>
  <si>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</si>
  <si>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</si>
  <si>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</si>
  <si>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</si>
  <si>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</si>
  <si>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</si>
  <si>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</si>
  <si>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</si>
  <si>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</si>
  <si>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</si>
  <si>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</si>
  <si>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</si>
  <si>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</si>
  <si>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</si>
  <si>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</si>
  <si>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</si>
  <si>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</si>
  <si>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</si>
  <si>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</si>
  <si>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</si>
  <si>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</si>
  <si>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</si>
  <si>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</si>
  <si>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</si>
  <si>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</si>
  <si>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</si>
  <si>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</si>
  <si>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</si>
  <si>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</si>
  <si>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</si>
  <si>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</si>
  <si>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</si>
  <si>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</si>
  <si>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</si>
  <si>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</si>
  <si>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</si>
  <si>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</si>
  <si>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</si>
  <si>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</si>
  <si>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</si>
  <si>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</si>
  <si>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</si>
  <si>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</si>
  <si>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</si>
  <si>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</si>
  <si>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</si>
  <si>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</si>
  <si>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</si>
  <si>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</si>
  <si>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</si>
  <si>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</si>
  <si>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</si>
  <si>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</si>
  <si>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</si>
  <si>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</si>
  <si>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</si>
  <si>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</si>
  <si>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</si>
  <si>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</si>
  <si>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</si>
  <si>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</si>
  <si>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</si>
  <si>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</si>
  <si>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</si>
  <si>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</si>
  <si>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</si>
  <si>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</si>
  <si>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</si>
  <si>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</si>
  <si>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</si>
  <si>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</si>
  <si>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</si>
  <si>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</si>
  <si>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</si>
  <si>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</si>
  <si>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</si>
  <si>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</si>
  <si>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</si>
  <si>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</si>
  <si>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</si>
  <si>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</si>
  <si>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</si>
  <si>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</si>
  <si>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</si>
  <si>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</si>
  <si>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</si>
  <si>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</si>
  <si>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</si>
  <si>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</si>
  <si>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</si>
  <si>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</si>
  <si>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</si>
  <si>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</si>
  <si>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</si>
  <si>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</si>
  <si>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</si>
  <si>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</si>
  <si>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</si>
  <si>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</si>
  <si>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</si>
  <si>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</si>
  <si>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</si>
  <si>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</si>
  <si>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</si>
  <si>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</si>
  <si>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</si>
  <si>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</si>
  <si>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</si>
  <si>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</si>
  <si>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</si>
  <si>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</si>
  <si>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</si>
  <si>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</si>
  <si>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</si>
  <si>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</si>
  <si>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</si>
  <si>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</si>
  <si>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</si>
  <si>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</si>
  <si>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</si>
  <si>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</si>
  <si>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</si>
  <si>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</si>
  <si>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</si>
  <si>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</si>
  <si>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</si>
  <si>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</si>
  <si>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</si>
  <si>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</si>
  <si>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</si>
  <si>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</si>
  <si>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</si>
  <si>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</si>
  <si>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</si>
  <si>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</si>
  <si>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</si>
  <si>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</si>
  <si>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</si>
  <si>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</si>
  <si>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</si>
  <si>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</si>
  <si>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</si>
  <si>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</si>
  <si>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</si>
  <si>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</si>
  <si>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</si>
  <si>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</si>
  <si>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</si>
  <si>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</si>
  <si>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</si>
  <si>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</si>
  <si>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</si>
  <si>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</si>
  <si>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</si>
  <si>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</si>
  <si>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</si>
  <si>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</si>
  <si>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</si>
  <si>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</si>
  <si>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</si>
  <si>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</si>
  <si>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</si>
  <si>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</si>
  <si>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</si>
  <si>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</si>
  <si>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</si>
  <si>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</si>
  <si>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</si>
  <si>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</si>
  <si>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</si>
  <si>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</si>
  <si>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</si>
  <si>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</si>
  <si>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</si>
  <si>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</si>
  <si>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</si>
  <si>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</si>
  <si>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</si>
  <si>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</si>
  <si>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</si>
  <si>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</si>
  <si>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</si>
  <si>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</si>
  <si>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</si>
  <si>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</si>
  <si>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</si>
  <si>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</si>
  <si>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</si>
  <si>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</si>
  <si>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</si>
  <si>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</si>
  <si>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</si>
  <si>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</si>
  <si>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</si>
  <si>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</si>
  <si>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</si>
  <si>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</si>
  <si>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</si>
  <si>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</si>
  <si>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</si>
  <si>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</si>
  <si>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</si>
  <si>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</si>
  <si>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</si>
  <si>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</si>
  <si>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</si>
  <si>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</si>
  <si>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</si>
  <si>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</si>
  <si>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</si>
  <si>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</si>
  <si>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</si>
  <si>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</si>
  <si>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</si>
  <si>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</si>
  <si>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</si>
  <si>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</si>
  <si>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</si>
  <si>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</si>
  <si>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</si>
  <si>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</si>
  <si>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</si>
  <si>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</si>
  <si>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</si>
  <si>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</si>
  <si>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</si>
  <si>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</si>
  <si>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</si>
  <si>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</si>
  <si>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</si>
  <si>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</si>
  <si>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</si>
  <si>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</si>
  <si>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</si>
  <si>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</si>
  <si>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</si>
  <si>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</si>
  <si>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</si>
  <si>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</si>
  <si>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</si>
  <si>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</si>
  <si>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</si>
  <si>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</si>
  <si>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</si>
  <si>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</si>
  <si>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</si>
  <si>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</si>
  <si>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</si>
  <si>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</si>
  <si>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</si>
  <si>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</si>
  <si>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</si>
  <si>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</si>
  <si>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</si>
  <si>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</si>
  <si>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</si>
  <si>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</si>
  <si>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</si>
  <si>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</si>
  <si>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</si>
  <si>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</si>
  <si>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</si>
  <si>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</si>
  <si>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</si>
  <si>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</si>
  <si>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</si>
  <si>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</si>
  <si>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</si>
  <si>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</si>
  <si>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</si>
  <si>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</si>
  <si>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</si>
  <si>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</si>
  <si>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</si>
  <si>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</si>
  <si>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</si>
  <si>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</si>
  <si>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</si>
  <si>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</si>
  <si>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</si>
  <si>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</si>
  <si>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</si>
  <si>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</si>
  <si>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</si>
  <si>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</si>
  <si>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</si>
  <si>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</si>
  <si>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</si>
  <si>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</si>
  <si>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</si>
  <si>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</si>
  <si>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</si>
  <si>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</si>
  <si>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</si>
  <si>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</si>
  <si>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</si>
  <si>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</si>
  <si>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</si>
  <si>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</si>
  <si>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</si>
  <si>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</si>
  <si>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</si>
  <si>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</si>
  <si>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</si>
  <si>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</si>
  <si>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</si>
  <si>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</si>
  <si>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</si>
  <si>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</si>
  <si>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</si>
  <si>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</si>
  <si>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</si>
  <si>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</si>
  <si>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</si>
  <si>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</si>
  <si>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</si>
  <si>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</si>
  <si>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</si>
  <si>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</si>
  <si>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</si>
  <si>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</si>
  <si>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</si>
  <si>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</si>
  <si>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</si>
  <si>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</si>
  <si>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</si>
  <si>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</si>
  <si>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</si>
  <si>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</si>
  <si>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</si>
  <si>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</si>
  <si>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</si>
  <si>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</si>
  <si>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</si>
  <si>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</si>
  <si>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</si>
  <si>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</si>
  <si>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</si>
  <si>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</si>
  <si>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</si>
  <si>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</si>
  <si>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</si>
  <si>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</si>
  <si>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</si>
  <si>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</si>
  <si>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</si>
  <si>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</si>
  <si>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</si>
  <si>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</si>
  <si>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</si>
  <si>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</si>
  <si>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</si>
  <si>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</si>
  <si>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</si>
  <si>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</si>
  <si>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</si>
  <si>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</si>
  <si>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</si>
  <si>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</si>
  <si>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</si>
  <si>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</si>
  <si>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</si>
  <si>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</si>
  <si>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</si>
  <si>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</si>
  <si>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</si>
  <si>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</si>
  <si>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</si>
  <si>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</si>
  <si>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</si>
  <si>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</si>
  <si>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</si>
  <si>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</si>
  <si>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</si>
  <si>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</si>
  <si>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</si>
  <si>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</si>
  <si>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</si>
  <si>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</si>
  <si>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</si>
  <si>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</si>
  <si>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</si>
  <si>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</si>
  <si>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</si>
  <si>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</si>
  <si>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</si>
  <si>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</si>
  <si>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</si>
  <si>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</si>
  <si>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</si>
  <si>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</si>
  <si>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</si>
  <si>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</si>
  <si>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</si>
  <si>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</si>
  <si>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</si>
  <si>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</si>
  <si>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</si>
  <si>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</si>
  <si>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</si>
  <si>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</si>
  <si>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</si>
  <si>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</si>
  <si>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</si>
  <si>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</si>
  <si>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</si>
  <si>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</si>
  <si>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</si>
  <si>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</si>
  <si>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</si>
  <si>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</si>
  <si>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</si>
  <si>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</si>
  <si>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</si>
  <si>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</si>
  <si>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</si>
  <si>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</si>
  <si>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</si>
  <si>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</si>
  <si>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</si>
  <si>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</si>
  <si>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</si>
  <si>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</si>
  <si>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</si>
  <si>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</si>
  <si>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</si>
  <si>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</si>
  <si>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</si>
  <si>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</si>
  <si>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</si>
  <si>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</si>
  <si>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</si>
  <si>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</si>
  <si>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</si>
  <si>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</si>
  <si>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</si>
  <si>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</si>
  <si>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</si>
  <si>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</si>
  <si>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</si>
  <si>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</si>
  <si>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</si>
  <si>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</si>
  <si>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</si>
  <si>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</si>
  <si>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</si>
  <si>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</si>
  <si>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</si>
  <si>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</si>
  <si>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</si>
  <si>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</si>
  <si>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</si>
  <si>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</si>
  <si>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</si>
  <si>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</si>
  <si>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</si>
  <si>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</si>
  <si>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</si>
  <si>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</si>
  <si>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</si>
  <si>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</si>
  <si>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</si>
  <si>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</si>
  <si>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</si>
  <si>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</si>
  <si>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</si>
  <si>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</si>
  <si>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</si>
  <si>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</si>
  <si>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</si>
  <si>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</si>
  <si>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</si>
  <si>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</si>
  <si>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</si>
  <si>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</si>
  <si>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</si>
  <si>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</si>
  <si>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</si>
  <si>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</si>
  <si>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</si>
  <si>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</si>
  <si>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</si>
  <si>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</si>
  <si>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</si>
  <si>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</si>
  <si>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</si>
  <si>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</si>
  <si>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</si>
  <si>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</si>
  <si>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</si>
  <si>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</si>
  <si>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</si>
  <si>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</si>
  <si>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</si>
  <si>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</si>
  <si>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</si>
  <si>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</si>
  <si>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</si>
  <si>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</si>
  <si>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</si>
  <si>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</si>
  <si>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</si>
  <si>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</si>
  <si>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</si>
  <si>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</si>
  <si>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</si>
  <si>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</si>
  <si>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</si>
  <si>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</si>
  <si>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</si>
  <si>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</si>
  <si>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</si>
  <si>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</si>
  <si>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</si>
  <si>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</si>
  <si>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</si>
  <si>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</si>
  <si>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</si>
  <si>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</si>
  <si>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</si>
  <si>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</si>
  <si>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</si>
  <si>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</si>
  <si>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</si>
  <si>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</si>
  <si>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</si>
  <si>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</si>
  <si>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</si>
  <si>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</si>
  <si>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</si>
  <si>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</si>
  <si>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</si>
  <si>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</si>
  <si>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</si>
  <si>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</si>
  <si>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</si>
  <si>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</si>
  <si>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</si>
  <si>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</si>
  <si>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</si>
  <si>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</si>
  <si>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</si>
  <si>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</si>
  <si>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</si>
  <si>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</si>
  <si>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</si>
  <si>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</si>
  <si>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</si>
  <si>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</si>
  <si>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</si>
  <si>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</si>
  <si>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</si>
  <si>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</si>
  <si>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</si>
  <si>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</si>
  <si>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</si>
  <si>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</si>
  <si>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</si>
  <si>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</si>
  <si>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</si>
  <si>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</si>
  <si>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</si>
  <si>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</si>
  <si>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</si>
  <si>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</si>
  <si>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</si>
  <si>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</si>
  <si>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</si>
  <si>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</si>
  <si>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</si>
  <si>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</si>
  <si>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</si>
  <si>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</si>
  <si>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</si>
  <si>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</si>
  <si>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</si>
  <si>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</si>
  <si>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</si>
  <si>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</si>
  <si>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</si>
  <si>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</si>
  <si>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</si>
  <si>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</si>
  <si>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</si>
  <si>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</si>
  <si>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</si>
  <si>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</si>
  <si>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</si>
  <si>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</si>
  <si>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</si>
  <si>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</si>
  <si>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</si>
  <si>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</si>
  <si>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</si>
  <si>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</si>
  <si>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</si>
  <si>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</si>
  <si>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</si>
  <si>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</si>
  <si>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</si>
  <si>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</si>
  <si>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</si>
  <si>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</si>
  <si>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</si>
  <si>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</si>
  <si>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</si>
  <si>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</si>
  <si>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</si>
  <si>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</si>
  <si>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</si>
  <si>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</si>
  <si>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</si>
  <si>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</si>
  <si>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</si>
  <si>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</si>
  <si>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</si>
  <si>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</si>
  <si>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</si>
  <si>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</si>
  <si>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</si>
  <si>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</si>
  <si>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</si>
  <si>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</si>
  <si>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</si>
  <si>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</si>
  <si>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</si>
  <si>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</si>
  <si>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</si>
  <si>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</si>
  <si>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</si>
  <si>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</si>
  <si>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</si>
  <si>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</si>
  <si>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</si>
  <si>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</si>
  <si>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</si>
  <si>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</si>
  <si>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</si>
  <si>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</si>
  <si>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</si>
  <si>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</si>
  <si>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</si>
  <si>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</si>
  <si>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</si>
  <si>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</si>
  <si>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</si>
  <si>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</si>
  <si>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</si>
  <si>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</si>
  <si>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</si>
  <si>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</si>
  <si>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</si>
  <si>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</si>
  <si>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</si>
  <si>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</si>
  <si>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</si>
  <si>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</si>
  <si>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</si>
  <si>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</si>
  <si>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</si>
  <si>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</si>
  <si>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</si>
  <si>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</si>
  <si>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</si>
  <si>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</si>
  <si>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</si>
  <si>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</si>
  <si>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</si>
  <si>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</si>
  <si>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</si>
  <si>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</si>
  <si>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</si>
  <si>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</si>
  <si>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</si>
  <si>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</si>
  <si>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</si>
  <si>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</si>
  <si>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</si>
  <si>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</si>
  <si>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</si>
  <si>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</si>
  <si>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</si>
  <si>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</si>
  <si>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</si>
  <si>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</si>
  <si>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</si>
  <si>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</si>
  <si>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</si>
  <si>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</si>
  <si>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</si>
  <si>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</si>
  <si>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</si>
  <si>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</si>
  <si>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</si>
  <si>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</si>
  <si>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</si>
  <si>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</si>
  <si>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</si>
  <si>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</si>
  <si>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</si>
  <si>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</si>
  <si>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</si>
  <si>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</si>
  <si>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</si>
  <si>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</si>
  <si>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</si>
  <si>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</si>
  <si>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</si>
  <si>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</si>
  <si>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</si>
  <si>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</si>
  <si>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</si>
  <si>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</si>
  <si>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</si>
  <si>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</si>
  <si>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</si>
  <si>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</si>
  <si>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</si>
  <si>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</si>
  <si>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</si>
  <si>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</si>
  <si>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</si>
  <si>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</si>
  <si>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</si>
  <si>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</si>
  <si>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</si>
  <si>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</si>
  <si>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</si>
  <si>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</si>
  <si>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</si>
  <si>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</si>
  <si>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</si>
  <si>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</si>
  <si>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</si>
  <si>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</si>
  <si>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</si>
  <si>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</si>
  <si>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</si>
  <si>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</si>
  <si>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</si>
  <si>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</si>
  <si>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</si>
  <si>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</si>
  <si>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</si>
  <si>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</si>
  <si>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</si>
  <si>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</si>
  <si>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</si>
  <si>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</si>
  <si>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</si>
  <si>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</si>
  <si>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</si>
  <si>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</si>
  <si>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</si>
  <si>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</si>
  <si>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</si>
  <si>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</si>
  <si>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</si>
  <si>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</si>
  <si>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</si>
  <si>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</si>
  <si>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</si>
  <si>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</si>
  <si>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</si>
  <si>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</si>
  <si>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</si>
  <si>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</si>
  <si>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</si>
  <si>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</si>
  <si>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</si>
  <si>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</si>
  <si>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</si>
  <si>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</si>
  <si>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</si>
  <si>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</si>
  <si>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</si>
  <si>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</si>
  <si>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</si>
  <si>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</si>
  <si>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</si>
  <si>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</si>
  <si>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</si>
  <si>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</si>
  <si>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</si>
  <si>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</si>
  <si>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</si>
  <si>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</si>
  <si>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</si>
  <si>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</si>
  <si>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</si>
  <si>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</si>
  <si>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</si>
  <si>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</si>
  <si>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</si>
  <si>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</si>
  <si>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</si>
  <si>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</si>
  <si>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</si>
  <si>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</si>
  <si>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</si>
  <si>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</si>
  <si>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</si>
  <si>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</si>
  <si>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</si>
  <si>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</si>
  <si>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</si>
  <si>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</si>
  <si>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</si>
  <si>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</si>
  <si>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</si>
  <si>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</si>
  <si>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</si>
  <si>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</si>
  <si>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</si>
  <si>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</si>
  <si>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</si>
  <si>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</si>
  <si>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</si>
  <si>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</si>
  <si>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</si>
  <si>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</si>
  <si>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</si>
  <si>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</si>
  <si>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</si>
  <si>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</si>
  <si>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</si>
  <si>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</si>
  <si>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</si>
  <si>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</si>
  <si>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</si>
  <si>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</si>
  <si>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</si>
  <si>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</si>
  <si>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</si>
  <si>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</si>
  <si>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</si>
  <si>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</si>
  <si>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</si>
  <si>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</si>
  <si>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</si>
  <si>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</si>
  <si>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</si>
  <si>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</si>
  <si>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</si>
  <si>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</si>
  <si>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</si>
  <si>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</si>
  <si>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</si>
  <si>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</si>
  <si>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</si>
  <si>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</si>
  <si>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</si>
  <si>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</si>
  <si>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</si>
  <si>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</si>
  <si>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</si>
  <si>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</si>
  <si>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</si>
  <si>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</si>
  <si>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</si>
  <si>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</si>
  <si>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</si>
  <si>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</si>
  <si>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</si>
  <si>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</si>
  <si>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</si>
  <si>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</si>
  <si>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</si>
  <si>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</si>
  <si>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</si>
  <si>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</si>
  <si>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</si>
  <si>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</si>
  <si>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</si>
  <si>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</si>
  <si>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</si>
  <si>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</si>
  <si>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</si>
  <si>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</si>
  <si>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</si>
  <si>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</si>
  <si>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</si>
  <si>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</si>
  <si>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</si>
  <si>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</si>
  <si>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</si>
  <si>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</si>
  <si>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</si>
  <si>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</si>
  <si>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</si>
  <si>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</si>
  <si>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</si>
  <si>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</si>
  <si>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</si>
  <si>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</si>
  <si>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</si>
  <si>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</si>
  <si>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</si>
  <si>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</si>
  <si>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</si>
  <si>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</si>
  <si>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</si>
  <si>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</si>
  <si>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</si>
  <si>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</si>
  <si>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</si>
  <si>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</si>
  <si>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</si>
  <si>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</si>
  <si>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</si>
  <si>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</si>
  <si>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</si>
  <si>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</si>
  <si>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</si>
  <si>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</si>
  <si>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</si>
  <si>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</si>
  <si>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</si>
  <si>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</si>
  <si>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</si>
  <si>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</si>
  <si>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</si>
  <si>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</si>
  <si>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</si>
  <si>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</si>
  <si>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</si>
  <si>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</si>
  <si>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</si>
  <si>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</si>
  <si>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</si>
  <si>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</si>
  <si>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</si>
  <si>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</si>
  <si>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</si>
  <si>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</si>
  <si>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</si>
  <si>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</si>
  <si>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</si>
  <si>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</si>
  <si>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</si>
  <si>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</si>
  <si>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</si>
  <si>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</si>
  <si>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</si>
  <si>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</si>
  <si>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</si>
  <si>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</si>
  <si>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</si>
  <si>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</si>
  <si>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</si>
  <si>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</si>
  <si>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</si>
  <si>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</si>
  <si>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</si>
  <si>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</si>
  <si>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</si>
  <si>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</si>
  <si>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</si>
  <si>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</si>
  <si>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</si>
  <si>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</si>
  <si>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</si>
  <si>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</si>
  <si>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</si>
  <si>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</si>
  <si>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</si>
  <si>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</si>
  <si>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</si>
  <si>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</si>
  <si>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</si>
  <si>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</si>
  <si>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</si>
  <si>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</si>
  <si>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</si>
  <si>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</si>
  <si>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</si>
  <si>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</si>
  <si>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</si>
  <si>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</si>
  <si>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</si>
  <si>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</si>
  <si>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</si>
  <si>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</si>
  <si>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</si>
  <si>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</si>
  <si>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</si>
  <si>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</si>
  <si>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</si>
  <si>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</si>
  <si>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</si>
  <si>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</si>
  <si>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</si>
  <si>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</si>
  <si>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</si>
  <si>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</si>
  <si>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</si>
  <si>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</si>
  <si>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</si>
  <si>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</si>
  <si>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</si>
  <si>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</si>
  <si>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</si>
  <si>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</si>
  <si>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</si>
  <si>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</si>
  <si>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</si>
  <si>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</si>
  <si>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</si>
  <si>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</si>
  <si>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</si>
  <si>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</si>
  <si>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</si>
  <si>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</si>
  <si>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</si>
  <si>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</si>
  <si>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</si>
  <si>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</si>
  <si>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</si>
  <si>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</si>
  <si>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</si>
  <si>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</si>
  <si>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</si>
  <si>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</si>
  <si>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</si>
  <si>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</si>
  <si>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</si>
  <si>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</si>
  <si>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</si>
  <si>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</si>
  <si>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</si>
  <si>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</si>
  <si>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</si>
  <si>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</si>
  <si>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</si>
  <si>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</si>
  <si>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</si>
  <si>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</si>
  <si>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</si>
  <si>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</si>
  <si>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</si>
  <si>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</si>
  <si>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</si>
  <si>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</si>
  <si>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</si>
  <si>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</si>
  <si>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</si>
  <si>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</si>
  <si>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</si>
  <si>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</si>
  <si>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</si>
  <si>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</si>
  <si>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</si>
  <si>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</si>
  <si>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</si>
  <si>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</si>
  <si>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</si>
  <si>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</si>
  <si>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</si>
  <si>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</si>
  <si>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</si>
  <si>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</si>
  <si>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</si>
  <si>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</si>
  <si>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</si>
  <si>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</si>
  <si>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</si>
  <si>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</si>
  <si>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</si>
  <si>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</si>
  <si>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</si>
  <si>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</si>
  <si>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</si>
  <si>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</si>
  <si>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</si>
  <si>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</si>
  <si>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</si>
  <si>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</si>
  <si>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</si>
  <si>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</si>
  <si>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</si>
  <si>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</si>
  <si>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</si>
  <si>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</si>
  <si>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</si>
  <si>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</si>
  <si>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</si>
  <si>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</si>
  <si>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</si>
  <si>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</si>
  <si>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</si>
  <si>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</si>
  <si>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</si>
  <si>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</si>
  <si>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</si>
  <si>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</si>
  <si>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</si>
  <si>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</si>
  <si>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</si>
  <si>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</si>
  <si>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</si>
  <si>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</si>
  <si>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</si>
  <si>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</si>
  <si>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</si>
  <si>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</si>
  <si>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</si>
  <si>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</si>
  <si>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</si>
  <si>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</si>
  <si>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</si>
  <si>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</si>
  <si>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</si>
  <si>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</si>
  <si>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</si>
  <si>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</si>
  <si>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</si>
  <si>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</si>
  <si>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</si>
  <si>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</si>
  <si>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</si>
  <si>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</si>
  <si>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</si>
  <si>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</si>
  <si>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</si>
  <si>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</si>
  <si>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</si>
  <si>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</si>
  <si>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</si>
  <si>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</si>
  <si>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</si>
  <si>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</si>
  <si>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</si>
  <si>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</si>
  <si>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</si>
  <si>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</si>
  <si>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</si>
  <si>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</si>
  <si>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</si>
  <si>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</si>
  <si>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</si>
  <si>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</si>
  <si>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</si>
  <si>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</si>
  <si>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</si>
  <si>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</si>
  <si>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</si>
  <si>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</si>
  <si>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</si>
  <si>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</si>
  <si>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</si>
  <si>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</si>
  <si>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</si>
  <si>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</si>
  <si>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</si>
  <si>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</si>
  <si>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</si>
  <si>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</si>
  <si>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</si>
  <si>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</si>
  <si>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</si>
  <si>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</si>
  <si>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</si>
  <si>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</si>
  <si>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</si>
  <si>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</si>
  <si>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</si>
  <si>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</si>
  <si>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</si>
  <si>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</si>
  <si>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</si>
  <si>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</si>
  <si>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</si>
  <si>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</si>
  <si>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</si>
  <si>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</si>
  <si>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</si>
  <si>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</si>
  <si>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</si>
  <si>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</si>
  <si>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</si>
  <si>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</si>
  <si>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</si>
  <si>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</si>
  <si>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</si>
  <si>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</si>
  <si>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</si>
  <si>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</si>
  <si>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</si>
  <si>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</si>
  <si>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</si>
  <si>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</si>
  <si>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</si>
  <si>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</si>
  <si>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</si>
  <si>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</si>
  <si>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</si>
  <si>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</si>
  <si>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</si>
  <si>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</si>
  <si>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</si>
  <si>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</si>
  <si>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</si>
  <si>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</si>
  <si>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</si>
  <si>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</si>
  <si>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</si>
  <si>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</si>
  <si>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</si>
  <si>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</si>
  <si>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</si>
  <si>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</si>
  <si>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</si>
  <si>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</si>
  <si>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</si>
  <si>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</si>
  <si>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</si>
  <si>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</si>
  <si>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</si>
  <si>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</si>
  <si>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</si>
  <si>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</si>
  <si>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</si>
  <si>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</si>
  <si>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</si>
  <si>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</si>
  <si>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</si>
  <si>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</si>
  <si>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</si>
  <si>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</si>
  <si>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</si>
  <si>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</si>
  <si>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</si>
  <si>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</si>
  <si>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</si>
  <si>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</si>
  <si>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</si>
  <si>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</si>
  <si>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</si>
  <si>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</si>
  <si>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</si>
  <si>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</si>
  <si>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</si>
  <si>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</si>
  <si>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</si>
  <si>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</si>
  <si>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</si>
  <si>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</si>
  <si>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</si>
  <si>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</si>
  <si>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</si>
  <si>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</si>
  <si>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</si>
  <si>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</si>
  <si>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</si>
  <si>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</si>
  <si>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</si>
  <si>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</si>
  <si>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</si>
  <si>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</si>
  <si>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</si>
  <si>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</si>
  <si>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</si>
  <si>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</si>
  <si>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</si>
  <si>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</si>
  <si>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</si>
  <si>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</si>
  <si>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</si>
  <si>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</si>
  <si>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</si>
  <si>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</si>
  <si>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</si>
  <si>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</si>
  <si>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</si>
  <si>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</si>
  <si>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</si>
  <si>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</si>
  <si>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</si>
  <si>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</si>
  <si>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</si>
  <si>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</si>
  <si>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</si>
  <si>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</si>
  <si>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</si>
  <si>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</si>
  <si>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</si>
  <si>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</si>
  <si>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</si>
  <si>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</si>
  <si>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</si>
  <si>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</si>
  <si>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</si>
  <si>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</si>
  <si>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</si>
  <si>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</si>
  <si>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</si>
  <si>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</si>
  <si>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</si>
  <si>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</si>
  <si>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</si>
  <si>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</si>
  <si>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</si>
  <si>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</si>
  <si>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</si>
  <si>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</si>
  <si>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</si>
  <si>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</si>
  <si>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</si>
  <si>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</si>
  <si>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</si>
  <si>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</si>
  <si>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</si>
  <si>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</si>
  <si>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</si>
  <si>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</si>
  <si>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</si>
  <si>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</si>
  <si>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</si>
  <si>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</si>
  <si>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</si>
  <si>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</si>
  <si>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</si>
  <si>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</si>
  <si>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</si>
  <si>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</si>
  <si>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</si>
  <si>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</si>
  <si>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</si>
  <si>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</si>
  <si>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</si>
  <si>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</si>
  <si>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</si>
  <si>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</si>
  <si>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</si>
  <si>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</si>
  <si>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</si>
  <si>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</si>
  <si>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</si>
  <si>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</si>
  <si>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</si>
  <si>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</si>
  <si>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</si>
  <si>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</si>
  <si>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</si>
  <si>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</si>
  <si>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</si>
  <si>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</si>
  <si>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</si>
  <si>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</si>
  <si>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</si>
  <si>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</si>
  <si>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</si>
  <si>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</si>
  <si>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</si>
  <si>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</si>
  <si>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</si>
  <si>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</si>
  <si>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</si>
  <si>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</si>
  <si>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</si>
  <si>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</si>
  <si>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</si>
  <si>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</si>
  <si>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</si>
  <si>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</si>
  <si>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</si>
  <si>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</si>
  <si>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</si>
  <si>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</si>
  <si>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</si>
  <si>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</si>
  <si>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</si>
  <si>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</si>
  <si>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</si>
  <si>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</si>
  <si>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</si>
  <si>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</si>
  <si>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</si>
  <si>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</si>
  <si>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</si>
  <si>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</si>
  <si>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</si>
  <si>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</si>
  <si>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</si>
  <si>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</si>
  <si>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</si>
  <si>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</si>
  <si>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</si>
  <si>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</si>
  <si>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</si>
  <si>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</si>
  <si>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</si>
  <si>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</si>
  <si>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</si>
  <si>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</si>
  <si>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</si>
  <si>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</si>
  <si>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</si>
  <si>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</si>
  <si>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</si>
  <si>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</si>
  <si>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</si>
  <si>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</si>
  <si>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</si>
  <si>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</si>
  <si>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</si>
  <si>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</si>
  <si>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</si>
  <si>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</si>
  <si>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</si>
  <si>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</si>
  <si>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</si>
  <si>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</si>
  <si>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</si>
  <si>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</si>
  <si>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</si>
  <si>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</si>
  <si>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</si>
  <si>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</si>
  <si>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</si>
  <si>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</si>
  <si>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</si>
  <si>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</si>
  <si>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</si>
  <si>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</si>
  <si>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</si>
  <si>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</si>
  <si>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</si>
  <si>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</si>
  <si>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</si>
  <si>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</si>
  <si>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</si>
  <si>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</si>
  <si>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</si>
  <si>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</si>
  <si>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</si>
  <si>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</si>
  <si>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</si>
  <si>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</si>
  <si>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</si>
  <si>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</si>
  <si>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</si>
  <si>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</si>
  <si>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</si>
  <si>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</si>
  <si>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</si>
  <si>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</si>
  <si>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</si>
  <si>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</si>
  <si>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</si>
  <si>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</si>
  <si>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</si>
  <si>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</si>
  <si>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</si>
  <si>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</si>
  <si>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</si>
  <si>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</si>
  <si>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</si>
  <si>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</si>
  <si>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</si>
  <si>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</si>
  <si>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</si>
  <si>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</si>
  <si>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</si>
  <si>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</si>
  <si>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</si>
  <si>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</si>
  <si>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</si>
  <si>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</si>
  <si>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</si>
  <si>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</si>
  <si>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</si>
  <si>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</si>
  <si>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</si>
  <si>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</si>
  <si>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</si>
  <si>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</si>
  <si>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</si>
  <si>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</si>
  <si>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</si>
  <si>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</si>
  <si>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</si>
  <si>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</si>
  <si>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</si>
  <si>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</si>
  <si>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</si>
  <si>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</si>
  <si>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</si>
  <si>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</si>
  <si>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</si>
  <si>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</si>
  <si>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</si>
  <si>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</si>
  <si>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</si>
  <si>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</si>
  <si>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</si>
  <si>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</si>
  <si>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</si>
  <si>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</si>
  <si>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</si>
  <si>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</si>
  <si>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</si>
  <si>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</si>
  <si>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</si>
  <si>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</si>
  <si>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</si>
  <si>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</si>
  <si>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</si>
  <si>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</si>
  <si>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</si>
  <si>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</si>
  <si>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</si>
  <si>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</si>
  <si>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</si>
  <si>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</si>
  <si>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</si>
  <si>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</si>
  <si>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</si>
  <si>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</si>
  <si>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</si>
  <si>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</si>
  <si>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</si>
  <si>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</si>
  <si>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</si>
  <si>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</si>
  <si>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</si>
  <si>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</si>
  <si>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</si>
  <si>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</si>
  <si>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</si>
  <si>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</si>
  <si>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</si>
  <si>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</si>
  <si>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</si>
  <si>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</si>
  <si>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</si>
  <si>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</si>
  <si>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</si>
  <si>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</si>
  <si>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</si>
  <si>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</si>
  <si>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</si>
  <si>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</si>
  <si>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</si>
  <si>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</si>
  <si>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</si>
  <si>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</si>
  <si>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</si>
  <si>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</si>
  <si>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</si>
  <si>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</si>
  <si>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</si>
  <si>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</si>
  <si>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</si>
  <si>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</si>
  <si>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</si>
  <si>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</si>
  <si>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</si>
  <si>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</si>
  <si>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</si>
  <si>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</si>
  <si>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</si>
  <si>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</si>
  <si>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</si>
  <si>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</si>
  <si>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</si>
  <si>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</si>
  <si>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</si>
  <si>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</si>
  <si>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</si>
  <si>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</si>
  <si>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</si>
  <si>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</si>
  <si>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</si>
  <si>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</si>
  <si>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</si>
  <si>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</si>
  <si>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</si>
  <si>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</si>
  <si>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</si>
  <si>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</si>
  <si>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</si>
  <si>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</si>
  <si>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</si>
  <si>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</si>
  <si>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</si>
  <si>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</si>
  <si>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</si>
  <si>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</si>
  <si>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</si>
  <si>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</si>
  <si>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</si>
  <si>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</si>
  <si>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</si>
  <si>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</si>
  <si>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</si>
  <si>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</si>
  <si>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</si>
  <si>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</si>
  <si>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</si>
  <si>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</si>
  <si>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</si>
  <si>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</si>
  <si>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</si>
  <si>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</si>
  <si>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</si>
  <si>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</si>
  <si>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</si>
  <si>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</si>
  <si>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</si>
  <si>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</si>
  <si>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</si>
  <si>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</si>
  <si>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</si>
  <si>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</si>
  <si>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</si>
  <si>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</si>
  <si>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</si>
  <si>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</si>
  <si>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</si>
  <si>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</si>
  <si>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</si>
  <si>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</si>
  <si>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</si>
  <si>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</si>
  <si>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</si>
  <si>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</si>
  <si>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</si>
  <si>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</si>
  <si>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</si>
  <si>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</si>
  <si>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</si>
  <si>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</si>
  <si>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</si>
  <si>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</si>
  <si>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</si>
  <si>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</si>
  <si>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</si>
  <si>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</si>
  <si>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</si>
  <si>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</si>
  <si>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</si>
  <si>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</si>
  <si>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</si>
  <si>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</si>
  <si>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</si>
  <si>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</si>
  <si>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</si>
  <si>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</si>
  <si>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</si>
  <si>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</si>
  <si>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</si>
  <si>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</si>
  <si>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</si>
  <si>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</si>
  <si>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</si>
  <si>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</si>
  <si>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</si>
  <si>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</si>
  <si>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</si>
  <si>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</si>
  <si>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</si>
  <si>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</si>
  <si>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</si>
  <si>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</si>
  <si>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</si>
  <si>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</si>
  <si>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</si>
  <si>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</si>
  <si>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</si>
  <si>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</si>
  <si>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</si>
  <si>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</si>
  <si>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</si>
  <si>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</si>
  <si>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</si>
  <si>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</si>
  <si>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</si>
  <si>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</si>
  <si>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</si>
  <si>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</si>
  <si>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</si>
  <si>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</si>
  <si>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</si>
  <si>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</si>
  <si>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</si>
  <si>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</si>
  <si>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</si>
  <si>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</si>
  <si>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</si>
  <si>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</si>
  <si>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</si>
  <si>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</si>
  <si>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</si>
  <si>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</si>
  <si>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</si>
  <si>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</si>
  <si>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</si>
  <si>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</si>
  <si>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</si>
  <si>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</si>
  <si>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</si>
  <si>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</si>
  <si>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</si>
  <si>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</si>
  <si>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</si>
  <si>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</si>
  <si>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</si>
  <si>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</si>
  <si>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</si>
  <si>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</si>
  <si>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</si>
  <si>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</si>
  <si>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</si>
  <si>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</si>
  <si>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</si>
  <si>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</si>
  <si>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</si>
  <si>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</si>
  <si>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</si>
  <si>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</si>
  <si>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</si>
  <si>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</si>
  <si>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</si>
  <si>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</si>
  <si>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</si>
  <si>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</si>
  <si>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</si>
  <si>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</si>
  <si>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</si>
  <si>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</si>
  <si>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</si>
  <si>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</si>
  <si>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</si>
  <si>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</si>
  <si>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</si>
  <si>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</si>
  <si>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</si>
  <si>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</si>
  <si>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</si>
  <si>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</si>
  <si>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</si>
  <si>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</si>
  <si>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</si>
  <si>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</si>
  <si>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</si>
  <si>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</si>
  <si>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</si>
  <si>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</si>
  <si>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</si>
  <si>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</si>
  <si>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</si>
  <si>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</si>
  <si>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</si>
  <si>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</si>
  <si>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</si>
  <si>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</si>
  <si>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</si>
  <si>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</si>
  <si>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</si>
  <si>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</si>
  <si>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</si>
  <si>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</si>
  <si>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</si>
  <si>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</si>
  <si>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</si>
  <si>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</si>
  <si>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</si>
  <si>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</si>
  <si>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</si>
  <si>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</si>
  <si>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</si>
  <si>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</si>
  <si>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</si>
  <si>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</si>
  <si>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</si>
  <si>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</si>
  <si>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</si>
  <si>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</si>
  <si>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</si>
  <si>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</si>
  <si>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</si>
  <si>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</si>
  <si>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</si>
  <si>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</si>
  <si>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</si>
  <si>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</si>
  <si>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</si>
  <si>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</si>
  <si>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</si>
  <si>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</si>
  <si>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</si>
  <si>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</si>
  <si>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</si>
  <si>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</si>
  <si>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</si>
  <si>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</si>
  <si>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</si>
  <si>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</si>
  <si>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</si>
  <si>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</si>
  <si>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</si>
  <si>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</si>
  <si>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1,12;3,25</t>
  </si>
  <si>
    <t>6,18</t>
  </si>
  <si>
    <t>82</t>
  </si>
  <si>
    <t>1,20;5,20</t>
  </si>
  <si>
    <t>CZ100</t>
  </si>
  <si>
    <t>750069,750070</t>
  </si>
  <si>
    <t>SR2</t>
  </si>
  <si>
    <t>750071,750076</t>
  </si>
  <si>
    <t>750073,750074</t>
  </si>
  <si>
    <t>3,50;5,20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</si>
  <si>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</si>
  <si>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</si>
  <si>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</si>
  <si>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</si>
  <si>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</si>
  <si>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</si>
  <si>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</si>
  <si>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</si>
  <si>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</si>
  <si>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</si>
  <si>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</si>
  <si>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</si>
  <si>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</si>
  <si>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</si>
  <si>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</si>
  <si>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</si>
  <si>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</si>
  <si>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</si>
  <si>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</si>
  <si>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</si>
  <si>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</si>
  <si>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</si>
  <si>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</si>
  <si>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</si>
  <si>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</si>
  <si>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</si>
  <si>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</si>
  <si>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</si>
  <si>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</si>
  <si>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</si>
  <si>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</si>
  <si>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</si>
  <si>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</si>
  <si>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</si>
  <si>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</si>
  <si>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</si>
  <si>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</si>
  <si>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Night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</si>
  <si>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</si>
  <si>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</si>
  <si>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</si>
  <si>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</si>
  <si>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</si>
  <si>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</si>
  <si>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</si>
  <si>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</si>
  <si>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</si>
  <si>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</si>
  <si>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</si>
  <si>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</si>
  <si>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</si>
  <si>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</si>
  <si>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</si>
  <si>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</si>
  <si>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</si>
  <si>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</si>
  <si>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</si>
  <si>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</si>
  <si>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</si>
  <si>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</si>
  <si>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</si>
  <si>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</si>
  <si>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</si>
  <si>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</si>
  <si>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</si>
  <si>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</si>
  <si>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</si>
  <si>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</si>
  <si>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</si>
  <si>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</si>
  <si>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</si>
  <si>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</si>
  <si>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</si>
  <si>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</si>
  <si>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</si>
  <si>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October 24, 2021)</t>
    </r>
  </si>
  <si>
    <t>Spot Day:</t>
  </si>
  <si>
    <t>Spot Night: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</si>
</sst>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0" xfId="0" applyFont="1" applyFill="1" applyBorder="1" applyAlignment="1" applyProtection="1">
      <alignment horizontal="center"/>
      <protection locked="0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8" fillId="4" borderId="12" xfId="1" applyFill="1" applyBorder="1" applyAlignment="1" applyProtection="1">
      <alignment horizontal="center"/>
      <protection locked="0"/>
    </xf>
    <xf numFmtId="0" fontId="13" fillId="4" borderId="0" xfId="0" applyFont="1" applyFill="1" applyProtection="1"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0.85546875" style="165" customWidth="1"/>
    <col min="2" max="2" width="13.140625" style="165" customWidth="1"/>
    <col min="3" max="3" width="11.42578125" style="165" bestFit="1" customWidth="1"/>
    <col min="4" max="4" width="15.140625" style="165" bestFit="1" customWidth="1"/>
    <col min="5" max="5" width="10.85546875" style="165" bestFit="1" customWidth="1"/>
    <col min="6" max="6" width="12.42578125" style="165" customWidth="1"/>
    <col min="7" max="7" width="9.28515625" style="165" bestFit="1" customWidth="1"/>
    <col min="8" max="8" width="10" style="165" customWidth="1"/>
    <col min="9" max="10" width="9.140625" style="165"/>
    <col min="11" max="14" width="13.5703125" style="165" customWidth="1"/>
    <col min="15" max="15" width="9.140625" style="165"/>
    <col min="16" max="16" width="11.7109375" style="165" customWidth="1"/>
    <col min="17" max="16384" width="9.140625" style="165"/>
  </cols>
  <sheetData>
    <row r="1" spans="1:5" ht="26.25" x14ac:dyDescent="0.4">
      <c r="A1" s="164" t="s">
        <v>1909</v>
      </c>
    </row>
    <row r="2" spans="1:5" x14ac:dyDescent="0.25">
      <c r="A2" s="165" t="s">
        <v>868</v>
      </c>
    </row>
    <row r="3" spans="1:5" x14ac:dyDescent="0.25">
      <c r="A3" s="165" t="s">
        <v>869</v>
      </c>
    </row>
    <row r="4" spans="1:5" x14ac:dyDescent="0.25">
      <c r="A4" s="165" t="s">
        <v>948</v>
      </c>
    </row>
    <row r="5" spans="1:5" x14ac:dyDescent="0.25">
      <c r="A5" s="165" t="s">
        <v>950</v>
      </c>
      <c r="B5" s="166" t="s">
        <v>949</v>
      </c>
    </row>
    <row r="6" spans="1:5" x14ac:dyDescent="0.25">
      <c r="A6" s="165" t="s">
        <v>993</v>
      </c>
      <c r="B6" s="166" t="s">
        <v>994</v>
      </c>
    </row>
    <row r="7" spans="1:5" x14ac:dyDescent="0.25">
      <c r="A7" s="165" t="s">
        <v>1003</v>
      </c>
      <c r="B7" s="166" t="s">
        <v>1004</v>
      </c>
    </row>
    <row r="9" spans="1:5" x14ac:dyDescent="0.25">
      <c r="A9" s="167" t="s">
        <v>779</v>
      </c>
      <c r="B9" s="168">
        <v>562858</v>
      </c>
      <c r="D9" s="167" t="s">
        <v>1797</v>
      </c>
      <c r="E9" s="230">
        <v>9411328</v>
      </c>
    </row>
    <row r="10" spans="1:5" x14ac:dyDescent="0.25">
      <c r="A10" s="169" t="s">
        <v>870</v>
      </c>
      <c r="B10" s="170" t="s">
        <v>1871</v>
      </c>
      <c r="D10" s="169" t="s">
        <v>861</v>
      </c>
      <c r="E10" s="170">
        <v>178000</v>
      </c>
    </row>
    <row r="11" spans="1:5" x14ac:dyDescent="0.25">
      <c r="A11" s="169" t="s">
        <v>860</v>
      </c>
      <c r="B11" s="170" t="s">
        <v>995</v>
      </c>
      <c r="D11" s="169" t="s">
        <v>862</v>
      </c>
      <c r="E11" s="170" t="b">
        <v>1</v>
      </c>
    </row>
    <row r="12" spans="1:5" x14ac:dyDescent="0.25">
      <c r="A12" s="169" t="s">
        <v>1798</v>
      </c>
      <c r="B12" s="170">
        <v>8</v>
      </c>
      <c r="D12" s="169" t="s">
        <v>863</v>
      </c>
      <c r="E12" s="170" t="b">
        <v>1</v>
      </c>
    </row>
    <row r="14" spans="1:5" x14ac:dyDescent="0.25">
      <c r="A14" s="171" t="s">
        <v>1093</v>
      </c>
      <c r="B14" s="172" t="s">
        <v>1845</v>
      </c>
      <c r="C14" s="241"/>
    </row>
    <row r="16" spans="1:5" ht="18.75" x14ac:dyDescent="0.3">
      <c r="A16" s="173" t="s">
        <v>1091</v>
      </c>
      <c r="B16" s="174"/>
    </row>
    <row r="17" spans="1:29" hidden="1" outlineLevel="1" x14ac:dyDescent="0.25">
      <c r="A17" s="171"/>
      <c r="B17" s="174"/>
    </row>
    <row r="18" spans="1:29" hidden="1" outlineLevel="1" x14ac:dyDescent="0.25">
      <c r="A18" s="171" t="s">
        <v>1005</v>
      </c>
      <c r="B18" s="242" t="s">
        <v>1800</v>
      </c>
      <c r="C18" s="243"/>
    </row>
    <row r="19" spans="1:29" hidden="1" outlineLevel="1" x14ac:dyDescent="0.25">
      <c r="A19" s="171"/>
      <c r="B19" s="174"/>
    </row>
    <row r="20" spans="1:29" hidden="1" outlineLevel="1" x14ac:dyDescent="0.25">
      <c r="A20" s="175" t="s">
        <v>977</v>
      </c>
      <c r="B20" s="175"/>
      <c r="C20" s="175"/>
      <c r="D20" s="175"/>
      <c r="E20" s="175"/>
      <c r="F20" s="175"/>
      <c r="G20" s="175"/>
      <c r="H20" s="175"/>
      <c r="I20" s="175"/>
      <c r="J20" s="175"/>
      <c r="L20" s="175" t="s">
        <v>976</v>
      </c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</row>
    <row r="21" spans="1:29" hidden="1" outlineLevel="1" x14ac:dyDescent="0.25">
      <c r="A21" s="176"/>
      <c r="B21" s="177" t="s">
        <v>581</v>
      </c>
      <c r="C21" s="177"/>
      <c r="D21" s="177"/>
      <c r="E21" s="177"/>
      <c r="F21" s="177"/>
      <c r="G21" s="177"/>
      <c r="H21" s="177"/>
      <c r="I21" s="177"/>
      <c r="J21" s="178"/>
      <c r="L21" s="179" t="s">
        <v>713</v>
      </c>
      <c r="M21" s="177"/>
      <c r="N21" s="177"/>
      <c r="O21" s="178"/>
      <c r="P21" s="177" t="s">
        <v>714</v>
      </c>
      <c r="Q21" s="177"/>
      <c r="R21" s="177"/>
      <c r="S21" s="178"/>
      <c r="T21" s="177" t="s">
        <v>715</v>
      </c>
      <c r="U21" s="177"/>
      <c r="V21" s="177"/>
      <c r="W21" s="178"/>
      <c r="Y21" s="179" t="s">
        <v>990</v>
      </c>
      <c r="Z21" s="177"/>
      <c r="AA21" s="177"/>
      <c r="AB21" s="178"/>
      <c r="AC21" s="195" t="b">
        <v>1</v>
      </c>
    </row>
    <row r="22" spans="1:29" hidden="1" outlineLevel="1" x14ac:dyDescent="0.25">
      <c r="A22" s="180" t="s">
        <v>0</v>
      </c>
      <c r="B22" s="181" t="s">
        <v>1125</v>
      </c>
      <c r="C22" s="181" t="s">
        <v>1</v>
      </c>
      <c r="D22" s="181" t="s">
        <v>8</v>
      </c>
      <c r="E22" s="181" t="s">
        <v>18</v>
      </c>
      <c r="F22" s="181" t="s">
        <v>285</v>
      </c>
      <c r="G22" s="181" t="s">
        <v>58</v>
      </c>
      <c r="H22" s="181" t="s">
        <v>59</v>
      </c>
      <c r="I22" s="181" t="s">
        <v>273</v>
      </c>
      <c r="J22" s="182" t="s">
        <v>60</v>
      </c>
      <c r="L22" s="183" t="s">
        <v>711</v>
      </c>
      <c r="M22" s="181" t="s">
        <v>8</v>
      </c>
      <c r="N22" s="181" t="s">
        <v>18</v>
      </c>
      <c r="O22" s="182" t="s">
        <v>712</v>
      </c>
      <c r="P22" s="181" t="s">
        <v>711</v>
      </c>
      <c r="Q22" s="181" t="s">
        <v>8</v>
      </c>
      <c r="R22" s="181" t="s">
        <v>18</v>
      </c>
      <c r="S22" s="182" t="s">
        <v>712</v>
      </c>
      <c r="T22" s="181" t="s">
        <v>711</v>
      </c>
      <c r="U22" s="181" t="s">
        <v>8</v>
      </c>
      <c r="V22" s="181" t="s">
        <v>18</v>
      </c>
      <c r="W22" s="182" t="s">
        <v>712</v>
      </c>
      <c r="Y22" s="196" t="s">
        <v>992</v>
      </c>
      <c r="Z22" s="197" t="s">
        <v>10</v>
      </c>
      <c r="AA22" s="197" t="s">
        <v>11</v>
      </c>
      <c r="AB22" s="197" t="s">
        <v>12</v>
      </c>
      <c r="AC22" s="198" t="s">
        <v>13</v>
      </c>
    </row>
    <row r="23" spans="1:29" hidden="1" outlineLevel="1" x14ac:dyDescent="0.25">
      <c r="A23" s="224">
        <v>1</v>
      </c>
      <c r="B23" s="184">
        <v>5</v>
      </c>
      <c r="C23" s="185" t="s">
        <v>4</v>
      </c>
      <c r="D23" s="186" t="s">
        <v>214</v>
      </c>
      <c r="E23" s="185">
        <v>100</v>
      </c>
      <c r="F23" s="185">
        <v>5</v>
      </c>
      <c r="G23" s="185">
        <v>10</v>
      </c>
      <c r="H23" s="185">
        <v>0</v>
      </c>
      <c r="I23" s="185">
        <v>0</v>
      </c>
      <c r="J23" s="186">
        <v>100</v>
      </c>
      <c r="K23" s="187"/>
      <c r="L23" s="188" t="s">
        <v>721</v>
      </c>
      <c r="M23" s="189" t="s">
        <v>527</v>
      </c>
      <c r="N23" s="189">
        <v>10</v>
      </c>
      <c r="O23" s="190">
        <v>1</v>
      </c>
      <c r="P23" s="188" t="s">
        <v>730</v>
      </c>
      <c r="Q23" s="189" t="s">
        <v>543</v>
      </c>
      <c r="R23" s="189">
        <v>10</v>
      </c>
      <c r="S23" s="190">
        <v>1</v>
      </c>
      <c r="T23" s="188" t="s">
        <v>751</v>
      </c>
      <c r="U23" s="189" t="s">
        <v>564</v>
      </c>
      <c r="V23" s="189">
        <v>10</v>
      </c>
      <c r="W23" s="190">
        <v>1</v>
      </c>
      <c r="Y23" s="188"/>
      <c r="Z23" s="189"/>
      <c r="AA23" s="189"/>
      <c r="AB23" s="189"/>
      <c r="AC23" s="190"/>
    </row>
    <row r="24" spans="1:29" hidden="1" outlineLevel="1" x14ac:dyDescent="0.25">
      <c r="A24" s="224">
        <v>2</v>
      </c>
      <c r="B24" s="188">
        <v>5</v>
      </c>
      <c r="C24" s="189" t="s">
        <v>4</v>
      </c>
      <c r="D24" s="191" t="s">
        <v>1761</v>
      </c>
      <c r="E24" s="189">
        <v>100</v>
      </c>
      <c r="F24" s="189">
        <v>5</v>
      </c>
      <c r="G24" s="189">
        <v>10</v>
      </c>
      <c r="H24" s="189">
        <v>0</v>
      </c>
      <c r="I24" s="189">
        <v>0</v>
      </c>
      <c r="J24" s="191">
        <v>100</v>
      </c>
      <c r="K24" s="187"/>
      <c r="L24" s="188" t="s">
        <v>721</v>
      </c>
      <c r="M24" s="189" t="s">
        <v>527</v>
      </c>
      <c r="N24" s="189">
        <v>10</v>
      </c>
      <c r="O24" s="190">
        <v>1</v>
      </c>
      <c r="P24" s="188" t="s">
        <v>730</v>
      </c>
      <c r="Q24" s="189" t="s">
        <v>543</v>
      </c>
      <c r="R24" s="189">
        <v>10</v>
      </c>
      <c r="S24" s="190">
        <v>1</v>
      </c>
      <c r="T24" s="188" t="s">
        <v>751</v>
      </c>
      <c r="U24" s="189" t="s">
        <v>564</v>
      </c>
      <c r="V24" s="189">
        <v>10</v>
      </c>
      <c r="W24" s="190">
        <v>1</v>
      </c>
      <c r="Y24" s="188"/>
      <c r="Z24" s="189"/>
      <c r="AA24" s="189"/>
      <c r="AB24" s="189"/>
      <c r="AC24" s="190"/>
    </row>
    <row r="25" spans="1:29" hidden="1" outlineLevel="1" x14ac:dyDescent="0.25">
      <c r="A25" s="224">
        <v>3</v>
      </c>
      <c r="B25" s="188">
        <v>5</v>
      </c>
      <c r="C25" s="189" t="s">
        <v>4</v>
      </c>
      <c r="D25" s="191" t="s">
        <v>126</v>
      </c>
      <c r="E25" s="189">
        <v>100</v>
      </c>
      <c r="F25" s="189">
        <v>5</v>
      </c>
      <c r="G25" s="189">
        <v>10</v>
      </c>
      <c r="H25" s="189">
        <v>0</v>
      </c>
      <c r="I25" s="189">
        <v>0</v>
      </c>
      <c r="J25" s="191">
        <v>100</v>
      </c>
      <c r="K25" s="187"/>
      <c r="L25" s="188" t="s">
        <v>721</v>
      </c>
      <c r="M25" s="189" t="s">
        <v>527</v>
      </c>
      <c r="N25" s="189">
        <v>10</v>
      </c>
      <c r="O25" s="190">
        <v>1</v>
      </c>
      <c r="P25" s="188" t="s">
        <v>730</v>
      </c>
      <c r="Q25" s="189" t="s">
        <v>543</v>
      </c>
      <c r="R25" s="189">
        <v>10</v>
      </c>
      <c r="S25" s="190">
        <v>1</v>
      </c>
      <c r="T25" s="188" t="s">
        <v>751</v>
      </c>
      <c r="U25" s="189" t="s">
        <v>564</v>
      </c>
      <c r="V25" s="189">
        <v>10</v>
      </c>
      <c r="W25" s="190">
        <v>1</v>
      </c>
      <c r="Y25" s="188"/>
      <c r="Z25" s="189"/>
      <c r="AA25" s="189"/>
      <c r="AB25" s="189"/>
      <c r="AC25" s="190"/>
    </row>
    <row r="26" spans="1:29" hidden="1" outlineLevel="1" x14ac:dyDescent="0.25">
      <c r="A26" s="224">
        <v>4</v>
      </c>
      <c r="B26" s="188">
        <v>5</v>
      </c>
      <c r="C26" s="189" t="s">
        <v>5</v>
      </c>
      <c r="D26" s="191" t="s">
        <v>240</v>
      </c>
      <c r="E26" s="189">
        <v>100</v>
      </c>
      <c r="F26" s="189">
        <v>5</v>
      </c>
      <c r="G26" s="189">
        <v>10</v>
      </c>
      <c r="H26" s="189">
        <v>0</v>
      </c>
      <c r="I26" s="189">
        <v>0</v>
      </c>
      <c r="J26" s="191">
        <v>100</v>
      </c>
      <c r="K26" s="187"/>
      <c r="L26" s="188" t="s">
        <v>724</v>
      </c>
      <c r="M26" s="189" t="s">
        <v>535</v>
      </c>
      <c r="N26" s="189">
        <v>10</v>
      </c>
      <c r="O26" s="190">
        <v>1</v>
      </c>
      <c r="P26" s="188" t="s">
        <v>762</v>
      </c>
      <c r="Q26" s="189" t="s">
        <v>572</v>
      </c>
      <c r="R26" s="189">
        <v>10</v>
      </c>
      <c r="S26" s="190">
        <v>1</v>
      </c>
      <c r="T26" s="188" t="s">
        <v>646</v>
      </c>
      <c r="U26" s="189" t="s">
        <v>554</v>
      </c>
      <c r="V26" s="189">
        <v>10</v>
      </c>
      <c r="W26" s="190">
        <v>1</v>
      </c>
      <c r="Y26" s="188"/>
      <c r="Z26" s="189"/>
      <c r="AA26" s="189"/>
      <c r="AB26" s="189"/>
      <c r="AC26" s="190"/>
    </row>
    <row r="27" spans="1:29" hidden="1" outlineLevel="1" x14ac:dyDescent="0.25">
      <c r="A27" s="225">
        <v>5</v>
      </c>
      <c r="B27" s="192">
        <v>5</v>
      </c>
      <c r="C27" s="193" t="s">
        <v>3</v>
      </c>
      <c r="D27" s="170" t="s">
        <v>1791</v>
      </c>
      <c r="E27" s="193">
        <v>100</v>
      </c>
      <c r="F27" s="193">
        <v>5</v>
      </c>
      <c r="G27" s="193">
        <v>10</v>
      </c>
      <c r="H27" s="193">
        <v>0</v>
      </c>
      <c r="I27" s="193">
        <v>0</v>
      </c>
      <c r="J27" s="170">
        <v>100</v>
      </c>
      <c r="K27" s="187"/>
      <c r="L27" s="192" t="s">
        <v>710</v>
      </c>
      <c r="M27" s="193" t="s">
        <v>766</v>
      </c>
      <c r="N27" s="193"/>
      <c r="O27" s="194">
        <v>1</v>
      </c>
      <c r="P27" s="192" t="s">
        <v>710</v>
      </c>
      <c r="Q27" s="193" t="s">
        <v>769</v>
      </c>
      <c r="R27" s="193"/>
      <c r="S27" s="194">
        <v>1</v>
      </c>
      <c r="T27" s="192" t="s">
        <v>710</v>
      </c>
      <c r="U27" s="193" t="s">
        <v>770</v>
      </c>
      <c r="V27" s="193"/>
      <c r="W27" s="194">
        <v>1</v>
      </c>
      <c r="Y27" s="192"/>
      <c r="Z27" s="193"/>
      <c r="AA27" s="193"/>
      <c r="AB27" s="193"/>
      <c r="AC27" s="194"/>
    </row>
    <row r="28" spans="1:29" hidden="1" outlineLevel="1" x14ac:dyDescent="0.25"/>
    <row r="29" spans="1:29" hidden="1" outlineLevel="1" x14ac:dyDescent="0.25">
      <c r="A29" s="175" t="s">
        <v>975</v>
      </c>
      <c r="B29" s="175"/>
      <c r="C29" s="175"/>
      <c r="D29" s="175"/>
      <c r="E29" s="175"/>
      <c r="F29" s="175"/>
      <c r="H29" s="175" t="s">
        <v>978</v>
      </c>
      <c r="I29" s="175"/>
      <c r="J29" s="175"/>
    </row>
    <row r="30" spans="1:29" hidden="1" outlineLevel="1" x14ac:dyDescent="0.25">
      <c r="A30" s="176"/>
      <c r="B30" s="179" t="s">
        <v>773</v>
      </c>
      <c r="C30" s="177"/>
      <c r="D30" s="177"/>
      <c r="E30" s="177"/>
      <c r="F30" s="178"/>
      <c r="H30" s="172">
        <v>2</v>
      </c>
      <c r="I30" s="172"/>
      <c r="J30" s="172"/>
    </row>
    <row r="31" spans="1:29" hidden="1" outlineLevel="1" x14ac:dyDescent="0.25">
      <c r="A31" s="180" t="s">
        <v>777</v>
      </c>
      <c r="B31" s="183" t="s">
        <v>8</v>
      </c>
      <c r="C31" s="181" t="s">
        <v>1125</v>
      </c>
      <c r="D31" s="181" t="s">
        <v>18</v>
      </c>
      <c r="E31" s="181" t="s">
        <v>778</v>
      </c>
      <c r="F31" s="182" t="s">
        <v>588</v>
      </c>
      <c r="H31" s="172">
        <v>1</v>
      </c>
      <c r="I31" s="172">
        <v>5</v>
      </c>
      <c r="J31" s="172">
        <v>4</v>
      </c>
    </row>
    <row r="32" spans="1:29" hidden="1" outlineLevel="1" x14ac:dyDescent="0.25">
      <c r="A32" s="225">
        <v>1</v>
      </c>
      <c r="B32" s="192" t="s">
        <v>646</v>
      </c>
      <c r="C32" s="193">
        <v>5</v>
      </c>
      <c r="D32" s="193">
        <v>100</v>
      </c>
      <c r="E32" s="193">
        <v>10</v>
      </c>
      <c r="F32" s="170" t="s">
        <v>688</v>
      </c>
      <c r="H32" s="172">
        <v>3</v>
      </c>
      <c r="I32" s="172"/>
      <c r="J32" s="172"/>
    </row>
    <row r="33" spans="1:20" hidden="1" outlineLevel="1" x14ac:dyDescent="0.25"/>
    <row r="34" spans="1:20" collapsed="1" x14ac:dyDescent="0.25"/>
    <row r="35" spans="1:20" ht="18.75" x14ac:dyDescent="0.3">
      <c r="A35" s="199" t="s">
        <v>1092</v>
      </c>
      <c r="B35" s="199"/>
      <c r="C35" s="199"/>
      <c r="D35" s="199"/>
      <c r="E35" s="199"/>
      <c r="F35" s="199"/>
      <c r="G35" s="199"/>
      <c r="H35" s="199"/>
      <c r="I35" s="199"/>
      <c r="J35" s="199"/>
    </row>
    <row r="36" spans="1:20" s="200" customFormat="1" ht="15" hidden="1" customHeight="1" outlineLevel="1" x14ac:dyDescent="0.3">
      <c r="A36" s="227" t="s">
        <v>1164</v>
      </c>
      <c r="B36" s="199"/>
      <c r="C36" s="199"/>
      <c r="D36" s="199"/>
      <c r="E36" s="199"/>
      <c r="F36" s="199"/>
      <c r="G36" s="199"/>
      <c r="H36" s="199"/>
      <c r="I36" s="226"/>
      <c r="J36" s="226"/>
      <c r="K36" s="226"/>
      <c r="L36" s="199"/>
      <c r="M36" s="199"/>
    </row>
    <row r="37" spans="1:20" hidden="1" outlineLevel="1" x14ac:dyDescent="0.25">
      <c r="A37" s="201"/>
      <c r="B37" s="179" t="s">
        <v>1088</v>
      </c>
      <c r="C37" s="177"/>
      <c r="D37" s="177"/>
      <c r="E37" s="177"/>
      <c r="F37" s="177"/>
      <c r="G37" s="177"/>
      <c r="H37" s="177"/>
      <c r="I37" s="179" t="s">
        <v>778</v>
      </c>
      <c r="J37" s="177"/>
      <c r="K37" s="177"/>
      <c r="L37" s="178"/>
      <c r="M37" s="179" t="s">
        <v>1082</v>
      </c>
      <c r="N37" s="178"/>
      <c r="P37" s="202" t="s">
        <v>1161</v>
      </c>
    </row>
    <row r="38" spans="1:20" hidden="1" outlineLevel="1" x14ac:dyDescent="0.25">
      <c r="A38" s="180" t="s">
        <v>1081</v>
      </c>
      <c r="B38" s="181" t="s">
        <v>1124</v>
      </c>
      <c r="C38" s="226" t="s">
        <v>8</v>
      </c>
      <c r="D38" s="226" t="s">
        <v>18</v>
      </c>
      <c r="E38" s="226" t="s">
        <v>1867</v>
      </c>
      <c r="F38" s="226" t="s">
        <v>1866</v>
      </c>
      <c r="G38" s="226" t="s">
        <v>1085</v>
      </c>
      <c r="H38" s="226" t="s">
        <v>60</v>
      </c>
      <c r="I38" s="183">
        <v>1</v>
      </c>
      <c r="J38" s="181">
        <v>2</v>
      </c>
      <c r="K38" s="181">
        <v>3</v>
      </c>
      <c r="L38" s="182">
        <v>4</v>
      </c>
      <c r="M38" s="183">
        <v>1</v>
      </c>
      <c r="N38" s="182">
        <v>2</v>
      </c>
      <c r="P38" s="172" t="b">
        <v>0</v>
      </c>
    </row>
    <row r="39" spans="1:20" hidden="1" outlineLevel="1" x14ac:dyDescent="0.25">
      <c r="A39" s="222">
        <v>1</v>
      </c>
      <c r="B39" s="223">
        <f>IFERROR(4-INDEX('SF Data'!C:C,MATCH(C39,'SF Data'!B:B,0)),"")</f>
        <v>3</v>
      </c>
      <c r="C39" s="184" t="s">
        <v>1794</v>
      </c>
      <c r="D39" s="185">
        <v>100</v>
      </c>
      <c r="E39" s="185">
        <v>5</v>
      </c>
      <c r="F39" s="185">
        <v>4</v>
      </c>
      <c r="G39" s="185"/>
      <c r="H39" s="186">
        <v>100</v>
      </c>
      <c r="I39" s="189">
        <v>10</v>
      </c>
      <c r="J39" s="189">
        <v>10</v>
      </c>
      <c r="K39" s="189">
        <v>5</v>
      </c>
      <c r="L39" s="191">
        <v>5</v>
      </c>
      <c r="M39" s="188" t="s">
        <v>1131</v>
      </c>
      <c r="N39" s="191" t="s">
        <v>1126</v>
      </c>
      <c r="P39" s="203"/>
      <c r="R39" s="244" t="s">
        <v>1153</v>
      </c>
      <c r="S39" s="244"/>
      <c r="T39" s="244"/>
    </row>
    <row r="40" spans="1:20" hidden="1" outlineLevel="1" x14ac:dyDescent="0.25">
      <c r="A40" s="224">
        <v>2</v>
      </c>
      <c r="B40" s="216">
        <f>IFERROR(4-INDEX('SF Data'!C:C,MATCH(C40,'SF Data'!B:B,0)),"")</f>
        <v>2</v>
      </c>
      <c r="C40" s="188" t="s">
        <v>1043</v>
      </c>
      <c r="D40" s="189">
        <v>100</v>
      </c>
      <c r="E40" s="189">
        <v>5</v>
      </c>
      <c r="F40" s="189">
        <v>4</v>
      </c>
      <c r="G40" s="189" t="s">
        <v>1084</v>
      </c>
      <c r="H40" s="191">
        <v>100</v>
      </c>
      <c r="I40" s="189">
        <v>5</v>
      </c>
      <c r="J40" s="189">
        <v>5</v>
      </c>
      <c r="K40" s="189"/>
      <c r="L40" s="191"/>
      <c r="M40" s="188"/>
      <c r="N40" s="191"/>
      <c r="P40" s="203"/>
      <c r="R40" s="172">
        <v>2</v>
      </c>
      <c r="S40" s="172"/>
      <c r="T40" s="172"/>
    </row>
    <row r="41" spans="1:20" hidden="1" outlineLevel="1" x14ac:dyDescent="0.25">
      <c r="A41" s="224">
        <v>3</v>
      </c>
      <c r="B41" s="216">
        <f>IFERROR(4-INDEX('SF Data'!C:C,MATCH(C41,'SF Data'!B:B,0)),"")</f>
        <v>2</v>
      </c>
      <c r="C41" s="188" t="s">
        <v>1043</v>
      </c>
      <c r="D41" s="189">
        <v>100</v>
      </c>
      <c r="E41" s="189">
        <v>5</v>
      </c>
      <c r="F41" s="189">
        <v>4</v>
      </c>
      <c r="G41" s="189" t="s">
        <v>1084</v>
      </c>
      <c r="H41" s="191">
        <v>100</v>
      </c>
      <c r="I41" s="189">
        <v>5</v>
      </c>
      <c r="J41" s="189">
        <v>5</v>
      </c>
      <c r="K41" s="189"/>
      <c r="L41" s="191"/>
      <c r="M41" s="188"/>
      <c r="N41" s="191"/>
      <c r="P41" s="203"/>
      <c r="R41" s="172">
        <v>4</v>
      </c>
      <c r="S41" s="172">
        <v>1</v>
      </c>
      <c r="T41" s="172"/>
    </row>
    <row r="42" spans="1:20" hidden="1" outlineLevel="1" x14ac:dyDescent="0.25">
      <c r="A42" s="224">
        <v>4</v>
      </c>
      <c r="B42" s="216">
        <f>IFERROR(4-INDEX('SF Data'!C:C,MATCH(C42,'SF Data'!B:B,0)),"")</f>
        <v>1</v>
      </c>
      <c r="C42" s="188" t="s">
        <v>1055</v>
      </c>
      <c r="D42" s="189">
        <v>100</v>
      </c>
      <c r="E42" s="189">
        <v>5</v>
      </c>
      <c r="F42" s="189">
        <v>4</v>
      </c>
      <c r="G42" s="189" t="s">
        <v>1084</v>
      </c>
      <c r="H42" s="191">
        <v>100</v>
      </c>
      <c r="I42" s="189">
        <v>5</v>
      </c>
      <c r="J42" s="189"/>
      <c r="K42" s="189"/>
      <c r="L42" s="191"/>
      <c r="M42" s="188"/>
      <c r="N42" s="191"/>
      <c r="P42" s="203"/>
      <c r="R42" s="172">
        <v>3</v>
      </c>
      <c r="S42" s="172"/>
      <c r="T42" s="172"/>
    </row>
    <row r="43" spans="1:20" hidden="1" outlineLevel="1" x14ac:dyDescent="0.25">
      <c r="A43" s="224">
        <v>5</v>
      </c>
      <c r="B43" s="216" t="str">
        <f>IFERROR(4-INDEX('SF Data'!C:C,MATCH(C43,'SF Data'!B:B,0)),"")</f>
        <v/>
      </c>
      <c r="C43" s="188"/>
      <c r="D43" s="189"/>
      <c r="E43" s="189"/>
      <c r="F43" s="189"/>
      <c r="G43" s="189"/>
      <c r="H43" s="191"/>
      <c r="I43" s="189"/>
      <c r="J43" s="189"/>
      <c r="K43" s="189"/>
      <c r="L43" s="191"/>
      <c r="M43" s="188"/>
      <c r="N43" s="191"/>
      <c r="P43" s="203"/>
    </row>
    <row r="44" spans="1:20" hidden="1" outlineLevel="1" x14ac:dyDescent="0.25">
      <c r="A44" s="224">
        <v>6</v>
      </c>
      <c r="B44" s="216" t="str">
        <f>IFERROR(4-INDEX('SF Data'!C:C,MATCH(C44,'SF Data'!B:B,0)),"")</f>
        <v/>
      </c>
      <c r="C44" s="188"/>
      <c r="D44" s="189"/>
      <c r="E44" s="189"/>
      <c r="F44" s="189"/>
      <c r="G44" s="189"/>
      <c r="H44" s="191"/>
      <c r="I44" s="189"/>
      <c r="J44" s="189"/>
      <c r="K44" s="189"/>
      <c r="L44" s="191"/>
      <c r="M44" s="188"/>
      <c r="N44" s="191"/>
      <c r="P44" s="203"/>
    </row>
    <row r="45" spans="1:20" hidden="1" outlineLevel="1" x14ac:dyDescent="0.25">
      <c r="A45" s="224">
        <v>7</v>
      </c>
      <c r="B45" s="216" t="str">
        <f>IFERROR(4-INDEX('SF Data'!C:C,MATCH(C45,'SF Data'!B:B,0)),"")</f>
        <v/>
      </c>
      <c r="C45" s="188"/>
      <c r="D45" s="189"/>
      <c r="E45" s="189"/>
      <c r="F45" s="189"/>
      <c r="G45" s="189"/>
      <c r="H45" s="191"/>
      <c r="I45" s="189"/>
      <c r="J45" s="189"/>
      <c r="K45" s="189"/>
      <c r="L45" s="191"/>
      <c r="M45" s="188"/>
      <c r="N45" s="191"/>
      <c r="P45" s="203"/>
    </row>
    <row r="46" spans="1:20" hidden="1" outlineLevel="1" x14ac:dyDescent="0.25">
      <c r="A46" s="224">
        <v>8</v>
      </c>
      <c r="B46" s="216" t="str">
        <f>IFERROR(4-INDEX('SF Data'!C:C,MATCH(C46,'SF Data'!B:B,0)),"")</f>
        <v/>
      </c>
      <c r="C46" s="188"/>
      <c r="D46" s="189"/>
      <c r="E46" s="189"/>
      <c r="F46" s="189"/>
      <c r="G46" s="189"/>
      <c r="H46" s="191"/>
      <c r="I46" s="189"/>
      <c r="J46" s="189"/>
      <c r="K46" s="189"/>
      <c r="L46" s="191"/>
      <c r="M46" s="188"/>
      <c r="N46" s="191"/>
      <c r="P46" s="203"/>
    </row>
    <row r="47" spans="1:20" hidden="1" outlineLevel="1" x14ac:dyDescent="0.25">
      <c r="A47" s="225">
        <v>9</v>
      </c>
      <c r="B47" s="218" t="str">
        <f>IFERROR(4-INDEX('SF Data'!C:C,MATCH(C47,'SF Data'!B:B,0)),"")</f>
        <v/>
      </c>
      <c r="C47" s="192"/>
      <c r="D47" s="193"/>
      <c r="E47" s="193"/>
      <c r="F47" s="193"/>
      <c r="G47" s="193"/>
      <c r="H47" s="170"/>
      <c r="I47" s="193"/>
      <c r="J47" s="193"/>
      <c r="K47" s="193"/>
      <c r="L47" s="170"/>
      <c r="M47" s="192"/>
      <c r="N47" s="170"/>
      <c r="P47" s="204"/>
    </row>
    <row r="48" spans="1:20" hidden="1" outlineLevel="1" x14ac:dyDescent="0.25"/>
    <row r="49" spans="1:14" collapsed="1" x14ac:dyDescent="0.25"/>
    <row r="50" spans="1:14" ht="18.75" x14ac:dyDescent="0.3">
      <c r="A50" s="199" t="s">
        <v>1868</v>
      </c>
    </row>
    <row r="51" spans="1:14" hidden="1" outlineLevel="1" x14ac:dyDescent="0.25">
      <c r="A51" s="175" t="s">
        <v>1907</v>
      </c>
      <c r="B51" s="175"/>
      <c r="C51" s="175"/>
      <c r="D51" s="175"/>
      <c r="E51" s="175"/>
      <c r="F51" s="175"/>
      <c r="G51" s="175"/>
      <c r="H51" s="175"/>
      <c r="I51" s="175"/>
      <c r="J51" s="175"/>
    </row>
    <row r="52" spans="1:14" hidden="1" outlineLevel="1" x14ac:dyDescent="0.25">
      <c r="A52" s="206"/>
      <c r="B52" s="207"/>
      <c r="C52" s="208"/>
      <c r="D52" s="179" t="s">
        <v>901</v>
      </c>
      <c r="E52" s="177"/>
      <c r="F52" s="177"/>
      <c r="G52" s="178"/>
      <c r="H52" s="179" t="s">
        <v>778</v>
      </c>
      <c r="I52" s="177"/>
      <c r="J52" s="178"/>
    </row>
    <row r="53" spans="1:14" hidden="1" outlineLevel="1" x14ac:dyDescent="0.25">
      <c r="A53" s="183" t="s">
        <v>867</v>
      </c>
      <c r="B53" s="183" t="s">
        <v>874</v>
      </c>
      <c r="C53" s="182" t="s">
        <v>8</v>
      </c>
      <c r="D53" s="181" t="s">
        <v>884</v>
      </c>
      <c r="E53" s="181" t="s">
        <v>883</v>
      </c>
      <c r="F53" s="181" t="s">
        <v>885</v>
      </c>
      <c r="G53" s="182" t="s">
        <v>886</v>
      </c>
      <c r="H53" s="181">
        <v>1</v>
      </c>
      <c r="I53" s="181">
        <v>2</v>
      </c>
      <c r="J53" s="182">
        <v>3</v>
      </c>
    </row>
    <row r="54" spans="1:14" hidden="1" outlineLevel="1" x14ac:dyDescent="0.25">
      <c r="A54" s="188"/>
      <c r="B54" s="216">
        <v>1</v>
      </c>
      <c r="C54" s="217" t="s">
        <v>875</v>
      </c>
      <c r="D54" s="189">
        <v>462</v>
      </c>
      <c r="E54" s="189">
        <v>795</v>
      </c>
      <c r="F54" s="189">
        <v>568</v>
      </c>
      <c r="G54" s="191">
        <v>133</v>
      </c>
      <c r="H54" s="189">
        <v>10</v>
      </c>
      <c r="I54" s="189">
        <v>10</v>
      </c>
      <c r="J54" s="191">
        <v>10</v>
      </c>
    </row>
    <row r="55" spans="1:14" hidden="1" outlineLevel="1" x14ac:dyDescent="0.25">
      <c r="A55" s="188"/>
      <c r="B55" s="216">
        <v>2</v>
      </c>
      <c r="C55" s="217" t="s">
        <v>876</v>
      </c>
      <c r="D55" s="189">
        <v>284</v>
      </c>
      <c r="E55" s="189">
        <v>336</v>
      </c>
      <c r="F55" s="189">
        <v>381</v>
      </c>
      <c r="G55" s="191">
        <v>726</v>
      </c>
      <c r="H55" s="189">
        <v>10</v>
      </c>
      <c r="I55" s="189">
        <v>10</v>
      </c>
      <c r="J55" s="191">
        <v>10</v>
      </c>
    </row>
    <row r="56" spans="1:14" hidden="1" outlineLevel="1" x14ac:dyDescent="0.25">
      <c r="A56" s="188"/>
      <c r="B56" s="216">
        <v>3</v>
      </c>
      <c r="C56" s="217" t="s">
        <v>877</v>
      </c>
      <c r="D56" s="189">
        <v>620</v>
      </c>
      <c r="E56" s="189">
        <v>121</v>
      </c>
      <c r="F56" s="189">
        <v>276</v>
      </c>
      <c r="G56" s="191">
        <v>306</v>
      </c>
      <c r="H56" s="189">
        <v>10</v>
      </c>
      <c r="I56" s="189">
        <v>10</v>
      </c>
      <c r="J56" s="191">
        <v>10</v>
      </c>
    </row>
    <row r="57" spans="1:14" hidden="1" outlineLevel="1" x14ac:dyDescent="0.25">
      <c r="A57" s="188"/>
      <c r="B57" s="216">
        <v>4</v>
      </c>
      <c r="C57" s="217" t="s">
        <v>878</v>
      </c>
      <c r="D57" s="189">
        <v>519</v>
      </c>
      <c r="E57" s="189">
        <v>138</v>
      </c>
      <c r="F57" s="189">
        <v>266</v>
      </c>
      <c r="G57" s="191">
        <v>401</v>
      </c>
      <c r="H57" s="189">
        <v>10</v>
      </c>
      <c r="I57" s="189">
        <v>10</v>
      </c>
      <c r="J57" s="191">
        <v>10</v>
      </c>
    </row>
    <row r="58" spans="1:14" hidden="1" outlineLevel="1" x14ac:dyDescent="0.25">
      <c r="A58" s="188"/>
      <c r="B58" s="216">
        <v>5</v>
      </c>
      <c r="C58" s="217" t="s">
        <v>879</v>
      </c>
      <c r="D58" s="189">
        <v>423</v>
      </c>
      <c r="E58" s="189">
        <v>603</v>
      </c>
      <c r="F58" s="189">
        <v>533</v>
      </c>
      <c r="G58" s="191">
        <v>249</v>
      </c>
      <c r="H58" s="189">
        <v>10</v>
      </c>
      <c r="I58" s="189">
        <v>10</v>
      </c>
      <c r="J58" s="191">
        <v>10</v>
      </c>
    </row>
    <row r="59" spans="1:14" hidden="1" outlineLevel="1" x14ac:dyDescent="0.25">
      <c r="A59" s="188"/>
      <c r="B59" s="216">
        <v>6</v>
      </c>
      <c r="C59" s="217" t="s">
        <v>880</v>
      </c>
      <c r="D59" s="189">
        <v>77</v>
      </c>
      <c r="E59" s="189">
        <v>136</v>
      </c>
      <c r="F59" s="189">
        <v>188</v>
      </c>
      <c r="G59" s="191">
        <v>331</v>
      </c>
      <c r="H59" s="189">
        <v>10</v>
      </c>
      <c r="I59" s="189">
        <v>10</v>
      </c>
      <c r="J59" s="191">
        <v>10</v>
      </c>
    </row>
    <row r="60" spans="1:14" hidden="1" outlineLevel="1" x14ac:dyDescent="0.25">
      <c r="A60" s="188"/>
      <c r="B60" s="216">
        <v>7</v>
      </c>
      <c r="C60" s="217" t="s">
        <v>881</v>
      </c>
      <c r="D60" s="189">
        <v>414</v>
      </c>
      <c r="E60" s="189">
        <v>557</v>
      </c>
      <c r="F60" s="189">
        <v>459</v>
      </c>
      <c r="G60" s="191">
        <v>214</v>
      </c>
      <c r="H60" s="189">
        <v>10</v>
      </c>
      <c r="I60" s="189">
        <v>10</v>
      </c>
      <c r="J60" s="191">
        <v>10</v>
      </c>
    </row>
    <row r="61" spans="1:14" hidden="1" outlineLevel="1" x14ac:dyDescent="0.25">
      <c r="A61" s="192"/>
      <c r="B61" s="218">
        <v>8</v>
      </c>
      <c r="C61" s="219" t="s">
        <v>1844</v>
      </c>
      <c r="D61" s="193">
        <v>419</v>
      </c>
      <c r="E61" s="193">
        <v>190</v>
      </c>
      <c r="F61" s="193">
        <v>328</v>
      </c>
      <c r="G61" s="170">
        <v>277</v>
      </c>
      <c r="H61" s="193">
        <v>10</v>
      </c>
      <c r="I61" s="193">
        <v>10</v>
      </c>
      <c r="J61" s="170">
        <v>10</v>
      </c>
    </row>
    <row r="62" spans="1:14" hidden="1" outlineLevel="1" x14ac:dyDescent="0.25"/>
    <row r="63" spans="1:14" hidden="1" outlineLevel="1" x14ac:dyDescent="0.25">
      <c r="A63" s="175" t="s">
        <v>1908</v>
      </c>
    </row>
    <row r="64" spans="1:14" s="200" customFormat="1" hidden="1" outlineLevel="1" x14ac:dyDescent="0.25">
      <c r="A64" s="176"/>
      <c r="B64" s="207"/>
      <c r="C64" s="233"/>
      <c r="D64" s="177" t="s">
        <v>1869</v>
      </c>
      <c r="E64" s="177"/>
      <c r="F64" s="177"/>
      <c r="G64" s="178"/>
      <c r="H64" s="177" t="s">
        <v>778</v>
      </c>
      <c r="I64" s="177"/>
      <c r="J64" s="177"/>
      <c r="K64" s="178"/>
      <c r="L64" s="177" t="s">
        <v>1082</v>
      </c>
      <c r="M64" s="178"/>
      <c r="N64" s="202" t="s">
        <v>1870</v>
      </c>
    </row>
    <row r="65" spans="1:14" s="200" customFormat="1" hidden="1" outlineLevel="1" x14ac:dyDescent="0.25">
      <c r="A65" s="180" t="s">
        <v>867</v>
      </c>
      <c r="B65" s="183" t="s">
        <v>1081</v>
      </c>
      <c r="C65" s="182" t="s">
        <v>8</v>
      </c>
      <c r="D65" s="181" t="s">
        <v>18</v>
      </c>
      <c r="E65" s="181" t="s">
        <v>1867</v>
      </c>
      <c r="F65" s="181" t="s">
        <v>1866</v>
      </c>
      <c r="G65" s="182" t="s">
        <v>60</v>
      </c>
      <c r="H65" s="181">
        <v>1</v>
      </c>
      <c r="I65" s="181">
        <v>2</v>
      </c>
      <c r="J65" s="181">
        <v>3</v>
      </c>
      <c r="K65" s="182">
        <v>4</v>
      </c>
      <c r="L65" s="181">
        <v>1</v>
      </c>
      <c r="M65" s="182">
        <v>2</v>
      </c>
      <c r="N65" s="240" t="s">
        <v>1906</v>
      </c>
    </row>
    <row r="66" spans="1:14" hidden="1" outlineLevel="1" x14ac:dyDescent="0.25">
      <c r="A66" s="232"/>
      <c r="B66" s="216">
        <v>1</v>
      </c>
      <c r="C66" s="217" t="s">
        <v>1794</v>
      </c>
      <c r="D66" s="189">
        <v>100</v>
      </c>
      <c r="E66" s="189">
        <v>5</v>
      </c>
      <c r="F66" s="189">
        <v>4</v>
      </c>
      <c r="G66" s="191">
        <v>100</v>
      </c>
      <c r="H66" s="189">
        <v>10</v>
      </c>
      <c r="I66" s="189">
        <v>10</v>
      </c>
      <c r="J66" s="189">
        <v>5</v>
      </c>
      <c r="K66" s="191">
        <v>5</v>
      </c>
      <c r="L66" s="189"/>
      <c r="M66" s="191"/>
      <c r="N66" s="237">
        <v>100</v>
      </c>
    </row>
    <row r="67" spans="1:14" hidden="1" outlineLevel="1" x14ac:dyDescent="0.25">
      <c r="A67" s="232"/>
      <c r="B67" s="216">
        <v>2</v>
      </c>
      <c r="C67" s="217" t="s">
        <v>1025</v>
      </c>
      <c r="D67" s="189">
        <v>100</v>
      </c>
      <c r="E67" s="189">
        <v>5</v>
      </c>
      <c r="F67" s="189">
        <v>4</v>
      </c>
      <c r="G67" s="191">
        <v>100</v>
      </c>
      <c r="H67" s="189">
        <v>10</v>
      </c>
      <c r="I67" s="189">
        <v>10</v>
      </c>
      <c r="J67" s="189">
        <v>5</v>
      </c>
      <c r="K67" s="191">
        <v>5</v>
      </c>
      <c r="L67" s="189"/>
      <c r="M67" s="191"/>
      <c r="N67" s="238">
        <v>102</v>
      </c>
    </row>
    <row r="68" spans="1:14" hidden="1" outlineLevel="1" x14ac:dyDescent="0.25">
      <c r="A68" s="232"/>
      <c r="B68" s="216">
        <v>3</v>
      </c>
      <c r="C68" s="217" t="s">
        <v>1028</v>
      </c>
      <c r="D68" s="189">
        <v>100</v>
      </c>
      <c r="E68" s="189">
        <v>5</v>
      </c>
      <c r="F68" s="189">
        <v>4</v>
      </c>
      <c r="G68" s="191">
        <v>100</v>
      </c>
      <c r="H68" s="189">
        <v>10</v>
      </c>
      <c r="I68" s="189">
        <v>10</v>
      </c>
      <c r="J68" s="189">
        <v>5</v>
      </c>
      <c r="K68" s="191">
        <v>5</v>
      </c>
      <c r="L68" s="189"/>
      <c r="M68" s="191"/>
      <c r="N68" s="238">
        <v>104</v>
      </c>
    </row>
    <row r="69" spans="1:14" hidden="1" outlineLevel="1" x14ac:dyDescent="0.25">
      <c r="A69" s="232"/>
      <c r="B69" s="216">
        <v>4</v>
      </c>
      <c r="C69" s="217" t="s">
        <v>1034</v>
      </c>
      <c r="D69" s="189">
        <v>100</v>
      </c>
      <c r="E69" s="189">
        <v>5</v>
      </c>
      <c r="F69" s="189">
        <v>4</v>
      </c>
      <c r="G69" s="191">
        <v>100</v>
      </c>
      <c r="H69" s="189">
        <v>10</v>
      </c>
      <c r="I69" s="189">
        <v>10</v>
      </c>
      <c r="J69" s="189">
        <v>5</v>
      </c>
      <c r="K69" s="191">
        <v>5</v>
      </c>
      <c r="L69" s="189"/>
      <c r="M69" s="191"/>
      <c r="N69" s="238">
        <v>105</v>
      </c>
    </row>
    <row r="70" spans="1:14" hidden="1" outlineLevel="1" x14ac:dyDescent="0.25">
      <c r="A70" s="215"/>
      <c r="B70" s="218">
        <v>5</v>
      </c>
      <c r="C70" s="219" t="s">
        <v>1033</v>
      </c>
      <c r="D70" s="193">
        <v>100</v>
      </c>
      <c r="E70" s="193">
        <v>5</v>
      </c>
      <c r="F70" s="193">
        <v>4</v>
      </c>
      <c r="G70" s="170">
        <v>100</v>
      </c>
      <c r="H70" s="193">
        <v>10</v>
      </c>
      <c r="I70" s="193">
        <v>10</v>
      </c>
      <c r="J70" s="193">
        <v>5</v>
      </c>
      <c r="K70" s="170">
        <v>5</v>
      </c>
      <c r="L70" s="193"/>
      <c r="M70" s="170"/>
      <c r="N70" s="239">
        <v>106</v>
      </c>
    </row>
    <row r="71" spans="1:14" s="231" customFormat="1" hidden="1" outlineLevel="1" x14ac:dyDescent="0.25"/>
    <row r="72" spans="1:14" hidden="1" outlineLevel="1" x14ac:dyDescent="0.25">
      <c r="A72" s="175" t="s">
        <v>1162</v>
      </c>
      <c r="B72" s="175"/>
      <c r="C72" s="175"/>
    </row>
    <row r="73" spans="1:14" hidden="1" outlineLevel="1" x14ac:dyDescent="0.25">
      <c r="A73" s="209" t="s">
        <v>973</v>
      </c>
      <c r="B73" s="197" t="s">
        <v>794</v>
      </c>
      <c r="C73" s="198" t="s">
        <v>778</v>
      </c>
    </row>
    <row r="74" spans="1:14" hidden="1" outlineLevel="1" x14ac:dyDescent="0.25">
      <c r="A74" s="216">
        <v>1</v>
      </c>
      <c r="B74" s="210"/>
      <c r="C74" s="191"/>
    </row>
    <row r="75" spans="1:14" hidden="1" outlineLevel="1" x14ac:dyDescent="0.25">
      <c r="A75" s="216">
        <v>2</v>
      </c>
      <c r="B75" s="211"/>
      <c r="C75" s="191"/>
    </row>
    <row r="76" spans="1:14" hidden="1" outlineLevel="1" x14ac:dyDescent="0.25">
      <c r="A76" s="218">
        <v>3</v>
      </c>
      <c r="B76" s="212"/>
      <c r="C76" s="170"/>
    </row>
    <row r="77" spans="1:14" hidden="1" outlineLevel="1" x14ac:dyDescent="0.25">
      <c r="A77" s="205"/>
      <c r="B77" s="205"/>
      <c r="C77" s="205"/>
    </row>
    <row r="78" spans="1:14" hidden="1" outlineLevel="1" x14ac:dyDescent="0.25">
      <c r="A78" s="171" t="s">
        <v>1163</v>
      </c>
    </row>
    <row r="79" spans="1:14" hidden="1" outlineLevel="1" x14ac:dyDescent="0.25">
      <c r="A79" s="202" t="s">
        <v>867</v>
      </c>
      <c r="B79" s="201" t="s">
        <v>8</v>
      </c>
      <c r="C79" s="198" t="s">
        <v>778</v>
      </c>
    </row>
    <row r="80" spans="1:14" hidden="1" outlineLevel="1" x14ac:dyDescent="0.25">
      <c r="A80" s="213"/>
      <c r="B80" s="220" t="s">
        <v>974</v>
      </c>
      <c r="C80" s="214"/>
    </row>
    <row r="81" spans="1:3" hidden="1" outlineLevel="1" x14ac:dyDescent="0.25">
      <c r="A81" s="215"/>
      <c r="B81" s="221" t="s">
        <v>668</v>
      </c>
      <c r="C81" s="215"/>
    </row>
    <row r="82" spans="1:3" hidden="1" outlineLevel="1" x14ac:dyDescent="0.25"/>
    <row r="83" spans="1:3" collapsed="1" x14ac:dyDescent="0.25"/>
  </sheetData>
  <mergeCells count="2">
    <mergeCell ref="B18:C18"/>
    <mergeCell ref="R39:T39"/>
  </mergeCells>
  <conditionalFormatting sqref="M39:M47">
    <cfRule type="expression" dxfId="10" priority="12">
      <formula>$B39&lt;&gt;3</formula>
    </cfRule>
  </conditionalFormatting>
  <conditionalFormatting sqref="N39:N47">
    <cfRule type="expression" dxfId="9" priority="11">
      <formula>OR($B39&lt;&gt;3,AND($B39=3,$F39&lt;&gt;4))</formula>
    </cfRule>
  </conditionalFormatting>
  <conditionalFormatting sqref="G39:G47">
    <cfRule type="expression" dxfId="8" priority="10">
      <formula>$B39=3</formula>
    </cfRule>
  </conditionalFormatting>
  <conditionalFormatting sqref="L39:L47">
    <cfRule type="expression" dxfId="7" priority="9">
      <formula>OR($B39&lt;&gt;3,$F39&lt;&gt;4)</formula>
    </cfRule>
  </conditionalFormatting>
  <conditionalFormatting sqref="K39:K47">
    <cfRule type="expression" dxfId="6" priority="8">
      <formula>B39&lt;&gt;3</formula>
    </cfRule>
  </conditionalFormatting>
  <conditionalFormatting sqref="J39:J47">
    <cfRule type="expression" dxfId="5" priority="7">
      <formula>$B39&lt;2</formula>
    </cfRule>
  </conditionalFormatting>
  <conditionalFormatting sqref="L66:L70">
    <cfRule type="expression" dxfId="4" priority="6">
      <formula>#REF!&lt;&gt;3</formula>
    </cfRule>
  </conditionalFormatting>
  <conditionalFormatting sqref="J66:J70">
    <cfRule type="expression" dxfId="3" priority="2">
      <formula>#REF!&lt;&gt;3</formula>
    </cfRule>
  </conditionalFormatting>
  <conditionalFormatting sqref="I66:I70">
    <cfRule type="expression" dxfId="2" priority="1">
      <formula>#REF!&lt;2</formula>
    </cfRule>
  </conditionalFormatting>
  <conditionalFormatting sqref="M66:M70">
    <cfRule type="expression" dxfId="1" priority="15">
      <formula>OR(#REF!&lt;&gt;3,AND(#REF!=3,$F66&lt;&gt;4))</formula>
    </cfRule>
  </conditionalFormatting>
  <conditionalFormatting sqref="K66:K70">
    <cfRule type="expression" dxfId="0" priority="16">
      <formula>OR(#REF!&lt;&gt;3,$F66&lt;&gt;4)</formula>
    </cfRule>
  </conditionalFormatting>
  <dataValidations count="29">
    <dataValidation type="list" allowBlank="1" showInputMessage="1" showErrorMessage="1" sqref="C32 F23:F27" xr:uid="{1FCACD4C-0FA8-4C48-A98B-8E9E88350C65}">
      <formula1>"1,2,3,4,5"</formula1>
    </dataValidation>
    <dataValidation type="list" allowBlank="1" showInputMessage="1" showErrorMessage="1" sqref="C80:C81 E32 G23:G27 C74:C76 H54:J61" xr:uid="{FCCC2E3E-A3D6-45C2-9C3D-20E7ECC1BAF1}">
      <formula1>"1,2,3,4,5,6,7,8,9,10"</formula1>
    </dataValidation>
    <dataValidation type="whole" allowBlank="1" showInputMessage="1" showErrorMessage="1" sqref="D32 D39:D47 D66:D70" xr:uid="{80DC6792-148D-4BFC-80DA-71B23E37E4A2}">
      <formula1>1</formula1>
      <formula2>100</formula2>
    </dataValidation>
    <dataValidation type="custom" allowBlank="1" showInputMessage="1" showErrorMessage="1" sqref="H30:J32" xr:uid="{EE2145AC-772E-45D9-ACD6-76E7FA021818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21 P38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9:E10" xr:uid="{FA0774A7-F408-45FF-967D-DF2DB3F22FA4}">
      <formula1>0</formula1>
    </dataValidation>
    <dataValidation type="whole" operator="greaterThanOrEqual" allowBlank="1" showInputMessage="1" showErrorMessage="1" sqref="Y23:AC27 D54:G61" xr:uid="{5A1A8508-6E59-4959-9B93-396B548A9B0E}">
      <formula1>0</formula1>
    </dataValidation>
    <dataValidation type="list" allowBlank="1" showInputMessage="1" showErrorMessage="1" sqref="B18" xr:uid="{8372ACDF-E9CB-47D2-9B8B-59D2BBAAE47A}">
      <formula1>ListOfPresets</formula1>
    </dataValidation>
    <dataValidation type="list" allowBlank="1" showInputMessage="1" showErrorMessage="1" sqref="D23:D27" xr:uid="{D004556E-4E3F-46EC-BEB9-823585177351}">
      <formula1>DollNames</formula1>
    </dataValidation>
    <dataValidation type="whole" allowBlank="1" showInputMessage="1" showErrorMessage="1" sqref="E23:E27" xr:uid="{9AC40C4B-8B4F-4F96-AAAB-7454AA56ECE1}">
      <formula1>1</formula1>
      <formula2>120</formula2>
    </dataValidation>
    <dataValidation type="list" allowBlank="1" showInputMessage="1" showErrorMessage="1" sqref="I23:I27 F39:F47 F66:F70" xr:uid="{2154F765-81B6-4C59-BA74-D7EE4E67574B}">
      <formula1>"0,1,2,3,4"</formula1>
    </dataValidation>
    <dataValidation type="whole" allowBlank="1" showInputMessage="1" showErrorMessage="1" sqref="J23:J27" xr:uid="{E462B439-0567-4C97-B64C-34CF52293AB6}">
      <formula1>0</formula1>
      <formula2>200</formula2>
    </dataValidation>
    <dataValidation type="list" allowBlank="1" showInputMessage="1" showErrorMessage="1" sqref="M23:M27 Q23:Q27 U23:U27" xr:uid="{2F5F85B4-C18A-4882-BFAC-1CFB770A543A}">
      <formula1>DollEq</formula1>
    </dataValidation>
    <dataValidation type="list" allowBlank="1" showInputMessage="1" showErrorMessage="1" sqref="H23:H27 N23:N27 R23:R27 V23:V27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830A6E4-1C41-4099-B360-341EC951B045}">
      <formula1>AND(OR(E39=1,E39=2,E39=3,E39=4,E39=5),E39&gt;=B39)</formula1>
    </dataValidation>
    <dataValidation type="list" allowBlank="1" showInputMessage="1" showErrorMessage="1" sqref="G39:G47" xr:uid="{AF1B8805-91CE-44C9-9325-F9282ABD553E}">
      <formula1>"XS,S,M,L,XL"</formula1>
    </dataValidation>
    <dataValidation type="list" allowBlank="1" showInputMessage="1" showErrorMessage="1" sqref="B14" xr:uid="{A727248C-80C0-4C29-8CAA-16D794E8ABDF}">
      <formula1>"G&amp;K,SF"</formula1>
    </dataValidation>
    <dataValidation type="custom" allowBlank="1" showInputMessage="1" showErrorMessage="1" sqref="H39:H47" xr:uid="{C7033BB4-D07E-425D-9CA8-5A5792F47394}">
      <formula1>IF($B39&lt;3,AND(H39&gt;=0,H39&lt;=100,H39=INT(H39)),AND(H39&gt;=0,H39&lt;=150,H39=INT(H39)))</formula1>
    </dataValidation>
    <dataValidation type="custom" allowBlank="1" showInputMessage="1" showErrorMessage="1" sqref="R40:T42" xr:uid="{9463BE42-C7ED-4694-B334-862D5CEBB7C7}">
      <formula1>AND(R40&gt;=1,R40&lt;=9,R40=INT(R40),COUNTIF($R$40:$T$42,R40)&lt;=1)</formula1>
    </dataValidation>
    <dataValidation type="custom" allowBlank="1" showInputMessage="1" showErrorMessage="1" sqref="A80:A81" xr:uid="{30DFDF33-3A04-4A62-A33F-4FBD8648EE30}">
      <formula1>AND(A80="X",COUNTA($A$80:$A$81)&lt;=1)</formula1>
    </dataValidation>
    <dataValidation type="custom" allowBlank="1" showInputMessage="1" showErrorMessage="1" sqref="A54:A61 A66:A70" xr:uid="{7D558E68-3C30-4C22-BEE9-11982761EBD0}">
      <formula1>A54="X"</formula1>
    </dataValidation>
    <dataValidation type="custom" allowBlank="1" showInputMessage="1" showErrorMessage="1" sqref="I39:J47" xr:uid="{0E5F9827-02E5-4520-993A-EA0E622B9AE3}">
      <formula1>IF($B39=3,AND(I39&gt;=1,I39&lt;=10,I39=INT(I39)),AND(I39&gt;=1,I39&lt;=5,I39=INT(I39)))</formula1>
    </dataValidation>
    <dataValidation type="custom" allowBlank="1" showInputMessage="1" showErrorMessage="1" sqref="K39:L47 J66:K70" xr:uid="{0A4AA8A9-41DD-49B2-A459-8DEBED733098}">
      <formula1>AND(J39&gt;=1,J39&lt;=5,J39=INT(J39))</formula1>
    </dataValidation>
    <dataValidation type="custom" allowBlank="1" showInputMessage="1" showErrorMessage="1" errorTitle="Error:" error="Input must:_x000a_- Be an integer from 1 to 5_x000a_- Not be smaller than the base rarity" sqref="E66:E70" xr:uid="{84C862A0-597F-4007-99F6-5DA080A3125B}">
      <formula1>AND(OR(E66=1,E66=2,E66=3,E66=4,E66=5),E66&gt;=#REF!)</formula1>
    </dataValidation>
    <dataValidation type="custom" allowBlank="1" showInputMessage="1" showErrorMessage="1" sqref="G66:G70" xr:uid="{2B2F0FB9-5B2A-4849-8F08-E4EFA9F843BC}">
      <formula1>IF(#REF!&lt;3,AND(G66&gt;=0,G66&lt;=100,G66=INT(G66)),AND(G66&gt;=0,G66&lt;=150,G66=INT(G66)))</formula1>
    </dataValidation>
    <dataValidation type="custom" allowBlank="1" showInputMessage="1" showErrorMessage="1" sqref="H66:I70" xr:uid="{A71A3912-1786-4B2B-8202-786CECA986FD}">
      <formula1>IF(#REF!=3,AND(H66&gt;=1,H66&lt;=10,H66=INT(H66)),AND(H66&gt;=1,H66&lt;=5,H66=INT(H66)))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5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B32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F32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C23:C27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B23:B27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3DBCDFBD-35B6-4579-B7E3-7B87471F8096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M39:N47 L66:M70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B74:B76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N66:N70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>
      <selection activeCell="A3" sqref="A3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45" t="s">
        <v>581</v>
      </c>
      <c r="E2" s="246"/>
      <c r="F2" s="246"/>
      <c r="G2" s="246"/>
      <c r="H2" s="246"/>
      <c r="I2" s="246"/>
      <c r="J2" s="246"/>
      <c r="K2" s="246"/>
      <c r="L2" s="247"/>
      <c r="M2" s="60"/>
      <c r="N2" s="245" t="s">
        <v>713</v>
      </c>
      <c r="O2" s="246"/>
      <c r="P2" s="246"/>
      <c r="Q2" s="247"/>
      <c r="R2" s="246" t="s">
        <v>714</v>
      </c>
      <c r="S2" s="246"/>
      <c r="T2" s="246"/>
      <c r="U2" s="247"/>
      <c r="V2" s="246" t="s">
        <v>715</v>
      </c>
      <c r="W2" s="246"/>
      <c r="X2" s="246"/>
      <c r="Y2" s="247"/>
    </row>
    <row r="3" spans="1:25" x14ac:dyDescent="0.25">
      <c r="A3" s="10" t="s">
        <v>1006</v>
      </c>
      <c r="D3" s="62" t="s">
        <v>286</v>
      </c>
      <c r="E3" s="63" t="s">
        <v>1</v>
      </c>
      <c r="F3" s="63" t="s">
        <v>8</v>
      </c>
      <c r="G3" s="63" t="s">
        <v>18</v>
      </c>
      <c r="H3" s="63" t="s">
        <v>285</v>
      </c>
      <c r="I3" s="63" t="s">
        <v>58</v>
      </c>
      <c r="J3" s="63" t="s">
        <v>59</v>
      </c>
      <c r="K3" s="63" t="s">
        <v>273</v>
      </c>
      <c r="L3" s="64" t="s">
        <v>60</v>
      </c>
      <c r="M3" s="60"/>
      <c r="N3" s="62" t="s">
        <v>711</v>
      </c>
      <c r="O3" s="63" t="s">
        <v>8</v>
      </c>
      <c r="P3" s="63" t="s">
        <v>18</v>
      </c>
      <c r="Q3" s="64" t="s">
        <v>712</v>
      </c>
      <c r="R3" s="63" t="s">
        <v>711</v>
      </c>
      <c r="S3" s="63" t="s">
        <v>8</v>
      </c>
      <c r="T3" s="63" t="s">
        <v>18</v>
      </c>
      <c r="U3" s="64" t="s">
        <v>712</v>
      </c>
      <c r="V3" s="63" t="s">
        <v>711</v>
      </c>
      <c r="W3" s="63" t="s">
        <v>8</v>
      </c>
      <c r="X3" s="63" t="s">
        <v>18</v>
      </c>
      <c r="Y3" s="64" t="s">
        <v>712</v>
      </c>
    </row>
    <row r="4" spans="1:25" x14ac:dyDescent="0.25">
      <c r="A4" t="s">
        <v>999</v>
      </c>
      <c r="C4" t="s">
        <v>996</v>
      </c>
      <c r="D4" s="106">
        <v>5</v>
      </c>
      <c r="E4" s="107" t="s">
        <v>6</v>
      </c>
      <c r="F4" s="108" t="s">
        <v>270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721</v>
      </c>
      <c r="O4" s="44" t="s">
        <v>527</v>
      </c>
      <c r="P4" s="44">
        <v>10</v>
      </c>
      <c r="Q4" s="54">
        <v>1</v>
      </c>
      <c r="R4" s="52" t="s">
        <v>710</v>
      </c>
      <c r="S4" s="44" t="s">
        <v>270</v>
      </c>
      <c r="T4" s="44">
        <v>10</v>
      </c>
      <c r="U4" s="54">
        <v>1</v>
      </c>
      <c r="V4" s="52" t="s">
        <v>752</v>
      </c>
      <c r="W4" s="44" t="s">
        <v>580</v>
      </c>
      <c r="X4" s="44">
        <v>10</v>
      </c>
      <c r="Y4" s="54">
        <v>1</v>
      </c>
    </row>
    <row r="5" spans="1:25" x14ac:dyDescent="0.25">
      <c r="A5" t="s">
        <v>1000</v>
      </c>
      <c r="D5" s="52">
        <v>4</v>
      </c>
      <c r="E5" s="44" t="s">
        <v>6</v>
      </c>
      <c r="F5" s="45" t="s">
        <v>851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710</v>
      </c>
      <c r="O5" s="44" t="s">
        <v>851</v>
      </c>
      <c r="P5" s="44">
        <v>10</v>
      </c>
      <c r="Q5" s="54">
        <v>1</v>
      </c>
      <c r="R5" s="52" t="s">
        <v>730</v>
      </c>
      <c r="S5" s="44" t="s">
        <v>543</v>
      </c>
      <c r="T5" s="44">
        <v>10</v>
      </c>
      <c r="U5" s="54">
        <v>1</v>
      </c>
      <c r="V5" s="52" t="s">
        <v>752</v>
      </c>
      <c r="W5" s="44" t="s">
        <v>580</v>
      </c>
      <c r="X5" s="44">
        <v>10</v>
      </c>
      <c r="Y5" s="54">
        <v>1</v>
      </c>
    </row>
    <row r="6" spans="1:25" x14ac:dyDescent="0.25">
      <c r="A6" t="s">
        <v>1001</v>
      </c>
      <c r="D6" s="52">
        <v>6</v>
      </c>
      <c r="E6" s="44" t="s">
        <v>3</v>
      </c>
      <c r="F6" s="45" t="s">
        <v>267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763</v>
      </c>
      <c r="O6" s="44" t="s">
        <v>562</v>
      </c>
      <c r="P6" s="44">
        <v>10</v>
      </c>
      <c r="Q6" s="54">
        <v>1</v>
      </c>
      <c r="R6" s="52" t="s">
        <v>9</v>
      </c>
      <c r="S6" s="44" t="s">
        <v>568</v>
      </c>
      <c r="T6" s="44">
        <v>10</v>
      </c>
      <c r="U6" s="54">
        <v>1</v>
      </c>
      <c r="V6" s="52" t="s">
        <v>742</v>
      </c>
      <c r="W6" s="44" t="s">
        <v>551</v>
      </c>
      <c r="X6" s="44">
        <v>10</v>
      </c>
      <c r="Y6" s="54">
        <v>1</v>
      </c>
    </row>
    <row r="7" spans="1:25" x14ac:dyDescent="0.25">
      <c r="A7" t="s">
        <v>1011</v>
      </c>
      <c r="D7" s="52">
        <v>5</v>
      </c>
      <c r="E7" s="44" t="s">
        <v>3</v>
      </c>
      <c r="F7" s="45" t="s">
        <v>805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763</v>
      </c>
      <c r="O7" s="44" t="s">
        <v>562</v>
      </c>
      <c r="P7" s="44">
        <v>10</v>
      </c>
      <c r="Q7" s="54">
        <v>1</v>
      </c>
      <c r="R7" s="52" t="s">
        <v>9</v>
      </c>
      <c r="S7" s="44" t="s">
        <v>568</v>
      </c>
      <c r="T7" s="44">
        <v>10</v>
      </c>
      <c r="U7" s="54">
        <v>1</v>
      </c>
      <c r="V7" s="52" t="s">
        <v>742</v>
      </c>
      <c r="W7" s="44" t="s">
        <v>551</v>
      </c>
      <c r="X7" s="44">
        <v>10</v>
      </c>
      <c r="Y7" s="54">
        <v>1</v>
      </c>
    </row>
    <row r="8" spans="1:25" x14ac:dyDescent="0.25">
      <c r="A8" t="s">
        <v>998</v>
      </c>
      <c r="D8" s="53">
        <v>5</v>
      </c>
      <c r="E8" s="46" t="s">
        <v>3</v>
      </c>
      <c r="F8" s="47" t="s">
        <v>120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763</v>
      </c>
      <c r="O8" s="46" t="s">
        <v>562</v>
      </c>
      <c r="P8" s="46">
        <v>10</v>
      </c>
      <c r="Q8" s="55">
        <v>1</v>
      </c>
      <c r="R8" s="53" t="s">
        <v>9</v>
      </c>
      <c r="S8" s="46" t="s">
        <v>568</v>
      </c>
      <c r="T8" s="46">
        <v>10</v>
      </c>
      <c r="U8" s="55">
        <v>1</v>
      </c>
      <c r="V8" s="53" t="s">
        <v>742</v>
      </c>
      <c r="W8" s="46" t="s">
        <v>551</v>
      </c>
      <c r="X8" s="46">
        <v>10</v>
      </c>
      <c r="Y8" s="55">
        <v>1</v>
      </c>
    </row>
    <row r="9" spans="1:25" x14ac:dyDescent="0.25">
      <c r="A9" t="s">
        <v>1800</v>
      </c>
      <c r="C9" t="s">
        <v>999</v>
      </c>
      <c r="D9" s="106">
        <v>5</v>
      </c>
      <c r="E9" s="107" t="s">
        <v>4</v>
      </c>
      <c r="F9" s="108" t="s">
        <v>214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721</v>
      </c>
      <c r="O9" s="44" t="s">
        <v>527</v>
      </c>
      <c r="P9" s="44">
        <v>10</v>
      </c>
      <c r="Q9" s="54">
        <v>1</v>
      </c>
      <c r="R9" s="52" t="s">
        <v>730</v>
      </c>
      <c r="S9" s="44" t="s">
        <v>543</v>
      </c>
      <c r="T9" s="44">
        <v>10</v>
      </c>
      <c r="U9" s="54">
        <v>1</v>
      </c>
      <c r="V9" s="52" t="s">
        <v>751</v>
      </c>
      <c r="W9" s="44" t="s">
        <v>564</v>
      </c>
      <c r="X9" s="44">
        <v>10</v>
      </c>
      <c r="Y9" s="54">
        <v>1</v>
      </c>
    </row>
    <row r="10" spans="1:25" x14ac:dyDescent="0.25">
      <c r="A10" t="s">
        <v>997</v>
      </c>
      <c r="D10" s="52">
        <v>4</v>
      </c>
      <c r="E10" s="44" t="s">
        <v>4</v>
      </c>
      <c r="F10" s="45" t="s">
        <v>849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721</v>
      </c>
      <c r="O10" s="44" t="s">
        <v>527</v>
      </c>
      <c r="P10" s="44">
        <v>10</v>
      </c>
      <c r="Q10" s="54">
        <v>1</v>
      </c>
      <c r="R10" s="52" t="s">
        <v>730</v>
      </c>
      <c r="S10" s="44" t="s">
        <v>543</v>
      </c>
      <c r="T10" s="44">
        <v>10</v>
      </c>
      <c r="U10" s="54">
        <v>1</v>
      </c>
      <c r="V10" s="52" t="s">
        <v>751</v>
      </c>
      <c r="W10" s="44" t="s">
        <v>564</v>
      </c>
      <c r="X10" s="44">
        <v>10</v>
      </c>
      <c r="Y10" s="54">
        <v>1</v>
      </c>
    </row>
    <row r="11" spans="1:25" x14ac:dyDescent="0.25">
      <c r="A11" t="s">
        <v>1002</v>
      </c>
      <c r="D11" s="52">
        <v>5</v>
      </c>
      <c r="E11" s="44" t="s">
        <v>3</v>
      </c>
      <c r="F11" s="45" t="s">
        <v>1791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710</v>
      </c>
      <c r="O11" s="44" t="s">
        <v>764</v>
      </c>
      <c r="P11" s="44">
        <v>10</v>
      </c>
      <c r="Q11" s="54">
        <v>1</v>
      </c>
      <c r="R11" s="52" t="s">
        <v>710</v>
      </c>
      <c r="S11" s="44" t="s">
        <v>767</v>
      </c>
      <c r="T11" s="44">
        <v>10</v>
      </c>
      <c r="U11" s="54">
        <v>1</v>
      </c>
      <c r="V11" s="52" t="s">
        <v>710</v>
      </c>
      <c r="W11" s="44" t="s">
        <v>770</v>
      </c>
      <c r="X11" s="44">
        <v>10</v>
      </c>
      <c r="Y11" s="54">
        <v>1</v>
      </c>
    </row>
    <row r="12" spans="1:25" x14ac:dyDescent="0.25">
      <c r="A12" t="s">
        <v>1166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763</v>
      </c>
      <c r="O12" s="44" t="s">
        <v>562</v>
      </c>
      <c r="P12" s="44">
        <v>10</v>
      </c>
      <c r="Q12" s="54">
        <v>1</v>
      </c>
      <c r="R12" s="52" t="s">
        <v>9</v>
      </c>
      <c r="S12" s="44" t="s">
        <v>568</v>
      </c>
      <c r="T12" s="44">
        <v>10</v>
      </c>
      <c r="U12" s="54">
        <v>1</v>
      </c>
      <c r="V12" s="52" t="s">
        <v>742</v>
      </c>
      <c r="W12" s="44" t="s">
        <v>558</v>
      </c>
      <c r="X12" s="44">
        <v>10</v>
      </c>
      <c r="Y12" s="54">
        <v>1</v>
      </c>
    </row>
    <row r="13" spans="1:25" x14ac:dyDescent="0.25">
      <c r="A13" t="s">
        <v>996</v>
      </c>
      <c r="D13" s="53">
        <v>5</v>
      </c>
      <c r="E13" s="46" t="s">
        <v>3</v>
      </c>
      <c r="F13" s="47" t="s">
        <v>199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763</v>
      </c>
      <c r="O13" s="46" t="s">
        <v>562</v>
      </c>
      <c r="P13" s="46">
        <v>10</v>
      </c>
      <c r="Q13" s="55">
        <v>1</v>
      </c>
      <c r="R13" s="53" t="s">
        <v>9</v>
      </c>
      <c r="S13" s="46" t="s">
        <v>568</v>
      </c>
      <c r="T13" s="46">
        <v>10</v>
      </c>
      <c r="U13" s="55">
        <v>1</v>
      </c>
      <c r="V13" s="53" t="s">
        <v>742</v>
      </c>
      <c r="W13" s="46" t="s">
        <v>551</v>
      </c>
      <c r="X13" s="46">
        <v>10</v>
      </c>
      <c r="Y13" s="55">
        <v>1</v>
      </c>
    </row>
    <row r="14" spans="1:25" x14ac:dyDescent="0.25">
      <c r="A14" t="s">
        <v>1165</v>
      </c>
      <c r="C14" t="s">
        <v>1000</v>
      </c>
      <c r="D14" s="106">
        <v>5</v>
      </c>
      <c r="E14" s="107" t="s">
        <v>4</v>
      </c>
      <c r="F14" s="108" t="s">
        <v>214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721</v>
      </c>
      <c r="O14" s="44" t="s">
        <v>527</v>
      </c>
      <c r="P14" s="44">
        <v>10</v>
      </c>
      <c r="Q14" s="54">
        <v>1</v>
      </c>
      <c r="R14" s="52" t="s">
        <v>730</v>
      </c>
      <c r="S14" s="44" t="s">
        <v>543</v>
      </c>
      <c r="T14" s="44">
        <v>10</v>
      </c>
      <c r="U14" s="54">
        <v>1</v>
      </c>
      <c r="V14" s="52" t="s">
        <v>751</v>
      </c>
      <c r="W14" s="44" t="s">
        <v>564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849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721</v>
      </c>
      <c r="O15" s="44" t="s">
        <v>527</v>
      </c>
      <c r="P15" s="44">
        <v>10</v>
      </c>
      <c r="Q15" s="54">
        <v>1</v>
      </c>
      <c r="R15" s="52" t="s">
        <v>730</v>
      </c>
      <c r="S15" s="44" t="s">
        <v>543</v>
      </c>
      <c r="T15" s="44">
        <v>10</v>
      </c>
      <c r="U15" s="54">
        <v>1</v>
      </c>
      <c r="V15" s="52" t="s">
        <v>751</v>
      </c>
      <c r="W15" s="44" t="s">
        <v>564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154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721</v>
      </c>
      <c r="O16" s="44" t="s">
        <v>527</v>
      </c>
      <c r="P16" s="44">
        <v>10</v>
      </c>
      <c r="Q16" s="54">
        <v>1</v>
      </c>
      <c r="R16" s="52" t="s">
        <v>730</v>
      </c>
      <c r="S16" s="44" t="s">
        <v>543</v>
      </c>
      <c r="T16" s="44">
        <v>10</v>
      </c>
      <c r="U16" s="54">
        <v>1</v>
      </c>
      <c r="V16" s="52" t="s">
        <v>751</v>
      </c>
      <c r="W16" s="44" t="s">
        <v>564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763</v>
      </c>
      <c r="O17" s="44" t="s">
        <v>562</v>
      </c>
      <c r="P17" s="44">
        <v>10</v>
      </c>
      <c r="Q17" s="54">
        <v>1</v>
      </c>
      <c r="R17" s="52" t="s">
        <v>9</v>
      </c>
      <c r="S17" s="44" t="s">
        <v>568</v>
      </c>
      <c r="T17" s="44">
        <v>10</v>
      </c>
      <c r="U17" s="54">
        <v>1</v>
      </c>
      <c r="V17" s="52" t="s">
        <v>742</v>
      </c>
      <c r="W17" s="44" t="s">
        <v>558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199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763</v>
      </c>
      <c r="O18" s="46" t="s">
        <v>562</v>
      </c>
      <c r="P18" s="46">
        <v>10</v>
      </c>
      <c r="Q18" s="55">
        <v>1</v>
      </c>
      <c r="R18" s="53" t="s">
        <v>9</v>
      </c>
      <c r="S18" s="46" t="s">
        <v>568</v>
      </c>
      <c r="T18" s="46">
        <v>10</v>
      </c>
      <c r="U18" s="55">
        <v>1</v>
      </c>
      <c r="V18" s="53" t="s">
        <v>742</v>
      </c>
      <c r="W18" s="46" t="s">
        <v>551</v>
      </c>
      <c r="X18" s="46">
        <v>10</v>
      </c>
      <c r="Y18" s="55">
        <v>1</v>
      </c>
    </row>
    <row r="19" spans="3:25" x14ac:dyDescent="0.25">
      <c r="C19" t="s">
        <v>997</v>
      </c>
      <c r="D19" s="106">
        <v>5</v>
      </c>
      <c r="E19" s="107" t="s">
        <v>6</v>
      </c>
      <c r="F19" s="108" t="s">
        <v>270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721</v>
      </c>
      <c r="O19" s="44" t="s">
        <v>527</v>
      </c>
      <c r="P19" s="44">
        <v>10</v>
      </c>
      <c r="Q19" s="54">
        <v>1</v>
      </c>
      <c r="R19" s="52" t="s">
        <v>710</v>
      </c>
      <c r="S19" s="44" t="s">
        <v>270</v>
      </c>
      <c r="T19" s="44">
        <v>10</v>
      </c>
      <c r="U19" s="54">
        <v>1</v>
      </c>
      <c r="V19" s="52" t="s">
        <v>752</v>
      </c>
      <c r="W19" s="44" t="s">
        <v>580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817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721</v>
      </c>
      <c r="O20" s="44" t="s">
        <v>527</v>
      </c>
      <c r="P20" s="44">
        <v>10</v>
      </c>
      <c r="Q20" s="54">
        <v>1</v>
      </c>
      <c r="R20" s="52" t="s">
        <v>730</v>
      </c>
      <c r="S20" s="44" t="s">
        <v>543</v>
      </c>
      <c r="T20" s="44">
        <v>10</v>
      </c>
      <c r="U20" s="54">
        <v>1</v>
      </c>
      <c r="V20" s="52" t="s">
        <v>752</v>
      </c>
      <c r="W20" s="44" t="s">
        <v>580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267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763</v>
      </c>
      <c r="O21" s="44" t="s">
        <v>562</v>
      </c>
      <c r="P21" s="44">
        <v>10</v>
      </c>
      <c r="Q21" s="54">
        <v>1</v>
      </c>
      <c r="R21" s="52" t="s">
        <v>9</v>
      </c>
      <c r="S21" s="44" t="s">
        <v>568</v>
      </c>
      <c r="T21" s="44">
        <v>10</v>
      </c>
      <c r="U21" s="54">
        <v>1</v>
      </c>
      <c r="V21" s="52" t="s">
        <v>742</v>
      </c>
      <c r="W21" s="44" t="s">
        <v>551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1782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763</v>
      </c>
      <c r="O22" s="44" t="s">
        <v>562</v>
      </c>
      <c r="P22" s="44">
        <v>10</v>
      </c>
      <c r="Q22" s="54">
        <v>1</v>
      </c>
      <c r="R22" s="52" t="s">
        <v>9</v>
      </c>
      <c r="S22" s="44" t="s">
        <v>568</v>
      </c>
      <c r="T22" s="44">
        <v>10</v>
      </c>
      <c r="U22" s="54">
        <v>1</v>
      </c>
      <c r="V22" s="52" t="s">
        <v>742</v>
      </c>
      <c r="W22" s="44" t="s">
        <v>551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838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763</v>
      </c>
      <c r="O23" s="46" t="s">
        <v>562</v>
      </c>
      <c r="P23" s="46">
        <v>10</v>
      </c>
      <c r="Q23" s="55">
        <v>1</v>
      </c>
      <c r="R23" s="53" t="s">
        <v>9</v>
      </c>
      <c r="S23" s="46" t="s">
        <v>568</v>
      </c>
      <c r="T23" s="46">
        <v>10</v>
      </c>
      <c r="U23" s="55">
        <v>1</v>
      </c>
      <c r="V23" s="53" t="s">
        <v>742</v>
      </c>
      <c r="W23" s="46" t="s">
        <v>551</v>
      </c>
      <c r="X23" s="46">
        <v>10</v>
      </c>
      <c r="Y23" s="55">
        <v>1</v>
      </c>
    </row>
    <row r="24" spans="3:25" x14ac:dyDescent="0.25">
      <c r="C24" t="s">
        <v>998</v>
      </c>
      <c r="D24" s="106">
        <v>6</v>
      </c>
      <c r="E24" s="107" t="s">
        <v>2</v>
      </c>
      <c r="F24" s="108" t="s">
        <v>263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710</v>
      </c>
      <c r="O24" s="44" t="s">
        <v>225</v>
      </c>
      <c r="P24" s="44">
        <v>10</v>
      </c>
      <c r="Q24" s="54">
        <v>1</v>
      </c>
      <c r="R24" s="52" t="s">
        <v>737</v>
      </c>
      <c r="S24" s="44" t="s">
        <v>547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271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763</v>
      </c>
      <c r="O25" s="44" t="s">
        <v>562</v>
      </c>
      <c r="P25" s="44">
        <v>10</v>
      </c>
      <c r="Q25" s="54">
        <v>1</v>
      </c>
      <c r="R25" s="52" t="s">
        <v>9</v>
      </c>
      <c r="S25" s="44" t="s">
        <v>568</v>
      </c>
      <c r="T25" s="44">
        <v>10</v>
      </c>
      <c r="U25" s="54">
        <v>1</v>
      </c>
      <c r="V25" s="52" t="s">
        <v>742</v>
      </c>
      <c r="W25" s="44" t="s">
        <v>551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1780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721</v>
      </c>
      <c r="O26" s="44" t="s">
        <v>527</v>
      </c>
      <c r="P26" s="44">
        <v>10</v>
      </c>
      <c r="Q26" s="54">
        <v>1</v>
      </c>
      <c r="R26" s="52" t="s">
        <v>710</v>
      </c>
      <c r="S26" s="44" t="s">
        <v>1780</v>
      </c>
      <c r="T26" s="44">
        <v>10</v>
      </c>
      <c r="U26" s="54">
        <v>1</v>
      </c>
      <c r="V26" s="52" t="s">
        <v>752</v>
      </c>
      <c r="W26" s="44" t="s">
        <v>580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1699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763</v>
      </c>
      <c r="O27" s="44" t="s">
        <v>562</v>
      </c>
      <c r="P27" s="44">
        <v>10</v>
      </c>
      <c r="Q27" s="54">
        <v>1</v>
      </c>
      <c r="R27" s="52" t="s">
        <v>9</v>
      </c>
      <c r="S27" s="44" t="s">
        <v>568</v>
      </c>
      <c r="T27" s="44">
        <v>10</v>
      </c>
      <c r="U27" s="54">
        <v>1</v>
      </c>
      <c r="V27" s="52" t="s">
        <v>742</v>
      </c>
      <c r="W27" s="44" t="s">
        <v>551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199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763</v>
      </c>
      <c r="O28" s="46" t="s">
        <v>562</v>
      </c>
      <c r="P28" s="46">
        <v>10</v>
      </c>
      <c r="Q28" s="55">
        <v>1</v>
      </c>
      <c r="R28" s="53" t="s">
        <v>9</v>
      </c>
      <c r="S28" s="46" t="s">
        <v>568</v>
      </c>
      <c r="T28" s="46">
        <v>10</v>
      </c>
      <c r="U28" s="55">
        <v>1</v>
      </c>
      <c r="V28" s="53" t="s">
        <v>742</v>
      </c>
      <c r="W28" s="46" t="s">
        <v>551</v>
      </c>
      <c r="X28" s="46">
        <v>10</v>
      </c>
      <c r="Y28" s="55">
        <v>1</v>
      </c>
    </row>
    <row r="29" spans="3:25" x14ac:dyDescent="0.25">
      <c r="C29" t="s">
        <v>1002</v>
      </c>
      <c r="D29" s="106">
        <v>5</v>
      </c>
      <c r="E29" s="107" t="s">
        <v>2</v>
      </c>
      <c r="F29" s="108" t="s">
        <v>260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721</v>
      </c>
      <c r="O29" s="44" t="s">
        <v>527</v>
      </c>
      <c r="P29" s="44">
        <v>10</v>
      </c>
      <c r="Q29" s="54">
        <v>1</v>
      </c>
      <c r="R29" s="52" t="s">
        <v>737</v>
      </c>
      <c r="S29" s="44" t="s">
        <v>547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173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721</v>
      </c>
      <c r="O30" s="44" t="s">
        <v>527</v>
      </c>
      <c r="P30" s="44">
        <v>10</v>
      </c>
      <c r="Q30" s="54">
        <v>1</v>
      </c>
      <c r="R30" s="52" t="s">
        <v>730</v>
      </c>
      <c r="S30" s="44" t="s">
        <v>543</v>
      </c>
      <c r="T30" s="44">
        <v>10</v>
      </c>
      <c r="U30" s="54">
        <v>1</v>
      </c>
      <c r="V30" s="52" t="s">
        <v>752</v>
      </c>
      <c r="W30" s="44" t="s">
        <v>580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267</v>
      </c>
      <c r="G31" s="44">
        <v>110</v>
      </c>
      <c r="H31" s="44">
        <v>5</v>
      </c>
      <c r="I31" s="44">
        <v>10</v>
      </c>
      <c r="J31" s="44">
        <v>10</v>
      </c>
      <c r="K31" s="44">
        <v>2</v>
      </c>
      <c r="L31" s="45">
        <v>100</v>
      </c>
      <c r="M31" s="61"/>
      <c r="N31" s="52" t="s">
        <v>763</v>
      </c>
      <c r="O31" s="44" t="s">
        <v>562</v>
      </c>
      <c r="P31" s="44">
        <v>10</v>
      </c>
      <c r="Q31" s="54">
        <v>1</v>
      </c>
      <c r="R31" s="52" t="s">
        <v>9</v>
      </c>
      <c r="S31" s="44" t="s">
        <v>568</v>
      </c>
      <c r="T31" s="44">
        <v>10</v>
      </c>
      <c r="U31" s="54">
        <v>1</v>
      </c>
      <c r="V31" s="52" t="s">
        <v>742</v>
      </c>
      <c r="W31" s="44" t="s">
        <v>551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199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763</v>
      </c>
      <c r="O32" s="44" t="s">
        <v>562</v>
      </c>
      <c r="P32" s="44">
        <v>10</v>
      </c>
      <c r="Q32" s="54">
        <v>1</v>
      </c>
      <c r="R32" s="52" t="s">
        <v>9</v>
      </c>
      <c r="S32" s="44" t="s">
        <v>568</v>
      </c>
      <c r="T32" s="44">
        <v>10</v>
      </c>
      <c r="U32" s="54">
        <v>1</v>
      </c>
      <c r="V32" s="52" t="s">
        <v>742</v>
      </c>
      <c r="W32" s="44" t="s">
        <v>551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749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710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568</v>
      </c>
      <c r="T33" s="46">
        <v>10</v>
      </c>
      <c r="U33" s="55">
        <v>1</v>
      </c>
      <c r="V33" s="53" t="s">
        <v>742</v>
      </c>
      <c r="W33" s="46" t="s">
        <v>551</v>
      </c>
      <c r="X33" s="46">
        <v>10</v>
      </c>
      <c r="Y33" s="55">
        <v>1</v>
      </c>
    </row>
    <row r="34" spans="3:25" x14ac:dyDescent="0.25">
      <c r="C34" t="s">
        <v>1001</v>
      </c>
      <c r="D34" s="106">
        <v>5</v>
      </c>
      <c r="E34" s="107" t="s">
        <v>3</v>
      </c>
      <c r="F34" s="108" t="s">
        <v>1785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763</v>
      </c>
      <c r="O34" s="44" t="s">
        <v>562</v>
      </c>
      <c r="P34" s="44">
        <v>10</v>
      </c>
      <c r="Q34" s="54">
        <v>1</v>
      </c>
      <c r="R34" s="52" t="s">
        <v>9</v>
      </c>
      <c r="S34" s="44" t="s">
        <v>568</v>
      </c>
      <c r="T34" s="44">
        <v>10</v>
      </c>
      <c r="U34" s="54">
        <v>1</v>
      </c>
      <c r="V34" s="52" t="s">
        <v>742</v>
      </c>
      <c r="W34" s="44" t="s">
        <v>558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763</v>
      </c>
      <c r="O35" s="44" t="s">
        <v>562</v>
      </c>
      <c r="P35" s="44">
        <v>10</v>
      </c>
      <c r="Q35" s="54">
        <v>1</v>
      </c>
      <c r="R35" s="52" t="s">
        <v>9</v>
      </c>
      <c r="S35" s="44" t="s">
        <v>568</v>
      </c>
      <c r="T35" s="44">
        <v>10</v>
      </c>
      <c r="U35" s="54">
        <v>1</v>
      </c>
      <c r="V35" s="52" t="s">
        <v>742</v>
      </c>
      <c r="W35" s="44" t="s">
        <v>558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267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763</v>
      </c>
      <c r="O36" s="44" t="s">
        <v>562</v>
      </c>
      <c r="P36" s="44">
        <v>10</v>
      </c>
      <c r="Q36" s="54">
        <v>1</v>
      </c>
      <c r="R36" s="52" t="s">
        <v>9</v>
      </c>
      <c r="S36" s="44" t="s">
        <v>568</v>
      </c>
      <c r="T36" s="44">
        <v>10</v>
      </c>
      <c r="U36" s="54">
        <v>1</v>
      </c>
      <c r="V36" s="52" t="s">
        <v>742</v>
      </c>
      <c r="W36" s="44" t="s">
        <v>551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188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763</v>
      </c>
      <c r="O37" s="44" t="s">
        <v>562</v>
      </c>
      <c r="P37" s="44">
        <v>10</v>
      </c>
      <c r="Q37" s="54">
        <v>1</v>
      </c>
      <c r="R37" s="52" t="s">
        <v>9</v>
      </c>
      <c r="S37" s="44" t="s">
        <v>568</v>
      </c>
      <c r="T37" s="44">
        <v>10</v>
      </c>
      <c r="U37" s="54">
        <v>1</v>
      </c>
      <c r="V37" s="52" t="s">
        <v>742</v>
      </c>
      <c r="W37" s="44" t="s">
        <v>551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199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763</v>
      </c>
      <c r="O38" s="46" t="s">
        <v>562</v>
      </c>
      <c r="P38" s="46">
        <v>10</v>
      </c>
      <c r="Q38" s="55">
        <v>1</v>
      </c>
      <c r="R38" s="53" t="s">
        <v>9</v>
      </c>
      <c r="S38" s="46" t="s">
        <v>568</v>
      </c>
      <c r="T38" s="46">
        <v>10</v>
      </c>
      <c r="U38" s="55">
        <v>1</v>
      </c>
      <c r="V38" s="53" t="s">
        <v>742</v>
      </c>
      <c r="W38" s="46" t="s">
        <v>551</v>
      </c>
      <c r="X38" s="46">
        <v>10</v>
      </c>
      <c r="Y38" s="55">
        <v>1</v>
      </c>
    </row>
    <row r="39" spans="3:25" x14ac:dyDescent="0.25">
      <c r="C39" t="s">
        <v>1011</v>
      </c>
      <c r="D39" s="106">
        <v>6</v>
      </c>
      <c r="E39" s="107" t="s">
        <v>2</v>
      </c>
      <c r="F39" s="108" t="s">
        <v>263</v>
      </c>
      <c r="G39" s="107">
        <v>120</v>
      </c>
      <c r="H39" s="107">
        <v>5</v>
      </c>
      <c r="I39" s="107">
        <v>10</v>
      </c>
      <c r="J39" s="107">
        <v>10</v>
      </c>
      <c r="K39" s="107">
        <v>3</v>
      </c>
      <c r="L39" s="108">
        <v>100</v>
      </c>
      <c r="M39" s="61"/>
      <c r="N39" s="52" t="s">
        <v>710</v>
      </c>
      <c r="O39" s="44" t="s">
        <v>225</v>
      </c>
      <c r="P39" s="44">
        <v>10</v>
      </c>
      <c r="Q39" s="54">
        <v>1</v>
      </c>
      <c r="R39" s="52" t="s">
        <v>737</v>
      </c>
      <c r="S39" s="44" t="s">
        <v>547</v>
      </c>
      <c r="T39" s="44">
        <v>10</v>
      </c>
      <c r="U39" s="54">
        <v>1</v>
      </c>
      <c r="V39" s="52"/>
      <c r="W39" s="44"/>
      <c r="X39" s="44"/>
      <c r="Y39" s="54"/>
    </row>
    <row r="40" spans="3:25" x14ac:dyDescent="0.25">
      <c r="D40" s="52">
        <v>5</v>
      </c>
      <c r="E40" s="44" t="s">
        <v>4</v>
      </c>
      <c r="F40" s="45" t="s">
        <v>214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721</v>
      </c>
      <c r="O40" s="44" t="s">
        <v>527</v>
      </c>
      <c r="P40" s="44">
        <v>10</v>
      </c>
      <c r="Q40" s="54">
        <v>1</v>
      </c>
      <c r="R40" s="52" t="s">
        <v>730</v>
      </c>
      <c r="S40" s="44" t="s">
        <v>543</v>
      </c>
      <c r="T40" s="44">
        <v>10</v>
      </c>
      <c r="U40" s="54">
        <v>1</v>
      </c>
      <c r="V40" s="52" t="s">
        <v>751</v>
      </c>
      <c r="W40" s="44" t="s">
        <v>564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6</v>
      </c>
      <c r="F41" s="45" t="s">
        <v>173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721</v>
      </c>
      <c r="O41" s="44" t="s">
        <v>527</v>
      </c>
      <c r="P41" s="44">
        <v>10</v>
      </c>
      <c r="Q41" s="54">
        <v>1</v>
      </c>
      <c r="R41" s="52" t="s">
        <v>730</v>
      </c>
      <c r="S41" s="44" t="s">
        <v>543</v>
      </c>
      <c r="T41" s="44">
        <v>10</v>
      </c>
      <c r="U41" s="54">
        <v>1</v>
      </c>
      <c r="V41" s="52" t="s">
        <v>752</v>
      </c>
      <c r="W41" s="44" t="s">
        <v>580</v>
      </c>
      <c r="X41" s="44">
        <v>10</v>
      </c>
      <c r="Y41" s="54">
        <v>1</v>
      </c>
    </row>
    <row r="42" spans="3:25" x14ac:dyDescent="0.25">
      <c r="D42" s="52">
        <v>4</v>
      </c>
      <c r="E42" s="44" t="s">
        <v>3</v>
      </c>
      <c r="F42" s="45" t="s">
        <v>1250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763</v>
      </c>
      <c r="O42" s="44" t="s">
        <v>562</v>
      </c>
      <c r="P42" s="44">
        <v>10</v>
      </c>
      <c r="Q42" s="54">
        <v>1</v>
      </c>
      <c r="R42" s="52" t="s">
        <v>9</v>
      </c>
      <c r="S42" s="44" t="s">
        <v>568</v>
      </c>
      <c r="T42" s="44">
        <v>10</v>
      </c>
      <c r="U42" s="54">
        <v>1</v>
      </c>
      <c r="V42" s="52" t="s">
        <v>742</v>
      </c>
      <c r="W42" s="44" t="s">
        <v>551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199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763</v>
      </c>
      <c r="O43" s="46" t="s">
        <v>562</v>
      </c>
      <c r="P43" s="46">
        <v>10</v>
      </c>
      <c r="Q43" s="55">
        <v>1</v>
      </c>
      <c r="R43" s="53" t="s">
        <v>9</v>
      </c>
      <c r="S43" s="46" t="s">
        <v>568</v>
      </c>
      <c r="T43" s="46">
        <v>10</v>
      </c>
      <c r="U43" s="55">
        <v>1</v>
      </c>
      <c r="V43" s="53" t="s">
        <v>742</v>
      </c>
      <c r="W43" s="46" t="s">
        <v>551</v>
      </c>
      <c r="X43" s="46">
        <v>10</v>
      </c>
      <c r="Y43" s="55">
        <v>1</v>
      </c>
    </row>
    <row r="44" spans="3:25" x14ac:dyDescent="0.25">
      <c r="C44" t="s">
        <v>1165</v>
      </c>
      <c r="D44" s="106">
        <v>4</v>
      </c>
      <c r="E44" s="107" t="s">
        <v>6</v>
      </c>
      <c r="F44" s="108" t="s">
        <v>851</v>
      </c>
      <c r="G44" s="107">
        <v>115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710</v>
      </c>
      <c r="O44" s="44" t="s">
        <v>851</v>
      </c>
      <c r="P44" s="44">
        <v>10</v>
      </c>
      <c r="Q44" s="54">
        <v>1</v>
      </c>
      <c r="R44" s="52" t="s">
        <v>730</v>
      </c>
      <c r="S44" s="44" t="s">
        <v>543</v>
      </c>
      <c r="T44" s="44">
        <v>10</v>
      </c>
      <c r="U44" s="54">
        <v>1</v>
      </c>
      <c r="V44" s="52" t="s">
        <v>752</v>
      </c>
      <c r="W44" s="44" t="s">
        <v>580</v>
      </c>
      <c r="X44" s="44">
        <v>10</v>
      </c>
      <c r="Y44" s="54">
        <v>1</v>
      </c>
    </row>
    <row r="45" spans="3:25" x14ac:dyDescent="0.25">
      <c r="D45" s="52">
        <v>5</v>
      </c>
      <c r="E45" s="44" t="s">
        <v>6</v>
      </c>
      <c r="F45" s="45" t="s">
        <v>173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721</v>
      </c>
      <c r="O45" s="44" t="s">
        <v>527</v>
      </c>
      <c r="P45" s="44">
        <v>10</v>
      </c>
      <c r="Q45" s="54">
        <v>1</v>
      </c>
      <c r="R45" s="52" t="s">
        <v>730</v>
      </c>
      <c r="S45" s="44" t="s">
        <v>543</v>
      </c>
      <c r="T45" s="44">
        <v>10</v>
      </c>
      <c r="U45" s="54">
        <v>1</v>
      </c>
      <c r="V45" s="52" t="s">
        <v>752</v>
      </c>
      <c r="W45" s="44" t="s">
        <v>580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7</v>
      </c>
      <c r="F46" s="45" t="s">
        <v>1506</v>
      </c>
      <c r="G46" s="44">
        <v>110</v>
      </c>
      <c r="H46" s="44">
        <v>5</v>
      </c>
      <c r="I46" s="44">
        <v>10</v>
      </c>
      <c r="J46" s="44">
        <v>10</v>
      </c>
      <c r="K46" s="44">
        <v>2</v>
      </c>
      <c r="L46" s="45">
        <v>100</v>
      </c>
      <c r="M46" s="61"/>
      <c r="N46" s="52" t="s">
        <v>763</v>
      </c>
      <c r="O46" s="44" t="s">
        <v>562</v>
      </c>
      <c r="P46" s="44">
        <v>10</v>
      </c>
      <c r="Q46" s="54">
        <v>1</v>
      </c>
      <c r="R46" s="52" t="s">
        <v>9</v>
      </c>
      <c r="S46" s="44" t="s">
        <v>568</v>
      </c>
      <c r="T46" s="44">
        <v>10</v>
      </c>
      <c r="U46" s="54">
        <v>1</v>
      </c>
      <c r="V46" s="52" t="s">
        <v>710</v>
      </c>
      <c r="W46" s="44" t="s">
        <v>739</v>
      </c>
      <c r="X46" s="44">
        <v>10</v>
      </c>
      <c r="Y46" s="54">
        <v>1</v>
      </c>
    </row>
    <row r="47" spans="3:25" x14ac:dyDescent="0.25">
      <c r="D47" s="52">
        <v>5</v>
      </c>
      <c r="E47" s="44" t="s">
        <v>3</v>
      </c>
      <c r="F47" s="45" t="s">
        <v>749</v>
      </c>
      <c r="G47" s="44">
        <v>100</v>
      </c>
      <c r="H47" s="44">
        <v>5</v>
      </c>
      <c r="I47" s="44">
        <v>10</v>
      </c>
      <c r="J47" s="44">
        <v>10</v>
      </c>
      <c r="K47" s="44">
        <v>2</v>
      </c>
      <c r="L47" s="45">
        <v>100</v>
      </c>
      <c r="M47" s="61"/>
      <c r="N47" s="52" t="s">
        <v>710</v>
      </c>
      <c r="O47" s="44" t="s">
        <v>67</v>
      </c>
      <c r="P47" s="44">
        <v>10</v>
      </c>
      <c r="Q47" s="54">
        <v>1</v>
      </c>
      <c r="R47" s="52" t="s">
        <v>9</v>
      </c>
      <c r="S47" s="44" t="s">
        <v>568</v>
      </c>
      <c r="T47" s="44">
        <v>10</v>
      </c>
      <c r="U47" s="54">
        <v>1</v>
      </c>
      <c r="V47" s="52" t="s">
        <v>742</v>
      </c>
      <c r="W47" s="44" t="s">
        <v>551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199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763</v>
      </c>
      <c r="O48" s="46" t="s">
        <v>562</v>
      </c>
      <c r="P48" s="46">
        <v>10</v>
      </c>
      <c r="Q48" s="55">
        <v>1</v>
      </c>
      <c r="R48" s="53" t="s">
        <v>9</v>
      </c>
      <c r="S48" s="46" t="s">
        <v>568</v>
      </c>
      <c r="T48" s="46">
        <v>10</v>
      </c>
      <c r="U48" s="55">
        <v>1</v>
      </c>
      <c r="V48" s="53" t="s">
        <v>742</v>
      </c>
      <c r="W48" s="46" t="s">
        <v>551</v>
      </c>
      <c r="X48" s="46">
        <v>10</v>
      </c>
      <c r="Y48" s="55">
        <v>1</v>
      </c>
    </row>
    <row r="49" spans="3:25" x14ac:dyDescent="0.25">
      <c r="C49" t="s">
        <v>1166</v>
      </c>
      <c r="D49" s="184">
        <v>5</v>
      </c>
      <c r="E49" s="185" t="s">
        <v>2</v>
      </c>
      <c r="F49" s="186" t="s">
        <v>260</v>
      </c>
      <c r="G49" s="185">
        <v>120</v>
      </c>
      <c r="H49" s="185">
        <v>5</v>
      </c>
      <c r="I49" s="185">
        <v>10</v>
      </c>
      <c r="J49" s="185">
        <v>10</v>
      </c>
      <c r="K49" s="185">
        <v>3</v>
      </c>
      <c r="L49" s="186">
        <v>100</v>
      </c>
      <c r="M49" s="61"/>
      <c r="N49" s="188" t="s">
        <v>721</v>
      </c>
      <c r="O49" s="189" t="s">
        <v>527</v>
      </c>
      <c r="P49" s="189">
        <v>10</v>
      </c>
      <c r="Q49" s="190">
        <v>1</v>
      </c>
      <c r="R49" s="188" t="s">
        <v>737</v>
      </c>
      <c r="S49" s="189" t="s">
        <v>547</v>
      </c>
      <c r="T49" s="189">
        <v>10</v>
      </c>
      <c r="U49" s="190">
        <v>1</v>
      </c>
      <c r="V49" s="188"/>
      <c r="W49" s="189"/>
      <c r="X49" s="189"/>
      <c r="Y49" s="190"/>
    </row>
    <row r="50" spans="3:25" x14ac:dyDescent="0.25">
      <c r="D50" s="188">
        <v>5</v>
      </c>
      <c r="E50" s="189" t="s">
        <v>6</v>
      </c>
      <c r="F50" s="191" t="s">
        <v>253</v>
      </c>
      <c r="G50" s="189">
        <v>100</v>
      </c>
      <c r="H50" s="189">
        <v>5</v>
      </c>
      <c r="I50" s="189">
        <v>10</v>
      </c>
      <c r="J50" s="189">
        <v>0</v>
      </c>
      <c r="K50" s="189">
        <v>0</v>
      </c>
      <c r="L50" s="191">
        <v>100</v>
      </c>
      <c r="M50" s="61"/>
      <c r="N50" s="188" t="s">
        <v>721</v>
      </c>
      <c r="O50" s="189" t="s">
        <v>527</v>
      </c>
      <c r="P50" s="189">
        <v>10</v>
      </c>
      <c r="Q50" s="190">
        <v>1</v>
      </c>
      <c r="R50" s="188" t="s">
        <v>730</v>
      </c>
      <c r="S50" s="189" t="s">
        <v>543</v>
      </c>
      <c r="T50" s="189">
        <v>10</v>
      </c>
      <c r="U50" s="190">
        <v>1</v>
      </c>
      <c r="V50" s="188" t="s">
        <v>710</v>
      </c>
      <c r="W50" s="189" t="s">
        <v>253</v>
      </c>
      <c r="X50" s="189">
        <v>10</v>
      </c>
      <c r="Y50" s="190">
        <v>1</v>
      </c>
    </row>
    <row r="51" spans="3:25" x14ac:dyDescent="0.25">
      <c r="D51" s="188">
        <v>5</v>
      </c>
      <c r="E51" s="189" t="s">
        <v>3</v>
      </c>
      <c r="F51" s="191" t="s">
        <v>805</v>
      </c>
      <c r="G51" s="189">
        <v>100</v>
      </c>
      <c r="H51" s="189">
        <v>5</v>
      </c>
      <c r="I51" s="189">
        <v>10</v>
      </c>
      <c r="J51" s="189">
        <v>0</v>
      </c>
      <c r="K51" s="189">
        <v>0</v>
      </c>
      <c r="L51" s="191">
        <v>100</v>
      </c>
      <c r="M51" s="61"/>
      <c r="N51" s="188" t="s">
        <v>763</v>
      </c>
      <c r="O51" s="189" t="s">
        <v>562</v>
      </c>
      <c r="P51" s="189">
        <v>10</v>
      </c>
      <c r="Q51" s="190">
        <v>1</v>
      </c>
      <c r="R51" s="188" t="s">
        <v>9</v>
      </c>
      <c r="S51" s="189" t="s">
        <v>568</v>
      </c>
      <c r="T51" s="189">
        <v>10</v>
      </c>
      <c r="U51" s="190">
        <v>1</v>
      </c>
      <c r="V51" s="188" t="s">
        <v>742</v>
      </c>
      <c r="W51" s="189" t="s">
        <v>551</v>
      </c>
      <c r="X51" s="189">
        <v>10</v>
      </c>
      <c r="Y51" s="190">
        <v>1</v>
      </c>
    </row>
    <row r="52" spans="3:25" x14ac:dyDescent="0.25">
      <c r="D52" s="188">
        <v>6</v>
      </c>
      <c r="E52" s="189" t="s">
        <v>3</v>
      </c>
      <c r="F52" s="191" t="s">
        <v>267</v>
      </c>
      <c r="G52" s="189">
        <v>110</v>
      </c>
      <c r="H52" s="189">
        <v>5</v>
      </c>
      <c r="I52" s="189">
        <v>10</v>
      </c>
      <c r="J52" s="189">
        <v>10</v>
      </c>
      <c r="K52" s="189">
        <v>2</v>
      </c>
      <c r="L52" s="191">
        <v>100</v>
      </c>
      <c r="M52" s="61"/>
      <c r="N52" s="188" t="s">
        <v>763</v>
      </c>
      <c r="O52" s="189" t="s">
        <v>562</v>
      </c>
      <c r="P52" s="189">
        <v>10</v>
      </c>
      <c r="Q52" s="190">
        <v>1</v>
      </c>
      <c r="R52" s="188" t="s">
        <v>9</v>
      </c>
      <c r="S52" s="189" t="s">
        <v>568</v>
      </c>
      <c r="T52" s="189">
        <v>10</v>
      </c>
      <c r="U52" s="190">
        <v>1</v>
      </c>
      <c r="V52" s="188" t="s">
        <v>742</v>
      </c>
      <c r="W52" s="189" t="s">
        <v>551</v>
      </c>
      <c r="X52" s="189">
        <v>10</v>
      </c>
      <c r="Y52" s="190">
        <v>1</v>
      </c>
    </row>
    <row r="53" spans="3:25" x14ac:dyDescent="0.25">
      <c r="D53" s="192">
        <v>5</v>
      </c>
      <c r="E53" s="193" t="s">
        <v>3</v>
      </c>
      <c r="F53" s="170" t="s">
        <v>749</v>
      </c>
      <c r="G53" s="193">
        <v>110</v>
      </c>
      <c r="H53" s="193">
        <v>5</v>
      </c>
      <c r="I53" s="193">
        <v>10</v>
      </c>
      <c r="J53" s="193">
        <v>10</v>
      </c>
      <c r="K53" s="193">
        <v>2</v>
      </c>
      <c r="L53" s="170">
        <v>100</v>
      </c>
      <c r="M53" s="61"/>
      <c r="N53" s="192" t="s">
        <v>710</v>
      </c>
      <c r="O53" s="193" t="s">
        <v>67</v>
      </c>
      <c r="P53" s="193">
        <v>10</v>
      </c>
      <c r="Q53" s="194">
        <v>1</v>
      </c>
      <c r="R53" s="192" t="s">
        <v>9</v>
      </c>
      <c r="S53" s="193" t="s">
        <v>568</v>
      </c>
      <c r="T53" s="193">
        <v>10</v>
      </c>
      <c r="U53" s="194">
        <v>1</v>
      </c>
      <c r="V53" s="192" t="s">
        <v>742</v>
      </c>
      <c r="W53" s="193" t="s">
        <v>551</v>
      </c>
      <c r="X53" s="193">
        <v>10</v>
      </c>
      <c r="Y53" s="194">
        <v>1</v>
      </c>
    </row>
    <row r="54" spans="3:25" x14ac:dyDescent="0.25">
      <c r="C54" t="s">
        <v>1800</v>
      </c>
      <c r="D54" s="184">
        <v>5</v>
      </c>
      <c r="E54" s="185" t="s">
        <v>4</v>
      </c>
      <c r="F54" s="186" t="s">
        <v>214</v>
      </c>
      <c r="G54" s="185">
        <v>100</v>
      </c>
      <c r="H54" s="185">
        <v>5</v>
      </c>
      <c r="I54" s="185">
        <v>10</v>
      </c>
      <c r="J54" s="185">
        <v>0</v>
      </c>
      <c r="K54" s="185">
        <v>0</v>
      </c>
      <c r="L54" s="186">
        <v>100</v>
      </c>
      <c r="M54" s="61"/>
      <c r="N54" s="188" t="s">
        <v>721</v>
      </c>
      <c r="O54" s="189" t="s">
        <v>527</v>
      </c>
      <c r="P54" s="189">
        <v>10</v>
      </c>
      <c r="Q54" s="190">
        <v>1</v>
      </c>
      <c r="R54" s="188" t="s">
        <v>730</v>
      </c>
      <c r="S54" s="189" t="s">
        <v>543</v>
      </c>
      <c r="T54" s="189">
        <v>10</v>
      </c>
      <c r="U54" s="190">
        <v>1</v>
      </c>
      <c r="V54" s="188" t="s">
        <v>751</v>
      </c>
      <c r="W54" s="189" t="s">
        <v>564</v>
      </c>
      <c r="X54" s="189">
        <v>10</v>
      </c>
      <c r="Y54" s="190">
        <v>1</v>
      </c>
    </row>
    <row r="55" spans="3:25" x14ac:dyDescent="0.25">
      <c r="D55" s="188">
        <v>5</v>
      </c>
      <c r="E55" s="189" t="s">
        <v>4</v>
      </c>
      <c r="F55" s="191" t="s">
        <v>1761</v>
      </c>
      <c r="G55" s="189">
        <v>100</v>
      </c>
      <c r="H55" s="189">
        <v>5</v>
      </c>
      <c r="I55" s="189">
        <v>10</v>
      </c>
      <c r="J55" s="189">
        <v>0</v>
      </c>
      <c r="K55" s="189">
        <v>0</v>
      </c>
      <c r="L55" s="191">
        <v>100</v>
      </c>
      <c r="M55" s="61"/>
      <c r="N55" s="188" t="s">
        <v>721</v>
      </c>
      <c r="O55" s="189" t="s">
        <v>527</v>
      </c>
      <c r="P55" s="189">
        <v>10</v>
      </c>
      <c r="Q55" s="190">
        <v>1</v>
      </c>
      <c r="R55" s="188" t="s">
        <v>730</v>
      </c>
      <c r="S55" s="189" t="s">
        <v>543</v>
      </c>
      <c r="T55" s="189">
        <v>10</v>
      </c>
      <c r="U55" s="190">
        <v>1</v>
      </c>
      <c r="V55" s="188" t="s">
        <v>751</v>
      </c>
      <c r="W55" s="189" t="s">
        <v>564</v>
      </c>
      <c r="X55" s="189">
        <v>10</v>
      </c>
      <c r="Y55" s="190">
        <v>1</v>
      </c>
    </row>
    <row r="56" spans="3:25" x14ac:dyDescent="0.25">
      <c r="D56" s="188">
        <v>5</v>
      </c>
      <c r="E56" s="189" t="s">
        <v>4</v>
      </c>
      <c r="F56" s="191" t="s">
        <v>126</v>
      </c>
      <c r="G56" s="189">
        <v>100</v>
      </c>
      <c r="H56" s="189">
        <v>5</v>
      </c>
      <c r="I56" s="189">
        <v>10</v>
      </c>
      <c r="J56" s="189">
        <v>0</v>
      </c>
      <c r="K56" s="189">
        <v>0</v>
      </c>
      <c r="L56" s="191">
        <v>100</v>
      </c>
      <c r="M56" s="61"/>
      <c r="N56" s="188" t="s">
        <v>721</v>
      </c>
      <c r="O56" s="189" t="s">
        <v>527</v>
      </c>
      <c r="P56" s="189">
        <v>10</v>
      </c>
      <c r="Q56" s="190">
        <v>1</v>
      </c>
      <c r="R56" s="188" t="s">
        <v>730</v>
      </c>
      <c r="S56" s="189" t="s">
        <v>543</v>
      </c>
      <c r="T56" s="189">
        <v>10</v>
      </c>
      <c r="U56" s="190">
        <v>1</v>
      </c>
      <c r="V56" s="188" t="s">
        <v>751</v>
      </c>
      <c r="W56" s="189" t="s">
        <v>564</v>
      </c>
      <c r="X56" s="189">
        <v>10</v>
      </c>
      <c r="Y56" s="190">
        <v>1</v>
      </c>
    </row>
    <row r="57" spans="3:25" x14ac:dyDescent="0.25">
      <c r="D57" s="188">
        <v>5</v>
      </c>
      <c r="E57" s="189" t="s">
        <v>5</v>
      </c>
      <c r="F57" s="191" t="s">
        <v>240</v>
      </c>
      <c r="G57" s="189">
        <v>100</v>
      </c>
      <c r="H57" s="189">
        <v>5</v>
      </c>
      <c r="I57" s="189">
        <v>10</v>
      </c>
      <c r="J57" s="189">
        <v>0</v>
      </c>
      <c r="K57" s="189">
        <v>0</v>
      </c>
      <c r="L57" s="191">
        <v>100</v>
      </c>
      <c r="M57" s="61"/>
      <c r="N57" s="188" t="s">
        <v>724</v>
      </c>
      <c r="O57" s="189" t="s">
        <v>535</v>
      </c>
      <c r="P57" s="189">
        <v>10</v>
      </c>
      <c r="Q57" s="190">
        <v>1</v>
      </c>
      <c r="R57" s="188" t="s">
        <v>762</v>
      </c>
      <c r="S57" s="189" t="s">
        <v>572</v>
      </c>
      <c r="T57" s="189">
        <v>10</v>
      </c>
      <c r="U57" s="190">
        <v>1</v>
      </c>
      <c r="V57" s="188" t="s">
        <v>646</v>
      </c>
      <c r="W57" s="189" t="s">
        <v>554</v>
      </c>
      <c r="X57" s="189">
        <v>10</v>
      </c>
      <c r="Y57" s="190">
        <v>1</v>
      </c>
    </row>
    <row r="58" spans="3:25" x14ac:dyDescent="0.25">
      <c r="D58" s="192">
        <v>5</v>
      </c>
      <c r="E58" s="193" t="s">
        <v>3</v>
      </c>
      <c r="F58" s="170" t="s">
        <v>1791</v>
      </c>
      <c r="G58" s="193">
        <v>100</v>
      </c>
      <c r="H58" s="193">
        <v>5</v>
      </c>
      <c r="I58" s="193">
        <v>10</v>
      </c>
      <c r="J58" s="193">
        <v>0</v>
      </c>
      <c r="K58" s="193">
        <v>0</v>
      </c>
      <c r="L58" s="170">
        <v>100</v>
      </c>
      <c r="M58" s="61"/>
      <c r="N58" s="192" t="s">
        <v>710</v>
      </c>
      <c r="O58" s="193" t="s">
        <v>766</v>
      </c>
      <c r="P58" s="193"/>
      <c r="Q58" s="194">
        <v>1</v>
      </c>
      <c r="R58" s="192" t="s">
        <v>710</v>
      </c>
      <c r="S58" s="193" t="s">
        <v>769</v>
      </c>
      <c r="T58" s="193"/>
      <c r="U58" s="194">
        <v>1</v>
      </c>
      <c r="V58" s="192" t="s">
        <v>710</v>
      </c>
      <c r="W58" s="193" t="s">
        <v>770</v>
      </c>
      <c r="X58" s="193"/>
      <c r="Y58" s="194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9:J33 P29:P33 T29:T33 X29:X33 J39:J48 P39:P48 T39:T48 X39:X48" xr:uid="{B22891FB-9754-4FD6-8D2A-45B78D32A93E}">
      <formula1>"0,1,2,3,4,5,6,7,8,9,10"</formula1>
    </dataValidation>
    <dataValidation type="list" allowBlank="1" showInputMessage="1" showErrorMessage="1" sqref="O29:O33 S29:S33 W29:W33 O39:O48 S39:S48 W39:W48" xr:uid="{6D9FE268-71E4-48E8-A12F-B3FE8DD99E08}">
      <formula1>DollEq</formula1>
    </dataValidation>
    <dataValidation type="whole" allowBlank="1" showInputMessage="1" showErrorMessage="1" sqref="L29:L33 L39:L48" xr:uid="{2B807D8E-746A-460E-A7EA-1402E240A8D1}">
      <formula1>0</formula1>
      <formula2>200</formula2>
    </dataValidation>
    <dataValidation type="list" allowBlank="1" showInputMessage="1" showErrorMessage="1" sqref="K29:K33 K39:K48" xr:uid="{A1EECA0F-7CEE-427A-8704-616884A297ED}">
      <formula1>"0,1,2,3,4"</formula1>
    </dataValidation>
    <dataValidation type="list" allowBlank="1" showInputMessage="1" showErrorMessage="1" sqref="I29:I33 I39:I48" xr:uid="{00481E2F-F616-4F14-9392-A126A25B7814}">
      <formula1>"1,2,3,4,5,6,7,8,9,10"</formula1>
    </dataValidation>
    <dataValidation type="list" allowBlank="1" showInputMessage="1" showErrorMessage="1" sqref="H29:H33 H39:H48" xr:uid="{F8922C03-8B3E-40B6-B5E3-3EF0FBB27CF7}">
      <formula1>"1,2,3,4,5"</formula1>
    </dataValidation>
    <dataValidation type="whole" allowBlank="1" showInputMessage="1" showErrorMessage="1" sqref="G29:G33 G39:G48" xr:uid="{F298FFBB-208C-48F1-A2AE-EC7483436BD7}">
      <formula1>1</formula1>
      <formula2>120</formula2>
    </dataValidation>
    <dataValidation type="list" allowBlank="1" showInputMessage="1" showErrorMessage="1" sqref="F29:F33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N29:N33 R29:R33 V29:V33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D29:D33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E29:E33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F1" sqref="F1"/>
    </sheetView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Data'!$B:$B,0))</f>
        <v>276</v>
      </c>
      <c r="D2" s="1">
        <f>VLOOKUP(Main!E23,'Exp Tables'!$A$3:$C$122,3,FALSE)</f>
        <v>3263300</v>
      </c>
      <c r="E2" s="1">
        <f>Main!E23</f>
        <v>100</v>
      </c>
      <c r="F2" s="1">
        <f>IF(EchType="SF",2,1)</f>
        <v>1</v>
      </c>
      <c r="G2" s="1">
        <f>Main!I23</f>
        <v>0</v>
      </c>
      <c r="H2" s="1">
        <f>Main!A23</f>
        <v>1</v>
      </c>
      <c r="I2" s="1">
        <f t="array" ref="I2">SUMPRODUCT((Main!$H$30:$J$32=H2)*'Misc Inputs'!$B$3:$D$5)</f>
        <v>8</v>
      </c>
      <c r="J2" s="1">
        <f>'G&amp;K Stat Calc'!AA3*Main!$F23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Main!G23</f>
        <v>10</v>
      </c>
      <c r="R2" s="1">
        <f>Main!H23</f>
        <v>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1000000</v>
      </c>
      <c r="AB2" s="1">
        <f>AA2</f>
        <v>1000000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Data'!$B:$B,0))</f>
        <v>292</v>
      </c>
      <c r="D3" s="1">
        <f>VLOOKUP(Main!E24,'Exp Tables'!$A$3:$C$122,3,FALSE)</f>
        <v>3263300</v>
      </c>
      <c r="E3" s="1">
        <f>Main!E24</f>
        <v>100</v>
      </c>
      <c r="F3" s="1">
        <f>IF(EchType="SF",2,1)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9</v>
      </c>
      <c r="J3" s="1">
        <f>'G&amp;K Stat Calc'!AA4*Main!$F24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Data'!$B:$B,0))</f>
        <v>112</v>
      </c>
      <c r="D4" s="1">
        <f>VLOOKUP(Main!E25,'Exp Tables'!$A$3:$C$122,3,FALSE)</f>
        <v>3263300</v>
      </c>
      <c r="E4" s="1">
        <f>Main!E25</f>
        <v>100</v>
      </c>
      <c r="F4" s="1">
        <f>IF(EchType="SF",2,1)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870</v>
      </c>
      <c r="K4" s="1">
        <v>5</v>
      </c>
      <c r="L4" s="1">
        <v>10</v>
      </c>
      <c r="M4" s="39">
        <f>'G&amp;K Stat Calc'!AB19</f>
        <v>56</v>
      </c>
      <c r="N4" s="39">
        <f>'G&amp;K Stat Calc'!AD19</f>
        <v>31</v>
      </c>
      <c r="O4" s="39">
        <f>'G&amp;K Stat Calc'!AE19</f>
        <v>32</v>
      </c>
      <c r="P4" s="39">
        <f>'G&amp;K Stat Calc'!AC19</f>
        <v>49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>
        <f>INDEX('Doll Data'!$A:$A,MATCH(Main!D26,'Doll Data'!$B:$B,0))</f>
        <v>229</v>
      </c>
      <c r="D5" s="1">
        <f>VLOOKUP(Main!E26,'Exp Tables'!$A$3:$C$122,3,FALSE)</f>
        <v>3263300</v>
      </c>
      <c r="E5" s="1">
        <f>Main!E26</f>
        <v>100</v>
      </c>
      <c r="F5" s="1">
        <f>IF(EchType="SF",2,1)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18</v>
      </c>
      <c r="J5" s="1">
        <f>'G&amp;K Stat Calc'!AA6*Main!$F26</f>
        <v>1320</v>
      </c>
      <c r="K5" s="1">
        <v>5</v>
      </c>
      <c r="L5" s="1">
        <v>10</v>
      </c>
      <c r="M5" s="39">
        <f>'G&amp;K Stat Calc'!AB20</f>
        <v>20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Data'!$B:$B,0))</f>
        <v>1017</v>
      </c>
      <c r="D6" s="1">
        <f>VLOOKUP(Main!E27,'Exp Tables'!$A$3:$C$122,3,FALSE)</f>
        <v>3263300</v>
      </c>
      <c r="E6" s="1">
        <f>Main!E27</f>
        <v>100</v>
      </c>
      <c r="F6" s="1">
        <f>IF(EchType="SF",2,1)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13</v>
      </c>
      <c r="J6" s="1">
        <f>'G&amp;K Stat Calc'!AA7*Main!$F27</f>
        <v>400</v>
      </c>
      <c r="K6" s="1">
        <v>5</v>
      </c>
      <c r="L6" s="1">
        <v>10</v>
      </c>
      <c r="M6" s="39">
        <f>'G&amp;K Stat Calc'!AB21</f>
        <v>20</v>
      </c>
      <c r="N6" s="39">
        <f>'G&amp;K Stat Calc'!AD21</f>
        <v>47</v>
      </c>
      <c r="O6" s="39">
        <f>'G&amp;K Stat Calc'!AE21</f>
        <v>85</v>
      </c>
      <c r="P6" s="39">
        <f>'G&amp;K Stat Calc'!AC21</f>
        <v>19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582</v>
      </c>
      <c r="D1" s="103" t="s">
        <v>583</v>
      </c>
      <c r="E1" s="103" t="s">
        <v>584</v>
      </c>
      <c r="F1" s="103" t="s">
        <v>585</v>
      </c>
      <c r="G1" s="103" t="s">
        <v>37</v>
      </c>
      <c r="H1" s="103" t="s">
        <v>38</v>
      </c>
      <c r="I1" s="103" t="s">
        <v>39</v>
      </c>
      <c r="J1" s="103" t="s">
        <v>317</v>
      </c>
      <c r="K1" s="103" t="s">
        <v>40</v>
      </c>
      <c r="L1" s="103" t="s">
        <v>318</v>
      </c>
      <c r="M1" s="103" t="s">
        <v>319</v>
      </c>
      <c r="N1" s="103" t="s">
        <v>223</v>
      </c>
      <c r="O1" s="103" t="s">
        <v>282</v>
      </c>
      <c r="P1" s="103" t="s">
        <v>320</v>
      </c>
      <c r="Q1" s="103" t="s">
        <v>321</v>
      </c>
      <c r="R1" s="103" t="s">
        <v>322</v>
      </c>
      <c r="S1" s="103" t="s">
        <v>323</v>
      </c>
      <c r="T1" s="103" t="s">
        <v>324</v>
      </c>
      <c r="U1" s="103" t="s">
        <v>586</v>
      </c>
      <c r="V1" s="103" t="s">
        <v>44</v>
      </c>
      <c r="W1" s="103" t="s">
        <v>587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IF(Main!M23="","",ROW()-1)</f>
        <v>1</v>
      </c>
      <c r="B2" s="56">
        <f>Main!$B$9</f>
        <v>562858</v>
      </c>
      <c r="C2" s="56">
        <f>Doll!C2</f>
        <v>276</v>
      </c>
      <c r="D2" s="56">
        <f>INDEX('Equip Data'!$A:$A,MATCH(Main!M23,'Equip Data'!$B:$B,0))</f>
        <v>4</v>
      </c>
      <c r="E2" s="56">
        <f>INDEX('Exp Tables'!$R$3:$V$13,MATCH(F2,'Exp Tables'!$Q$3:$Q$13,0),MATCH(INDEX('Equip Data'!$C:$C,MATCH(Main!M23,'Equip Data'!$B:$B,0)),'Exp Tables'!$R$2:$V$2,0))</f>
        <v>10000</v>
      </c>
      <c r="F2" s="56">
        <f>Main!N23</f>
        <v>10</v>
      </c>
      <c r="G2" s="56">
        <f>IF(INDEX('Equip Data'!F:F,MATCH($D2,'Equip Data'!$A:$A,0))="",0,Main!$O23*10000)</f>
        <v>0</v>
      </c>
      <c r="H2" s="56">
        <f>IF(INDEX('Equip Data'!G:G,MATCH($D2,'Equip Data'!$A:$A,0))="",0,Main!$O23*10000)</f>
        <v>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IF(Main!M24="","",ROW()-1)</f>
        <v>2</v>
      </c>
      <c r="B3" s="56">
        <f>Main!$B$9</f>
        <v>562858</v>
      </c>
      <c r="C3" s="56">
        <f>Doll!C3</f>
        <v>292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IF(Main!M25="","",ROW()-1)</f>
        <v>3</v>
      </c>
      <c r="B4" s="56">
        <f>Main!$B$9</f>
        <v>562858</v>
      </c>
      <c r="C4" s="56">
        <f>Doll!C4</f>
        <v>112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IF(Main!M26="","",ROW()-1)</f>
        <v>4</v>
      </c>
      <c r="B5" s="56">
        <f>Main!$B$9</f>
        <v>562858</v>
      </c>
      <c r="C5" s="56">
        <f>Doll!C5</f>
        <v>229</v>
      </c>
      <c r="D5" s="56">
        <f>INDEX('Equip Data'!$A:$A,MATCH(Main!M26,'Equip Data'!$B:$B,0))</f>
        <v>12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10000</v>
      </c>
      <c r="I5" s="56">
        <f>IF(INDEX('Equip Data'!H:H,MATCH($D5,'Equip Data'!$A:$A,0))="",0,Main!$O26*10000)</f>
        <v>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10000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IF(Main!M27="","",ROW()-1)</f>
        <v>5</v>
      </c>
      <c r="B6" s="57">
        <f>Main!$B$9</f>
        <v>562858</v>
      </c>
      <c r="C6" s="57">
        <f>Doll!C6</f>
        <v>1017</v>
      </c>
      <c r="D6" s="57">
        <f>INDEX('Equip Data'!$A:$A,MATCH(Main!M27,'Equip Data'!$B:$B,0))</f>
        <v>138</v>
      </c>
      <c r="E6" s="57">
        <f>INDEX('Exp Tables'!$R$3:$V$13,MATCH(F6,'Exp Tables'!$Q$3:$Q$13,0),MATCH(INDEX('Equip Data'!$C:$C,MATCH(Main!M27,'Equip Data'!$B:$B,0)),'Exp Tables'!$R$2:$V$2,0))</f>
        <v>0</v>
      </c>
      <c r="F6" s="57">
        <f>Main!N27</f>
        <v>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IF(Main!Q23="","",ROW()-1)</f>
        <v>6</v>
      </c>
      <c r="B7" s="56">
        <f>Main!$B$9</f>
        <v>562858</v>
      </c>
      <c r="C7" s="58">
        <f>C2</f>
        <v>276</v>
      </c>
      <c r="D7" s="56">
        <f>INDEX('Equip Data'!$A:$A,MATCH(Main!Q23,'Equip Data'!$B:$B,0))</f>
        <v>20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10000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IF(Main!Q24="","",ROW()-1)</f>
        <v>7</v>
      </c>
      <c r="B8" s="56">
        <f>Main!$B$9</f>
        <v>562858</v>
      </c>
      <c r="C8" s="58">
        <f t="shared" ref="C8:C16" si="0">C3</f>
        <v>292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IF(Main!Q25="","",ROW()-1)</f>
        <v>8</v>
      </c>
      <c r="B9" s="56">
        <f>Main!$B$9</f>
        <v>562858</v>
      </c>
      <c r="C9" s="58">
        <f t="shared" si="0"/>
        <v>112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IF(Main!Q26="","",ROW()-1)</f>
        <v>9</v>
      </c>
      <c r="B10" s="56">
        <f>Main!$B$9</f>
        <v>562858</v>
      </c>
      <c r="C10" s="58">
        <f t="shared" si="0"/>
        <v>229</v>
      </c>
      <c r="D10" s="56">
        <f>INDEX('Equip Data'!$A:$A,MATCH(Main!Q26,'Equip Data'!$B:$B,0))</f>
        <v>76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10000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IF(Main!Q27="","",ROW()-1)</f>
        <v>10</v>
      </c>
      <c r="B11" s="57">
        <f>Main!$B$9</f>
        <v>562858</v>
      </c>
      <c r="C11" s="59">
        <f t="shared" si="0"/>
        <v>1017</v>
      </c>
      <c r="D11" s="57">
        <f>INDEX('Equip Data'!$A:$A,MATCH(Main!Q27,'Equip Data'!$B:$B,0))</f>
        <v>140</v>
      </c>
      <c r="E11" s="57">
        <f>INDEX('Exp Tables'!$R$3:$V$13,MATCH(F11,'Exp Tables'!$Q$3:$Q$13,0),MATCH(INDEX('Equip Data'!$C:$C,MATCH(Main!Q27,'Equip Data'!$B:$B,0)),'Exp Tables'!$R$2:$V$2,0))</f>
        <v>0</v>
      </c>
      <c r="F11" s="57">
        <f>Main!R27</f>
        <v>0</v>
      </c>
      <c r="G11" s="57">
        <f>IF(INDEX('Equip Data'!F:F,MATCH($D11,'Equip Data'!$A:$A,0))="",0,Main!$S27*10000)</f>
        <v>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10000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IF(Main!U23="","",ROW()-1)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Data'!$A:$A,MATCH(Main!U23,'Equip Data'!$B:$B,0))</f>
        <v>68</v>
      </c>
      <c r="E12" s="56">
        <f>INDEX('Exp Tables'!$R$3:$V$13,MATCH(F12,'Exp Tables'!$Q$3:$Q$13,0),MATCH(INDEX('Equip Data'!$C:$C,MATCH(Main!U23,'Equip Data'!$B:$B,0)),'Exp Tables'!$R$2:$V$2,0))</f>
        <v>10000</v>
      </c>
      <c r="F12" s="56">
        <f>Main!V23</f>
        <v>10</v>
      </c>
      <c r="G12" s="56">
        <f>IF(INDEX('Equip Data'!F:F,MATCH($D12,'Equip Data'!$A:$A,0))="",0,Main!$W23*10000)</f>
        <v>0</v>
      </c>
      <c r="H12" s="56">
        <f>IF(INDEX('Equip Data'!G:G,MATCH($D12,'Equip Data'!$A:$A,0))="",0,Main!$W23*10000)</f>
        <v>0</v>
      </c>
      <c r="I12" s="56">
        <f>IF(INDEX('Equip Data'!H:H,MATCH($D12,'Equip Data'!$A:$A,0))="",0,Main!$W23*10000)</f>
        <v>10000</v>
      </c>
      <c r="J12" s="56">
        <f>IF(INDEX('Equip Data'!I:I,MATCH($D12,'Equip Data'!$A:$A,0))="",0,Main!$W23*10000)</f>
        <v>0</v>
      </c>
      <c r="K12" s="56">
        <f>IF(INDEX('Equip Data'!J:J,MATCH($D12,'Equip Data'!$A:$A,0))="",0,Main!$W23*10000)</f>
        <v>0</v>
      </c>
      <c r="L12" s="56">
        <f>IF(INDEX('Equip Data'!K:K,MATCH($D12,'Equip Data'!$A:$A,0))="",0,Main!$W23*10000)</f>
        <v>0</v>
      </c>
      <c r="M12" s="56">
        <f>IF(INDEX('Equip Data'!L:L,MATCH($D12,'Equip Data'!$A:$A,0))="",0,Main!$W23*10000)</f>
        <v>0</v>
      </c>
      <c r="N12" s="56">
        <f>IF(INDEX('Equip Data'!M:M,MATCH($D12,'Equip Data'!$A:$A,0))="",0,Main!$W23*10000)</f>
        <v>0</v>
      </c>
      <c r="O12" s="56">
        <f>IF(INDEX('Equip Data'!N:N,MATCH($D12,'Equip Data'!$A:$A,0))="",0,Main!$W23*10000)</f>
        <v>0</v>
      </c>
      <c r="P12" s="56">
        <f>IF(INDEX('Equip Data'!O:O,MATCH($D12,'Equip Data'!$A:$A,0))="",0,Main!$W23*10000)</f>
        <v>0</v>
      </c>
      <c r="Q12" s="56">
        <f>IF(INDEX('Equip Data'!P:P,MATCH($D12,'Equip Data'!$A:$A,0))="",0,Main!$W23*10000)</f>
        <v>0</v>
      </c>
      <c r="R12" s="56">
        <f>IF(INDEX('Equip Data'!Q:Q,MATCH($D12,'Equip Data'!$A:$A,0))="",0,Main!$W23*10000)</f>
        <v>0</v>
      </c>
      <c r="S12" s="56">
        <f>IF(INDEX('Equip Data'!R:R,MATCH($D12,'Equip Data'!$A:$A,0))="",0,Main!$W23*10000)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IF(Main!U24="","",ROW()-1)</f>
        <v>12</v>
      </c>
      <c r="B13" s="56">
        <f>Main!$B$9</f>
        <v>562858</v>
      </c>
      <c r="C13" s="58">
        <f t="shared" si="0"/>
        <v>292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IF(Main!U25="","",ROW()-1)</f>
        <v>13</v>
      </c>
      <c r="B14" s="56">
        <f>Main!$B$9</f>
        <v>562858</v>
      </c>
      <c r="C14" s="58">
        <f t="shared" si="0"/>
        <v>112</v>
      </c>
      <c r="D14" s="56">
        <f>INDEX('Equip Data'!$A:$A,MATCH(Main!U25,'Equip Data'!$B:$B,0))</f>
        <v>68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10000</v>
      </c>
      <c r="J14" s="56">
        <f>IF(INDEX('Equip Data'!I:I,MATCH($D14,'Equip Data'!$A:$A,0))="",0,Main!$W25*10000)</f>
        <v>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10000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IF(Main!U26="","",ROW()-1)</f>
        <v>14</v>
      </c>
      <c r="B15" s="56">
        <f>Main!$B$9</f>
        <v>562858</v>
      </c>
      <c r="C15" s="58">
        <f t="shared" si="0"/>
        <v>229</v>
      </c>
      <c r="D15" s="56">
        <f>INDEX('Equip Data'!$A:$A,MATCH(Main!U26,'Equip Data'!$B:$B,0))</f>
        <v>44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10000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IF(Main!U27="","",ROW()-1)</f>
        <v>15</v>
      </c>
      <c r="B16" s="57">
        <f>Main!$B$9</f>
        <v>562858</v>
      </c>
      <c r="C16" s="59">
        <f t="shared" si="0"/>
        <v>1017</v>
      </c>
      <c r="D16" s="57">
        <f>INDEX('Equip Data'!$A:$A,MATCH(Main!U27,'Equip Data'!$B:$B,0))</f>
        <v>144</v>
      </c>
      <c r="E16" s="57">
        <f>INDEX('Exp Tables'!$R$3:$V$13,MATCH(F16,'Exp Tables'!$Q$3:$Q$13,0),MATCH(INDEX('Equip Data'!$C:$C,MATCH(Main!U27,'Equip Data'!$B:$B,0)),'Exp Tables'!$R$2:$V$2,0))</f>
        <v>0</v>
      </c>
      <c r="F16" s="57">
        <f>Main!V27</f>
        <v>0</v>
      </c>
      <c r="G16" s="57">
        <f>IF(INDEX('Equip Data'!F:F,MATCH($D16,'Equip Data'!$A:$A,0))="",0,Main!$W27*10000)</f>
        <v>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633</v>
      </c>
      <c r="D1" s="103" t="s">
        <v>30</v>
      </c>
      <c r="E1" s="103" t="s">
        <v>634</v>
      </c>
      <c r="F1" s="103" t="s">
        <v>635</v>
      </c>
      <c r="G1" s="103" t="s">
        <v>636</v>
      </c>
      <c r="H1" s="103" t="s">
        <v>590</v>
      </c>
      <c r="I1" s="103" t="s">
        <v>637</v>
      </c>
      <c r="J1" s="103" t="s">
        <v>638</v>
      </c>
      <c r="K1" s="103" t="s">
        <v>44</v>
      </c>
      <c r="L1" s="103" t="s">
        <v>583</v>
      </c>
      <c r="M1" s="103" t="s">
        <v>586</v>
      </c>
      <c r="N1" s="103" t="s">
        <v>587</v>
      </c>
      <c r="O1" s="103" t="s">
        <v>639</v>
      </c>
      <c r="P1" s="103" t="s">
        <v>54</v>
      </c>
    </row>
    <row r="2" spans="1:16" x14ac:dyDescent="0.25">
      <c r="A2" s="1">
        <f>IF(Main!B32="","",1)</f>
        <v>1</v>
      </c>
      <c r="B2" s="1">
        <f>Main!B9</f>
        <v>562858</v>
      </c>
      <c r="C2" s="1">
        <f>INDEX('Fairy Data'!$A:$A,MATCH(Main!B32,'Fairy Data'!$B:$B,0))</f>
        <v>3</v>
      </c>
      <c r="D2" s="1">
        <f>IF(EchType="SF",0,1)</f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Data'!$E$2:$I$101,MATCH(A2,'Fairy Data'!$A$2:$A$101,0),MATCH("exp"&amp;G2,'Fairy Data'!$E$1:$I$1,0))</f>
        <v>3000</v>
      </c>
      <c r="I2" s="1">
        <f>Main!E32</f>
        <v>10</v>
      </c>
      <c r="J2" s="1">
        <f>VLOOKUP(Main!F32,'Talent Data'!$A$2:$C$18,2,FALSE)</f>
        <v>910108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887</v>
      </c>
      <c r="C1" s="103" t="s">
        <v>888</v>
      </c>
      <c r="D1" s="103" t="s">
        <v>889</v>
      </c>
      <c r="E1" s="103" t="s">
        <v>222</v>
      </c>
      <c r="F1" s="103" t="s">
        <v>890</v>
      </c>
      <c r="G1" s="103" t="s">
        <v>34</v>
      </c>
      <c r="H1" s="103" t="s">
        <v>891</v>
      </c>
      <c r="I1" s="103" t="s">
        <v>35</v>
      </c>
      <c r="J1" s="103" t="s">
        <v>36</v>
      </c>
      <c r="K1" s="103" t="s">
        <v>892</v>
      </c>
      <c r="L1" s="103" t="s">
        <v>893</v>
      </c>
      <c r="M1" s="103" t="s">
        <v>894</v>
      </c>
      <c r="N1" s="103" t="s">
        <v>895</v>
      </c>
      <c r="O1" s="103" t="s">
        <v>896</v>
      </c>
      <c r="P1" s="103" t="s">
        <v>897</v>
      </c>
      <c r="Q1" s="103" t="s">
        <v>38</v>
      </c>
      <c r="R1" s="103" t="s">
        <v>898</v>
      </c>
      <c r="S1" s="103" t="s">
        <v>41</v>
      </c>
      <c r="T1" s="103" t="s">
        <v>42</v>
      </c>
      <c r="U1" s="103" t="s">
        <v>899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IF(Main!A61="","",1000&amp;Main!B61)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Main!D61-'G&amp;K Stat Calc'!AI10</f>
        <v>372</v>
      </c>
      <c r="L9" s="39">
        <f>Main!G61-'G&amp;K Stat Calc'!AJ10</f>
        <v>221</v>
      </c>
      <c r="M9" s="39">
        <f>Main!F61-'G&amp;K Stat Calc'!AK10</f>
        <v>267</v>
      </c>
      <c r="N9" s="39">
        <f>Main!E61-'G&amp;K Stat Calc'!AL10</f>
        <v>167</v>
      </c>
      <c r="O9" s="39">
        <v>0</v>
      </c>
      <c r="P9" s="39">
        <v>0</v>
      </c>
      <c r="Q9" s="39">
        <v>0</v>
      </c>
      <c r="R9" s="39">
        <v>0</v>
      </c>
      <c r="S9" s="1">
        <f>Main!H61</f>
        <v>10</v>
      </c>
      <c r="T9" s="1">
        <f>Main!I61</f>
        <v>10</v>
      </c>
      <c r="U9" s="1">
        <f>Main!J61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1068</v>
      </c>
      <c r="D1" s="103" t="s">
        <v>1069</v>
      </c>
      <c r="E1" s="103" t="s">
        <v>1070</v>
      </c>
      <c r="F1" s="103" t="s">
        <v>1071</v>
      </c>
      <c r="G1" s="103" t="s">
        <v>1072</v>
      </c>
      <c r="H1" s="103" t="s">
        <v>1073</v>
      </c>
      <c r="I1" s="103" t="s">
        <v>1074</v>
      </c>
      <c r="J1" s="103" t="s">
        <v>1075</v>
      </c>
      <c r="K1" s="103" t="s">
        <v>41</v>
      </c>
      <c r="L1" s="103" t="s">
        <v>42</v>
      </c>
      <c r="M1" s="103" t="s">
        <v>899</v>
      </c>
      <c r="N1" s="103" t="s">
        <v>1017</v>
      </c>
      <c r="O1" s="103" t="s">
        <v>1076</v>
      </c>
      <c r="P1" s="103" t="s">
        <v>1077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1078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IF(Main!C39="","",1&amp;ROW()-1)</f>
        <v>11</v>
      </c>
      <c r="B2" s="1">
        <f t="shared" ref="B2:B15" si="0">UserID</f>
        <v>562858</v>
      </c>
      <c r="C2" s="1">
        <f>INDEX('SF Data'!$A:$A,MATCH(Main!C39,'SF Data'!$B:$B,0))</f>
        <v>1006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f>IF(I2=0,0,1)</f>
        <v>0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IF(OR(Main!M39="",Main!B39&lt;3),0,INDEX('SF Chip Data'!$A:$A,MATCH(Main!M39,'SF Chip Data'!$B:$B,0)))</f>
        <v>1001</v>
      </c>
      <c r="P2" s="1">
        <f>IF(AND(Main!B39=3,Main!F39&gt;=4,Main!N39&lt;&gt;""),INDEX('SF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1263</v>
      </c>
      <c r="V2" s="1">
        <v>0</v>
      </c>
      <c r="W2" s="1">
        <f>IF(Main!H39&gt;100,1,0)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IF(Main!C40="","",1&amp;ROW()-1)</f>
        <v>12</v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f t="shared" ref="J3:J10" si="1">IF(I3=0,0,1)</f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IF(OR(Main!M40="",Main!B40&lt;3),0,INDEX('SF Chip Data'!$A:$A,MATCH(Main!M40,'SF Chip Data'!$B:$B,0)))</f>
        <v>0</v>
      </c>
      <c r="P3" s="1">
        <f>IF(AND(Main!B40=3,Main!F40&gt;=4,Main!N40&lt;&gt;""),INDEX('SF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2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IF(Main!C41="","",1&amp;ROW()-1)</f>
        <v>13</v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f t="shared" si="1"/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IF(OR(Main!M41="",Main!B41&lt;3),0,INDEX('SF Chip Data'!$A:$A,MATCH(Main!M41,'SF Chip Data'!$B:$B,0)))</f>
        <v>0</v>
      </c>
      <c r="P4" s="1">
        <f>IF(AND(Main!B41=3,Main!F41&gt;=4,Main!N41&lt;&gt;""),INDEX('SF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2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IF(Main!C42="","",1&amp;ROW()-1)</f>
        <v>14</v>
      </c>
      <c r="B5" s="1">
        <f t="shared" si="0"/>
        <v>562858</v>
      </c>
      <c r="C5" s="1">
        <f>INDEX('SF Data'!$A:$A,MATCH(Main!C42,'SF Data'!$B:$B,0))</f>
        <v>3004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f t="shared" si="1"/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0</v>
      </c>
      <c r="N5" s="1">
        <f>IF(AND(Main!B42=1,Main!E42&gt;=4),Main!I42,IF(AND(Main!B42=2,Main!E42&gt;=4),Main!J42,IF(AND(Main!B42=3,Main!E42&gt;=4),Main!L42,0)))</f>
        <v>5</v>
      </c>
      <c r="O5" s="1">
        <f>IF(OR(Main!M42="",Main!B42&lt;3),0,INDEX('SF Chip Data'!$A:$A,MATCH(Main!M42,'SF Chip Data'!$B:$B,0)))</f>
        <v>0</v>
      </c>
      <c r="P5" s="1">
        <f>IF(AND(Main!B42=3,Main!F42&gt;=4,Main!N42&lt;&gt;""),INDEX('SF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2"/>
        <v>1000000</v>
      </c>
      <c r="U5" s="1">
        <f>IF(AND(UseSFCustomHP=TRUE,Main!P42&lt;&gt;0),Main!P42,'SF Stat Calc'!X6)</f>
        <v>598</v>
      </c>
      <c r="V5" s="1">
        <v>0</v>
      </c>
      <c r="W5" s="1">
        <f>IF(Main!H42&gt;100,1,0)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IF(Main!C43="","",1&amp;ROW()-1)</f>
        <v/>
      </c>
      <c r="B6" s="1">
        <f t="shared" si="0"/>
        <v>562858</v>
      </c>
      <c r="C6" s="1" t="e">
        <f>INDEX('SF Data'!$A:$A,MATCH(Main!C43,'SF Data'!$B:$B,0))</f>
        <v>#N/A</v>
      </c>
      <c r="D6" s="1" t="e">
        <f>VLOOKUP(E6,'Exp Tables'!$M$3:$O$102,3,FALSE)</f>
        <v>#N/A</v>
      </c>
      <c r="E6" s="1">
        <f>Main!D43</f>
        <v>0</v>
      </c>
      <c r="F6" s="1">
        <f>MAX(Main!B43,Main!E43)</f>
        <v>0</v>
      </c>
      <c r="G6" s="1">
        <f>Main!F43</f>
        <v>0</v>
      </c>
      <c r="H6" s="1">
        <v>100</v>
      </c>
      <c r="I6" s="1">
        <f>IF(Main!G43="XL",5,IF(Main!G43="L",4,IF(Main!G43="M",3,IF(Main!G43="S",2,IF(Main!G43="XS",1,0)))))</f>
        <v>0</v>
      </c>
      <c r="J6" s="1">
        <f t="shared" si="1"/>
        <v>0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0</v>
      </c>
      <c r="N6" s="1">
        <f>IF(AND(Main!B43=1,Main!E43&gt;=4),Main!I43,IF(AND(Main!B43=2,Main!E43&gt;=4),Main!J43,IF(AND(Main!B43=3,Main!E43&gt;=4),Main!L43,0)))</f>
        <v>0</v>
      </c>
      <c r="O6" s="1">
        <f>IF(OR(Main!M43="",Main!B43&lt;3),0,INDEX('SF Chip Data'!$A:$A,MATCH(Main!M43,'SF Chip Data'!$B:$B,0)))</f>
        <v>0</v>
      </c>
      <c r="P6" s="1">
        <f>IF(AND(Main!B43=3,Main!F43&gt;=4,Main!N43&lt;&gt;""),INDEX('SF Chip Data'!$A:$A,MATCH(Main!N43,'SF Chip Data'!$B:$B,0)),0)</f>
        <v>0</v>
      </c>
      <c r="Q6" s="1">
        <v>0</v>
      </c>
      <c r="R6" s="1">
        <f>Main!H43*10000</f>
        <v>0</v>
      </c>
      <c r="S6" s="1">
        <f>IF(Main!H43&lt;=100,1000000,1500000)</f>
        <v>1000000</v>
      </c>
      <c r="T6" s="1">
        <f t="shared" si="2"/>
        <v>1000000</v>
      </c>
      <c r="U6" s="1" t="e">
        <f>IF(AND(UseSFCustomHP=TRUE,Main!P43&lt;&gt;0),Main!P43,'SF Stat Calc'!X7)</f>
        <v>#N/A</v>
      </c>
      <c r="V6" s="1">
        <v>0</v>
      </c>
      <c r="W6" s="1">
        <f>IF(Main!H43&gt;100,1,0)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IF(Main!C44="","",1&amp;ROW()-1)</f>
        <v/>
      </c>
      <c r="B7" s="1">
        <f t="shared" si="0"/>
        <v>562858</v>
      </c>
      <c r="C7" s="1" t="e">
        <f>INDEX('SF Data'!$A:$A,MATCH(Main!C44,'SF Data'!$B:$B,0))</f>
        <v>#N/A</v>
      </c>
      <c r="D7" s="1" t="e">
        <f>VLOOKUP(E7,'Exp Tables'!$M$3:$O$102,3,FALSE)</f>
        <v>#N/A</v>
      </c>
      <c r="E7" s="1">
        <f>Main!D44</f>
        <v>0</v>
      </c>
      <c r="F7" s="1">
        <f>MAX(Main!B44,Main!E44)</f>
        <v>0</v>
      </c>
      <c r="G7" s="1">
        <f>Main!F44</f>
        <v>0</v>
      </c>
      <c r="H7" s="1">
        <v>100</v>
      </c>
      <c r="I7" s="1">
        <f>IF(Main!G44="XL",5,IF(Main!G44="L",4,IF(Main!G44="M",3,IF(Main!G44="S",2,IF(Main!G44="XS",1,0)))))</f>
        <v>0</v>
      </c>
      <c r="J7" s="1">
        <f t="shared" si="1"/>
        <v>0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0</v>
      </c>
      <c r="N7" s="1">
        <f>IF(AND(Main!B44=1,Main!E44&gt;=4),Main!I44,IF(AND(Main!B44=2,Main!E44&gt;=4),Main!J44,IF(AND(Main!B44=3,Main!E44&gt;=4),Main!L44,0)))</f>
        <v>0</v>
      </c>
      <c r="O7" s="1">
        <f>IF(OR(Main!M44="",Main!B44&lt;3),0,INDEX('SF Chip Data'!$A:$A,MATCH(Main!M44,'SF Chip Data'!$B:$B,0)))</f>
        <v>0</v>
      </c>
      <c r="P7" s="1">
        <f>IF(AND(Main!B44=3,Main!F44&gt;=4,Main!N44&lt;&gt;""),INDEX('SF Chip Data'!$A:$A,MATCH(Main!N44,'SF Chip Data'!$B:$B,0)),0)</f>
        <v>0</v>
      </c>
      <c r="Q7" s="1">
        <v>0</v>
      </c>
      <c r="R7" s="1">
        <f>Main!H44*10000</f>
        <v>0</v>
      </c>
      <c r="S7" s="1">
        <f>IF(Main!H44&lt;=100,1000000,1500000)</f>
        <v>1000000</v>
      </c>
      <c r="T7" s="1">
        <f t="shared" si="2"/>
        <v>1000000</v>
      </c>
      <c r="U7" s="1" t="e">
        <f>IF(AND(UseSFCustomHP=TRUE,Main!P44&lt;&gt;0),Main!P44,'SF Stat Calc'!X8)</f>
        <v>#N/A</v>
      </c>
      <c r="V7" s="1">
        <v>0</v>
      </c>
      <c r="W7" s="1">
        <f>IF(Main!H44&gt;100,1,0)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IF(Main!C45="","",1&amp;ROW()-1)</f>
        <v/>
      </c>
      <c r="B8" s="1">
        <f t="shared" si="0"/>
        <v>562858</v>
      </c>
      <c r="C8" s="1" t="e">
        <f>INDEX('SF Data'!$A:$A,MATCH(Main!C45,'SF Data'!$B:$B,0))</f>
        <v>#N/A</v>
      </c>
      <c r="D8" s="1" t="e">
        <f>VLOOKUP(E8,'Exp Tables'!$M$3:$O$102,3,FALSE)</f>
        <v>#N/A</v>
      </c>
      <c r="E8" s="1">
        <f>Main!D45</f>
        <v>0</v>
      </c>
      <c r="F8" s="1">
        <f>MAX(Main!B45,Main!E45)</f>
        <v>0</v>
      </c>
      <c r="G8" s="1">
        <f>Main!F45</f>
        <v>0</v>
      </c>
      <c r="H8" s="1">
        <v>100</v>
      </c>
      <c r="I8" s="1">
        <f>IF(Main!G45="XL",5,IF(Main!G45="L",4,IF(Main!G45="M",3,IF(Main!G45="S",2,IF(Main!G45="XS",1,0)))))</f>
        <v>0</v>
      </c>
      <c r="J8" s="1">
        <f t="shared" si="1"/>
        <v>0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0</v>
      </c>
      <c r="N8" s="1">
        <f>IF(AND(Main!B45=1,Main!E45&gt;=4),Main!I45,IF(AND(Main!B45=2,Main!E45&gt;=4),Main!J45,IF(AND(Main!B45=3,Main!E45&gt;=4),Main!L45,0)))</f>
        <v>0</v>
      </c>
      <c r="O8" s="1">
        <f>IF(OR(Main!M45="",Main!B45&lt;3),0,INDEX('SF Chip Data'!$A:$A,MATCH(Main!M45,'SF Chip Data'!$B:$B,0)))</f>
        <v>0</v>
      </c>
      <c r="P8" s="1">
        <f>IF(AND(Main!B45=3,Main!F45&gt;=4,Main!N45&lt;&gt;""),INDEX('SF Chip Data'!$A:$A,MATCH(Main!N45,'SF Chip Data'!$B:$B,0)),0)</f>
        <v>0</v>
      </c>
      <c r="Q8" s="1">
        <v>0</v>
      </c>
      <c r="R8" s="1">
        <f>Main!H45*10000</f>
        <v>0</v>
      </c>
      <c r="S8" s="1">
        <f>IF(Main!H45&lt;=100,1000000,1500000)</f>
        <v>1000000</v>
      </c>
      <c r="T8" s="1">
        <f t="shared" si="2"/>
        <v>1000000</v>
      </c>
      <c r="U8" s="1" t="e">
        <f>IF(AND(UseSFCustomHP=TRUE,Main!P45&lt;&gt;0),Main!P45,'SF Stat Calc'!X9)</f>
        <v>#N/A</v>
      </c>
      <c r="V8" s="1">
        <v>0</v>
      </c>
      <c r="W8" s="1">
        <f>IF(Main!H45&gt;100,1,0)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IF(Main!C46="","",1&amp;ROW()-1)</f>
        <v/>
      </c>
      <c r="B9" s="1">
        <f t="shared" si="0"/>
        <v>562858</v>
      </c>
      <c r="C9" s="1" t="e">
        <f>INDEX('SF Data'!$A:$A,MATCH(Main!C46,'SF Data'!$B:$B,0))</f>
        <v>#N/A</v>
      </c>
      <c r="D9" s="1" t="e">
        <f>VLOOKUP(E9,'Exp Tables'!$M$3:$O$102,3,FALSE)</f>
        <v>#N/A</v>
      </c>
      <c r="E9" s="1">
        <f>Main!D46</f>
        <v>0</v>
      </c>
      <c r="F9" s="1">
        <f>MAX(Main!B46,Main!E46)</f>
        <v>0</v>
      </c>
      <c r="G9" s="1">
        <f>Main!F46</f>
        <v>0</v>
      </c>
      <c r="H9" s="1">
        <v>100</v>
      </c>
      <c r="I9" s="1">
        <f>IF(Main!G46="XL",5,IF(Main!G46="L",4,IF(Main!G46="M",3,IF(Main!G46="S",2,IF(Main!G46="XS",1,0)))))</f>
        <v>0</v>
      </c>
      <c r="J9" s="1">
        <f t="shared" si="1"/>
        <v>0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0</v>
      </c>
      <c r="N9" s="1">
        <f>IF(AND(Main!B46=1,Main!E46&gt;=4),Main!I46,IF(AND(Main!B46=2,Main!E46&gt;=4),Main!J46,IF(AND(Main!B46=3,Main!E46&gt;=4),Main!L46,0)))</f>
        <v>0</v>
      </c>
      <c r="O9" s="1">
        <f>IF(OR(Main!M46="",Main!B46&lt;3),0,INDEX('SF Chip Data'!$A:$A,MATCH(Main!M46,'SF Chip Data'!$B:$B,0)))</f>
        <v>0</v>
      </c>
      <c r="P9" s="1">
        <f>IF(AND(Main!B46=3,Main!F46&gt;=4,Main!N46&lt;&gt;""),INDEX('SF Chip Data'!$A:$A,MATCH(Main!N46,'SF Chip Data'!$B:$B,0)),0)</f>
        <v>0</v>
      </c>
      <c r="Q9" s="1">
        <v>0</v>
      </c>
      <c r="R9" s="1">
        <f>Main!H46*10000</f>
        <v>0</v>
      </c>
      <c r="S9" s="1">
        <f>IF(Main!H46&lt;=100,1000000,1500000)</f>
        <v>1000000</v>
      </c>
      <c r="T9" s="1">
        <f t="shared" si="2"/>
        <v>1000000</v>
      </c>
      <c r="U9" s="1" t="e">
        <f>IF(AND(UseSFCustomHP=TRUE,Main!P46&lt;&gt;0),Main!P46,'SF Stat Calc'!X10)</f>
        <v>#N/A</v>
      </c>
      <c r="V9" s="1">
        <v>0</v>
      </c>
      <c r="W9" s="1">
        <f>IF(Main!H46&gt;100,1,0)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7" t="str">
        <f>IF(Main!C47="","",1&amp;ROW()-1)</f>
        <v/>
      </c>
      <c r="B10" s="57">
        <f t="shared" si="0"/>
        <v>562858</v>
      </c>
      <c r="C10" s="57" t="e">
        <f>INDEX('SF Data'!$A:$A,MATCH(Main!C47,'SF Data'!$B:$B,0))</f>
        <v>#N/A</v>
      </c>
      <c r="D10" s="57" t="e">
        <f>VLOOKUP(E10,'Exp Tables'!$M$3:$O$102,3,FALSE)</f>
        <v>#N/A</v>
      </c>
      <c r="E10" s="57">
        <f>Main!D47</f>
        <v>0</v>
      </c>
      <c r="F10" s="57">
        <f>MAX(Main!B47,Main!E47)</f>
        <v>0</v>
      </c>
      <c r="G10" s="57">
        <f>Main!F47</f>
        <v>0</v>
      </c>
      <c r="H10" s="57">
        <v>100</v>
      </c>
      <c r="I10" s="57">
        <f>IF(Main!G47="XL",5,IF(Main!G47="L",4,IF(Main!G47="M",3,IF(Main!G47="S",2,IF(Main!G47="XS",1,0)))))</f>
        <v>0</v>
      </c>
      <c r="J10" s="57">
        <f t="shared" si="1"/>
        <v>0</v>
      </c>
      <c r="K10" s="57">
        <f>IF(Main!B47=3,Main!I47,0)</f>
        <v>0</v>
      </c>
      <c r="L10" s="57">
        <f>IF(Main!B47=3,Main!J47,0)</f>
        <v>0</v>
      </c>
      <c r="M10" s="57">
        <f>IF(Main!B47=2,Main!I47,IF(Main!B47=3,Main!K47,0))</f>
        <v>0</v>
      </c>
      <c r="N10" s="57">
        <f>IF(AND(Main!B47=1,Main!E47&gt;=4),Main!I47,IF(AND(Main!B47=2,Main!E47&gt;=4),Main!J47,IF(AND(Main!B47=3,Main!E47&gt;=4),Main!L47,0)))</f>
        <v>0</v>
      </c>
      <c r="O10" s="57">
        <f>IF(OR(Main!M47="",Main!B47&lt;3),0,INDEX('SF Chip Data'!$A:$A,MATCH(Main!M47,'SF Chip Data'!$B:$B,0)))</f>
        <v>0</v>
      </c>
      <c r="P10" s="57">
        <f>IF(AND(Main!B47=3,Main!F47&gt;=4,Main!N47&lt;&gt;""),INDEX('SF Chip Data'!$A:$A,MATCH(Main!N47,'SF Chip Data'!$B:$B,0)),0)</f>
        <v>0</v>
      </c>
      <c r="Q10" s="57">
        <v>0</v>
      </c>
      <c r="R10" s="57">
        <f>Main!H47*10000</f>
        <v>0</v>
      </c>
      <c r="S10" s="57">
        <f>IF(Main!H47&lt;=100,1000000,1500000)</f>
        <v>1000000</v>
      </c>
      <c r="T10" s="57">
        <f t="shared" si="2"/>
        <v>1000000</v>
      </c>
      <c r="U10" s="57" t="e">
        <f>IF(AND(UseSFCustomHP=TRUE,Main!P47&lt;&gt;0),Main!P47,'SF Stat Calc'!X11)</f>
        <v>#N/A</v>
      </c>
      <c r="V10" s="57">
        <v>0</v>
      </c>
      <c r="W10" s="57">
        <f>IF(Main!H47&gt;100,1,0)</f>
        <v>0</v>
      </c>
      <c r="X10" s="57">
        <v>0</v>
      </c>
      <c r="Y10" s="57">
        <v>0</v>
      </c>
      <c r="Z10" s="57">
        <v>0</v>
      </c>
      <c r="AA10" s="57">
        <v>1</v>
      </c>
    </row>
    <row r="11" spans="1:27" x14ac:dyDescent="0.25">
      <c r="A11" s="56" t="str">
        <f>IF(Main!A66="X",2&amp;Main!B66,"")</f>
        <v/>
      </c>
      <c r="B11" s="56">
        <f t="shared" si="0"/>
        <v>562858</v>
      </c>
      <c r="C11" s="56">
        <f>INDEX('SF Data'!$A:$A,MATCH(Main!C66,'SF Data'!$B:$B,0))</f>
        <v>1006</v>
      </c>
      <c r="D11" s="56">
        <f>VLOOKUP(E11,'Exp Tables'!$M$3:$O$102,3,FALSE)</f>
        <v>3255500</v>
      </c>
      <c r="E11" s="56">
        <f>Main!D66</f>
        <v>100</v>
      </c>
      <c r="F11" s="56">
        <f>Main!E66</f>
        <v>5</v>
      </c>
      <c r="G11" s="56">
        <f>Main!F66</f>
        <v>4</v>
      </c>
      <c r="H11" s="56">
        <v>100</v>
      </c>
      <c r="I11" s="56">
        <v>0</v>
      </c>
      <c r="J11" s="56">
        <v>0</v>
      </c>
      <c r="K11" s="56">
        <f>Main!H66</f>
        <v>10</v>
      </c>
      <c r="L11" s="56">
        <f>Main!I66</f>
        <v>10</v>
      </c>
      <c r="M11" s="56">
        <f>Main!J66</f>
        <v>5</v>
      </c>
      <c r="N11" s="56">
        <f>IF(Main!E66&gt;=4,Main!K66,0)</f>
        <v>5</v>
      </c>
      <c r="O11" s="56">
        <f>IF(Main!L66="",0,INDEX('SF Chip Data'!$A:$A,MATCH(Main!L66,'SF Chip Data'!$B:$B,0)))</f>
        <v>0</v>
      </c>
      <c r="P11" s="56">
        <f>IF(AND(Main!E66&gt;=4,Main!M66&lt;&gt;""),INDEX('SF Chip Data'!$A:$A,MATCH(Main!M66,'SF Chip Data'!$B:$B,0)),0)</f>
        <v>0</v>
      </c>
      <c r="Q11" s="56">
        <v>0</v>
      </c>
      <c r="R11" s="56">
        <f>Main!G66*10000</f>
        <v>1000000</v>
      </c>
      <c r="S11" s="56">
        <f>IF(Main!G66&lt;=100,1000000,1500000)</f>
        <v>1000000</v>
      </c>
      <c r="T11" s="56">
        <f t="shared" ref="T11:T15" si="3">S11</f>
        <v>1000000</v>
      </c>
      <c r="U11" s="56">
        <f>'SF Stat Calc'!X12</f>
        <v>1263</v>
      </c>
      <c r="V11" s="56">
        <v>0</v>
      </c>
      <c r="W11" s="56">
        <f>IF(Main!G66&gt;100,1,0)</f>
        <v>0</v>
      </c>
      <c r="X11" s="56">
        <v>0</v>
      </c>
      <c r="Y11" s="56">
        <v>0</v>
      </c>
      <c r="Z11" s="56">
        <v>0</v>
      </c>
      <c r="AA11" s="56">
        <v>1</v>
      </c>
    </row>
    <row r="12" spans="1:27" x14ac:dyDescent="0.25">
      <c r="A12" s="56" t="str">
        <f>IF(Main!A67="X",2&amp;Main!B67,"")</f>
        <v/>
      </c>
      <c r="B12" s="56">
        <f t="shared" si="0"/>
        <v>562858</v>
      </c>
      <c r="C12" s="56">
        <f>INDEX('SF Data'!$A:$A,MATCH(Main!C67,'SF Data'!$B:$B,0))</f>
        <v>1005</v>
      </c>
      <c r="D12" s="56">
        <f>VLOOKUP(E12,'Exp Tables'!$M$3:$O$102,3,FALSE)</f>
        <v>3255500</v>
      </c>
      <c r="E12" s="56">
        <f>Main!D67</f>
        <v>100</v>
      </c>
      <c r="F12" s="56">
        <f>Main!E67</f>
        <v>5</v>
      </c>
      <c r="G12" s="56">
        <f>Main!F67</f>
        <v>4</v>
      </c>
      <c r="H12" s="56">
        <v>100</v>
      </c>
      <c r="I12" s="56">
        <v>0</v>
      </c>
      <c r="J12" s="56">
        <v>0</v>
      </c>
      <c r="K12" s="56">
        <f>Main!H67</f>
        <v>10</v>
      </c>
      <c r="L12" s="56">
        <f>Main!I67</f>
        <v>10</v>
      </c>
      <c r="M12" s="56">
        <f>Main!J67</f>
        <v>5</v>
      </c>
      <c r="N12" s="56">
        <f>IF(Main!E67&gt;=4,Main!K67,0)</f>
        <v>5</v>
      </c>
      <c r="O12" s="56">
        <f>IF(Main!L67="",0,INDEX('SF Chip Data'!$A:$A,MATCH(Main!L67,'SF Chip Data'!$B:$B,0)))</f>
        <v>0</v>
      </c>
      <c r="P12" s="56">
        <f>IF(AND(Main!E67&gt;=4,Main!M67&lt;&gt;""),INDEX('SF Chip Data'!$A:$A,MATCH(Main!M67,'SF Chip Data'!$B:$B,0)),0)</f>
        <v>0</v>
      </c>
      <c r="Q12" s="56">
        <v>0</v>
      </c>
      <c r="R12" s="56">
        <f>Main!G67*10000</f>
        <v>1000000</v>
      </c>
      <c r="S12" s="56">
        <f>IF(Main!G67&lt;=100,1000000,1500000)</f>
        <v>1000000</v>
      </c>
      <c r="T12" s="56">
        <f t="shared" si="3"/>
        <v>1000000</v>
      </c>
      <c r="U12" s="56">
        <f>'SF Stat Calc'!X13</f>
        <v>1263</v>
      </c>
      <c r="V12" s="56">
        <v>0</v>
      </c>
      <c r="W12" s="56">
        <f>IF(Main!G67&gt;100,1,0)</f>
        <v>0</v>
      </c>
      <c r="X12" s="56">
        <v>0</v>
      </c>
      <c r="Y12" s="56">
        <v>0</v>
      </c>
      <c r="Z12" s="56">
        <v>0</v>
      </c>
      <c r="AA12" s="56">
        <v>1</v>
      </c>
    </row>
    <row r="13" spans="1:27" x14ac:dyDescent="0.25">
      <c r="A13" s="56" t="str">
        <f>IF(Main!A68="X",2&amp;Main!B68,"")</f>
        <v/>
      </c>
      <c r="B13" s="56">
        <f t="shared" si="0"/>
        <v>562858</v>
      </c>
      <c r="C13" s="56">
        <f>INDEX('SF Data'!$A:$A,MATCH(Main!C68,'SF Data'!$B:$B,0))</f>
        <v>1009</v>
      </c>
      <c r="D13" s="56">
        <f>VLOOKUP(E13,'Exp Tables'!$M$3:$O$102,3,FALSE)</f>
        <v>3255500</v>
      </c>
      <c r="E13" s="56">
        <f>Main!D68</f>
        <v>100</v>
      </c>
      <c r="F13" s="56">
        <f>Main!E68</f>
        <v>5</v>
      </c>
      <c r="G13" s="56">
        <f>Main!F68</f>
        <v>4</v>
      </c>
      <c r="H13" s="56">
        <v>100</v>
      </c>
      <c r="I13" s="56">
        <v>0</v>
      </c>
      <c r="J13" s="56">
        <v>0</v>
      </c>
      <c r="K13" s="56">
        <f>Main!H68</f>
        <v>10</v>
      </c>
      <c r="L13" s="56">
        <f>Main!I68</f>
        <v>10</v>
      </c>
      <c r="M13" s="56">
        <f>Main!J68</f>
        <v>5</v>
      </c>
      <c r="N13" s="56">
        <f>IF(Main!E68&gt;=4,Main!K68,0)</f>
        <v>5</v>
      </c>
      <c r="O13" s="56">
        <f>IF(Main!L68="",0,INDEX('SF Chip Data'!$A:$A,MATCH(Main!L68,'SF Chip Data'!$B:$B,0)))</f>
        <v>0</v>
      </c>
      <c r="P13" s="56">
        <f>IF(AND(Main!E68&gt;=4,Main!M68&lt;&gt;""),INDEX('SF Chip Data'!$A:$A,MATCH(Main!M68,'SF Chip Data'!$B:$B,0)),0)</f>
        <v>0</v>
      </c>
      <c r="Q13" s="56">
        <v>0</v>
      </c>
      <c r="R13" s="56">
        <f>Main!G68*10000</f>
        <v>1000000</v>
      </c>
      <c r="S13" s="56">
        <f>IF(Main!G68&lt;=100,1000000,1500000)</f>
        <v>1000000</v>
      </c>
      <c r="T13" s="56">
        <f t="shared" si="3"/>
        <v>1000000</v>
      </c>
      <c r="U13" s="56">
        <f>'SF Stat Calc'!X14</f>
        <v>1091</v>
      </c>
      <c r="V13" s="56">
        <v>0</v>
      </c>
      <c r="W13" s="56">
        <f>IF(Main!G68&gt;100,1,0)</f>
        <v>0</v>
      </c>
      <c r="X13" s="56">
        <v>0</v>
      </c>
      <c r="Y13" s="56">
        <v>0</v>
      </c>
      <c r="Z13" s="56">
        <v>0</v>
      </c>
      <c r="AA13" s="56">
        <v>1</v>
      </c>
    </row>
    <row r="14" spans="1:27" x14ac:dyDescent="0.25">
      <c r="A14" s="56" t="str">
        <f>IF(Main!A69="X",2&amp;Main!B69,"")</f>
        <v/>
      </c>
      <c r="B14" s="56">
        <f t="shared" si="0"/>
        <v>562858</v>
      </c>
      <c r="C14" s="56">
        <f>INDEX('SF Data'!$A:$A,MATCH(Main!C69,'SF Data'!$B:$B,0))</f>
        <v>1014</v>
      </c>
      <c r="D14" s="56">
        <f>VLOOKUP(E14,'Exp Tables'!$M$3:$O$102,3,FALSE)</f>
        <v>3255500</v>
      </c>
      <c r="E14" s="56">
        <f>Main!D69</f>
        <v>100</v>
      </c>
      <c r="F14" s="56">
        <f>Main!E69</f>
        <v>5</v>
      </c>
      <c r="G14" s="56">
        <f>Main!F69</f>
        <v>4</v>
      </c>
      <c r="H14" s="56">
        <v>100</v>
      </c>
      <c r="I14" s="56">
        <v>0</v>
      </c>
      <c r="J14" s="56">
        <v>0</v>
      </c>
      <c r="K14" s="56">
        <f>Main!H69</f>
        <v>10</v>
      </c>
      <c r="L14" s="56">
        <f>Main!I69</f>
        <v>10</v>
      </c>
      <c r="M14" s="56">
        <f>Main!J69</f>
        <v>5</v>
      </c>
      <c r="N14" s="56">
        <f>IF(Main!E69&gt;=4,Main!K69,0)</f>
        <v>5</v>
      </c>
      <c r="O14" s="56">
        <f>IF(Main!L69="",0,INDEX('SF Chip Data'!$A:$A,MATCH(Main!L69,'SF Chip Data'!$B:$B,0)))</f>
        <v>0</v>
      </c>
      <c r="P14" s="56">
        <f>IF(AND(Main!E69&gt;=4,Main!M69&lt;&gt;""),INDEX('SF Chip Data'!$A:$A,MATCH(Main!M69,'SF Chip Data'!$B:$B,0)),0)</f>
        <v>0</v>
      </c>
      <c r="Q14" s="56">
        <v>0</v>
      </c>
      <c r="R14" s="56">
        <f>Main!G69*10000</f>
        <v>1000000</v>
      </c>
      <c r="S14" s="56">
        <f>IF(Main!G69&lt;=100,1000000,1500000)</f>
        <v>1000000</v>
      </c>
      <c r="T14" s="56">
        <f t="shared" si="3"/>
        <v>1000000</v>
      </c>
      <c r="U14" s="56">
        <f>'SF Stat Calc'!X15</f>
        <v>1205</v>
      </c>
      <c r="V14" s="56">
        <v>0</v>
      </c>
      <c r="W14" s="56">
        <f>IF(Main!G69&gt;100,1,0)</f>
        <v>0</v>
      </c>
      <c r="X14" s="56">
        <v>0</v>
      </c>
      <c r="Y14" s="56">
        <v>0</v>
      </c>
      <c r="Z14" s="56">
        <v>0</v>
      </c>
      <c r="AA14" s="56">
        <v>1</v>
      </c>
    </row>
    <row r="15" spans="1:27" x14ac:dyDescent="0.25">
      <c r="A15" s="56" t="str">
        <f>IF(Main!A70="X",2&amp;Main!B70,"")</f>
        <v/>
      </c>
      <c r="B15" s="56">
        <f t="shared" si="0"/>
        <v>562858</v>
      </c>
      <c r="C15" s="56">
        <f>INDEX('SF Data'!$A:$A,MATCH(Main!C70,'SF Data'!$B:$B,0))</f>
        <v>1013</v>
      </c>
      <c r="D15" s="56">
        <f>VLOOKUP(E15,'Exp Tables'!$M$3:$O$102,3,FALSE)</f>
        <v>3255500</v>
      </c>
      <c r="E15" s="56">
        <f>Main!D70</f>
        <v>100</v>
      </c>
      <c r="F15" s="56">
        <f>Main!E70</f>
        <v>5</v>
      </c>
      <c r="G15" s="56">
        <f>Main!F70</f>
        <v>4</v>
      </c>
      <c r="H15" s="56">
        <v>100</v>
      </c>
      <c r="I15" s="56">
        <v>0</v>
      </c>
      <c r="J15" s="56">
        <v>0</v>
      </c>
      <c r="K15" s="56">
        <f>Main!H70</f>
        <v>10</v>
      </c>
      <c r="L15" s="56">
        <f>Main!I70</f>
        <v>10</v>
      </c>
      <c r="M15" s="56">
        <f>Main!J70</f>
        <v>5</v>
      </c>
      <c r="N15" s="56">
        <f>IF(Main!E70&gt;=4,Main!K70,0)</f>
        <v>5</v>
      </c>
      <c r="O15" s="56">
        <f>IF(Main!L70="",0,INDEX('SF Chip Data'!$A:$A,MATCH(Main!L70,'SF Chip Data'!$B:$B,0)))</f>
        <v>0</v>
      </c>
      <c r="P15" s="56">
        <f>IF(AND(Main!E70&gt;=4,Main!M70&lt;&gt;""),INDEX('SF Chip Data'!$A:$A,MATCH(Main!M70,'SF Chip Data'!$B:$B,0)),0)</f>
        <v>0</v>
      </c>
      <c r="Q15" s="56">
        <v>0</v>
      </c>
      <c r="R15" s="56">
        <f>Main!G70*10000</f>
        <v>1000000</v>
      </c>
      <c r="S15" s="56">
        <f>IF(Main!G70&lt;=100,1000000,1500000)</f>
        <v>1000000</v>
      </c>
      <c r="T15" s="56">
        <f t="shared" si="3"/>
        <v>1000000</v>
      </c>
      <c r="U15" s="56">
        <f>'SF Stat Calc'!X16</f>
        <v>1033</v>
      </c>
      <c r="V15" s="56">
        <v>0</v>
      </c>
      <c r="W15" s="56">
        <f>IF(Main!G70&gt;100,1,0)</f>
        <v>0</v>
      </c>
      <c r="X15" s="56">
        <v>0</v>
      </c>
      <c r="Y15" s="56">
        <v>0</v>
      </c>
      <c r="Z15" s="56">
        <v>0</v>
      </c>
      <c r="AA15" s="5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>
      <selection activeCell="B2" sqref="B2"/>
    </sheetView>
  </sheetViews>
  <sheetFormatPr defaultRowHeight="15" x14ac:dyDescent="0.25"/>
  <sheetData>
    <row r="1" spans="1:5" x14ac:dyDescent="0.25">
      <c r="A1" s="103" t="s">
        <v>26</v>
      </c>
      <c r="B1" s="103" t="s">
        <v>1157</v>
      </c>
      <c r="C1" s="103" t="s">
        <v>1063</v>
      </c>
      <c r="D1" s="103" t="s">
        <v>1158</v>
      </c>
      <c r="E1" s="103" t="s">
        <v>1159</v>
      </c>
    </row>
    <row r="2" spans="1:5" x14ac:dyDescent="0.25">
      <c r="A2" s="56">
        <f t="shared" ref="A2:A29" si="0">IF(B2="","",UserID)</f>
        <v>562858</v>
      </c>
      <c r="B2" s="56">
        <f>IFERROR(INDEX('SF Chip Data'!A:A,MATCH(Main!M39,'SF Chip Data'!B:B,0)),"")</f>
        <v>1001</v>
      </c>
      <c r="C2" s="56">
        <v>0</v>
      </c>
      <c r="D2" s="56" t="str">
        <f>SF!A2</f>
        <v>11</v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>12</v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>13</v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>14</v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>
        <f t="shared" si="0"/>
        <v>562858</v>
      </c>
      <c r="B11" s="1">
        <f>IFERROR(INDEX('SF Chip Data'!A:A,MATCH(Main!N39,'SF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7" t="str">
        <f t="shared" si="0"/>
        <v/>
      </c>
      <c r="B19" s="57" t="str">
        <f>IFERROR(INDEX('SF Chip Data'!A:A,MATCH(Main!N47,'SF Chip Data'!B:B,0)),"")</f>
        <v/>
      </c>
      <c r="C19" s="57">
        <v>0</v>
      </c>
      <c r="D19" s="57" t="str">
        <f t="shared" si="1"/>
        <v/>
      </c>
      <c r="E19" s="57">
        <v>2</v>
      </c>
    </row>
    <row r="20" spans="1:5" x14ac:dyDescent="0.25">
      <c r="A20" s="1" t="str">
        <f t="shared" si="0"/>
        <v/>
      </c>
      <c r="B20" s="235" t="str">
        <f>IFERROR(INDEX('SF Chip Data'!A:A,MATCH(Main!L66,'SF Chip Data'!B:B,0)),"")</f>
        <v/>
      </c>
      <c r="C20" s="1">
        <v>0</v>
      </c>
      <c r="D20" s="235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6" t="str">
        <f>IFERROR(INDEX('SF Chip Data'!A:A,MATCH(Main!L67,'SF Chip Data'!B:B,0)),"")</f>
        <v/>
      </c>
      <c r="C21" s="1">
        <v>0</v>
      </c>
      <c r="D21" s="56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6" t="str">
        <f>IFERROR(INDEX('SF Chip Data'!A:A,MATCH(Main!L68,'SF Chip Data'!B:B,0)),"")</f>
        <v/>
      </c>
      <c r="C22" s="1">
        <v>0</v>
      </c>
      <c r="D22" s="56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6" t="str">
        <f>IFERROR(INDEX('SF Chip Data'!A:A,MATCH(Main!L69,'SF Chip Data'!B:B,0)),"")</f>
        <v/>
      </c>
      <c r="C23" s="1">
        <v>0</v>
      </c>
      <c r="D23" s="56" t="str">
        <f>SF!A14</f>
        <v/>
      </c>
      <c r="E23" s="1">
        <v>1</v>
      </c>
    </row>
    <row r="24" spans="1:5" x14ac:dyDescent="0.25">
      <c r="A24" s="57" t="str">
        <f t="shared" si="0"/>
        <v/>
      </c>
      <c r="B24" s="57" t="str">
        <f>IFERROR(INDEX('SF Chip Data'!A:A,MATCH(Main!L70,'SF Chip Data'!B:B,0)),"")</f>
        <v/>
      </c>
      <c r="C24" s="57">
        <v>0</v>
      </c>
      <c r="D24" s="57" t="str">
        <f>SF!A15</f>
        <v/>
      </c>
      <c r="E24" s="57">
        <v>1</v>
      </c>
    </row>
    <row r="25" spans="1:5" x14ac:dyDescent="0.25">
      <c r="A25" s="235" t="str">
        <f t="shared" si="0"/>
        <v/>
      </c>
      <c r="B25" s="235" t="str">
        <f>IFERROR(INDEX('SF Chip Data'!A:A,MATCH(Main!M66,'SF Chip Data'!B:B,0)),"")</f>
        <v/>
      </c>
      <c r="C25" s="235">
        <v>0</v>
      </c>
      <c r="D25" s="235" t="str">
        <f>D20</f>
        <v/>
      </c>
      <c r="E25" s="235">
        <v>2</v>
      </c>
    </row>
    <row r="26" spans="1:5" x14ac:dyDescent="0.25">
      <c r="A26" s="56" t="str">
        <f t="shared" si="0"/>
        <v/>
      </c>
      <c r="B26" s="56" t="str">
        <f>IFERROR(INDEX('SF Chip Data'!A:A,MATCH(Main!M67,'SF Chip Data'!B:B,0)),"")</f>
        <v/>
      </c>
      <c r="C26" s="56">
        <v>0</v>
      </c>
      <c r="D26" s="56" t="str">
        <f t="shared" ref="D26:D29" si="2">D21</f>
        <v/>
      </c>
      <c r="E26" s="56">
        <v>2</v>
      </c>
    </row>
    <row r="27" spans="1:5" x14ac:dyDescent="0.25">
      <c r="A27" s="56" t="str">
        <f t="shared" si="0"/>
        <v/>
      </c>
      <c r="B27" s="56" t="str">
        <f>IFERROR(INDEX('SF Chip Data'!A:A,MATCH(Main!M68,'SF Chip Data'!B:B,0)),"")</f>
        <v/>
      </c>
      <c r="C27" s="56">
        <v>0</v>
      </c>
      <c r="D27" s="56" t="str">
        <f t="shared" si="2"/>
        <v/>
      </c>
      <c r="E27" s="56">
        <v>2</v>
      </c>
    </row>
    <row r="28" spans="1:5" x14ac:dyDescent="0.25">
      <c r="A28" s="56" t="str">
        <f t="shared" si="0"/>
        <v/>
      </c>
      <c r="B28" s="56" t="str">
        <f>IFERROR(INDEX('SF Chip Data'!A:A,MATCH(Main!M69,'SF Chip Data'!B:B,0)),"")</f>
        <v/>
      </c>
      <c r="C28" s="56">
        <v>0</v>
      </c>
      <c r="D28" s="56" t="str">
        <f t="shared" si="2"/>
        <v/>
      </c>
      <c r="E28" s="56">
        <v>2</v>
      </c>
    </row>
    <row r="29" spans="1:5" x14ac:dyDescent="0.25">
      <c r="A29" s="57" t="str">
        <f t="shared" si="0"/>
        <v/>
      </c>
      <c r="B29" s="57" t="str">
        <f>IFERROR(INDEX('SF Chip Data'!A:A,MATCH(Main!M70,'SF Chip Data'!B:B,0)),"")</f>
        <v/>
      </c>
      <c r="C29" s="57">
        <v>0</v>
      </c>
      <c r="D29" s="57" t="str">
        <f t="shared" si="2"/>
        <v/>
      </c>
      <c r="E29" s="57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1079</v>
      </c>
      <c r="D1" s="103" t="s">
        <v>30</v>
      </c>
      <c r="E1" s="103" t="s">
        <v>35</v>
      </c>
      <c r="F1" s="103" t="s">
        <v>36</v>
      </c>
      <c r="G1" s="103" t="s">
        <v>1080</v>
      </c>
      <c r="J1" s="158" t="s">
        <v>1158</v>
      </c>
      <c r="K1" s="158" t="s">
        <v>33</v>
      </c>
    </row>
    <row r="2" spans="1:11" x14ac:dyDescent="0.25">
      <c r="A2" s="236">
        <v>2</v>
      </c>
      <c r="B2" s="236">
        <f t="shared" ref="B2:B7" si="0">UserID</f>
        <v>562858</v>
      </c>
      <c r="C2" s="236">
        <f>A2</f>
        <v>2</v>
      </c>
      <c r="D2" s="236">
        <f>IF(EchType="SF",1,2)</f>
        <v>2</v>
      </c>
      <c r="E2" s="236">
        <v>10</v>
      </c>
      <c r="F2" s="236">
        <v>10</v>
      </c>
      <c r="G2" s="236" t="s">
        <v>1160</v>
      </c>
      <c r="J2" s="1" t="str">
        <f>IF(SF!A2="",0,1&amp;ROW()-1)</f>
        <v>11</v>
      </c>
      <c r="K2" s="1">
        <f t="array" ref="K2">IF(J2=0,0,SUMPRODUCT((Main!$R$40:$T$42=RIGHT(J2,1)*1)*'Misc Inputs'!$B$3:$D$5))</f>
        <v>13</v>
      </c>
    </row>
    <row r="3" spans="1:11" x14ac:dyDescent="0.25">
      <c r="A3" s="56" t="str">
        <f>IF(Main!A66="X",ROW(),"")</f>
        <v/>
      </c>
      <c r="B3" s="56">
        <f t="shared" si="0"/>
        <v>562858</v>
      </c>
      <c r="C3" s="56" t="str">
        <f t="shared" ref="C3:C7" si="1">A3</f>
        <v/>
      </c>
      <c r="D3" s="56" t="str">
        <f>A3</f>
        <v/>
      </c>
      <c r="E3" s="56">
        <v>10</v>
      </c>
      <c r="F3" s="56">
        <v>10</v>
      </c>
      <c r="G3" s="56" t="s">
        <v>1160</v>
      </c>
      <c r="J3" s="1" t="str">
        <f>IF(SF!A3="",0,1&amp;ROW()-1)</f>
        <v>12</v>
      </c>
      <c r="K3" s="1">
        <f t="array" ref="K3">IF(J3=0,0,SUMPRODUCT((Main!$R$40:$T$42=RIGHT(J3,1)*1)*'Misc Inputs'!$B$3:$D$5))</f>
        <v>9</v>
      </c>
    </row>
    <row r="4" spans="1:11" x14ac:dyDescent="0.25">
      <c r="A4" s="56" t="str">
        <f>IF(Main!A67="X",ROW(),"")</f>
        <v/>
      </c>
      <c r="B4" s="56">
        <f t="shared" si="0"/>
        <v>562858</v>
      </c>
      <c r="C4" s="56" t="str">
        <f t="shared" si="1"/>
        <v/>
      </c>
      <c r="D4" s="56" t="str">
        <f t="shared" ref="D4:D7" si="2">A4</f>
        <v/>
      </c>
      <c r="E4" s="56">
        <v>10</v>
      </c>
      <c r="F4" s="56">
        <v>10</v>
      </c>
      <c r="G4" s="56" t="s">
        <v>1160</v>
      </c>
      <c r="J4" s="1" t="str">
        <f>IF(SF!A4="",0,1&amp;ROW()-1)</f>
        <v>13</v>
      </c>
      <c r="K4" s="1">
        <f t="array" ref="K4">IF(J4=0,0,SUMPRODUCT((Main!$R$40:$T$42=RIGHT(J4,1)*1)*'Misc Inputs'!$B$3:$D$5))</f>
        <v>7</v>
      </c>
    </row>
    <row r="5" spans="1:11" x14ac:dyDescent="0.25">
      <c r="A5" s="56" t="str">
        <f>IF(Main!A68="X",ROW(),"")</f>
        <v/>
      </c>
      <c r="B5" s="56">
        <f t="shared" si="0"/>
        <v>562858</v>
      </c>
      <c r="C5" s="56" t="str">
        <f t="shared" si="1"/>
        <v/>
      </c>
      <c r="D5" s="56" t="str">
        <f t="shared" si="2"/>
        <v/>
      </c>
      <c r="E5" s="56">
        <v>10</v>
      </c>
      <c r="F5" s="56">
        <v>10</v>
      </c>
      <c r="G5" s="56" t="s">
        <v>1160</v>
      </c>
      <c r="J5" s="1" t="str">
        <f>IF(SF!A5="",0,1&amp;ROW()-1)</f>
        <v>14</v>
      </c>
      <c r="K5" s="1">
        <f t="array" ref="K5">IF(J5=0,0,SUMPRODUCT((Main!$R$40:$T$42=RIGHT(J5,1)*1)*'Misc Inputs'!$B$3:$D$5))</f>
        <v>8</v>
      </c>
    </row>
    <row r="6" spans="1:11" x14ac:dyDescent="0.25">
      <c r="A6" s="56" t="str">
        <f>IF(Main!A69="X",ROW(),"")</f>
        <v/>
      </c>
      <c r="B6" s="56">
        <f t="shared" si="0"/>
        <v>562858</v>
      </c>
      <c r="C6" s="56" t="str">
        <f t="shared" si="1"/>
        <v/>
      </c>
      <c r="D6" s="56" t="str">
        <f t="shared" si="2"/>
        <v/>
      </c>
      <c r="E6" s="56">
        <v>10</v>
      </c>
      <c r="F6" s="56">
        <v>10</v>
      </c>
      <c r="G6" s="56" t="s">
        <v>1160</v>
      </c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 t="str">
        <f>IF(Main!A70="X",ROW(),"")</f>
        <v/>
      </c>
      <c r="B7" s="56">
        <f t="shared" si="0"/>
        <v>562858</v>
      </c>
      <c r="C7" s="56" t="str">
        <f t="shared" si="1"/>
        <v/>
      </c>
      <c r="D7" s="56" t="str">
        <f t="shared" si="2"/>
        <v/>
      </c>
      <c r="E7" s="56">
        <v>10</v>
      </c>
      <c r="F7" s="56">
        <v>10</v>
      </c>
      <c r="G7" s="56" t="s">
        <v>1160</v>
      </c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56">
        <f>IF(SF!A10="",0,1&amp;ROW()-1)</f>
        <v>0</v>
      </c>
      <c r="K10" s="56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  <c r="J11" s="235">
        <f>IF(SF!A11="",0,SF!A11)</f>
        <v>0</v>
      </c>
      <c r="K11" s="235">
        <v>8</v>
      </c>
    </row>
    <row r="12" spans="1:11" x14ac:dyDescent="0.25">
      <c r="A12" s="56"/>
      <c r="B12" s="56"/>
      <c r="C12" s="56"/>
      <c r="D12" s="56"/>
      <c r="E12" s="56"/>
      <c r="F12" s="56"/>
      <c r="G12" s="56"/>
      <c r="J12" s="56">
        <f>IF(SF!A12="",0,SF!A12)</f>
        <v>0</v>
      </c>
      <c r="K12" s="56">
        <v>8</v>
      </c>
    </row>
    <row r="13" spans="1:11" x14ac:dyDescent="0.25">
      <c r="A13" s="56"/>
      <c r="B13" s="56"/>
      <c r="C13" s="56"/>
      <c r="D13" s="56"/>
      <c r="E13" s="56"/>
      <c r="F13" s="56"/>
      <c r="G13" s="56"/>
      <c r="J13" s="56">
        <f>IF(SF!A13="",0,SF!A13)</f>
        <v>0</v>
      </c>
      <c r="K13" s="56">
        <v>8</v>
      </c>
    </row>
    <row r="14" spans="1:11" x14ac:dyDescent="0.25">
      <c r="A14" s="56"/>
      <c r="B14" s="56"/>
      <c r="C14" s="56"/>
      <c r="D14" s="56"/>
      <c r="E14" s="56"/>
      <c r="F14" s="56"/>
      <c r="G14" s="56"/>
      <c r="J14" s="56">
        <f>IF(SF!A14="",0,SF!A14)</f>
        <v>0</v>
      </c>
      <c r="K14" s="56">
        <v>8</v>
      </c>
    </row>
    <row r="15" spans="1:11" x14ac:dyDescent="0.25">
      <c r="A15" s="56"/>
      <c r="B15" s="56"/>
      <c r="C15" s="56"/>
      <c r="D15" s="56"/>
      <c r="E15" s="56"/>
      <c r="F15" s="56"/>
      <c r="G15" s="56"/>
      <c r="J15" s="57">
        <f>IF(SF!A15="",0,SF!A15)</f>
        <v>0</v>
      </c>
      <c r="K15" s="57">
        <v>8</v>
      </c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788</v>
      </c>
      <c r="B2" s="1">
        <f>IF(DayNight="Day",25,25)</f>
        <v>25</v>
      </c>
      <c r="C2" s="9" t="str">
        <f>IF(Main!A80="X",'Misc Inputs'!$C$22,IF(Main!A81="X",'Misc Inputs'!$C$28,'Misc Inputs'!$C$20))</f>
        <v>"fairy_skill_on_enemy": "[]",</v>
      </c>
    </row>
    <row r="3" spans="1:3" x14ac:dyDescent="0.25">
      <c r="A3" t="s">
        <v>787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1872</v>
      </c>
      <c r="B1" s="43" t="s">
        <v>786</v>
      </c>
      <c r="C1" s="102" t="s">
        <v>1905</v>
      </c>
      <c r="D1" s="43" t="s">
        <v>790</v>
      </c>
      <c r="E1" s="43" t="s">
        <v>1904</v>
      </c>
      <c r="F1" s="105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1873</v>
      </c>
      <c r="E2" s="1">
        <f>SUMPRODUCT('SF Team'!$D$3:$D$7,--(Main!$A$66:$A$70="X"),--(Main!$N$66:$N$70=A2))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1873</v>
      </c>
      <c r="E3" s="1">
        <f>SUMPRODUCT('SF Team'!$D$3:$D$7,--(Main!$A$66:$A$70="X"),--(Main!$N$66:$N$70=A3))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1873</v>
      </c>
      <c r="E4" s="1">
        <f>SUMPRODUCT('SF Team'!$D$3:$D$7,--(Main!$A$66:$A$70="X"),--(Main!$N$66:$N$70=A4))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1873</v>
      </c>
      <c r="E5" s="1">
        <f>SUMPRODUCT('SF Team'!$D$3:$D$7,--(Main!$A$66:$A$70="X"),--(Main!$N$66:$N$70=A5))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1873</v>
      </c>
      <c r="E6" s="1">
        <f>SUMPRODUCT('SF Team'!$D$3:$D$7,--(Main!$A$66:$A$70="X"),--(Main!$N$66:$N$70=A6))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1873</v>
      </c>
      <c r="E7" s="1">
        <f>SUMPRODUCT('SF Team'!$D$3:$D$7,--(Main!$A$66:$A$70="X"),--(Main!$N$66:$N$70=A7))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1873</v>
      </c>
      <c r="E8" s="1">
        <f>SUMPRODUCT('SF Team'!$D$3:$D$7,--(Main!$A$66:$A$70="X"),--(Main!$N$66:$N$70=A8))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1873</v>
      </c>
      <c r="E9" s="1">
        <f>SUMPRODUCT('SF Team'!$D$3:$D$7,--(Main!$A$66:$A$70="X"),--(Main!$N$66:$N$70=A9))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1872</v>
      </c>
      <c r="B1" s="43" t="s">
        <v>786</v>
      </c>
      <c r="C1" s="102" t="s">
        <v>1905</v>
      </c>
      <c r="D1" s="43" t="s">
        <v>790</v>
      </c>
      <c r="E1" s="43" t="s">
        <v>1904</v>
      </c>
      <c r="F1" s="105"/>
      <c r="M1" s="1"/>
      <c r="T1" s="105"/>
    </row>
    <row r="2" spans="1:20" x14ac:dyDescent="0.25">
      <c r="A2" s="1" t="s">
        <v>1874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1873</v>
      </c>
      <c r="E2" s="1">
        <f>SUMPRODUCT('SF Team'!$D$3:$D$7,--(Main!$A$66:$A$70="X"),--(Main!$N$66:$N$70=A2))</f>
        <v>0</v>
      </c>
      <c r="F2" s="1"/>
      <c r="M2" s="1"/>
    </row>
    <row r="3" spans="1:20" x14ac:dyDescent="0.25">
      <c r="A3" s="1" t="s">
        <v>1875</v>
      </c>
      <c r="B3" s="1">
        <v>31</v>
      </c>
      <c r="C3" s="9" t="str">
        <f t="shared" si="0"/>
        <v>"sangvis_team_id": "0",</v>
      </c>
      <c r="D3" s="1" t="s">
        <v>1873</v>
      </c>
      <c r="E3" s="1">
        <f>SUMPRODUCT('SF Team'!$D$3:$D$7,--(Main!$A$66:$A$70="X"),--(Main!$N$66:$N$70=A3))</f>
        <v>0</v>
      </c>
      <c r="F3" s="1"/>
      <c r="M3" s="1"/>
    </row>
    <row r="4" spans="1:20" x14ac:dyDescent="0.25">
      <c r="A4" s="1" t="s">
        <v>1876</v>
      </c>
      <c r="B4" s="1">
        <v>53</v>
      </c>
      <c r="C4" s="9" t="str">
        <f t="shared" si="0"/>
        <v>"sangvis_team_id": "0",</v>
      </c>
      <c r="D4" s="1" t="s">
        <v>1873</v>
      </c>
      <c r="E4" s="1">
        <f>SUMPRODUCT('SF Team'!$D$3:$D$7,--(Main!$A$66:$A$70="X"),--(Main!$N$66:$N$70=A4))</f>
        <v>0</v>
      </c>
      <c r="F4" s="1"/>
      <c r="M4" s="1"/>
    </row>
    <row r="5" spans="1:20" x14ac:dyDescent="0.25">
      <c r="A5" s="1" t="s">
        <v>1877</v>
      </c>
      <c r="B5" s="1">
        <v>75</v>
      </c>
      <c r="C5" s="9" t="str">
        <f t="shared" si="0"/>
        <v>"sangvis_team_id": "0",</v>
      </c>
      <c r="D5" s="1" t="s">
        <v>1873</v>
      </c>
      <c r="E5" s="1">
        <f>SUMPRODUCT('SF Team'!$D$3:$D$7,--(Main!$A$66:$A$70="X"),--(Main!$N$66:$N$70=A5))</f>
        <v>0</v>
      </c>
      <c r="F5" s="1"/>
      <c r="M5" s="1"/>
    </row>
    <row r="6" spans="1:20" x14ac:dyDescent="0.25">
      <c r="A6" s="1" t="s">
        <v>1878</v>
      </c>
      <c r="B6" s="1">
        <v>97</v>
      </c>
      <c r="C6" s="9" t="str">
        <f t="shared" si="0"/>
        <v>"sangvis_team_id": "0",</v>
      </c>
      <c r="D6" s="1" t="s">
        <v>1873</v>
      </c>
      <c r="E6" s="1">
        <f>SUMPRODUCT('SF Team'!$D$3:$D$7,--(Main!$A$66:$A$70="X"),--(Main!$N$66:$N$70=A6))</f>
        <v>0</v>
      </c>
      <c r="F6" s="1"/>
      <c r="M6" s="1"/>
    </row>
    <row r="7" spans="1:20" x14ac:dyDescent="0.25">
      <c r="A7" s="1" t="s">
        <v>1879</v>
      </c>
      <c r="B7" s="1">
        <v>119</v>
      </c>
      <c r="C7" s="9" t="str">
        <f t="shared" si="0"/>
        <v>"sangvis_team_id": "0",</v>
      </c>
      <c r="D7" s="1" t="s">
        <v>1873</v>
      </c>
      <c r="E7" s="1">
        <f>SUMPRODUCT('SF Team'!$D$3:$D$7,--(Main!$A$66:$A$70="X"),--(Main!$N$66:$N$70=A7))</f>
        <v>0</v>
      </c>
      <c r="F7" s="1"/>
      <c r="M7" s="1"/>
    </row>
    <row r="8" spans="1:20" x14ac:dyDescent="0.25">
      <c r="A8" s="1" t="s">
        <v>1880</v>
      </c>
      <c r="B8" s="1">
        <v>146</v>
      </c>
      <c r="C8" s="9" t="str">
        <f t="shared" si="0"/>
        <v>"sangvis_team_id": "0",</v>
      </c>
      <c r="D8" s="1" t="s">
        <v>1873</v>
      </c>
      <c r="E8" s="1">
        <f>SUMPRODUCT('SF Team'!$D$3:$D$7,--(Main!$A$66:$A$70="X"),--(Main!$N$66:$N$70=A8))</f>
        <v>0</v>
      </c>
      <c r="F8" s="1"/>
      <c r="M8" s="1"/>
    </row>
    <row r="9" spans="1:20" x14ac:dyDescent="0.25">
      <c r="A9" s="1" t="s">
        <v>1881</v>
      </c>
      <c r="B9" s="1">
        <v>163</v>
      </c>
      <c r="C9" s="9" t="str">
        <f t="shared" si="0"/>
        <v>"sangvis_team_id": "0",</v>
      </c>
      <c r="D9" s="1" t="s">
        <v>1873</v>
      </c>
      <c r="E9" s="1">
        <f>SUMPRODUCT('SF Team'!$D$3:$D$7,--(Main!$A$66:$A$70="X"),--(Main!$N$66:$N$70=A9))</f>
        <v>0</v>
      </c>
      <c r="F9" s="1"/>
      <c r="M9" s="1"/>
    </row>
    <row r="10" spans="1:20" x14ac:dyDescent="0.25">
      <c r="A10" s="1" t="s">
        <v>1882</v>
      </c>
      <c r="B10" s="1">
        <v>185</v>
      </c>
      <c r="C10" s="9" t="str">
        <f t="shared" si="0"/>
        <v>"sangvis_team_id": "0",</v>
      </c>
      <c r="D10" s="1" t="s">
        <v>1873</v>
      </c>
      <c r="E10" s="1">
        <f>SUMPRODUCT('SF Team'!$D$3:$D$7,--(Main!$A$66:$A$70="X"),--(Main!$N$66:$N$70=A10))</f>
        <v>0</v>
      </c>
      <c r="F10" s="1"/>
    </row>
    <row r="11" spans="1:20" x14ac:dyDescent="0.25">
      <c r="A11" s="1" t="s">
        <v>1883</v>
      </c>
      <c r="B11" s="1">
        <v>207</v>
      </c>
      <c r="C11" s="9" t="str">
        <f t="shared" si="0"/>
        <v>"sangvis_team_id": "0",</v>
      </c>
      <c r="D11" s="1" t="s">
        <v>1873</v>
      </c>
      <c r="E11" s="1">
        <f>SUMPRODUCT('SF Team'!$D$3:$D$7,--(Main!$A$66:$A$70="X"),--(Main!$N$66:$N$70=A11))</f>
        <v>0</v>
      </c>
      <c r="F11" s="1"/>
    </row>
    <row r="12" spans="1:20" x14ac:dyDescent="0.25">
      <c r="A12" s="1" t="s">
        <v>1884</v>
      </c>
      <c r="B12" s="1">
        <v>234</v>
      </c>
      <c r="C12" s="9" t="str">
        <f t="shared" si="0"/>
        <v>"sangvis_team_id": "0",</v>
      </c>
      <c r="D12" s="1" t="s">
        <v>1873</v>
      </c>
      <c r="E12" s="1">
        <f>SUMPRODUCT('SF Team'!$D$3:$D$7,--(Main!$A$66:$A$70="X"),--(Main!$N$66:$N$70=A12))</f>
        <v>0</v>
      </c>
      <c r="F12" s="1"/>
    </row>
    <row r="13" spans="1:20" x14ac:dyDescent="0.25">
      <c r="A13" s="1" t="s">
        <v>1885</v>
      </c>
      <c r="B13" s="1">
        <v>251</v>
      </c>
      <c r="C13" s="9" t="str">
        <f t="shared" si="0"/>
        <v>"sangvis_team_id": "0",</v>
      </c>
      <c r="D13" s="1" t="s">
        <v>1873</v>
      </c>
      <c r="E13" s="1">
        <f>SUMPRODUCT('SF Team'!$D$3:$D$7,--(Main!$A$66:$A$70="X"),--(Main!$N$66:$N$70=A13))</f>
        <v>0</v>
      </c>
      <c r="F13" s="1"/>
    </row>
    <row r="14" spans="1:20" x14ac:dyDescent="0.25">
      <c r="A14" s="1" t="s">
        <v>1886</v>
      </c>
      <c r="B14" s="1">
        <v>273</v>
      </c>
      <c r="C14" s="9" t="str">
        <f t="shared" si="0"/>
        <v>"sangvis_team_id": "0",</v>
      </c>
      <c r="D14" s="1" t="s">
        <v>1873</v>
      </c>
      <c r="E14" s="1">
        <f>SUMPRODUCT('SF Team'!$D$3:$D$7,--(Main!$A$66:$A$70="X"),--(Main!$N$66:$N$70=A14))</f>
        <v>0</v>
      </c>
      <c r="F14" s="1"/>
    </row>
    <row r="15" spans="1:20" x14ac:dyDescent="0.25">
      <c r="A15" s="1" t="s">
        <v>1887</v>
      </c>
      <c r="B15" s="1">
        <v>295</v>
      </c>
      <c r="C15" s="9" t="str">
        <f t="shared" si="0"/>
        <v>"sangvis_team_id": "0",</v>
      </c>
      <c r="D15" s="1" t="s">
        <v>1873</v>
      </c>
      <c r="E15" s="1">
        <f>SUMPRODUCT('SF Team'!$D$3:$D$7,--(Main!$A$66:$A$70="X"),--(Main!$N$66:$N$70=A15))</f>
        <v>0</v>
      </c>
      <c r="F15" s="1"/>
    </row>
    <row r="16" spans="1:20" x14ac:dyDescent="0.25">
      <c r="A16" s="1" t="s">
        <v>1888</v>
      </c>
      <c r="B16" s="1">
        <v>317</v>
      </c>
      <c r="C16" s="9" t="str">
        <f t="shared" si="0"/>
        <v>"sangvis_team_id": "0",</v>
      </c>
      <c r="D16" s="1" t="s">
        <v>1873</v>
      </c>
      <c r="E16" s="1">
        <f>SUMPRODUCT('SF Team'!$D$3:$D$7,--(Main!$A$66:$A$70="X"),--(Main!$N$66:$N$70=A16))</f>
        <v>0</v>
      </c>
      <c r="F16" s="1"/>
    </row>
    <row r="17" spans="1:6" x14ac:dyDescent="0.25">
      <c r="A17" s="1" t="s">
        <v>1889</v>
      </c>
      <c r="B17" s="1">
        <v>339</v>
      </c>
      <c r="C17" s="9" t="str">
        <f t="shared" si="0"/>
        <v>"sangvis_team_id": "0",</v>
      </c>
      <c r="D17" s="1" t="s">
        <v>1873</v>
      </c>
      <c r="E17" s="1">
        <f>SUMPRODUCT('SF Team'!$D$3:$D$7,--(Main!$A$66:$A$70="X"),--(Main!$N$66:$N$70=A17))</f>
        <v>0</v>
      </c>
      <c r="F17" s="1"/>
    </row>
    <row r="18" spans="1:6" x14ac:dyDescent="0.25">
      <c r="A18" s="1" t="s">
        <v>1890</v>
      </c>
      <c r="B18" s="1">
        <v>366</v>
      </c>
      <c r="C18" s="9" t="str">
        <f t="shared" si="0"/>
        <v>"sangvis_team_id": "0",</v>
      </c>
      <c r="D18" s="1" t="s">
        <v>1873</v>
      </c>
      <c r="E18" s="1">
        <f>SUMPRODUCT('SF Team'!$D$3:$D$7,--(Main!$A$66:$A$70="X"),--(Main!$N$66:$N$70=A18))</f>
        <v>0</v>
      </c>
      <c r="F18" s="1"/>
    </row>
    <row r="19" spans="1:6" x14ac:dyDescent="0.25">
      <c r="A19" s="1" t="s">
        <v>1891</v>
      </c>
      <c r="B19" s="1">
        <v>383</v>
      </c>
      <c r="C19" s="9" t="str">
        <f t="shared" si="0"/>
        <v>"sangvis_team_id": "0",</v>
      </c>
      <c r="D19" s="1" t="s">
        <v>1873</v>
      </c>
      <c r="E19" s="1">
        <f>SUMPRODUCT('SF Team'!$D$3:$D$7,--(Main!$A$66:$A$70="X"),--(Main!$N$66:$N$70=A19))</f>
        <v>0</v>
      </c>
      <c r="F19" s="1"/>
    </row>
    <row r="20" spans="1:6" x14ac:dyDescent="0.25">
      <c r="A20" s="1" t="s">
        <v>1892</v>
      </c>
      <c r="B20" s="1">
        <v>405</v>
      </c>
      <c r="C20" s="9" t="str">
        <f t="shared" si="0"/>
        <v>"sangvis_team_id": "0",</v>
      </c>
      <c r="D20" s="1" t="s">
        <v>1873</v>
      </c>
      <c r="E20" s="1">
        <f>SUMPRODUCT('SF Team'!$D$3:$D$7,--(Main!$A$66:$A$70="X"),--(Main!$N$66:$N$70=A20))</f>
        <v>0</v>
      </c>
      <c r="F20" s="1"/>
    </row>
    <row r="21" spans="1:6" x14ac:dyDescent="0.25">
      <c r="A21" s="1" t="s">
        <v>1893</v>
      </c>
      <c r="B21" s="1">
        <v>432</v>
      </c>
      <c r="C21" s="9" t="str">
        <f t="shared" si="0"/>
        <v>"sangvis_team_id": "0",</v>
      </c>
      <c r="D21" s="1" t="s">
        <v>1873</v>
      </c>
      <c r="E21" s="1">
        <f>SUMPRODUCT('SF Team'!$D$3:$D$7,--(Main!$A$66:$A$70="X"),--(Main!$N$66:$N$70=A21))</f>
        <v>0</v>
      </c>
      <c r="F21" s="1"/>
    </row>
    <row r="22" spans="1:6" x14ac:dyDescent="0.25">
      <c r="A22" s="1" t="s">
        <v>1894</v>
      </c>
      <c r="B22" s="1">
        <v>454</v>
      </c>
      <c r="C22" s="9" t="str">
        <f t="shared" si="0"/>
        <v>"sangvis_team_id": "0",</v>
      </c>
      <c r="D22" s="1" t="s">
        <v>1873</v>
      </c>
      <c r="E22" s="1">
        <f>SUMPRODUCT('SF Team'!$D$3:$D$7,--(Main!$A$66:$A$70="X"),--(Main!$N$66:$N$70=A22))</f>
        <v>0</v>
      </c>
      <c r="F22" s="1"/>
    </row>
    <row r="23" spans="1:6" x14ac:dyDescent="0.25">
      <c r="A23" s="1" t="s">
        <v>1895</v>
      </c>
      <c r="B23" s="1">
        <v>471</v>
      </c>
      <c r="C23" s="9" t="str">
        <f t="shared" si="0"/>
        <v>"sangvis_team_id": "0",</v>
      </c>
      <c r="D23" s="1" t="s">
        <v>1873</v>
      </c>
      <c r="E23" s="1">
        <f>SUMPRODUCT('SF Team'!$D$3:$D$7,--(Main!$A$66:$A$70="X"),--(Main!$N$66:$N$70=A23))</f>
        <v>0</v>
      </c>
      <c r="F23" s="1"/>
    </row>
    <row r="24" spans="1:6" x14ac:dyDescent="0.25">
      <c r="A24" s="1" t="s">
        <v>1896</v>
      </c>
      <c r="B24" s="1">
        <v>493</v>
      </c>
      <c r="C24" s="9" t="str">
        <f t="shared" si="0"/>
        <v>"sangvis_team_id": "0",</v>
      </c>
      <c r="D24" s="1" t="s">
        <v>1873</v>
      </c>
      <c r="E24" s="1">
        <f>SUMPRODUCT('SF Team'!$D$3:$D$7,--(Main!$A$66:$A$70="X"),--(Main!$N$66:$N$70=A24))</f>
        <v>0</v>
      </c>
      <c r="F24" s="1"/>
    </row>
    <row r="25" spans="1:6" x14ac:dyDescent="0.25">
      <c r="A25" s="1" t="s">
        <v>1897</v>
      </c>
      <c r="B25" s="1">
        <v>515</v>
      </c>
      <c r="C25" s="9" t="str">
        <f t="shared" si="0"/>
        <v>"sangvis_team_id": "0",</v>
      </c>
      <c r="D25" s="1" t="s">
        <v>1873</v>
      </c>
      <c r="E25" s="1">
        <f>SUMPRODUCT('SF Team'!$D$3:$D$7,--(Main!$A$66:$A$70="X"),--(Main!$N$66:$N$70=A25))</f>
        <v>0</v>
      </c>
      <c r="F25" s="1"/>
    </row>
    <row r="26" spans="1:6" x14ac:dyDescent="0.25">
      <c r="A26" s="1" t="s">
        <v>1898</v>
      </c>
      <c r="B26" s="1">
        <v>537</v>
      </c>
      <c r="C26" s="9" t="str">
        <f t="shared" si="0"/>
        <v>"sangvis_team_id": "0",</v>
      </c>
      <c r="D26" s="1" t="s">
        <v>1873</v>
      </c>
      <c r="E26" s="1">
        <f>SUMPRODUCT('SF Team'!$D$3:$D$7,--(Main!$A$66:$A$70="X"),--(Main!$N$66:$N$70=A26))</f>
        <v>0</v>
      </c>
      <c r="F26" s="1"/>
    </row>
    <row r="27" spans="1:6" x14ac:dyDescent="0.25">
      <c r="A27" s="1" t="s">
        <v>1899</v>
      </c>
      <c r="B27" s="1">
        <v>564</v>
      </c>
      <c r="C27" s="9" t="str">
        <f t="shared" si="0"/>
        <v>"sangvis_team_id": "0",</v>
      </c>
      <c r="D27" s="1" t="s">
        <v>1873</v>
      </c>
      <c r="E27" s="1">
        <f>SUMPRODUCT('SF Team'!$D$3:$D$7,--(Main!$A$66:$A$70="X"),--(Main!$N$66:$N$70=A27))</f>
        <v>0</v>
      </c>
      <c r="F27" s="1"/>
    </row>
    <row r="28" spans="1:6" x14ac:dyDescent="0.25">
      <c r="A28" s="1" t="s">
        <v>1900</v>
      </c>
      <c r="B28" s="1">
        <v>586</v>
      </c>
      <c r="C28" s="9" t="str">
        <f t="shared" si="0"/>
        <v>"sangvis_team_id": "0",</v>
      </c>
      <c r="D28" s="1" t="s">
        <v>1873</v>
      </c>
      <c r="E28" s="1">
        <f>SUMPRODUCT('SF Team'!$D$3:$D$7,--(Main!$A$66:$A$70="X"),--(Main!$N$66:$N$70=A28))</f>
        <v>0</v>
      </c>
      <c r="F28" s="1"/>
    </row>
    <row r="29" spans="1:6" x14ac:dyDescent="0.25">
      <c r="A29" s="1" t="s">
        <v>1901</v>
      </c>
      <c r="B29" s="1">
        <v>603</v>
      </c>
      <c r="C29" s="9" t="str">
        <f t="shared" si="0"/>
        <v>"sangvis_team_id": "0",</v>
      </c>
      <c r="D29" s="1" t="s">
        <v>1873</v>
      </c>
      <c r="E29" s="1">
        <f>SUMPRODUCT('SF Team'!$D$3:$D$7,--(Main!$A$66:$A$70="X"),--(Main!$N$66:$N$70=A29))</f>
        <v>0</v>
      </c>
      <c r="F29" s="1"/>
    </row>
    <row r="30" spans="1:6" x14ac:dyDescent="0.25">
      <c r="A30" s="1" t="s">
        <v>1902</v>
      </c>
      <c r="B30" s="1">
        <v>625</v>
      </c>
      <c r="C30" s="9" t="str">
        <f t="shared" si="0"/>
        <v>"sangvis_team_id": "0",</v>
      </c>
      <c r="D30" s="1" t="s">
        <v>1873</v>
      </c>
      <c r="E30" s="1">
        <f>SUMPRODUCT('SF Team'!$D$3:$D$7,--(Main!$A$66:$A$70="X"),--(Main!$N$66:$N$70=A30))</f>
        <v>0</v>
      </c>
      <c r="F30" s="1"/>
    </row>
    <row r="31" spans="1:6" x14ac:dyDescent="0.25">
      <c r="A31" s="1" t="s">
        <v>1903</v>
      </c>
      <c r="B31" s="1">
        <v>648</v>
      </c>
      <c r="C31" s="9" t="str">
        <f t="shared" si="0"/>
        <v>"sangvis_team_id": "0",</v>
      </c>
      <c r="D31" s="1" t="s">
        <v>1873</v>
      </c>
      <c r="E31" s="1">
        <f>SUMPRODUCT('SF Team'!$D$3:$D$7,--(Main!$A$66:$A$70="X"),--(Main!$N$66:$N$70=A31))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"Night",</v>
      </c>
    </row>
    <row r="3" spans="1:3" x14ac:dyDescent="0.25">
      <c r="A3" t="s">
        <v>857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855</v>
      </c>
      <c r="B4" s="1">
        <v>7</v>
      </c>
      <c r="C4" s="9" t="str">
        <f>CHAR(34)&amp;A4&amp;CHAR(34)&amp;": "&amp;EnemyID&amp;","</f>
        <v>"enemy_team_id": 9411328,</v>
      </c>
    </row>
    <row r="5" spans="1:3" x14ac:dyDescent="0.25">
      <c r="A5" t="s">
        <v>856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859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workbookViewId="0">
      <selection activeCell="AL10" sqref="AL1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278</v>
      </c>
      <c r="I1" s="10" t="s">
        <v>864</v>
      </c>
      <c r="Q1" s="10" t="s">
        <v>865</v>
      </c>
      <c r="Y1" s="10" t="s">
        <v>866</v>
      </c>
      <c r="Z1" s="10"/>
      <c r="AH1" s="10" t="s">
        <v>900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283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884</v>
      </c>
      <c r="AJ2" s="112" t="s">
        <v>886</v>
      </c>
      <c r="AK2" s="112" t="s">
        <v>885</v>
      </c>
      <c r="AL2" s="113" t="s">
        <v>883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1.5</v>
      </c>
      <c r="K3" s="73">
        <f>INDEX($B$3:$G$8,MATCH(Main!$C23,$A$3:$A$8,0),MATCH(K$2,$B$2:$G$2,0))</f>
        <v>1.8</v>
      </c>
      <c r="L3" s="73">
        <f>INDEX($B$3:$G$8,MATCH(Main!$C23,$A$3:$A$8,0),MATCH(L$2,$B$2:$G$2,0))</f>
        <v>1.6</v>
      </c>
      <c r="M3" s="73">
        <f>INDEX($B$3:$G$8,MATCH(Main!$C23,$A$3:$A$8,0),MATCH(M$2,$B$2:$G$2,0))</f>
        <v>0.6</v>
      </c>
      <c r="N3" s="73">
        <f>INDEX($B$3:$G$8,MATCH(Main!$C23,$A$3:$A$8,0),MATCH(N$2,$B$2:$G$2,0))</f>
        <v>0.6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Main!E23</f>
        <v>100</v>
      </c>
      <c r="AA3" s="140">
        <f>IF(AND(UseCustomStats,Main!Y23&lt;&gt;0),Main!Y23,_xlfn.CEILING.MATH((J10+($Z3-1)*J17)*J3*J38/100))</f>
        <v>198</v>
      </c>
      <c r="AB3" s="140">
        <f>IF(AND(UseCustomStats,Main!Z23&lt;&gt;0),Main!Z23,_xlfn.CEILING.MATH(K10*K3*K38/100)+_xlfn.CEILING.MATH((K31+($Z3-1)*K24)*K3*K38*$P38/100/100))</f>
        <v>109</v>
      </c>
      <c r="AC3" s="140">
        <f>IF(AND(UseCustomStats,Main!AA23&lt;&gt;0),Main!AA23,_xlfn.CEILING.MATH(L10*L3*L38/100)+_xlfn.CEILING.MATH((L31+($Z3-1)*L24)*L3*L38*$P38/100/100))</f>
        <v>110</v>
      </c>
      <c r="AD3" s="76">
        <f>IF(AND(UseCustomStats,Main!AB23&lt;&gt;0),Main!AB23,_xlfn.CEILING.MATH(M10*M3*M38/100)+_xlfn.CEILING.MATH((M31+($Z3-1)*M24)*M3*M38*$P38/100/100))</f>
        <v>22</v>
      </c>
      <c r="AE3" s="76">
        <f>IF(AND(UseCustomStats,Main!AC23&lt;&gt;0),Main!AC23,_xlfn.CEILING.MATH(N10*N3*N38/100)+_xlfn.CEILING.MATH((N31+($Z3-1)*N24)*N3*N38*$P38/100/100))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875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IF(AND(UseCustomStats,Main!Y24&lt;&gt;0),Main!Y24,_xlfn.CEILING.MATH((J11+($Z4-1)*J18)*J4*J39/100))</f>
        <v>165</v>
      </c>
      <c r="AB4" s="83">
        <f>IF(AND(UseCustomStats,Main!Z24&lt;&gt;0),Main!Z24,_xlfn.CEILING.MATH(K11*K4*K39/100)+_xlfn.CEILING.MATH((K32+($Z4-1)*K25)*K4*K39*$P39/100/100))</f>
        <v>85</v>
      </c>
      <c r="AC4" s="83">
        <f>IF(AND(UseCustomStats,Main!AA24&lt;&gt;0),Main!AA24,_xlfn.CEILING.MATH(L11*L4*L39/100)+_xlfn.CEILING.MATH((L32+($Z4-1)*L25)*L4*L39*$P39/100/100))</f>
        <v>129</v>
      </c>
      <c r="AD4" s="83">
        <f>IF(AND(UseCustomStats,Main!AB24&lt;&gt;0),Main!AB24,_xlfn.CEILING.MATH(M11*M4*M39/100)+_xlfn.CEILING.MATH((M32+($Z4-1)*M25)*M4*M39*$P39/100/100))</f>
        <v>37</v>
      </c>
      <c r="AE4" s="83">
        <f>IF(AND(UseCustomStats,Main!AC24&lt;&gt;0),Main!AC24,_xlfn.CEILING.MATH(N11*N4*N39/100)+_xlfn.CEILING.MATH((N32+($Z4-1)*N25)*N4*N39*$P39/100/100))</f>
        <v>36</v>
      </c>
      <c r="AF4" s="84">
        <f t="shared" ref="AF4:AF7" si="7">_xlfn.CEILING.MATH((O11+($Z4-1)*O18)*O4*O39/100)</f>
        <v>0</v>
      </c>
      <c r="AH4" s="49" t="s">
        <v>876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1.5</v>
      </c>
      <c r="K5" s="80">
        <f>INDEX($B$3:$G$8,MATCH(Main!$C25,$A$3:$A$8,0),MATCH(K$2,$B$2:$G$2,0))</f>
        <v>1.8</v>
      </c>
      <c r="L5" s="80">
        <f>INDEX($B$3:$G$8,MATCH(Main!$C25,$A$3:$A$8,0),MATCH(L$2,$B$2:$G$2,0))</f>
        <v>1.6</v>
      </c>
      <c r="M5" s="80">
        <f>INDEX($B$3:$G$8,MATCH(Main!$C25,$A$3:$A$8,0),MATCH(M$2,$B$2:$G$2,0))</f>
        <v>0.6</v>
      </c>
      <c r="N5" s="80">
        <f>INDEX($B$3:$G$8,MATCH(Main!$C25,$A$3:$A$8,0),MATCH(N$2,$B$2:$G$2,0))</f>
        <v>0.6</v>
      </c>
      <c r="O5" s="81">
        <f>INDEX($B$3:$G$8,MATCH(Main!$C25,$A$3:$A$8,0),MATCH(O$2,$B$2:$G$2,0))</f>
        <v>0</v>
      </c>
      <c r="Q5" s="78">
        <v>7</v>
      </c>
      <c r="R5" s="79">
        <f t="shared" si="1"/>
        <v>1.5</v>
      </c>
      <c r="S5" s="80">
        <f t="shared" si="2"/>
        <v>1.8</v>
      </c>
      <c r="T5" s="80">
        <f t="shared" si="3"/>
        <v>1.6</v>
      </c>
      <c r="U5" s="80">
        <f t="shared" si="4"/>
        <v>0.6</v>
      </c>
      <c r="V5" s="80">
        <f t="shared" si="5"/>
        <v>0.6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IF(AND(UseCustomStats,Main!Y25&lt;&gt;0),Main!Y25,_xlfn.CEILING.MATH((J12+($Z5-1)*J19)*J5*J40/100))</f>
        <v>174</v>
      </c>
      <c r="AB5" s="83">
        <f>IF(AND(UseCustomStats,Main!Z25&lt;&gt;0),Main!Z25,_xlfn.CEILING.MATH(K12*K5*K40/100)+_xlfn.CEILING.MATH((K33+($Z5-1)*K26)*K5*K40*$P40/100/100))</f>
        <v>84</v>
      </c>
      <c r="AC5" s="83">
        <f>IF(AND(UseCustomStats,Main!AA25&lt;&gt;0),Main!AA25,_xlfn.CEILING.MATH(L12*L5*L40/100)+_xlfn.CEILING.MATH((L33+($Z5-1)*L26)*L5*L40*$P40/100/100))</f>
        <v>139</v>
      </c>
      <c r="AD5" s="83">
        <f>IF(AND(UseCustomStats,Main!AB25&lt;&gt;0),Main!AB25,_xlfn.CEILING.MATH(M12*M5*M40/100)+_xlfn.CEILING.MATH((M33+($Z5-1)*M26)*M5*M40*$P40/100/100))</f>
        <v>35</v>
      </c>
      <c r="AE5" s="83">
        <f>IF(AND(UseCustomStats,Main!AC25&lt;&gt;0),Main!AC25,_xlfn.CEILING.MATH(N12*N5*N40/100)+_xlfn.CEILING.MATH((N33+($Z5-1)*N26)*N5*N40*$P40/100/100))</f>
        <v>36</v>
      </c>
      <c r="AF5" s="84">
        <f t="shared" si="7"/>
        <v>0</v>
      </c>
      <c r="AH5" s="49" t="s">
        <v>877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2</v>
      </c>
      <c r="K6" s="80">
        <f>INDEX($B$3:$G$8,MATCH(Main!$C26,$A$3:$A$8,0),MATCH(K$2,$B$2:$G$2,0))</f>
        <v>0.7</v>
      </c>
      <c r="L6" s="80">
        <f>INDEX($B$3:$G$8,MATCH(Main!$C26,$A$3:$A$8,0),MATCH(L$2,$B$2:$G$2,0))</f>
        <v>0.4</v>
      </c>
      <c r="M6" s="80">
        <f>INDEX($B$3:$G$8,MATCH(Main!$C26,$A$3:$A$8,0),MATCH(M$2,$B$2:$G$2,0))</f>
        <v>0.3</v>
      </c>
      <c r="N6" s="80">
        <f>INDEX($B$3:$G$8,MATCH(Main!$C26,$A$3:$A$8,0),MATCH(N$2,$B$2:$G$2,0))</f>
        <v>0.3</v>
      </c>
      <c r="O6" s="81">
        <f>INDEX($B$3:$G$8,MATCH(Main!$C26,$A$3:$A$8,0),MATCH(O$2,$B$2:$G$2,0))</f>
        <v>1</v>
      </c>
      <c r="Q6" s="78">
        <v>8</v>
      </c>
      <c r="R6" s="79">
        <f t="shared" si="1"/>
        <v>2</v>
      </c>
      <c r="S6" s="80">
        <f t="shared" si="2"/>
        <v>0.7</v>
      </c>
      <c r="T6" s="80">
        <f t="shared" si="3"/>
        <v>0.4</v>
      </c>
      <c r="U6" s="80">
        <f t="shared" si="4"/>
        <v>0.3</v>
      </c>
      <c r="V6" s="80">
        <f t="shared" si="5"/>
        <v>0.3</v>
      </c>
      <c r="W6" s="81">
        <f t="shared" si="6"/>
        <v>1</v>
      </c>
      <c r="Y6" s="78">
        <v>4</v>
      </c>
      <c r="Z6" s="82">
        <f>Main!E26</f>
        <v>100</v>
      </c>
      <c r="AA6" s="83">
        <f>IF(AND(UseCustomStats,Main!Y26&lt;&gt;0),Main!Y26,_xlfn.CEILING.MATH((J13+($Z6-1)*J20)*J6*J41/100))</f>
        <v>264</v>
      </c>
      <c r="AB6" s="83">
        <f>IF(AND(UseCustomStats,Main!Z26&lt;&gt;0),Main!Z26,_xlfn.CEILING.MATH(K13*K6*K41/100)+_xlfn.CEILING.MATH((K34+($Z6-1)*K27)*K6*K41*$P41/100/100))</f>
        <v>33</v>
      </c>
      <c r="AC6" s="83">
        <f>IF(AND(UseCustomStats,Main!AA26&lt;&gt;0),Main!AA26,_xlfn.CEILING.MATH(L13*L6*L41/100)+_xlfn.CEILING.MATH((L34+($Z6-1)*L27)*L6*L41*$P41/100/100))</f>
        <v>29</v>
      </c>
      <c r="AD6" s="83">
        <f>IF(AND(UseCustomStats,Main!AB26&lt;&gt;0),Main!AB26,_xlfn.CEILING.MATH(M13*M6*M41/100)+_xlfn.CEILING.MATH((M34+($Z6-1)*M27)*M6*M41*$P41/100/100))</f>
        <v>13</v>
      </c>
      <c r="AE6" s="83">
        <f>IF(AND(UseCustomStats,Main!AC26&lt;&gt;0),Main!AC26,_xlfn.CEILING.MATH(N13*N6*N41/100)+_xlfn.CEILING.MATH((N34+($Z6-1)*N27)*N6*N41*$P41/100/100))</f>
        <v>12</v>
      </c>
      <c r="AF6" s="84">
        <f t="shared" si="7"/>
        <v>23</v>
      </c>
      <c r="AH6" s="49" t="s">
        <v>878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IF(AND(UseCustomStats,Main!Y27&lt;&gt;0),Main!Y27,_xlfn.CEILING.MATH((J14+($Z7-1)*J21)*J7*J42/100))</f>
        <v>80</v>
      </c>
      <c r="AB7" s="90">
        <f>IF(AND(UseCustomStats,Main!Z27&lt;&gt;0),Main!Z27,_xlfn.CEILING.MATH(K14*K7*K42/100)+_xlfn.CEILING.MATH((K35+($Z7-1)*K28)*K7*K42*$P42/100/100))</f>
        <v>30</v>
      </c>
      <c r="AC7" s="90">
        <f>IF(AND(UseCustomStats,Main!AA27&lt;&gt;0),Main!AA27,_xlfn.CEILING.MATH(L14*L7*L42/100)+_xlfn.CEILING.MATH((L35+($Z7-1)*L28)*L7*L42*$P42/100/100))</f>
        <v>55</v>
      </c>
      <c r="AD7" s="90">
        <f>IF(AND(UseCustomStats,Main!AB27&lt;&gt;0),Main!AB27,_xlfn.CEILING.MATH(M14*M7*M42/100)+_xlfn.CEILING.MATH((M35+($Z7-1)*M28)*M7*M42*$P42/100/100))</f>
        <v>53</v>
      </c>
      <c r="AE7" s="90">
        <f>IF(AND(UseCustomStats,Main!AC27&lt;&gt;0),Main!AC27,_xlfn.CEILING.MATH(N14*N7*N42/100)+_xlfn.CEILING.MATH((N35+($Z7-1)*N28)*N7*N42*$P42/100/100))</f>
        <v>96</v>
      </c>
      <c r="AF7" s="91">
        <f t="shared" si="7"/>
        <v>0</v>
      </c>
      <c r="AH7" s="49" t="s">
        <v>879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880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274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274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284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49" t="s">
        <v>881</v>
      </c>
      <c r="AI9" s="118">
        <v>36</v>
      </c>
      <c r="AJ9" s="119">
        <v>36</v>
      </c>
      <c r="AK9" s="119">
        <v>79</v>
      </c>
      <c r="AL9" s="120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55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2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>_xlfn.CEILING.MATH(S10*S3*K38/100)+_xlfn.CEILING.MATH((S31+($Z10-1)*S24)*S3*K38*$P38/100/100)</f>
        <v>41</v>
      </c>
      <c r="AC10" s="76">
        <f>_xlfn.CEILING.MATH(T10*T3*L38/100)+_xlfn.CEILING.MATH((T31+($Z10-1)*T24)*T3*L38*$P38/100/100)</f>
        <v>76</v>
      </c>
      <c r="AD10" s="76">
        <f>_xlfn.CEILING.MATH(U10*U3*M38/100)+_xlfn.CEILING.MATH((U31+($Z10-1)*U24)*U3*M38*$P38/100/100)</f>
        <v>3</v>
      </c>
      <c r="AE10" s="76">
        <f>_xlfn.CEILING.MATH(V10*V3*N38/100)+_xlfn.CEILING.MATH((V31+($Z10-1)*V24)*V3*N38*$P38/100/100)</f>
        <v>3</v>
      </c>
      <c r="AF10" s="77">
        <f>_xlfn.CEILING.MATH((W10+($Z10-1)*W17)*W3*O38/100)</f>
        <v>0</v>
      </c>
      <c r="AH10" s="50" t="s">
        <v>1844</v>
      </c>
      <c r="AI10" s="121">
        <v>47</v>
      </c>
      <c r="AJ10" s="122">
        <v>56</v>
      </c>
      <c r="AK10" s="122">
        <v>61</v>
      </c>
      <c r="AL10" s="123">
        <v>23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83</v>
      </c>
      <c r="AB11" s="83">
        <f t="shared" ref="AB11:AE11" si="16">_xlfn.CEILING.MATH(S11*S4*K39/100)+_xlfn.CEILING.MATH((S32+($Z11-1)*S25)*S4*K39*$P39/100/100)</f>
        <v>28</v>
      </c>
      <c r="AC11" s="83">
        <f t="shared" si="16"/>
        <v>83</v>
      </c>
      <c r="AD11" s="83">
        <f t="shared" si="16"/>
        <v>4</v>
      </c>
      <c r="AE11" s="83">
        <f t="shared" si="16"/>
        <v>4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87</v>
      </c>
      <c r="AB12" s="83">
        <f t="shared" ref="AB12:AE12" si="18">_xlfn.CEILING.MATH(S12*S5*K40/100)+_xlfn.CEILING.MATH((S33+($Z12-1)*S26)*S5*K40*$P40/100/100)</f>
        <v>28</v>
      </c>
      <c r="AC12" s="83">
        <f t="shared" si="18"/>
        <v>90</v>
      </c>
      <c r="AD12" s="83">
        <f t="shared" si="18"/>
        <v>4</v>
      </c>
      <c r="AE12" s="83">
        <f t="shared" si="18"/>
        <v>4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132</v>
      </c>
      <c r="AB13" s="83">
        <f t="shared" ref="AB13:AE13" si="19">_xlfn.CEILING.MATH(S13*S6*K41/100)+_xlfn.CEILING.MATH((S34+($Z13-1)*S27)*S6*K41*$P41/100/100)</f>
        <v>13</v>
      </c>
      <c r="AC13" s="83">
        <f t="shared" si="19"/>
        <v>20</v>
      </c>
      <c r="AD13" s="83">
        <f t="shared" si="19"/>
        <v>2</v>
      </c>
      <c r="AE13" s="83">
        <f t="shared" si="19"/>
        <v>2</v>
      </c>
      <c r="AF13" s="84">
        <f t="shared" si="17"/>
        <v>3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40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36</v>
      </c>
      <c r="AD14" s="90">
        <f t="shared" si="20"/>
        <v>6</v>
      </c>
      <c r="AE14" s="90">
        <f t="shared" si="20"/>
        <v>11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275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275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772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0.55500000000000005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0.161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68</v>
      </c>
      <c r="AC17" s="76">
        <f>AC3-AC10</f>
        <v>34</v>
      </c>
      <c r="AD17" s="76">
        <f>AD3-AD10</f>
        <v>19</v>
      </c>
      <c r="AE17" s="76">
        <f>AE3-AE10</f>
        <v>18</v>
      </c>
      <c r="AF17" s="36"/>
    </row>
    <row r="18" spans="1:32" x14ac:dyDescent="0.25">
      <c r="A18" s="66" t="s">
        <v>279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57</v>
      </c>
      <c r="AC18" s="83">
        <f t="shared" si="28"/>
        <v>46</v>
      </c>
      <c r="AD18" s="83">
        <f t="shared" si="28"/>
        <v>33</v>
      </c>
      <c r="AE18" s="83">
        <f t="shared" si="28"/>
        <v>32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56</v>
      </c>
      <c r="AC19" s="83">
        <f t="shared" si="29"/>
        <v>49</v>
      </c>
      <c r="AD19" s="83">
        <f t="shared" si="29"/>
        <v>31</v>
      </c>
      <c r="AE19" s="83">
        <f t="shared" si="29"/>
        <v>32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20</v>
      </c>
      <c r="AC20" s="83">
        <f t="shared" si="30"/>
        <v>9</v>
      </c>
      <c r="AD20" s="83">
        <f t="shared" si="30"/>
        <v>11</v>
      </c>
      <c r="AE20" s="83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20</v>
      </c>
      <c r="AC21" s="90">
        <f t="shared" si="31"/>
        <v>19</v>
      </c>
      <c r="AD21" s="90">
        <f t="shared" si="31"/>
        <v>47</v>
      </c>
      <c r="AE21" s="90">
        <f t="shared" si="31"/>
        <v>85</v>
      </c>
      <c r="AF21" s="38"/>
    </row>
    <row r="22" spans="1:32" x14ac:dyDescent="0.25">
      <c r="A22" s="66" t="s">
        <v>280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276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276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0.24199999999999999</v>
      </c>
      <c r="L24" s="93">
        <f>IF(Main!$I23&gt;0,D$15,D$23)</f>
        <v>0.18099999999999999</v>
      </c>
      <c r="M24" s="93">
        <f>IF(Main!$I23&gt;0,E$15,E$23)</f>
        <v>0.30299999999999999</v>
      </c>
      <c r="N24" s="93">
        <f>IF(Main!$I23&gt;0,F$15,F$23)</f>
        <v>0.30299999999999999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277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277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0</v>
      </c>
      <c r="L31" s="3">
        <f>IF(Main!$I23&gt;0,D$16,D$24)</f>
        <v>0</v>
      </c>
      <c r="M31" s="3">
        <f>IF(Main!$I23&gt;0,E$16,E$24)</f>
        <v>0</v>
      </c>
      <c r="N31" s="3">
        <f>IF(Main!$I23&gt;0,F$16,F$24)</f>
        <v>0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281</v>
      </c>
      <c r="J37" s="2" t="s">
        <v>1167</v>
      </c>
      <c r="K37" s="3" t="s">
        <v>1168</v>
      </c>
      <c r="L37" s="3" t="s">
        <v>1169</v>
      </c>
      <c r="M37" s="3" t="s">
        <v>1170</v>
      </c>
      <c r="N37" s="3" t="s">
        <v>1171</v>
      </c>
      <c r="O37" s="3" t="s">
        <v>1172</v>
      </c>
      <c r="P37" s="4" t="s">
        <v>1173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120</v>
      </c>
      <c r="K38" s="21">
        <f>INDEX('Doll Data'!$E$2:$K$1048576,MATCH(Main!$D23,'Doll Data'!$B$2:$B$1048576,0),MATCH(K$37,'Doll Data'!$E$1:$K$1,0))</f>
        <v>140</v>
      </c>
      <c r="L38" s="21">
        <f>INDEX('Doll Data'!$E$2:$K$1048576,MATCH(Main!$D23,'Doll Data'!$B$2:$B$1048576,0),MATCH(L$37,'Doll Data'!$E$1:$K$1,0))</f>
        <v>105</v>
      </c>
      <c r="M38" s="21">
        <f>INDEX('Doll Data'!$E$2:$K$1048576,MATCH(Main!$D23,'Doll Data'!$B$2:$B$1048576,0),MATCH(M$37,'Doll Data'!$E$1:$K$1,0))</f>
        <v>90</v>
      </c>
      <c r="N38" s="21">
        <f>INDEX('Doll Data'!$E$2:$K$1048576,MATCH(Main!$D23,'Doll Data'!$B$2:$B$1048576,0),MATCH(N$37,'Doll Data'!$E$1:$K$1,0))</f>
        <v>85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100</v>
      </c>
      <c r="K39" s="24">
        <f>INDEX('Doll Data'!$E$2:$K$1048576,MATCH(Main!$D24,'Doll Data'!$B$2:$B$1048576,0),MATCH(K$37,'Doll Data'!$E$1:$K$1,0))</f>
        <v>95</v>
      </c>
      <c r="L39" s="24">
        <f>INDEX('Doll Data'!$E$2:$K$1048576,MATCH(Main!$D24,'Doll Data'!$B$2:$B$1048576,0),MATCH(L$37,'Doll Data'!$E$1:$K$1,0))</f>
        <v>115</v>
      </c>
      <c r="M39" s="24">
        <f>INDEX('Doll Data'!$E$2:$K$1048576,MATCH(Main!$D24,'Doll Data'!$B$2:$B$1048576,0),MATCH(M$37,'Doll Data'!$E$1:$K$1,0))</f>
        <v>130</v>
      </c>
      <c r="N39" s="24">
        <f>INDEX('Doll Data'!$E$2:$K$1048576,MATCH(Main!$D24,'Doll Data'!$B$2:$B$1048576,0),MATCH(N$37,'Doll Data'!$E$1:$K$1,0))</f>
        <v>125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138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105</v>
      </c>
      <c r="K40" s="24">
        <f>INDEX('Doll Data'!$E$2:$K$1048576,MATCH(Main!$D25,'Doll Data'!$B$2:$B$1048576,0),MATCH(K$37,'Doll Data'!$E$1:$K$1,0))</f>
        <v>95</v>
      </c>
      <c r="L40" s="24">
        <f>INDEX('Doll Data'!$E$2:$K$1048576,MATCH(Main!$D25,'Doll Data'!$B$2:$B$1048576,0),MATCH(L$37,'Doll Data'!$E$1:$K$1,0))</f>
        <v>125</v>
      </c>
      <c r="M40" s="24">
        <f>INDEX('Doll Data'!$E$2:$K$1048576,MATCH(Main!$D25,'Doll Data'!$B$2:$B$1048576,0),MATCH(M$37,'Doll Data'!$E$1:$K$1,0))</f>
        <v>125</v>
      </c>
      <c r="N40" s="24">
        <f>INDEX('Doll Data'!$E$2:$K$1048576,MATCH(Main!$D25,'Doll Data'!$B$2:$B$1048576,0),MATCH(N$37,'Doll Data'!$E$1:$K$1,0))</f>
        <v>130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135</v>
      </c>
      <c r="Q40"/>
    </row>
    <row r="41" spans="9:23" x14ac:dyDescent="0.25">
      <c r="I41" s="17">
        <v>4</v>
      </c>
      <c r="J41" s="23">
        <f>INDEX('Doll Data'!$E$2:$K$1048576,MATCH(Main!$D26,'Doll Data'!$B$2:$B$1048576,0),MATCH(J$37,'Doll Data'!$E$1:$K$1,0))</f>
        <v>120</v>
      </c>
      <c r="K41" s="24">
        <f>INDEX('Doll Data'!$E$2:$K$1048576,MATCH(Main!$D26,'Doll Data'!$B$2:$B$1048576,0),MATCH(K$37,'Doll Data'!$E$1:$K$1,0))</f>
        <v>112</v>
      </c>
      <c r="L41" s="24">
        <f>INDEX('Doll Data'!$E$2:$K$1048576,MATCH(Main!$D26,'Doll Data'!$B$2:$B$1048576,0),MATCH(L$37,'Doll Data'!$E$1:$K$1,0))</f>
        <v>110</v>
      </c>
      <c r="M41" s="24">
        <f>INDEX('Doll Data'!$E$2:$K$1048576,MATCH(Main!$D26,'Doll Data'!$B$2:$B$1048576,0),MATCH(M$37,'Doll Data'!$E$1:$K$1,0))</f>
        <v>115</v>
      </c>
      <c r="N41" s="24">
        <f>INDEX('Doll Data'!$E$2:$K$1048576,MATCH(Main!$D26,'Doll Data'!$B$2:$B$1048576,0),MATCH(N$37,'Doll Data'!$E$1:$K$1,0))</f>
        <v>105</v>
      </c>
      <c r="O41" s="24">
        <f>INDEX('Doll Data'!$E$2:$K$1048576,MATCH(Main!$D26,'Doll Data'!$B$2:$B$1048576,0),MATCH(O$37,'Doll Data'!$E$1:$K$1,0))</f>
        <v>125</v>
      </c>
      <c r="P41" s="25">
        <f>INDEX('Doll Data'!$E$2:$K$1048576,MATCH(Main!$D26,'Doll Data'!$B$2:$B$1048576,0),MATCH(P$37,'Doll Data'!$E$1:$K$1,0))</f>
        <v>105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120</v>
      </c>
      <c r="K42" s="27">
        <f>INDEX('Doll Data'!$E$2:$K$1048576,MATCH(Main!$D27,'Doll Data'!$B$2:$B$1048576,0),MATCH(K$37,'Doll Data'!$E$1:$K$1,0))</f>
        <v>102</v>
      </c>
      <c r="L42" s="27">
        <f>INDEX('Doll Data'!$E$2:$K$1048576,MATCH(Main!$D27,'Doll Data'!$B$2:$B$1048576,0),MATCH(L$37,'Doll Data'!$E$1:$K$1,0))</f>
        <v>100</v>
      </c>
      <c r="M42" s="27">
        <f>INDEX('Doll Data'!$E$2:$K$1048576,MATCH(Main!$D27,'Doll Data'!$B$2:$B$1048576,0),MATCH(M$37,'Doll Data'!$E$1:$K$1,0))</f>
        <v>100</v>
      </c>
      <c r="N42" s="27">
        <f>INDEX('Doll Data'!$E$2:$K$1048576,MATCH(Main!$D27,'Doll Data'!$B$2:$B$1048576,0),MATCH(N$37,'Doll Data'!$E$1:$K$1,0))</f>
        <v>120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1121</v>
      </c>
      <c r="I1" s="10" t="s">
        <v>1115</v>
      </c>
      <c r="J1" s="149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6" x14ac:dyDescent="0.25">
      <c r="A2" s="66" t="s">
        <v>1114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1" t="s">
        <v>1081</v>
      </c>
      <c r="J2" s="67" t="s">
        <v>18</v>
      </c>
      <c r="K2" s="70" t="s">
        <v>1089</v>
      </c>
      <c r="L2" s="70" t="s">
        <v>1090</v>
      </c>
      <c r="M2" s="70" t="s">
        <v>1866</v>
      </c>
      <c r="N2" s="70" t="s">
        <v>1085</v>
      </c>
      <c r="O2" s="67" t="s">
        <v>1083</v>
      </c>
      <c r="P2" s="70" t="s">
        <v>1085</v>
      </c>
      <c r="Q2" s="70" t="s">
        <v>1117</v>
      </c>
      <c r="R2" s="70" t="s">
        <v>1118</v>
      </c>
      <c r="S2" s="70" t="s">
        <v>1116</v>
      </c>
      <c r="T2" s="70" t="s">
        <v>1149</v>
      </c>
      <c r="U2" s="70" t="s">
        <v>1151</v>
      </c>
      <c r="V2" s="71" t="s">
        <v>1150</v>
      </c>
      <c r="W2" s="150"/>
      <c r="X2" s="111" t="s">
        <v>1152</v>
      </c>
      <c r="Y2" s="150"/>
      <c r="Z2" s="150"/>
    </row>
    <row r="3" spans="1:26" x14ac:dyDescent="0.25">
      <c r="A3" s="67" t="s">
        <v>1096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1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10604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110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384</v>
      </c>
      <c r="X3" s="147">
        <f t="shared" ref="X3:X11" si="0">_xlfn.CEILING.MATH(P3*Q3*R3*(J3+40-1)*S3*T3/U3/1000000,1)+V3*T3</f>
        <v>1263</v>
      </c>
      <c r="Y3" s="150"/>
      <c r="Z3" s="150"/>
    </row>
    <row r="4" spans="1:26" x14ac:dyDescent="0.25">
      <c r="A4" s="68" t="s">
        <v>1095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2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7">
        <f t="shared" si="0"/>
        <v>1604</v>
      </c>
      <c r="Y4" s="150"/>
      <c r="Z4" s="150"/>
    </row>
    <row r="5" spans="1:26" x14ac:dyDescent="0.25">
      <c r="A5" s="69" t="s">
        <v>1094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2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7">
        <f t="shared" si="0"/>
        <v>1604</v>
      </c>
      <c r="Y5" s="150"/>
      <c r="Z5" s="150"/>
    </row>
    <row r="6" spans="1:26" x14ac:dyDescent="0.25">
      <c r="I6" s="152">
        <f t="shared" si="1"/>
        <v>4</v>
      </c>
      <c r="J6" s="82">
        <f>Main!D42</f>
        <v>100</v>
      </c>
      <c r="K6" s="83">
        <f>Main!B42</f>
        <v>1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30404</v>
      </c>
      <c r="P6" s="83">
        <f>IF(N6="BOSS",100,INDEX($B$8:$G$8,MATCH(N6,$B$7:$G$7,0))*INDEX('SF Data'!P:P,MATCH(Main!C42,'SF Data'!B:B,0))/100)</f>
        <v>104.50000000000001</v>
      </c>
      <c r="Q6" s="83">
        <f>INDEX('SF Data'!J:J,MATCH(Main!C42,'SF Data'!B:B,0))</f>
        <v>65</v>
      </c>
      <c r="R6" s="83">
        <f t="shared" si="2"/>
        <v>120</v>
      </c>
      <c r="S6" s="83">
        <f>INDEX($B$3:$B$5,Main!$B42)</f>
        <v>3.6</v>
      </c>
      <c r="T6" s="83">
        <f>INDEX('SF Resolution'!E:E,MATCH(O6,'SF Resolution'!A:A,0))</f>
        <v>5</v>
      </c>
      <c r="U6" s="83">
        <f>INDEX('SF Data'!E:E,MATCH(Main!C42,'SF Data'!B:B,0))</f>
        <v>5</v>
      </c>
      <c r="V6" s="84">
        <f>INDEX('SF Resolution'!F:F,MATCH(O6,'SF Resolution'!A:A,0))</f>
        <v>38</v>
      </c>
      <c r="X6" s="147">
        <f t="shared" si="0"/>
        <v>598</v>
      </c>
      <c r="Y6" s="150"/>
      <c r="Z6" s="150"/>
    </row>
    <row r="7" spans="1:26" x14ac:dyDescent="0.25">
      <c r="A7" s="248" t="s">
        <v>1097</v>
      </c>
      <c r="B7" s="67" t="s">
        <v>1120</v>
      </c>
      <c r="C7" s="70" t="s">
        <v>1098</v>
      </c>
      <c r="D7" s="70" t="s">
        <v>1099</v>
      </c>
      <c r="E7" s="70" t="s">
        <v>1100</v>
      </c>
      <c r="F7" s="70" t="s">
        <v>1084</v>
      </c>
      <c r="G7" s="71" t="s">
        <v>1094</v>
      </c>
      <c r="I7" s="152">
        <f t="shared" si="1"/>
        <v>5</v>
      </c>
      <c r="J7" s="82">
        <f>Main!D43</f>
        <v>0</v>
      </c>
      <c r="K7" s="83" t="str">
        <f>Main!B43</f>
        <v/>
      </c>
      <c r="L7" s="83">
        <f>Main!E43</f>
        <v>0</v>
      </c>
      <c r="M7" s="83">
        <f>Main!F43</f>
        <v>0</v>
      </c>
      <c r="N7" s="83">
        <f>IF(Main!B43=3,"BOSS",Main!G43)</f>
        <v>0</v>
      </c>
      <c r="O7" s="82" t="e">
        <f>(INDEX('SF Data'!$F:$F,MATCH(Main!C43,'SF Data'!$B:$B,0))&amp;"0"&amp;M7)*1</f>
        <v>#N/A</v>
      </c>
      <c r="P7" s="83" t="e">
        <f>IF(N7="BOSS",100,INDEX($B$8:$G$8,MATCH(N7,$B$7:$G$7,0))*INDEX('SF Data'!P:P,MATCH(Main!C43,'SF Data'!B:B,0))/100)</f>
        <v>#N/A</v>
      </c>
      <c r="Q7" s="83" t="e">
        <f>INDEX('SF Data'!J:J,MATCH(Main!C43,'SF Data'!B:B,0))</f>
        <v>#N/A</v>
      </c>
      <c r="R7" s="83" t="e">
        <f t="shared" si="2"/>
        <v>#N/A</v>
      </c>
      <c r="S7" s="83" t="e">
        <f>INDEX($B$3:$B$5,Main!$B43)</f>
        <v>#VALUE!</v>
      </c>
      <c r="T7" s="83" t="e">
        <f>INDEX('SF Resolution'!E:E,MATCH(O7,'SF Resolution'!A:A,0))</f>
        <v>#N/A</v>
      </c>
      <c r="U7" s="83" t="e">
        <f>INDEX('SF Data'!E:E,MATCH(Main!C43,'SF Data'!B:B,0))</f>
        <v>#N/A</v>
      </c>
      <c r="V7" s="84" t="e">
        <f>INDEX('SF Resolution'!F:F,MATCH(O7,'SF Resolution'!A:A,0))</f>
        <v>#N/A</v>
      </c>
      <c r="X7" s="147" t="e">
        <f t="shared" si="0"/>
        <v>#N/A</v>
      </c>
      <c r="Y7" s="150"/>
      <c r="Z7" s="150"/>
    </row>
    <row r="8" spans="1:26" x14ac:dyDescent="0.25">
      <c r="A8" s="249"/>
      <c r="B8" s="154">
        <v>100</v>
      </c>
      <c r="C8" s="155">
        <v>102</v>
      </c>
      <c r="D8" s="155">
        <v>105</v>
      </c>
      <c r="E8" s="155">
        <v>108</v>
      </c>
      <c r="F8" s="155">
        <v>110.00000000000001</v>
      </c>
      <c r="G8" s="156">
        <v>100</v>
      </c>
      <c r="I8" s="152">
        <f t="shared" si="1"/>
        <v>6</v>
      </c>
      <c r="J8" s="82">
        <f>Main!D44</f>
        <v>0</v>
      </c>
      <c r="K8" s="83" t="str">
        <f>Main!B44</f>
        <v/>
      </c>
      <c r="L8" s="83">
        <f>Main!E44</f>
        <v>0</v>
      </c>
      <c r="M8" s="83">
        <f>Main!F44</f>
        <v>0</v>
      </c>
      <c r="N8" s="83">
        <f>IF(Main!B44=3,"BOSS",Main!G44)</f>
        <v>0</v>
      </c>
      <c r="O8" s="82" t="e">
        <f>(INDEX('SF Data'!$F:$F,MATCH(Main!C44,'SF Data'!$B:$B,0))&amp;"0"&amp;M8)*1</f>
        <v>#N/A</v>
      </c>
      <c r="P8" s="83" t="e">
        <f>IF(N8="BOSS",100,INDEX($B$8:$G$8,MATCH(N8,$B$7:$G$7,0))*INDEX('SF Data'!P:P,MATCH(Main!C44,'SF Data'!B:B,0))/100)</f>
        <v>#N/A</v>
      </c>
      <c r="Q8" s="83" t="e">
        <f>INDEX('SF Data'!J:J,MATCH(Main!C44,'SF Data'!B:B,0))</f>
        <v>#N/A</v>
      </c>
      <c r="R8" s="83" t="e">
        <f t="shared" si="2"/>
        <v>#N/A</v>
      </c>
      <c r="S8" s="83" t="e">
        <f>INDEX($B$3:$B$5,Main!$B44)</f>
        <v>#VALUE!</v>
      </c>
      <c r="T8" s="83" t="e">
        <f>INDEX('SF Resolution'!E:E,MATCH(O8,'SF Resolution'!A:A,0))</f>
        <v>#N/A</v>
      </c>
      <c r="U8" s="83" t="e">
        <f>INDEX('SF Data'!E:E,MATCH(Main!C44,'SF Data'!B:B,0))</f>
        <v>#N/A</v>
      </c>
      <c r="V8" s="84" t="e">
        <f>INDEX('SF Resolution'!F:F,MATCH(O8,'SF Resolution'!A:A,0))</f>
        <v>#N/A</v>
      </c>
      <c r="X8" s="147" t="e">
        <f t="shared" si="0"/>
        <v>#N/A</v>
      </c>
      <c r="Y8" s="150"/>
      <c r="Z8" s="150"/>
    </row>
    <row r="9" spans="1:26" x14ac:dyDescent="0.25">
      <c r="I9" s="152">
        <f t="shared" si="1"/>
        <v>7</v>
      </c>
      <c r="J9" s="82">
        <f>Main!D45</f>
        <v>0</v>
      </c>
      <c r="K9" s="83" t="str">
        <f>Main!B45</f>
        <v/>
      </c>
      <c r="L9" s="83">
        <f>Main!E45</f>
        <v>0</v>
      </c>
      <c r="M9" s="83">
        <f>Main!F45</f>
        <v>0</v>
      </c>
      <c r="N9" s="83">
        <f>IF(Main!B45=3,"BOSS",Main!G45)</f>
        <v>0</v>
      </c>
      <c r="O9" s="82" t="e">
        <f>(INDEX('SF Data'!$F:$F,MATCH(Main!C45,'SF Data'!$B:$B,0))&amp;"0"&amp;M9)*1</f>
        <v>#N/A</v>
      </c>
      <c r="P9" s="83" t="e">
        <f>IF(N9="BOSS",100,INDEX($B$8:$G$8,MATCH(N9,$B$7:$G$7,0))*INDEX('SF Data'!P:P,MATCH(Main!C45,'SF Data'!B:B,0))/100)</f>
        <v>#N/A</v>
      </c>
      <c r="Q9" s="83" t="e">
        <f>INDEX('SF Data'!J:J,MATCH(Main!C45,'SF Data'!B:B,0))</f>
        <v>#N/A</v>
      </c>
      <c r="R9" s="83" t="e">
        <f t="shared" si="2"/>
        <v>#N/A</v>
      </c>
      <c r="S9" s="83" t="e">
        <f>INDEX($B$3:$B$5,Main!$B45)</f>
        <v>#VALUE!</v>
      </c>
      <c r="T9" s="83" t="e">
        <f>INDEX('SF Resolution'!E:E,MATCH(O9,'SF Resolution'!A:A,0))</f>
        <v>#N/A</v>
      </c>
      <c r="U9" s="83" t="e">
        <f>INDEX('SF Data'!E:E,MATCH(Main!C45,'SF Data'!B:B,0))</f>
        <v>#N/A</v>
      </c>
      <c r="V9" s="84" t="e">
        <f>INDEX('SF Resolution'!F:F,MATCH(O9,'SF Resolution'!A:A,0))</f>
        <v>#N/A</v>
      </c>
      <c r="X9" s="147" t="e">
        <f t="shared" si="0"/>
        <v>#N/A</v>
      </c>
      <c r="Y9" s="150"/>
      <c r="Z9" s="150"/>
    </row>
    <row r="10" spans="1:26" x14ac:dyDescent="0.25">
      <c r="A10" s="66" t="s">
        <v>1119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2">
        <f t="shared" si="1"/>
        <v>8</v>
      </c>
      <c r="J10" s="82">
        <f>Main!D46</f>
        <v>0</v>
      </c>
      <c r="K10" s="83" t="str">
        <f>Main!B46</f>
        <v/>
      </c>
      <c r="L10" s="83">
        <f>Main!E46</f>
        <v>0</v>
      </c>
      <c r="M10" s="83">
        <f>Main!F46</f>
        <v>0</v>
      </c>
      <c r="N10" s="83">
        <f>IF(Main!B46=3,"BOSS",Main!G46)</f>
        <v>0</v>
      </c>
      <c r="O10" s="82" t="e">
        <f>(INDEX('SF Data'!$F:$F,MATCH(Main!C46,'SF Data'!$B:$B,0))&amp;"0"&amp;M10)*1</f>
        <v>#N/A</v>
      </c>
      <c r="P10" s="83" t="e">
        <f>IF(N10="BOSS",100,INDEX($B$8:$G$8,MATCH(N10,$B$7:$G$7,0))*INDEX('SF Data'!P:P,MATCH(Main!C46,'SF Data'!B:B,0))/100)</f>
        <v>#N/A</v>
      </c>
      <c r="Q10" s="83" t="e">
        <f>INDEX('SF Data'!J:J,MATCH(Main!C46,'SF Data'!B:B,0))</f>
        <v>#N/A</v>
      </c>
      <c r="R10" s="83" t="e">
        <f t="shared" si="2"/>
        <v>#N/A</v>
      </c>
      <c r="S10" s="83" t="e">
        <f>INDEX($B$3:$B$5,Main!$B46)</f>
        <v>#VALUE!</v>
      </c>
      <c r="T10" s="83" t="e">
        <f>INDEX('SF Resolution'!E:E,MATCH(O10,'SF Resolution'!A:A,0))</f>
        <v>#N/A</v>
      </c>
      <c r="U10" s="83" t="e">
        <f>INDEX('SF Data'!E:E,MATCH(Main!C46,'SF Data'!B:B,0))</f>
        <v>#N/A</v>
      </c>
      <c r="V10" s="84" t="e">
        <f>INDEX('SF Resolution'!F:F,MATCH(O10,'SF Resolution'!A:A,0))</f>
        <v>#N/A</v>
      </c>
      <c r="X10" s="147" t="e">
        <f t="shared" si="0"/>
        <v>#N/A</v>
      </c>
      <c r="Y10" s="150"/>
      <c r="Z10" s="150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3">
        <f t="shared" si="1"/>
        <v>9</v>
      </c>
      <c r="J11" s="89">
        <f>Main!D47</f>
        <v>0</v>
      </c>
      <c r="K11" s="90" t="str">
        <f>Main!B47</f>
        <v/>
      </c>
      <c r="L11" s="90">
        <f>Main!E47</f>
        <v>0</v>
      </c>
      <c r="M11" s="90">
        <f>Main!F47</f>
        <v>0</v>
      </c>
      <c r="N11" s="90">
        <f>IF(Main!B47=3,"BOSS",Main!G47)</f>
        <v>0</v>
      </c>
      <c r="O11" s="89" t="e">
        <f>(INDEX('SF Data'!$F:$F,MATCH(Main!C47,'SF Data'!$B:$B,0))&amp;"0"&amp;M11)*1</f>
        <v>#N/A</v>
      </c>
      <c r="P11" s="90" t="e">
        <f>IF(N11="BOSS",100,INDEX($B$8:$G$8,MATCH(N11,$B$7:$G$7,0))*INDEX('SF Data'!P:P,MATCH(Main!C47,'SF Data'!B:B,0))/100)</f>
        <v>#N/A</v>
      </c>
      <c r="Q11" s="90" t="e">
        <f>INDEX('SF Data'!J:J,MATCH(Main!C47,'SF Data'!B:B,0))</f>
        <v>#N/A</v>
      </c>
      <c r="R11" s="90" t="e">
        <f t="shared" si="2"/>
        <v>#N/A</v>
      </c>
      <c r="S11" s="90" t="e">
        <f>INDEX($B$3:$B$5,Main!$B47)</f>
        <v>#VALUE!</v>
      </c>
      <c r="T11" s="90" t="e">
        <f>INDEX('SF Resolution'!E:E,MATCH(O11,'SF Resolution'!A:A,0))</f>
        <v>#N/A</v>
      </c>
      <c r="U11" s="90" t="e">
        <f>INDEX('SF Data'!E:E,MATCH(Main!C47,'SF Data'!B:B,0))</f>
        <v>#N/A</v>
      </c>
      <c r="V11" s="91" t="e">
        <f>INDEX('SF Resolution'!F:F,MATCH(O11,'SF Resolution'!A:A,0))</f>
        <v>#N/A</v>
      </c>
      <c r="X11" s="148" t="e">
        <f t="shared" si="0"/>
        <v>#N/A</v>
      </c>
      <c r="Y11" s="150"/>
      <c r="Z11" s="150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 s="151">
        <v>10</v>
      </c>
      <c r="J12" s="75">
        <f>Main!D66</f>
        <v>100</v>
      </c>
      <c r="K12" s="76">
        <v>3</v>
      </c>
      <c r="L12" s="76">
        <f>Main!E66</f>
        <v>5</v>
      </c>
      <c r="M12" s="76">
        <f>Main!F66</f>
        <v>4</v>
      </c>
      <c r="N12" s="76" t="s">
        <v>1094</v>
      </c>
      <c r="O12" s="75">
        <f>(INDEX('SF Data'!$F:$F,MATCH(Main!C66,'SF Data'!$B:$B,0))&amp;"0"&amp;M12)*1</f>
        <v>10604</v>
      </c>
      <c r="P12" s="76">
        <v>100</v>
      </c>
      <c r="Q12" s="76">
        <f>INDEX('SF Data'!J:J,MATCH(Main!C66,'SF Data'!B:B,0))</f>
        <v>110</v>
      </c>
      <c r="R12" s="76">
        <f t="shared" ref="R12:R16" si="3">INDEX($B$11:$B$15,MATCH(MAX(K12,L12),$A$11:$A$15,0))</f>
        <v>120</v>
      </c>
      <c r="S12" s="76">
        <f>INDEX($B$3:$B$5,3)</f>
        <v>4.79</v>
      </c>
      <c r="T12" s="76">
        <f>INDEX('SF Resolution'!E:E,MATCH(O12,'SF Resolution'!A:A,0))</f>
        <v>1</v>
      </c>
      <c r="U12" s="76">
        <f>INDEX('SF Data'!E:E,MATCH(Main!C66,'SF Data'!B:B,0))</f>
        <v>1</v>
      </c>
      <c r="V12" s="77">
        <f>INDEX('SF Resolution'!F:F,MATCH(O12,'SF Resolution'!A:A,0))</f>
        <v>384</v>
      </c>
      <c r="X12" s="234">
        <f t="shared" ref="X12:X16" si="4">_xlfn.CEILING.MATH(P12*Q12*R12*(J12+40-1)*S12*T12/U12/1000000,1)+V12*T12</f>
        <v>1263</v>
      </c>
      <c r="Y12" s="150"/>
      <c r="Z12" s="150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 s="152">
        <v>11</v>
      </c>
      <c r="J13" s="82">
        <f>Main!D67</f>
        <v>100</v>
      </c>
      <c r="K13" s="83">
        <v>3</v>
      </c>
      <c r="L13" s="83">
        <f>Main!E67</f>
        <v>5</v>
      </c>
      <c r="M13" s="83">
        <f>Main!F67</f>
        <v>4</v>
      </c>
      <c r="N13" s="83" t="s">
        <v>1094</v>
      </c>
      <c r="O13" s="82">
        <f>(INDEX('SF Data'!$F:$F,MATCH(Main!C67,'SF Data'!$B:$B,0))&amp;"0"&amp;M13)*1</f>
        <v>10504</v>
      </c>
      <c r="P13" s="83">
        <v>100</v>
      </c>
      <c r="Q13" s="83">
        <f>INDEX('SF Data'!J:J,MATCH(Main!C67,'SF Data'!B:B,0))</f>
        <v>110</v>
      </c>
      <c r="R13" s="83">
        <f t="shared" si="3"/>
        <v>120</v>
      </c>
      <c r="S13" s="83">
        <f t="shared" ref="S13:S16" si="5">INDEX($B$3:$B$5,3)</f>
        <v>4.79</v>
      </c>
      <c r="T13" s="83">
        <f>INDEX('SF Resolution'!E:E,MATCH(O13,'SF Resolution'!A:A,0))</f>
        <v>1</v>
      </c>
      <c r="U13" s="83">
        <f>INDEX('SF Data'!E:E,MATCH(Main!C67,'SF Data'!B:B,0))</f>
        <v>1</v>
      </c>
      <c r="V13" s="84">
        <f>INDEX('SF Resolution'!F:F,MATCH(O13,'SF Resolution'!A:A,0))</f>
        <v>384</v>
      </c>
      <c r="X13" s="147">
        <f t="shared" si="4"/>
        <v>1263</v>
      </c>
      <c r="Y13" s="150"/>
      <c r="Z13" s="150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52">
        <v>12</v>
      </c>
      <c r="J14" s="82">
        <f>Main!D68</f>
        <v>100</v>
      </c>
      <c r="K14" s="83">
        <v>3</v>
      </c>
      <c r="L14" s="83">
        <f>Main!E68</f>
        <v>5</v>
      </c>
      <c r="M14" s="83">
        <f>Main!F68</f>
        <v>4</v>
      </c>
      <c r="N14" s="83" t="s">
        <v>1094</v>
      </c>
      <c r="O14" s="82">
        <f>(INDEX('SF Data'!$F:$F,MATCH(Main!C68,'SF Data'!$B:$B,0))&amp;"0"&amp;M14)*1</f>
        <v>10904</v>
      </c>
      <c r="P14" s="83">
        <v>100</v>
      </c>
      <c r="Q14" s="83">
        <f>INDEX('SF Data'!J:J,MATCH(Main!C68,'SF Data'!B:B,0))</f>
        <v>95</v>
      </c>
      <c r="R14" s="83">
        <f t="shared" si="3"/>
        <v>120</v>
      </c>
      <c r="S14" s="83">
        <f t="shared" si="5"/>
        <v>4.79</v>
      </c>
      <c r="T14" s="83">
        <f>INDEX('SF Resolution'!E:E,MATCH(O14,'SF Resolution'!A:A,0))</f>
        <v>1</v>
      </c>
      <c r="U14" s="83">
        <f>INDEX('SF Data'!E:E,MATCH(Main!C68,'SF Data'!B:B,0))</f>
        <v>1</v>
      </c>
      <c r="V14" s="84">
        <f>INDEX('SF Resolution'!F:F,MATCH(O14,'SF Resolution'!A:A,0))</f>
        <v>331</v>
      </c>
      <c r="X14" s="147">
        <f t="shared" si="4"/>
        <v>1091</v>
      </c>
      <c r="Y14" s="150"/>
      <c r="Z14" s="150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 s="152">
        <v>13</v>
      </c>
      <c r="J15" s="82">
        <f>Main!D69</f>
        <v>100</v>
      </c>
      <c r="K15" s="83">
        <v>3</v>
      </c>
      <c r="L15" s="83">
        <f>Main!E69</f>
        <v>5</v>
      </c>
      <c r="M15" s="83">
        <f>Main!F69</f>
        <v>4</v>
      </c>
      <c r="N15" s="83" t="s">
        <v>1094</v>
      </c>
      <c r="O15" s="82">
        <f>(INDEX('SF Data'!$F:$F,MATCH(Main!C69,'SF Data'!$B:$B,0))&amp;"0"&amp;M15)*1</f>
        <v>11404</v>
      </c>
      <c r="P15" s="83">
        <v>100</v>
      </c>
      <c r="Q15" s="83">
        <f>INDEX('SF Data'!J:J,MATCH(Main!C69,'SF Data'!B:B,0))</f>
        <v>105</v>
      </c>
      <c r="R15" s="83">
        <f t="shared" si="3"/>
        <v>120</v>
      </c>
      <c r="S15" s="83">
        <f t="shared" si="5"/>
        <v>4.79</v>
      </c>
      <c r="T15" s="83">
        <f>INDEX('SF Resolution'!E:E,MATCH(O15,'SF Resolution'!A:A,0))</f>
        <v>1</v>
      </c>
      <c r="U15" s="83">
        <f>INDEX('SF Data'!E:E,MATCH(Main!C69,'SF Data'!B:B,0))</f>
        <v>1</v>
      </c>
      <c r="V15" s="84">
        <f>INDEX('SF Resolution'!F:F,MATCH(O15,'SF Resolution'!A:A,0))</f>
        <v>366</v>
      </c>
      <c r="X15" s="147">
        <f t="shared" si="4"/>
        <v>1205</v>
      </c>
      <c r="Y15" s="29"/>
    </row>
    <row r="16" spans="1:26" x14ac:dyDescent="0.25">
      <c r="I16" s="153">
        <v>14</v>
      </c>
      <c r="J16" s="89">
        <f>Main!D70</f>
        <v>100</v>
      </c>
      <c r="K16" s="90">
        <v>3</v>
      </c>
      <c r="L16" s="90">
        <f>Main!E70</f>
        <v>5</v>
      </c>
      <c r="M16" s="90">
        <f>Main!F70</f>
        <v>4</v>
      </c>
      <c r="N16" s="90" t="s">
        <v>1094</v>
      </c>
      <c r="O16" s="89">
        <f>(INDEX('SF Data'!$F:$F,MATCH(Main!C70,'SF Data'!$B:$B,0))&amp;"0"&amp;M16)*1</f>
        <v>11304</v>
      </c>
      <c r="P16" s="90">
        <v>100</v>
      </c>
      <c r="Q16" s="90">
        <f>INDEX('SF Data'!J:J,MATCH(Main!C70,'SF Data'!B:B,0))</f>
        <v>90</v>
      </c>
      <c r="R16" s="90">
        <f t="shared" si="3"/>
        <v>120</v>
      </c>
      <c r="S16" s="90">
        <f t="shared" si="5"/>
        <v>4.79</v>
      </c>
      <c r="T16" s="90">
        <f>INDEX('SF Resolution'!E:E,MATCH(O16,'SF Resolution'!A:A,0))</f>
        <v>1</v>
      </c>
      <c r="U16" s="90">
        <f>INDEX('SF Data'!E:E,MATCH(Main!C70,'SF Data'!B:B,0))</f>
        <v>1</v>
      </c>
      <c r="V16" s="91">
        <f>INDEX('SF Resolution'!F:F,MATCH(O16,'SF Resolution'!A:A,0))</f>
        <v>313</v>
      </c>
      <c r="X16" s="148">
        <f t="shared" si="4"/>
        <v>1033</v>
      </c>
      <c r="Y16" s="29"/>
    </row>
    <row r="17" spans="1:25" x14ac:dyDescent="0.25">
      <c r="A17" s="10" t="s">
        <v>1122</v>
      </c>
      <c r="T17" s="19"/>
      <c r="U17" s="11"/>
      <c r="X17" s="1"/>
      <c r="Y17" s="29"/>
    </row>
    <row r="18" spans="1:25" x14ac:dyDescent="0.25">
      <c r="A18" s="157" t="s">
        <v>1123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326</v>
      </c>
      <c r="C1" s="105" t="s">
        <v>61</v>
      </c>
      <c r="D1" s="43" t="s">
        <v>589</v>
      </c>
      <c r="E1" s="105" t="s">
        <v>640</v>
      </c>
      <c r="F1" s="105" t="s">
        <v>641</v>
      </c>
      <c r="G1" s="105" t="s">
        <v>642</v>
      </c>
      <c r="H1" s="105" t="s">
        <v>643</v>
      </c>
      <c r="I1" s="105" t="s">
        <v>644</v>
      </c>
      <c r="J1" s="105" t="s">
        <v>316</v>
      </c>
      <c r="K1" s="105" t="s">
        <v>591</v>
      </c>
    </row>
    <row r="2" spans="1:11" x14ac:dyDescent="0.25">
      <c r="A2" s="1">
        <v>9</v>
      </c>
      <c r="B2" t="s">
        <v>652</v>
      </c>
      <c r="C2" s="1">
        <v>4</v>
      </c>
      <c r="D2" t="s">
        <v>600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631</v>
      </c>
      <c r="C3" s="1">
        <v>2</v>
      </c>
      <c r="D3" t="s">
        <v>632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646</v>
      </c>
      <c r="C4" s="1">
        <v>3</v>
      </c>
      <c r="D4" t="s">
        <v>594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651</v>
      </c>
      <c r="C5" s="1">
        <v>4</v>
      </c>
      <c r="D5" t="s">
        <v>599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668</v>
      </c>
      <c r="C6" s="1">
        <v>6</v>
      </c>
      <c r="D6" t="s">
        <v>620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947</v>
      </c>
      <c r="C7" s="1">
        <v>3</v>
      </c>
      <c r="D7" t="s">
        <v>617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664</v>
      </c>
      <c r="C8" s="1">
        <v>6</v>
      </c>
      <c r="D8" t="s">
        <v>615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670</v>
      </c>
      <c r="C9" s="1">
        <v>2</v>
      </c>
      <c r="D9" t="s">
        <v>622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626</v>
      </c>
      <c r="C10" s="1">
        <v>3</v>
      </c>
      <c r="D10" t="s">
        <v>627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665</v>
      </c>
      <c r="C11" s="1">
        <v>6</v>
      </c>
      <c r="D11" t="s">
        <v>616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658</v>
      </c>
      <c r="C12" s="1">
        <v>1</v>
      </c>
      <c r="D12" t="s">
        <v>607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657</v>
      </c>
      <c r="C13" s="1">
        <v>6</v>
      </c>
      <c r="D13" t="s">
        <v>606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662</v>
      </c>
      <c r="C14" s="1">
        <v>2</v>
      </c>
      <c r="D14" t="s">
        <v>611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648</v>
      </c>
      <c r="C15" s="1">
        <v>5</v>
      </c>
      <c r="D15" t="s">
        <v>596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669</v>
      </c>
      <c r="C16" s="1">
        <v>6</v>
      </c>
      <c r="D16" t="s">
        <v>621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663</v>
      </c>
      <c r="C17" s="1">
        <v>2</v>
      </c>
      <c r="D17" t="s">
        <v>612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645</v>
      </c>
      <c r="C18" s="1">
        <v>2</v>
      </c>
      <c r="D18" t="s">
        <v>593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661</v>
      </c>
      <c r="C19" s="1">
        <v>2</v>
      </c>
      <c r="D19" t="s">
        <v>610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660</v>
      </c>
      <c r="C20" s="1">
        <v>1</v>
      </c>
      <c r="D20" t="s">
        <v>609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624</v>
      </c>
      <c r="C21" s="1">
        <v>6</v>
      </c>
      <c r="D21" t="s">
        <v>625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1702</v>
      </c>
      <c r="C22" s="1">
        <v>2</v>
      </c>
      <c r="D22" t="s">
        <v>1703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603</v>
      </c>
      <c r="C23" s="1">
        <v>6</v>
      </c>
      <c r="D23" t="s">
        <v>604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613</v>
      </c>
      <c r="C24" s="1">
        <v>6</v>
      </c>
      <c r="D24" t="s">
        <v>614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654</v>
      </c>
      <c r="C25" s="1">
        <v>5</v>
      </c>
      <c r="D25" t="s">
        <v>602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672</v>
      </c>
      <c r="C26" s="1">
        <v>2</v>
      </c>
      <c r="D26" t="s">
        <v>630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667</v>
      </c>
      <c r="C27" s="1">
        <v>1</v>
      </c>
      <c r="D27" t="s">
        <v>619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653</v>
      </c>
      <c r="C28" s="1">
        <v>5</v>
      </c>
      <c r="D28" t="s">
        <v>601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659</v>
      </c>
      <c r="C29" s="1">
        <v>1</v>
      </c>
      <c r="D29" t="s">
        <v>608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656</v>
      </c>
      <c r="C30" s="1">
        <v>6</v>
      </c>
      <c r="D30" t="s">
        <v>605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239</v>
      </c>
      <c r="C31" s="1">
        <v>4</v>
      </c>
      <c r="D31" t="s">
        <v>623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673</v>
      </c>
      <c r="C32" s="1">
        <v>2</v>
      </c>
      <c r="D32" t="s">
        <v>629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647</v>
      </c>
      <c r="C33" s="1">
        <v>3</v>
      </c>
      <c r="D33" t="s">
        <v>595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650</v>
      </c>
      <c r="C34" s="1">
        <v>4</v>
      </c>
      <c r="D34" t="s">
        <v>598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671</v>
      </c>
      <c r="C35" s="1">
        <v>6</v>
      </c>
      <c r="D35" t="s">
        <v>628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649</v>
      </c>
      <c r="C36" s="1">
        <v>3</v>
      </c>
      <c r="D36" t="s">
        <v>597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666</v>
      </c>
      <c r="C37" s="1">
        <v>3</v>
      </c>
      <c r="D37" t="s">
        <v>618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655</v>
      </c>
      <c r="C38" s="1">
        <v>2</v>
      </c>
      <c r="D38" t="s">
        <v>592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1816</v>
      </c>
      <c r="C39" s="1">
        <v>6</v>
      </c>
      <c r="D39" t="s">
        <v>1817</v>
      </c>
      <c r="E39" s="109">
        <v>0</v>
      </c>
      <c r="F39" s="109">
        <v>100</v>
      </c>
      <c r="G39" s="109">
        <v>200</v>
      </c>
      <c r="H39" s="109">
        <v>350</v>
      </c>
      <c r="I39" s="10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588</v>
      </c>
      <c r="B1" s="43" t="s">
        <v>708</v>
      </c>
      <c r="C1" s="43" t="s">
        <v>709</v>
      </c>
    </row>
    <row r="2" spans="1:3" x14ac:dyDescent="0.25">
      <c r="A2" t="s">
        <v>678</v>
      </c>
      <c r="B2" s="1">
        <v>910103</v>
      </c>
      <c r="C2" t="s">
        <v>679</v>
      </c>
    </row>
    <row r="3" spans="1:3" x14ac:dyDescent="0.25">
      <c r="A3" t="s">
        <v>680</v>
      </c>
      <c r="B3" s="1">
        <v>910104</v>
      </c>
      <c r="C3" t="s">
        <v>681</v>
      </c>
    </row>
    <row r="4" spans="1:3" x14ac:dyDescent="0.25">
      <c r="A4" t="s">
        <v>698</v>
      </c>
      <c r="B4" s="1">
        <v>910113</v>
      </c>
      <c r="C4" t="s">
        <v>699</v>
      </c>
    </row>
    <row r="5" spans="1:3" x14ac:dyDescent="0.25">
      <c r="A5" t="s">
        <v>686</v>
      </c>
      <c r="B5" s="1">
        <v>910107</v>
      </c>
      <c r="C5" t="s">
        <v>687</v>
      </c>
    </row>
    <row r="6" spans="1:3" x14ac:dyDescent="0.25">
      <c r="A6" t="s">
        <v>688</v>
      </c>
      <c r="B6" s="1">
        <v>910108</v>
      </c>
      <c r="C6" t="s">
        <v>689</v>
      </c>
    </row>
    <row r="7" spans="1:3" x14ac:dyDescent="0.25">
      <c r="A7" t="s">
        <v>696</v>
      </c>
      <c r="B7" s="1">
        <v>910112</v>
      </c>
      <c r="C7" t="s">
        <v>697</v>
      </c>
    </row>
    <row r="8" spans="1:3" x14ac:dyDescent="0.25">
      <c r="A8" t="s">
        <v>694</v>
      </c>
      <c r="B8" s="1">
        <v>910111</v>
      </c>
      <c r="C8" t="s">
        <v>695</v>
      </c>
    </row>
    <row r="9" spans="1:3" x14ac:dyDescent="0.25">
      <c r="A9" t="s">
        <v>690</v>
      </c>
      <c r="B9" s="1">
        <v>910109</v>
      </c>
      <c r="C9" t="s">
        <v>691</v>
      </c>
    </row>
    <row r="10" spans="1:3" x14ac:dyDescent="0.25">
      <c r="A10" t="s">
        <v>692</v>
      </c>
      <c r="B10" s="1">
        <v>910110</v>
      </c>
      <c r="C10" t="s">
        <v>693</v>
      </c>
    </row>
    <row r="11" spans="1:3" x14ac:dyDescent="0.25">
      <c r="A11" t="s">
        <v>674</v>
      </c>
      <c r="B11" s="1">
        <v>910101</v>
      </c>
      <c r="C11" t="s">
        <v>675</v>
      </c>
    </row>
    <row r="12" spans="1:3" x14ac:dyDescent="0.25">
      <c r="A12" t="s">
        <v>676</v>
      </c>
      <c r="B12" s="1">
        <v>910102</v>
      </c>
      <c r="C12" t="s">
        <v>677</v>
      </c>
    </row>
    <row r="13" spans="1:3" x14ac:dyDescent="0.25">
      <c r="A13" t="s">
        <v>682</v>
      </c>
      <c r="B13" s="1">
        <v>910105</v>
      </c>
      <c r="C13" t="s">
        <v>683</v>
      </c>
    </row>
    <row r="14" spans="1:3" x14ac:dyDescent="0.25">
      <c r="A14" t="s">
        <v>684</v>
      </c>
      <c r="B14" s="1">
        <v>910106</v>
      </c>
      <c r="C14" t="s">
        <v>685</v>
      </c>
    </row>
    <row r="15" spans="1:3" x14ac:dyDescent="0.25">
      <c r="A15" t="s">
        <v>706</v>
      </c>
      <c r="B15" s="1">
        <v>910117</v>
      </c>
      <c r="C15" t="s">
        <v>707</v>
      </c>
    </row>
    <row r="16" spans="1:3" x14ac:dyDescent="0.25">
      <c r="A16" t="s">
        <v>704</v>
      </c>
      <c r="B16" s="1">
        <v>910116</v>
      </c>
      <c r="C16" t="s">
        <v>705</v>
      </c>
    </row>
    <row r="17" spans="1:3" x14ac:dyDescent="0.25">
      <c r="A17" t="s">
        <v>700</v>
      </c>
      <c r="B17" s="1">
        <v>910114</v>
      </c>
      <c r="C17" t="s">
        <v>701</v>
      </c>
    </row>
    <row r="18" spans="1:3" x14ac:dyDescent="0.25">
      <c r="A18" t="s">
        <v>702</v>
      </c>
      <c r="B18" s="1">
        <v>910115</v>
      </c>
      <c r="C18" t="s">
        <v>703</v>
      </c>
    </row>
    <row r="19" spans="1:3" x14ac:dyDescent="0.25">
      <c r="A19" t="s">
        <v>668</v>
      </c>
      <c r="B19" s="109">
        <v>910124</v>
      </c>
      <c r="C19" t="s">
        <v>1010</v>
      </c>
    </row>
    <row r="20" spans="1:3" x14ac:dyDescent="0.25">
      <c r="A20" t="s">
        <v>664</v>
      </c>
      <c r="B20" s="109">
        <v>910122</v>
      </c>
      <c r="C20" t="s">
        <v>1010</v>
      </c>
    </row>
    <row r="21" spans="1:3" x14ac:dyDescent="0.25">
      <c r="A21" t="s">
        <v>1008</v>
      </c>
      <c r="B21" s="109">
        <v>902385</v>
      </c>
      <c r="C21" t="s">
        <v>1010</v>
      </c>
    </row>
    <row r="22" spans="1:3" x14ac:dyDescent="0.25">
      <c r="A22" t="s">
        <v>662</v>
      </c>
      <c r="B22" s="109">
        <v>910119</v>
      </c>
      <c r="C22" t="s">
        <v>1010</v>
      </c>
    </row>
    <row r="23" spans="1:3" x14ac:dyDescent="0.25">
      <c r="A23" t="s">
        <v>663</v>
      </c>
      <c r="B23" s="109">
        <v>910120</v>
      </c>
      <c r="C23" t="s">
        <v>1010</v>
      </c>
    </row>
    <row r="24" spans="1:3" x14ac:dyDescent="0.25">
      <c r="A24" t="s">
        <v>661</v>
      </c>
      <c r="B24" s="109">
        <v>910118</v>
      </c>
      <c r="C24" t="s">
        <v>1010</v>
      </c>
    </row>
    <row r="25" spans="1:3" x14ac:dyDescent="0.25">
      <c r="A25" t="s">
        <v>1007</v>
      </c>
      <c r="B25" s="109">
        <v>900906</v>
      </c>
      <c r="C25" t="s">
        <v>1010</v>
      </c>
    </row>
    <row r="26" spans="1:3" x14ac:dyDescent="0.25">
      <c r="A26" t="s">
        <v>1009</v>
      </c>
      <c r="B26" s="109">
        <v>910121</v>
      </c>
      <c r="C26" t="s">
        <v>1010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794</v>
      </c>
      <c r="B1" s="43" t="s">
        <v>963</v>
      </c>
      <c r="C1" s="43" t="s">
        <v>964</v>
      </c>
      <c r="E1" s="43"/>
      <c r="F1" s="43"/>
      <c r="G1" s="43"/>
    </row>
    <row r="2" spans="1:7" x14ac:dyDescent="0.25">
      <c r="A2" s="9" t="s">
        <v>654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965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966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967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1799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668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X230"/>
  <sheetViews>
    <sheetView workbookViewId="0">
      <pane ySplit="1" topLeftCell="A208" activePane="bottomLeft" state="frozen"/>
      <selection activeCell="AV3" sqref="AV3"/>
      <selection pane="bottomLeft" activeCell="AV3" sqref="AV3"/>
    </sheetView>
  </sheetViews>
  <sheetFormatPr defaultRowHeight="15" x14ac:dyDescent="0.25"/>
  <cols>
    <col min="2" max="2" width="19.28515625" bestFit="1" customWidth="1"/>
    <col min="3" max="5" width="9.140625" customWidth="1"/>
    <col min="6" max="22" width="9.140625" style="1" customWidth="1"/>
    <col min="23" max="23" width="9.140625" customWidth="1"/>
  </cols>
  <sheetData>
    <row r="1" spans="1:24" x14ac:dyDescent="0.25">
      <c r="A1" s="43" t="s">
        <v>25</v>
      </c>
      <c r="B1" s="43" t="s">
        <v>326</v>
      </c>
      <c r="C1" s="43" t="s">
        <v>222</v>
      </c>
      <c r="D1" s="43" t="s">
        <v>316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317</v>
      </c>
      <c r="J1" s="43" t="s">
        <v>40</v>
      </c>
      <c r="K1" s="43" t="s">
        <v>318</v>
      </c>
      <c r="L1" s="43" t="s">
        <v>319</v>
      </c>
      <c r="M1" s="43" t="s">
        <v>223</v>
      </c>
      <c r="N1" s="43" t="s">
        <v>282</v>
      </c>
      <c r="O1" s="43" t="s">
        <v>320</v>
      </c>
      <c r="P1" s="43" t="s">
        <v>321</v>
      </c>
      <c r="Q1" s="43" t="s">
        <v>322</v>
      </c>
      <c r="R1" s="43" t="s">
        <v>323</v>
      </c>
      <c r="S1" s="43" t="s">
        <v>324</v>
      </c>
      <c r="T1" s="43" t="s">
        <v>325</v>
      </c>
      <c r="U1" s="43" t="s">
        <v>327</v>
      </c>
      <c r="V1" s="43" t="s">
        <v>328</v>
      </c>
      <c r="W1" s="43" t="s">
        <v>1563</v>
      </c>
      <c r="X1" s="43"/>
    </row>
    <row r="2" spans="1:24" x14ac:dyDescent="0.25">
      <c r="A2" s="1">
        <v>1</v>
      </c>
      <c r="B2" t="s">
        <v>524</v>
      </c>
      <c r="C2" s="1">
        <v>2</v>
      </c>
      <c r="D2" s="1">
        <v>1</v>
      </c>
      <c r="E2" s="1">
        <v>1</v>
      </c>
      <c r="F2" s="1" t="s">
        <v>333</v>
      </c>
      <c r="G2" s="1" t="s">
        <v>333</v>
      </c>
      <c r="H2" s="1" t="s">
        <v>333</v>
      </c>
      <c r="I2" s="1" t="s">
        <v>333</v>
      </c>
      <c r="J2" s="1" t="s">
        <v>333</v>
      </c>
      <c r="K2" s="1" t="s">
        <v>333</v>
      </c>
      <c r="L2" s="1" t="s">
        <v>329</v>
      </c>
      <c r="M2" s="1" t="s">
        <v>333</v>
      </c>
      <c r="N2" s="1" t="s">
        <v>333</v>
      </c>
      <c r="O2" s="1" t="s">
        <v>333</v>
      </c>
      <c r="P2" s="1" t="s">
        <v>333</v>
      </c>
      <c r="Q2" s="1" t="s">
        <v>333</v>
      </c>
      <c r="R2" s="1" t="s">
        <v>333</v>
      </c>
      <c r="S2" s="1" t="s">
        <v>333</v>
      </c>
      <c r="T2" s="1">
        <v>0</v>
      </c>
      <c r="U2" s="1">
        <v>300</v>
      </c>
      <c r="V2" s="1" t="s">
        <v>333</v>
      </c>
      <c r="W2" t="s">
        <v>333</v>
      </c>
    </row>
    <row r="3" spans="1:24" x14ac:dyDescent="0.25">
      <c r="A3" s="1">
        <v>2</v>
      </c>
      <c r="B3" t="s">
        <v>525</v>
      </c>
      <c r="C3" s="1">
        <v>3</v>
      </c>
      <c r="D3" s="1">
        <v>1</v>
      </c>
      <c r="E3" s="1">
        <v>1</v>
      </c>
      <c r="F3" s="1" t="s">
        <v>333</v>
      </c>
      <c r="G3" s="1" t="s">
        <v>333</v>
      </c>
      <c r="H3" s="1" t="s">
        <v>333</v>
      </c>
      <c r="I3" s="1" t="s">
        <v>333</v>
      </c>
      <c r="J3" s="1" t="s">
        <v>333</v>
      </c>
      <c r="K3" s="1" t="s">
        <v>333</v>
      </c>
      <c r="L3" s="1" t="s">
        <v>330</v>
      </c>
      <c r="M3" s="1" t="s">
        <v>333</v>
      </c>
      <c r="N3" s="1" t="s">
        <v>333</v>
      </c>
      <c r="O3" s="1" t="s">
        <v>333</v>
      </c>
      <c r="P3" s="1" t="s">
        <v>333</v>
      </c>
      <c r="Q3" s="1" t="s">
        <v>333</v>
      </c>
      <c r="R3" s="1" t="s">
        <v>333</v>
      </c>
      <c r="S3" s="1" t="s">
        <v>333</v>
      </c>
      <c r="T3" s="1">
        <v>0</v>
      </c>
      <c r="U3" s="1">
        <v>1200</v>
      </c>
      <c r="V3" s="1" t="s">
        <v>333</v>
      </c>
      <c r="W3" t="s">
        <v>1564</v>
      </c>
    </row>
    <row r="4" spans="1:24" x14ac:dyDescent="0.25">
      <c r="A4" s="1">
        <v>3</v>
      </c>
      <c r="B4" t="s">
        <v>526</v>
      </c>
      <c r="C4" s="1">
        <v>4</v>
      </c>
      <c r="D4" s="1">
        <v>1</v>
      </c>
      <c r="E4" s="1">
        <v>1</v>
      </c>
      <c r="F4" s="1" t="s">
        <v>333</v>
      </c>
      <c r="G4" s="1" t="s">
        <v>333</v>
      </c>
      <c r="H4" s="1" t="s">
        <v>333</v>
      </c>
      <c r="I4" s="1" t="s">
        <v>333</v>
      </c>
      <c r="J4" s="1" t="s">
        <v>333</v>
      </c>
      <c r="K4" s="1" t="s">
        <v>333</v>
      </c>
      <c r="L4" s="1" t="s">
        <v>331</v>
      </c>
      <c r="M4" s="1" t="s">
        <v>333</v>
      </c>
      <c r="N4" s="1" t="s">
        <v>333</v>
      </c>
      <c r="O4" s="1" t="s">
        <v>333</v>
      </c>
      <c r="P4" s="1" t="s">
        <v>333</v>
      </c>
      <c r="Q4" s="1" t="s">
        <v>333</v>
      </c>
      <c r="R4" s="1" t="s">
        <v>333</v>
      </c>
      <c r="S4" s="1" t="s">
        <v>333</v>
      </c>
      <c r="T4" s="1">
        <v>0</v>
      </c>
      <c r="U4" s="1">
        <v>2100</v>
      </c>
      <c r="V4" s="1" t="s">
        <v>333</v>
      </c>
      <c r="W4" t="s">
        <v>1564</v>
      </c>
    </row>
    <row r="5" spans="1:24" x14ac:dyDescent="0.25">
      <c r="A5" s="1">
        <v>4</v>
      </c>
      <c r="B5" t="s">
        <v>527</v>
      </c>
      <c r="C5" s="1">
        <v>5</v>
      </c>
      <c r="D5" s="1">
        <v>1</v>
      </c>
      <c r="E5" s="1">
        <v>1</v>
      </c>
      <c r="F5" s="1" t="s">
        <v>333</v>
      </c>
      <c r="G5" s="1" t="s">
        <v>333</v>
      </c>
      <c r="H5" s="1" t="s">
        <v>333</v>
      </c>
      <c r="I5" s="1" t="s">
        <v>333</v>
      </c>
      <c r="J5" s="1" t="s">
        <v>333</v>
      </c>
      <c r="K5" s="1" t="s">
        <v>333</v>
      </c>
      <c r="L5" s="1" t="s">
        <v>332</v>
      </c>
      <c r="M5" s="1" t="s">
        <v>333</v>
      </c>
      <c r="N5" s="1" t="s">
        <v>333</v>
      </c>
      <c r="O5" s="1" t="s">
        <v>333</v>
      </c>
      <c r="P5" s="1" t="s">
        <v>333</v>
      </c>
      <c r="Q5" s="1" t="s">
        <v>333</v>
      </c>
      <c r="R5" s="1" t="s">
        <v>333</v>
      </c>
      <c r="S5" s="1" t="s">
        <v>333</v>
      </c>
      <c r="T5" s="1">
        <v>0</v>
      </c>
      <c r="U5" s="1">
        <v>2700</v>
      </c>
      <c r="V5" s="1" t="s">
        <v>333</v>
      </c>
      <c r="W5" t="s">
        <v>1564</v>
      </c>
    </row>
    <row r="6" spans="1:24" x14ac:dyDescent="0.25">
      <c r="A6" s="1">
        <v>5</v>
      </c>
      <c r="B6" t="s">
        <v>528</v>
      </c>
      <c r="C6" s="1">
        <v>2</v>
      </c>
      <c r="D6" s="1">
        <v>1</v>
      </c>
      <c r="E6" s="1">
        <v>2</v>
      </c>
      <c r="F6" s="1" t="s">
        <v>334</v>
      </c>
      <c r="G6" s="1" t="s">
        <v>334</v>
      </c>
      <c r="H6" s="1" t="s">
        <v>333</v>
      </c>
      <c r="I6" s="1" t="s">
        <v>333</v>
      </c>
      <c r="J6" s="1" t="s">
        <v>335</v>
      </c>
      <c r="K6" s="1" t="s">
        <v>333</v>
      </c>
      <c r="L6" s="1" t="s">
        <v>333</v>
      </c>
      <c r="M6" s="1" t="s">
        <v>333</v>
      </c>
      <c r="N6" s="1" t="s">
        <v>333</v>
      </c>
      <c r="O6" s="1" t="s">
        <v>333</v>
      </c>
      <c r="P6" s="1" t="s">
        <v>333</v>
      </c>
      <c r="Q6" s="1" t="s">
        <v>333</v>
      </c>
      <c r="R6" s="1" t="s">
        <v>333</v>
      </c>
      <c r="S6" s="1" t="s">
        <v>333</v>
      </c>
      <c r="T6" s="1">
        <v>0</v>
      </c>
      <c r="U6" s="1">
        <v>480</v>
      </c>
      <c r="V6" s="1" t="s">
        <v>333</v>
      </c>
      <c r="W6" t="s">
        <v>333</v>
      </c>
    </row>
    <row r="7" spans="1:24" x14ac:dyDescent="0.25">
      <c r="A7" s="1">
        <v>6</v>
      </c>
      <c r="B7" t="s">
        <v>529</v>
      </c>
      <c r="C7" s="1">
        <v>3</v>
      </c>
      <c r="D7" s="1">
        <v>1</v>
      </c>
      <c r="E7" s="1">
        <v>2</v>
      </c>
      <c r="F7" s="1" t="s">
        <v>336</v>
      </c>
      <c r="G7" s="1" t="s">
        <v>337</v>
      </c>
      <c r="H7" s="1" t="s">
        <v>333</v>
      </c>
      <c r="I7" s="1" t="s">
        <v>333</v>
      </c>
      <c r="J7" s="1" t="s">
        <v>338</v>
      </c>
      <c r="K7" s="1" t="s">
        <v>333</v>
      </c>
      <c r="L7" s="1" t="s">
        <v>333</v>
      </c>
      <c r="M7" s="1" t="s">
        <v>333</v>
      </c>
      <c r="N7" s="1" t="s">
        <v>333</v>
      </c>
      <c r="O7" s="1" t="s">
        <v>333</v>
      </c>
      <c r="P7" s="1" t="s">
        <v>333</v>
      </c>
      <c r="Q7" s="1" t="s">
        <v>333</v>
      </c>
      <c r="R7" s="1" t="s">
        <v>333</v>
      </c>
      <c r="S7" s="1" t="s">
        <v>333</v>
      </c>
      <c r="T7" s="1">
        <v>0</v>
      </c>
      <c r="U7" s="1">
        <v>1380</v>
      </c>
      <c r="V7" s="1" t="s">
        <v>333</v>
      </c>
      <c r="W7" t="s">
        <v>1565</v>
      </c>
    </row>
    <row r="8" spans="1:24" x14ac:dyDescent="0.25">
      <c r="A8" s="1">
        <v>7</v>
      </c>
      <c r="B8" t="s">
        <v>530</v>
      </c>
      <c r="C8" s="1">
        <v>4</v>
      </c>
      <c r="D8" s="1">
        <v>1</v>
      </c>
      <c r="E8" s="1">
        <v>2</v>
      </c>
      <c r="F8" s="1" t="s">
        <v>339</v>
      </c>
      <c r="G8" s="1" t="s">
        <v>340</v>
      </c>
      <c r="H8" s="1" t="s">
        <v>333</v>
      </c>
      <c r="I8" s="1" t="s">
        <v>333</v>
      </c>
      <c r="J8" s="1" t="s">
        <v>341</v>
      </c>
      <c r="K8" s="1" t="s">
        <v>333</v>
      </c>
      <c r="L8" s="1" t="s">
        <v>333</v>
      </c>
      <c r="M8" s="1" t="s">
        <v>333</v>
      </c>
      <c r="N8" s="1" t="s">
        <v>333</v>
      </c>
      <c r="O8" s="1" t="s">
        <v>333</v>
      </c>
      <c r="P8" s="1" t="s">
        <v>333</v>
      </c>
      <c r="Q8" s="1" t="s">
        <v>333</v>
      </c>
      <c r="R8" s="1" t="s">
        <v>333</v>
      </c>
      <c r="S8" s="1" t="s">
        <v>333</v>
      </c>
      <c r="T8" s="1">
        <v>0</v>
      </c>
      <c r="U8" s="1">
        <v>2280</v>
      </c>
      <c r="V8" s="1" t="s">
        <v>333</v>
      </c>
      <c r="W8" t="s">
        <v>1566</v>
      </c>
    </row>
    <row r="9" spans="1:24" x14ac:dyDescent="0.25">
      <c r="A9" s="1">
        <v>8</v>
      </c>
      <c r="B9" t="s">
        <v>531</v>
      </c>
      <c r="C9" s="1">
        <v>5</v>
      </c>
      <c r="D9" s="1">
        <v>1</v>
      </c>
      <c r="E9" s="1">
        <v>2</v>
      </c>
      <c r="F9" s="1" t="s">
        <v>342</v>
      </c>
      <c r="G9" s="1" t="s">
        <v>343</v>
      </c>
      <c r="H9" s="1" t="s">
        <v>333</v>
      </c>
      <c r="I9" s="1" t="s">
        <v>333</v>
      </c>
      <c r="J9" s="1" t="s">
        <v>344</v>
      </c>
      <c r="K9" s="1" t="s">
        <v>333</v>
      </c>
      <c r="L9" s="1" t="s">
        <v>333</v>
      </c>
      <c r="M9" s="1" t="s">
        <v>333</v>
      </c>
      <c r="N9" s="1" t="s">
        <v>333</v>
      </c>
      <c r="O9" s="1" t="s">
        <v>333</v>
      </c>
      <c r="P9" s="1" t="s">
        <v>333</v>
      </c>
      <c r="Q9" s="1" t="s">
        <v>333</v>
      </c>
      <c r="R9" s="1" t="s">
        <v>333</v>
      </c>
      <c r="S9" s="1" t="s">
        <v>333</v>
      </c>
      <c r="T9" s="1">
        <v>0</v>
      </c>
      <c r="U9" s="1">
        <v>2880</v>
      </c>
      <c r="V9" s="1" t="s">
        <v>333</v>
      </c>
      <c r="W9" t="s">
        <v>1566</v>
      </c>
    </row>
    <row r="10" spans="1:24" x14ac:dyDescent="0.25">
      <c r="A10" s="1">
        <v>9</v>
      </c>
      <c r="B10" t="s">
        <v>532</v>
      </c>
      <c r="C10" s="1">
        <v>2</v>
      </c>
      <c r="D10" s="1">
        <v>1</v>
      </c>
      <c r="E10" s="1">
        <v>3</v>
      </c>
      <c r="F10" s="1" t="s">
        <v>333</v>
      </c>
      <c r="G10" s="1" t="s">
        <v>339</v>
      </c>
      <c r="H10" s="1" t="s">
        <v>333</v>
      </c>
      <c r="I10" s="1" t="s">
        <v>333</v>
      </c>
      <c r="J10" s="1" t="s">
        <v>335</v>
      </c>
      <c r="K10" s="1" t="s">
        <v>333</v>
      </c>
      <c r="L10" s="1" t="s">
        <v>333</v>
      </c>
      <c r="M10" s="1" t="s">
        <v>333</v>
      </c>
      <c r="N10" s="1" t="s">
        <v>333</v>
      </c>
      <c r="O10" s="1" t="s">
        <v>333</v>
      </c>
      <c r="P10" s="1" t="s">
        <v>333</v>
      </c>
      <c r="Q10" s="1" t="s">
        <v>333</v>
      </c>
      <c r="R10" s="1" t="s">
        <v>333</v>
      </c>
      <c r="S10" s="1" t="s">
        <v>333</v>
      </c>
      <c r="T10" s="1">
        <v>0</v>
      </c>
      <c r="U10" s="1">
        <v>600</v>
      </c>
      <c r="V10" s="1" t="s">
        <v>333</v>
      </c>
      <c r="W10" t="s">
        <v>333</v>
      </c>
    </row>
    <row r="11" spans="1:24" x14ac:dyDescent="0.25">
      <c r="A11" s="1">
        <v>10</v>
      </c>
      <c r="B11" t="s">
        <v>533</v>
      </c>
      <c r="C11" s="1">
        <v>3</v>
      </c>
      <c r="D11" s="1">
        <v>1</v>
      </c>
      <c r="E11" s="1">
        <v>3</v>
      </c>
      <c r="F11" s="1" t="s">
        <v>333</v>
      </c>
      <c r="G11" s="1" t="s">
        <v>342</v>
      </c>
      <c r="H11" s="1" t="s">
        <v>333</v>
      </c>
      <c r="I11" s="1" t="s">
        <v>333</v>
      </c>
      <c r="J11" s="1" t="s">
        <v>345</v>
      </c>
      <c r="K11" s="1" t="s">
        <v>333</v>
      </c>
      <c r="L11" s="1" t="s">
        <v>333</v>
      </c>
      <c r="M11" s="1" t="s">
        <v>333</v>
      </c>
      <c r="N11" s="1" t="s">
        <v>333</v>
      </c>
      <c r="O11" s="1" t="s">
        <v>333</v>
      </c>
      <c r="P11" s="1" t="s">
        <v>333</v>
      </c>
      <c r="Q11" s="1" t="s">
        <v>333</v>
      </c>
      <c r="R11" s="1" t="s">
        <v>333</v>
      </c>
      <c r="S11" s="1" t="s">
        <v>333</v>
      </c>
      <c r="T11" s="1">
        <v>0</v>
      </c>
      <c r="U11" s="1">
        <v>1500</v>
      </c>
      <c r="V11" s="1" t="s">
        <v>333</v>
      </c>
      <c r="W11" t="s">
        <v>1567</v>
      </c>
    </row>
    <row r="12" spans="1:24" x14ac:dyDescent="0.25">
      <c r="A12" s="1">
        <v>11</v>
      </c>
      <c r="B12" t="s">
        <v>534</v>
      </c>
      <c r="C12" s="1">
        <v>4</v>
      </c>
      <c r="D12" s="1">
        <v>1</v>
      </c>
      <c r="E12" s="1">
        <v>3</v>
      </c>
      <c r="F12" s="1" t="s">
        <v>333</v>
      </c>
      <c r="G12" s="1" t="s">
        <v>346</v>
      </c>
      <c r="H12" s="1" t="s">
        <v>333</v>
      </c>
      <c r="I12" s="1" t="s">
        <v>333</v>
      </c>
      <c r="J12" s="1" t="s">
        <v>347</v>
      </c>
      <c r="K12" s="1" t="s">
        <v>333</v>
      </c>
      <c r="L12" s="1" t="s">
        <v>333</v>
      </c>
      <c r="M12" s="1" t="s">
        <v>333</v>
      </c>
      <c r="N12" s="1" t="s">
        <v>333</v>
      </c>
      <c r="O12" s="1" t="s">
        <v>333</v>
      </c>
      <c r="P12" s="1" t="s">
        <v>333</v>
      </c>
      <c r="Q12" s="1" t="s">
        <v>333</v>
      </c>
      <c r="R12" s="1" t="s">
        <v>333</v>
      </c>
      <c r="S12" s="1" t="s">
        <v>333</v>
      </c>
      <c r="T12" s="1">
        <v>0</v>
      </c>
      <c r="U12" s="1">
        <v>2400</v>
      </c>
      <c r="V12" s="1" t="s">
        <v>333</v>
      </c>
      <c r="W12" t="s">
        <v>1567</v>
      </c>
    </row>
    <row r="13" spans="1:24" x14ac:dyDescent="0.25">
      <c r="A13" s="1">
        <v>12</v>
      </c>
      <c r="B13" t="s">
        <v>535</v>
      </c>
      <c r="C13" s="1">
        <v>5</v>
      </c>
      <c r="D13" s="1">
        <v>1</v>
      </c>
      <c r="E13" s="1">
        <v>3</v>
      </c>
      <c r="F13" s="1" t="s">
        <v>333</v>
      </c>
      <c r="G13" s="1" t="s">
        <v>348</v>
      </c>
      <c r="H13" s="1" t="s">
        <v>333</v>
      </c>
      <c r="I13" s="1" t="s">
        <v>333</v>
      </c>
      <c r="J13" s="1" t="s">
        <v>349</v>
      </c>
      <c r="K13" s="1" t="s">
        <v>333</v>
      </c>
      <c r="L13" s="1" t="s">
        <v>333</v>
      </c>
      <c r="M13" s="1" t="s">
        <v>333</v>
      </c>
      <c r="N13" s="1" t="s">
        <v>333</v>
      </c>
      <c r="O13" s="1" t="s">
        <v>333</v>
      </c>
      <c r="P13" s="1" t="s">
        <v>333</v>
      </c>
      <c r="Q13" s="1" t="s">
        <v>333</v>
      </c>
      <c r="R13" s="1" t="s">
        <v>333</v>
      </c>
      <c r="S13" s="1" t="s">
        <v>333</v>
      </c>
      <c r="T13" s="1">
        <v>0</v>
      </c>
      <c r="U13" s="1">
        <v>3000</v>
      </c>
      <c r="V13" s="1" t="s">
        <v>333</v>
      </c>
      <c r="W13" t="s">
        <v>1567</v>
      </c>
    </row>
    <row r="14" spans="1:24" x14ac:dyDescent="0.25">
      <c r="A14" s="1">
        <v>13</v>
      </c>
      <c r="B14" t="s">
        <v>536</v>
      </c>
      <c r="C14" s="1">
        <v>2</v>
      </c>
      <c r="D14" s="1">
        <v>1</v>
      </c>
      <c r="E14" s="1">
        <v>4</v>
      </c>
      <c r="F14" s="1" t="s">
        <v>333</v>
      </c>
      <c r="G14" s="1" t="s">
        <v>333</v>
      </c>
      <c r="H14" s="1" t="s">
        <v>333</v>
      </c>
      <c r="I14" s="1" t="s">
        <v>333</v>
      </c>
      <c r="J14" s="1" t="s">
        <v>333</v>
      </c>
      <c r="K14" s="1" t="s">
        <v>333</v>
      </c>
      <c r="L14" s="1" t="s">
        <v>333</v>
      </c>
      <c r="M14" s="1" t="s">
        <v>333</v>
      </c>
      <c r="N14" s="1" t="s">
        <v>333</v>
      </c>
      <c r="O14" s="1" t="s">
        <v>333</v>
      </c>
      <c r="P14" s="1" t="s">
        <v>333</v>
      </c>
      <c r="Q14" s="1" t="s">
        <v>333</v>
      </c>
      <c r="R14" s="1" t="s">
        <v>350</v>
      </c>
      <c r="S14" s="1" t="s">
        <v>333</v>
      </c>
      <c r="T14" s="1">
        <v>0</v>
      </c>
      <c r="U14" s="1">
        <v>540</v>
      </c>
      <c r="V14" s="1" t="s">
        <v>333</v>
      </c>
      <c r="W14" t="s">
        <v>333</v>
      </c>
    </row>
    <row r="15" spans="1:24" x14ac:dyDescent="0.25">
      <c r="A15" s="1">
        <v>14</v>
      </c>
      <c r="B15" t="s">
        <v>537</v>
      </c>
      <c r="C15" s="1">
        <v>3</v>
      </c>
      <c r="D15" s="1">
        <v>1</v>
      </c>
      <c r="E15" s="1">
        <v>4</v>
      </c>
      <c r="F15" s="1" t="s">
        <v>333</v>
      </c>
      <c r="G15" s="1" t="s">
        <v>333</v>
      </c>
      <c r="H15" s="1" t="s">
        <v>333</v>
      </c>
      <c r="I15" s="1" t="s">
        <v>333</v>
      </c>
      <c r="J15" s="1" t="s">
        <v>333</v>
      </c>
      <c r="K15" s="1" t="s">
        <v>333</v>
      </c>
      <c r="L15" s="1" t="s">
        <v>333</v>
      </c>
      <c r="M15" s="1" t="s">
        <v>333</v>
      </c>
      <c r="N15" s="1" t="s">
        <v>333</v>
      </c>
      <c r="O15" s="1" t="s">
        <v>333</v>
      </c>
      <c r="P15" s="1" t="s">
        <v>333</v>
      </c>
      <c r="Q15" s="1" t="s">
        <v>333</v>
      </c>
      <c r="R15" s="1" t="s">
        <v>351</v>
      </c>
      <c r="S15" s="1" t="s">
        <v>333</v>
      </c>
      <c r="T15" s="1">
        <v>0</v>
      </c>
      <c r="U15" s="1">
        <v>1440</v>
      </c>
      <c r="V15" s="1" t="s">
        <v>333</v>
      </c>
      <c r="W15" t="s">
        <v>333</v>
      </c>
    </row>
    <row r="16" spans="1:24" x14ac:dyDescent="0.25">
      <c r="A16" s="1">
        <v>15</v>
      </c>
      <c r="B16" t="s">
        <v>538</v>
      </c>
      <c r="C16" s="1">
        <v>4</v>
      </c>
      <c r="D16" s="1">
        <v>1</v>
      </c>
      <c r="E16" s="1">
        <v>4</v>
      </c>
      <c r="F16" s="1" t="s">
        <v>333</v>
      </c>
      <c r="G16" s="1" t="s">
        <v>333</v>
      </c>
      <c r="H16" s="1" t="s">
        <v>333</v>
      </c>
      <c r="I16" s="1" t="s">
        <v>333</v>
      </c>
      <c r="J16" s="1" t="s">
        <v>333</v>
      </c>
      <c r="K16" s="1" t="s">
        <v>333</v>
      </c>
      <c r="L16" s="1" t="s">
        <v>333</v>
      </c>
      <c r="M16" s="1" t="s">
        <v>333</v>
      </c>
      <c r="N16" s="1" t="s">
        <v>333</v>
      </c>
      <c r="O16" s="1" t="s">
        <v>333</v>
      </c>
      <c r="P16" s="1" t="s">
        <v>333</v>
      </c>
      <c r="Q16" s="1" t="s">
        <v>333</v>
      </c>
      <c r="R16" s="1" t="s">
        <v>352</v>
      </c>
      <c r="S16" s="1" t="s">
        <v>333</v>
      </c>
      <c r="T16" s="1">
        <v>0</v>
      </c>
      <c r="U16" s="1">
        <v>2340</v>
      </c>
      <c r="V16" s="1" t="s">
        <v>333</v>
      </c>
      <c r="W16" t="s">
        <v>333</v>
      </c>
    </row>
    <row r="17" spans="1:23" x14ac:dyDescent="0.25">
      <c r="A17" s="1">
        <v>16</v>
      </c>
      <c r="B17" t="s">
        <v>539</v>
      </c>
      <c r="C17" s="1">
        <v>5</v>
      </c>
      <c r="D17" s="1">
        <v>1</v>
      </c>
      <c r="E17" s="1">
        <v>4</v>
      </c>
      <c r="F17" s="1" t="s">
        <v>333</v>
      </c>
      <c r="G17" s="1" t="s">
        <v>333</v>
      </c>
      <c r="H17" s="1" t="s">
        <v>333</v>
      </c>
      <c r="I17" s="1" t="s">
        <v>333</v>
      </c>
      <c r="J17" s="1" t="s">
        <v>333</v>
      </c>
      <c r="K17" s="1" t="s">
        <v>333</v>
      </c>
      <c r="L17" s="1" t="s">
        <v>333</v>
      </c>
      <c r="M17" s="1" t="s">
        <v>333</v>
      </c>
      <c r="N17" s="1" t="s">
        <v>333</v>
      </c>
      <c r="O17" s="1" t="s">
        <v>333</v>
      </c>
      <c r="P17" s="1" t="s">
        <v>333</v>
      </c>
      <c r="Q17" s="1" t="s">
        <v>333</v>
      </c>
      <c r="R17" s="1" t="s">
        <v>353</v>
      </c>
      <c r="S17" s="1" t="s">
        <v>333</v>
      </c>
      <c r="T17" s="1">
        <v>0</v>
      </c>
      <c r="U17" s="1">
        <v>2940</v>
      </c>
      <c r="V17" s="1" t="s">
        <v>333</v>
      </c>
      <c r="W17" t="s">
        <v>333</v>
      </c>
    </row>
    <row r="18" spans="1:23" x14ac:dyDescent="0.25">
      <c r="A18" s="1">
        <v>17</v>
      </c>
      <c r="B18" t="s">
        <v>540</v>
      </c>
      <c r="C18" s="1">
        <v>2</v>
      </c>
      <c r="D18" s="1">
        <v>2</v>
      </c>
      <c r="E18" s="1">
        <v>5</v>
      </c>
      <c r="F18" s="1" t="s">
        <v>333</v>
      </c>
      <c r="G18" s="1" t="s">
        <v>333</v>
      </c>
      <c r="H18" s="1" t="s">
        <v>333</v>
      </c>
      <c r="I18" s="1" t="s">
        <v>333</v>
      </c>
      <c r="J18" s="1" t="s">
        <v>333</v>
      </c>
      <c r="K18" s="1" t="s">
        <v>333</v>
      </c>
      <c r="L18" s="1" t="s">
        <v>333</v>
      </c>
      <c r="M18" s="1" t="s">
        <v>354</v>
      </c>
      <c r="N18" s="1" t="s">
        <v>333</v>
      </c>
      <c r="O18" s="1" t="s">
        <v>333</v>
      </c>
      <c r="P18" s="1" t="s">
        <v>333</v>
      </c>
      <c r="Q18" s="1" t="s">
        <v>333</v>
      </c>
      <c r="R18" s="1" t="s">
        <v>333</v>
      </c>
      <c r="S18" s="1" t="s">
        <v>333</v>
      </c>
      <c r="T18" s="1">
        <v>0</v>
      </c>
      <c r="U18" s="1">
        <v>900</v>
      </c>
      <c r="V18" s="1" t="s">
        <v>333</v>
      </c>
      <c r="W18" t="s">
        <v>333</v>
      </c>
    </row>
    <row r="19" spans="1:23" x14ac:dyDescent="0.25">
      <c r="A19" s="1">
        <v>18</v>
      </c>
      <c r="B19" t="s">
        <v>541</v>
      </c>
      <c r="C19" s="1">
        <v>3</v>
      </c>
      <c r="D19" s="1">
        <v>2</v>
      </c>
      <c r="E19" s="1">
        <v>5</v>
      </c>
      <c r="F19" s="1" t="s">
        <v>333</v>
      </c>
      <c r="G19" s="1" t="s">
        <v>333</v>
      </c>
      <c r="H19" s="1" t="s">
        <v>333</v>
      </c>
      <c r="I19" s="1" t="s">
        <v>333</v>
      </c>
      <c r="J19" s="1" t="s">
        <v>333</v>
      </c>
      <c r="K19" s="1" t="s">
        <v>333</v>
      </c>
      <c r="L19" s="1" t="s">
        <v>333</v>
      </c>
      <c r="M19" s="1" t="s">
        <v>355</v>
      </c>
      <c r="N19" s="1" t="s">
        <v>333</v>
      </c>
      <c r="O19" s="1" t="s">
        <v>333</v>
      </c>
      <c r="P19" s="1" t="s">
        <v>333</v>
      </c>
      <c r="Q19" s="1" t="s">
        <v>333</v>
      </c>
      <c r="R19" s="1" t="s">
        <v>333</v>
      </c>
      <c r="S19" s="1" t="s">
        <v>333</v>
      </c>
      <c r="T19" s="1">
        <v>0</v>
      </c>
      <c r="U19" s="1">
        <v>1800</v>
      </c>
      <c r="V19" s="1" t="s">
        <v>333</v>
      </c>
      <c r="W19" t="s">
        <v>1568</v>
      </c>
    </row>
    <row r="20" spans="1:23" x14ac:dyDescent="0.25">
      <c r="A20" s="1">
        <v>19</v>
      </c>
      <c r="B20" t="s">
        <v>542</v>
      </c>
      <c r="C20" s="1">
        <v>4</v>
      </c>
      <c r="D20" s="1">
        <v>2</v>
      </c>
      <c r="E20" s="1">
        <v>5</v>
      </c>
      <c r="F20" s="1" t="s">
        <v>333</v>
      </c>
      <c r="G20" s="1" t="s">
        <v>333</v>
      </c>
      <c r="H20" s="1" t="s">
        <v>333</v>
      </c>
      <c r="I20" s="1" t="s">
        <v>333</v>
      </c>
      <c r="J20" s="1" t="s">
        <v>333</v>
      </c>
      <c r="K20" s="1" t="s">
        <v>333</v>
      </c>
      <c r="L20" s="1" t="s">
        <v>333</v>
      </c>
      <c r="M20" s="1" t="s">
        <v>356</v>
      </c>
      <c r="N20" s="1" t="s">
        <v>333</v>
      </c>
      <c r="O20" s="1" t="s">
        <v>333</v>
      </c>
      <c r="P20" s="1" t="s">
        <v>333</v>
      </c>
      <c r="Q20" s="1" t="s">
        <v>333</v>
      </c>
      <c r="R20" s="1" t="s">
        <v>333</v>
      </c>
      <c r="S20" s="1" t="s">
        <v>333</v>
      </c>
      <c r="T20" s="1">
        <v>0</v>
      </c>
      <c r="U20" s="1">
        <v>2700</v>
      </c>
      <c r="V20" s="1" t="s">
        <v>333</v>
      </c>
      <c r="W20" t="s">
        <v>1568</v>
      </c>
    </row>
    <row r="21" spans="1:23" x14ac:dyDescent="0.25">
      <c r="A21" s="1">
        <v>20</v>
      </c>
      <c r="B21" t="s">
        <v>543</v>
      </c>
      <c r="C21" s="1">
        <v>5</v>
      </c>
      <c r="D21" s="1">
        <v>2</v>
      </c>
      <c r="E21" s="1">
        <v>5</v>
      </c>
      <c r="F21" s="1" t="s">
        <v>333</v>
      </c>
      <c r="G21" s="1" t="s">
        <v>333</v>
      </c>
      <c r="H21" s="1" t="s">
        <v>333</v>
      </c>
      <c r="I21" s="1" t="s">
        <v>333</v>
      </c>
      <c r="J21" s="1" t="s">
        <v>333</v>
      </c>
      <c r="K21" s="1" t="s">
        <v>333</v>
      </c>
      <c r="L21" s="1" t="s">
        <v>333</v>
      </c>
      <c r="M21" s="1" t="s">
        <v>357</v>
      </c>
      <c r="N21" s="1" t="s">
        <v>333</v>
      </c>
      <c r="O21" s="1" t="s">
        <v>333</v>
      </c>
      <c r="P21" s="1" t="s">
        <v>333</v>
      </c>
      <c r="Q21" s="1" t="s">
        <v>333</v>
      </c>
      <c r="R21" s="1" t="s">
        <v>333</v>
      </c>
      <c r="S21" s="1" t="s">
        <v>333</v>
      </c>
      <c r="T21" s="1">
        <v>0</v>
      </c>
      <c r="U21" s="1">
        <v>3300</v>
      </c>
      <c r="V21" s="1" t="s">
        <v>333</v>
      </c>
      <c r="W21" t="s">
        <v>1568</v>
      </c>
    </row>
    <row r="22" spans="1:23" x14ac:dyDescent="0.25">
      <c r="A22" s="1">
        <v>29</v>
      </c>
      <c r="B22" t="s">
        <v>544</v>
      </c>
      <c r="C22" s="1">
        <v>2</v>
      </c>
      <c r="D22" s="1">
        <v>2</v>
      </c>
      <c r="E22" s="1">
        <v>8</v>
      </c>
      <c r="F22" s="1" t="s">
        <v>337</v>
      </c>
      <c r="G22" s="1" t="s">
        <v>333</v>
      </c>
      <c r="H22" s="1" t="s">
        <v>333</v>
      </c>
      <c r="I22" s="1" t="s">
        <v>333</v>
      </c>
      <c r="J22" s="1" t="s">
        <v>333</v>
      </c>
      <c r="K22" s="1" t="s">
        <v>333</v>
      </c>
      <c r="L22" s="1" t="s">
        <v>333</v>
      </c>
      <c r="M22" s="1" t="s">
        <v>333</v>
      </c>
      <c r="N22" s="1" t="s">
        <v>333</v>
      </c>
      <c r="O22" s="1" t="s">
        <v>333</v>
      </c>
      <c r="P22" s="1" t="s">
        <v>333</v>
      </c>
      <c r="Q22" s="1" t="s">
        <v>333</v>
      </c>
      <c r="R22" s="1" t="s">
        <v>333</v>
      </c>
      <c r="S22" s="1" t="s">
        <v>333</v>
      </c>
      <c r="T22" s="1">
        <v>0</v>
      </c>
      <c r="U22" s="1">
        <v>1080</v>
      </c>
      <c r="V22" s="1" t="s">
        <v>333</v>
      </c>
      <c r="W22" t="s">
        <v>333</v>
      </c>
    </row>
    <row r="23" spans="1:23" x14ac:dyDescent="0.25">
      <c r="A23" s="1">
        <v>30</v>
      </c>
      <c r="B23" t="s">
        <v>545</v>
      </c>
      <c r="C23" s="1">
        <v>3</v>
      </c>
      <c r="D23" s="1">
        <v>2</v>
      </c>
      <c r="E23" s="1">
        <v>8</v>
      </c>
      <c r="F23" s="1" t="s">
        <v>359</v>
      </c>
      <c r="G23" s="1" t="s">
        <v>333</v>
      </c>
      <c r="H23" s="1" t="s">
        <v>333</v>
      </c>
      <c r="I23" s="1" t="s">
        <v>333</v>
      </c>
      <c r="J23" s="1" t="s">
        <v>333</v>
      </c>
      <c r="K23" s="1" t="s">
        <v>333</v>
      </c>
      <c r="L23" s="1" t="s">
        <v>333</v>
      </c>
      <c r="M23" s="1" t="s">
        <v>333</v>
      </c>
      <c r="N23" s="1" t="s">
        <v>333</v>
      </c>
      <c r="O23" s="1" t="s">
        <v>333</v>
      </c>
      <c r="P23" s="1" t="s">
        <v>333</v>
      </c>
      <c r="Q23" s="1" t="s">
        <v>333</v>
      </c>
      <c r="R23" s="1" t="s">
        <v>333</v>
      </c>
      <c r="S23" s="1" t="s">
        <v>333</v>
      </c>
      <c r="T23" s="1">
        <v>0</v>
      </c>
      <c r="U23" s="1">
        <v>1980</v>
      </c>
      <c r="V23" s="1" t="s">
        <v>333</v>
      </c>
      <c r="W23" t="s">
        <v>1570</v>
      </c>
    </row>
    <row r="24" spans="1:23" x14ac:dyDescent="0.25">
      <c r="A24" s="1">
        <v>31</v>
      </c>
      <c r="B24" t="s">
        <v>546</v>
      </c>
      <c r="C24" s="1">
        <v>4</v>
      </c>
      <c r="D24" s="1">
        <v>2</v>
      </c>
      <c r="E24" s="1">
        <v>8</v>
      </c>
      <c r="F24" s="1" t="s">
        <v>360</v>
      </c>
      <c r="G24" s="1" t="s">
        <v>333</v>
      </c>
      <c r="H24" s="1" t="s">
        <v>333</v>
      </c>
      <c r="I24" s="1" t="s">
        <v>333</v>
      </c>
      <c r="J24" s="1" t="s">
        <v>333</v>
      </c>
      <c r="K24" s="1" t="s">
        <v>333</v>
      </c>
      <c r="L24" s="1" t="s">
        <v>333</v>
      </c>
      <c r="M24" s="1" t="s">
        <v>333</v>
      </c>
      <c r="N24" s="1" t="s">
        <v>333</v>
      </c>
      <c r="O24" s="1" t="s">
        <v>333</v>
      </c>
      <c r="P24" s="1" t="s">
        <v>333</v>
      </c>
      <c r="Q24" s="1" t="s">
        <v>333</v>
      </c>
      <c r="R24" s="1" t="s">
        <v>333</v>
      </c>
      <c r="S24" s="1" t="s">
        <v>333</v>
      </c>
      <c r="T24" s="1">
        <v>0</v>
      </c>
      <c r="U24" s="1">
        <v>2880</v>
      </c>
      <c r="V24" s="1" t="s">
        <v>333</v>
      </c>
      <c r="W24" t="s">
        <v>1571</v>
      </c>
    </row>
    <row r="25" spans="1:23" x14ac:dyDescent="0.25">
      <c r="A25" s="1">
        <v>32</v>
      </c>
      <c r="B25" t="s">
        <v>547</v>
      </c>
      <c r="C25" s="1">
        <v>5</v>
      </c>
      <c r="D25" s="1">
        <v>2</v>
      </c>
      <c r="E25" s="1">
        <v>8</v>
      </c>
      <c r="F25" s="1" t="s">
        <v>361</v>
      </c>
      <c r="G25" s="1" t="s">
        <v>333</v>
      </c>
      <c r="H25" s="1" t="s">
        <v>333</v>
      </c>
      <c r="I25" s="1" t="s">
        <v>333</v>
      </c>
      <c r="J25" s="1" t="s">
        <v>333</v>
      </c>
      <c r="K25" s="1" t="s">
        <v>333</v>
      </c>
      <c r="L25" s="1" t="s">
        <v>333</v>
      </c>
      <c r="M25" s="1" t="s">
        <v>333</v>
      </c>
      <c r="N25" s="1" t="s">
        <v>333</v>
      </c>
      <c r="O25" s="1" t="s">
        <v>333</v>
      </c>
      <c r="P25" s="1" t="s">
        <v>333</v>
      </c>
      <c r="Q25" s="1" t="s">
        <v>333</v>
      </c>
      <c r="R25" s="1" t="s">
        <v>333</v>
      </c>
      <c r="S25" s="1" t="s">
        <v>333</v>
      </c>
      <c r="T25" s="1">
        <v>0</v>
      </c>
      <c r="U25" s="1">
        <v>3480</v>
      </c>
      <c r="V25" s="1" t="s">
        <v>333</v>
      </c>
      <c r="W25" t="s">
        <v>1572</v>
      </c>
    </row>
    <row r="26" spans="1:23" x14ac:dyDescent="0.25">
      <c r="A26" s="1">
        <v>37</v>
      </c>
      <c r="B26" t="s">
        <v>548</v>
      </c>
      <c r="C26" s="1">
        <v>2</v>
      </c>
      <c r="D26" s="1">
        <v>3</v>
      </c>
      <c r="E26" s="1">
        <v>10</v>
      </c>
      <c r="F26" s="1" t="s">
        <v>345</v>
      </c>
      <c r="G26" s="1" t="s">
        <v>333</v>
      </c>
      <c r="H26" s="1" t="s">
        <v>363</v>
      </c>
      <c r="I26" s="1" t="s">
        <v>333</v>
      </c>
      <c r="J26" s="1" t="s">
        <v>333</v>
      </c>
      <c r="K26" s="1" t="s">
        <v>333</v>
      </c>
      <c r="L26" s="1" t="s">
        <v>333</v>
      </c>
      <c r="M26" s="1" t="s">
        <v>333</v>
      </c>
      <c r="N26" s="1" t="s">
        <v>333</v>
      </c>
      <c r="O26" s="1" t="s">
        <v>333</v>
      </c>
      <c r="P26" s="1" t="s">
        <v>333</v>
      </c>
      <c r="Q26" s="1" t="s">
        <v>333</v>
      </c>
      <c r="R26" s="1" t="s">
        <v>333</v>
      </c>
      <c r="S26" s="1" t="s">
        <v>333</v>
      </c>
      <c r="T26" s="1">
        <v>0</v>
      </c>
      <c r="U26" s="1">
        <v>720</v>
      </c>
      <c r="V26" s="1" t="s">
        <v>333</v>
      </c>
      <c r="W26" t="s">
        <v>333</v>
      </c>
    </row>
    <row r="27" spans="1:23" x14ac:dyDescent="0.25">
      <c r="A27" s="1">
        <v>38</v>
      </c>
      <c r="B27" t="s">
        <v>549</v>
      </c>
      <c r="C27" s="1">
        <v>3</v>
      </c>
      <c r="D27" s="1">
        <v>3</v>
      </c>
      <c r="E27" s="1">
        <v>10</v>
      </c>
      <c r="F27" s="1" t="s">
        <v>341</v>
      </c>
      <c r="G27" s="1" t="s">
        <v>333</v>
      </c>
      <c r="H27" s="1" t="s">
        <v>364</v>
      </c>
      <c r="I27" s="1" t="s">
        <v>333</v>
      </c>
      <c r="J27" s="1" t="s">
        <v>333</v>
      </c>
      <c r="K27" s="1" t="s">
        <v>333</v>
      </c>
      <c r="L27" s="1" t="s">
        <v>333</v>
      </c>
      <c r="M27" s="1" t="s">
        <v>333</v>
      </c>
      <c r="N27" s="1" t="s">
        <v>333</v>
      </c>
      <c r="O27" s="1" t="s">
        <v>333</v>
      </c>
      <c r="P27" s="1" t="s">
        <v>333</v>
      </c>
      <c r="Q27" s="1" t="s">
        <v>333</v>
      </c>
      <c r="R27" s="1" t="s">
        <v>333</v>
      </c>
      <c r="S27" s="1" t="s">
        <v>333</v>
      </c>
      <c r="T27" s="1">
        <v>0</v>
      </c>
      <c r="U27" s="1">
        <v>1620</v>
      </c>
      <c r="V27" s="1" t="s">
        <v>333</v>
      </c>
      <c r="W27" t="s">
        <v>1573</v>
      </c>
    </row>
    <row r="28" spans="1:23" x14ac:dyDescent="0.25">
      <c r="A28" s="1">
        <v>39</v>
      </c>
      <c r="B28" t="s">
        <v>550</v>
      </c>
      <c r="C28" s="1">
        <v>4</v>
      </c>
      <c r="D28" s="1">
        <v>3</v>
      </c>
      <c r="E28" s="1">
        <v>10</v>
      </c>
      <c r="F28" s="1" t="s">
        <v>365</v>
      </c>
      <c r="G28" s="1" t="s">
        <v>333</v>
      </c>
      <c r="H28" s="1" t="s">
        <v>366</v>
      </c>
      <c r="I28" s="1" t="s">
        <v>333</v>
      </c>
      <c r="J28" s="1" t="s">
        <v>333</v>
      </c>
      <c r="K28" s="1" t="s">
        <v>333</v>
      </c>
      <c r="L28" s="1" t="s">
        <v>333</v>
      </c>
      <c r="M28" s="1" t="s">
        <v>333</v>
      </c>
      <c r="N28" s="1" t="s">
        <v>333</v>
      </c>
      <c r="O28" s="1" t="s">
        <v>333</v>
      </c>
      <c r="P28" s="1" t="s">
        <v>333</v>
      </c>
      <c r="Q28" s="1" t="s">
        <v>333</v>
      </c>
      <c r="R28" s="1" t="s">
        <v>333</v>
      </c>
      <c r="S28" s="1" t="s">
        <v>333</v>
      </c>
      <c r="T28" s="1">
        <v>0</v>
      </c>
      <c r="U28" s="1">
        <v>2520</v>
      </c>
      <c r="V28" s="1" t="s">
        <v>333</v>
      </c>
      <c r="W28" t="s">
        <v>1573</v>
      </c>
    </row>
    <row r="29" spans="1:23" x14ac:dyDescent="0.25">
      <c r="A29" s="1">
        <v>40</v>
      </c>
      <c r="B29" t="s">
        <v>551</v>
      </c>
      <c r="C29" s="1">
        <v>5</v>
      </c>
      <c r="D29" s="1">
        <v>3</v>
      </c>
      <c r="E29" s="1">
        <v>10</v>
      </c>
      <c r="F29" s="1" t="s">
        <v>367</v>
      </c>
      <c r="G29" s="1" t="s">
        <v>333</v>
      </c>
      <c r="H29" s="1" t="s">
        <v>368</v>
      </c>
      <c r="I29" s="1" t="s">
        <v>333</v>
      </c>
      <c r="J29" s="1" t="s">
        <v>333</v>
      </c>
      <c r="K29" s="1" t="s">
        <v>333</v>
      </c>
      <c r="L29" s="1" t="s">
        <v>333</v>
      </c>
      <c r="M29" s="1" t="s">
        <v>333</v>
      </c>
      <c r="N29" s="1" t="s">
        <v>333</v>
      </c>
      <c r="O29" s="1" t="s">
        <v>333</v>
      </c>
      <c r="P29" s="1" t="s">
        <v>333</v>
      </c>
      <c r="Q29" s="1" t="s">
        <v>333</v>
      </c>
      <c r="R29" s="1" t="s">
        <v>333</v>
      </c>
      <c r="S29" s="1" t="s">
        <v>333</v>
      </c>
      <c r="T29" s="1">
        <v>0</v>
      </c>
      <c r="U29" s="1">
        <v>3120</v>
      </c>
      <c r="V29" s="1" t="s">
        <v>333</v>
      </c>
      <c r="W29" t="s">
        <v>1573</v>
      </c>
    </row>
    <row r="30" spans="1:23" x14ac:dyDescent="0.25">
      <c r="A30" s="1">
        <v>42</v>
      </c>
      <c r="B30" t="s">
        <v>552</v>
      </c>
      <c r="C30" s="1">
        <v>3</v>
      </c>
      <c r="D30" s="1">
        <v>3</v>
      </c>
      <c r="E30" s="1">
        <v>11</v>
      </c>
      <c r="F30" s="1" t="s">
        <v>333</v>
      </c>
      <c r="G30" s="1" t="s">
        <v>333</v>
      </c>
      <c r="H30" s="1" t="s">
        <v>335</v>
      </c>
      <c r="I30" s="1" t="s">
        <v>333</v>
      </c>
      <c r="J30" s="1" t="s">
        <v>333</v>
      </c>
      <c r="K30" s="1" t="s">
        <v>333</v>
      </c>
      <c r="L30" s="1" t="s">
        <v>333</v>
      </c>
      <c r="M30" s="1" t="s">
        <v>333</v>
      </c>
      <c r="N30" s="1" t="s">
        <v>369</v>
      </c>
      <c r="O30" s="1" t="s">
        <v>333</v>
      </c>
      <c r="P30" s="1" t="s">
        <v>333</v>
      </c>
      <c r="Q30" s="1" t="s">
        <v>333</v>
      </c>
      <c r="R30" s="1" t="s">
        <v>333</v>
      </c>
      <c r="S30" s="1" t="s">
        <v>333</v>
      </c>
      <c r="T30" s="1">
        <v>0</v>
      </c>
      <c r="U30" s="1">
        <v>1560</v>
      </c>
      <c r="V30" s="1" t="s">
        <v>333</v>
      </c>
      <c r="W30" t="s">
        <v>1574</v>
      </c>
    </row>
    <row r="31" spans="1:23" x14ac:dyDescent="0.25">
      <c r="A31" s="1">
        <v>43</v>
      </c>
      <c r="B31" t="s">
        <v>553</v>
      </c>
      <c r="C31" s="1">
        <v>4</v>
      </c>
      <c r="D31" s="1">
        <v>3</v>
      </c>
      <c r="E31" s="1">
        <v>11</v>
      </c>
      <c r="F31" s="1" t="s">
        <v>333</v>
      </c>
      <c r="G31" s="1" t="s">
        <v>333</v>
      </c>
      <c r="H31" s="1" t="s">
        <v>335</v>
      </c>
      <c r="I31" s="1" t="s">
        <v>333</v>
      </c>
      <c r="J31" s="1" t="s">
        <v>333</v>
      </c>
      <c r="K31" s="1" t="s">
        <v>333</v>
      </c>
      <c r="L31" s="1" t="s">
        <v>333</v>
      </c>
      <c r="M31" s="1" t="s">
        <v>333</v>
      </c>
      <c r="N31" s="1" t="s">
        <v>370</v>
      </c>
      <c r="O31" s="1" t="s">
        <v>333</v>
      </c>
      <c r="P31" s="1" t="s">
        <v>333</v>
      </c>
      <c r="Q31" s="1" t="s">
        <v>333</v>
      </c>
      <c r="R31" s="1" t="s">
        <v>333</v>
      </c>
      <c r="S31" s="1" t="s">
        <v>333</v>
      </c>
      <c r="T31" s="1">
        <v>0</v>
      </c>
      <c r="U31" s="1">
        <v>2460</v>
      </c>
      <c r="V31" s="1" t="s">
        <v>333</v>
      </c>
      <c r="W31" t="s">
        <v>1574</v>
      </c>
    </row>
    <row r="32" spans="1:23" x14ac:dyDescent="0.25">
      <c r="A32" s="1">
        <v>44</v>
      </c>
      <c r="B32" t="s">
        <v>554</v>
      </c>
      <c r="C32" s="1">
        <v>5</v>
      </c>
      <c r="D32" s="1">
        <v>3</v>
      </c>
      <c r="E32" s="1">
        <v>11</v>
      </c>
      <c r="F32" s="1" t="s">
        <v>333</v>
      </c>
      <c r="G32" s="1" t="s">
        <v>333</v>
      </c>
      <c r="H32" s="1" t="s">
        <v>371</v>
      </c>
      <c r="I32" s="1" t="s">
        <v>333</v>
      </c>
      <c r="J32" s="1" t="s">
        <v>333</v>
      </c>
      <c r="K32" s="1" t="s">
        <v>333</v>
      </c>
      <c r="L32" s="1" t="s">
        <v>333</v>
      </c>
      <c r="M32" s="1" t="s">
        <v>333</v>
      </c>
      <c r="N32" s="1" t="s">
        <v>363</v>
      </c>
      <c r="O32" s="1" t="s">
        <v>333</v>
      </c>
      <c r="P32" s="1" t="s">
        <v>333</v>
      </c>
      <c r="Q32" s="1" t="s">
        <v>333</v>
      </c>
      <c r="R32" s="1" t="s">
        <v>333</v>
      </c>
      <c r="S32" s="1" t="s">
        <v>333</v>
      </c>
      <c r="T32" s="1">
        <v>0</v>
      </c>
      <c r="U32" s="1">
        <v>3060</v>
      </c>
      <c r="V32" s="1" t="s">
        <v>333</v>
      </c>
      <c r="W32" t="s">
        <v>1574</v>
      </c>
    </row>
    <row r="33" spans="1:23" x14ac:dyDescent="0.25">
      <c r="A33" s="1">
        <v>55</v>
      </c>
      <c r="B33" t="s">
        <v>555</v>
      </c>
      <c r="C33" s="1">
        <v>2</v>
      </c>
      <c r="D33" s="1">
        <v>3</v>
      </c>
      <c r="E33" s="1">
        <v>10</v>
      </c>
      <c r="F33" s="1" t="s">
        <v>333</v>
      </c>
      <c r="G33" s="1" t="s">
        <v>333</v>
      </c>
      <c r="H33" s="1" t="s">
        <v>339</v>
      </c>
      <c r="I33" s="1" t="s">
        <v>333</v>
      </c>
      <c r="J33" s="1" t="s">
        <v>333</v>
      </c>
      <c r="K33" s="1" t="s">
        <v>333</v>
      </c>
      <c r="L33" s="1" t="s">
        <v>333</v>
      </c>
      <c r="M33" s="1" t="s">
        <v>333</v>
      </c>
      <c r="N33" s="1" t="s">
        <v>333</v>
      </c>
      <c r="O33" s="1" t="s">
        <v>333</v>
      </c>
      <c r="P33" s="1" t="s">
        <v>333</v>
      </c>
      <c r="Q33" s="1" t="s">
        <v>333</v>
      </c>
      <c r="R33" s="1" t="s">
        <v>333</v>
      </c>
      <c r="S33" s="1" t="s">
        <v>333</v>
      </c>
      <c r="T33" s="1">
        <v>0</v>
      </c>
      <c r="U33" s="1">
        <v>720</v>
      </c>
      <c r="V33" s="1" t="s">
        <v>333</v>
      </c>
      <c r="W33" t="s">
        <v>333</v>
      </c>
    </row>
    <row r="34" spans="1:23" x14ac:dyDescent="0.25">
      <c r="A34" s="1">
        <v>56</v>
      </c>
      <c r="B34" t="s">
        <v>556</v>
      </c>
      <c r="C34" s="1">
        <v>3</v>
      </c>
      <c r="D34" s="1">
        <v>3</v>
      </c>
      <c r="E34" s="1">
        <v>10</v>
      </c>
      <c r="F34" s="1" t="s">
        <v>333</v>
      </c>
      <c r="G34" s="1" t="s">
        <v>333</v>
      </c>
      <c r="H34" s="1" t="s">
        <v>370</v>
      </c>
      <c r="I34" s="1" t="s">
        <v>333</v>
      </c>
      <c r="J34" s="1" t="s">
        <v>333</v>
      </c>
      <c r="K34" s="1" t="s">
        <v>333</v>
      </c>
      <c r="L34" s="1" t="s">
        <v>333</v>
      </c>
      <c r="M34" s="1" t="s">
        <v>333</v>
      </c>
      <c r="N34" s="1" t="s">
        <v>333</v>
      </c>
      <c r="O34" s="1" t="s">
        <v>333</v>
      </c>
      <c r="P34" s="1" t="s">
        <v>333</v>
      </c>
      <c r="Q34" s="1" t="s">
        <v>333</v>
      </c>
      <c r="R34" s="1" t="s">
        <v>333</v>
      </c>
      <c r="S34" s="1" t="s">
        <v>333</v>
      </c>
      <c r="T34" s="1">
        <v>0</v>
      </c>
      <c r="U34" s="1">
        <v>1620</v>
      </c>
      <c r="V34" s="1" t="s">
        <v>333</v>
      </c>
      <c r="W34" t="s">
        <v>1575</v>
      </c>
    </row>
    <row r="35" spans="1:23" x14ac:dyDescent="0.25">
      <c r="A35" s="1">
        <v>57</v>
      </c>
      <c r="B35" t="s">
        <v>557</v>
      </c>
      <c r="C35" s="1">
        <v>4</v>
      </c>
      <c r="D35" s="1">
        <v>3</v>
      </c>
      <c r="E35" s="1">
        <v>10</v>
      </c>
      <c r="F35" s="1" t="s">
        <v>333</v>
      </c>
      <c r="G35" s="1" t="s">
        <v>333</v>
      </c>
      <c r="H35" s="1" t="s">
        <v>377</v>
      </c>
      <c r="I35" s="1" t="s">
        <v>333</v>
      </c>
      <c r="J35" s="1" t="s">
        <v>333</v>
      </c>
      <c r="K35" s="1" t="s">
        <v>333</v>
      </c>
      <c r="L35" s="1" t="s">
        <v>333</v>
      </c>
      <c r="M35" s="1" t="s">
        <v>333</v>
      </c>
      <c r="N35" s="1" t="s">
        <v>333</v>
      </c>
      <c r="O35" s="1" t="s">
        <v>333</v>
      </c>
      <c r="P35" s="1" t="s">
        <v>333</v>
      </c>
      <c r="Q35" s="1" t="s">
        <v>333</v>
      </c>
      <c r="R35" s="1" t="s">
        <v>333</v>
      </c>
      <c r="S35" s="1" t="s">
        <v>333</v>
      </c>
      <c r="T35" s="1">
        <v>0</v>
      </c>
      <c r="U35" s="1">
        <v>2520</v>
      </c>
      <c r="V35" s="1" t="s">
        <v>333</v>
      </c>
      <c r="W35" t="s">
        <v>1576</v>
      </c>
    </row>
    <row r="36" spans="1:23" x14ac:dyDescent="0.25">
      <c r="A36" s="1">
        <v>58</v>
      </c>
      <c r="B36" t="s">
        <v>558</v>
      </c>
      <c r="C36" s="1">
        <v>5</v>
      </c>
      <c r="D36" s="1">
        <v>3</v>
      </c>
      <c r="E36" s="1">
        <v>10</v>
      </c>
      <c r="F36" s="1" t="s">
        <v>333</v>
      </c>
      <c r="G36" s="1" t="s">
        <v>333</v>
      </c>
      <c r="H36" s="1" t="s">
        <v>361</v>
      </c>
      <c r="I36" s="1" t="s">
        <v>333</v>
      </c>
      <c r="J36" s="1" t="s">
        <v>333</v>
      </c>
      <c r="K36" s="1" t="s">
        <v>333</v>
      </c>
      <c r="L36" s="1" t="s">
        <v>333</v>
      </c>
      <c r="M36" s="1" t="s">
        <v>333</v>
      </c>
      <c r="N36" s="1" t="s">
        <v>333</v>
      </c>
      <c r="O36" s="1" t="s">
        <v>333</v>
      </c>
      <c r="P36" s="1" t="s">
        <v>333</v>
      </c>
      <c r="Q36" s="1" t="s">
        <v>333</v>
      </c>
      <c r="R36" s="1" t="s">
        <v>333</v>
      </c>
      <c r="S36" s="1" t="s">
        <v>333</v>
      </c>
      <c r="T36" s="1">
        <v>0</v>
      </c>
      <c r="U36" s="1">
        <v>3120</v>
      </c>
      <c r="V36" s="1" t="s">
        <v>333</v>
      </c>
      <c r="W36" t="s">
        <v>1577</v>
      </c>
    </row>
    <row r="37" spans="1:23" x14ac:dyDescent="0.25">
      <c r="A37" s="1">
        <v>59</v>
      </c>
      <c r="B37" t="s">
        <v>87</v>
      </c>
      <c r="C37" s="1">
        <v>5</v>
      </c>
      <c r="D37" s="1">
        <v>2</v>
      </c>
      <c r="E37" s="1">
        <v>5</v>
      </c>
      <c r="F37" s="1" t="s">
        <v>333</v>
      </c>
      <c r="G37" s="1" t="s">
        <v>333</v>
      </c>
      <c r="H37" s="1" t="s">
        <v>333</v>
      </c>
      <c r="I37" s="1" t="s">
        <v>333</v>
      </c>
      <c r="J37" s="1" t="s">
        <v>378</v>
      </c>
      <c r="K37" s="1" t="s">
        <v>333</v>
      </c>
      <c r="L37" s="1" t="s">
        <v>333</v>
      </c>
      <c r="M37" s="1" t="s">
        <v>379</v>
      </c>
      <c r="N37" s="1" t="s">
        <v>333</v>
      </c>
      <c r="O37" s="1" t="s">
        <v>333</v>
      </c>
      <c r="P37" s="1" t="s">
        <v>333</v>
      </c>
      <c r="Q37" s="1" t="s">
        <v>333</v>
      </c>
      <c r="R37" s="1" t="s">
        <v>333</v>
      </c>
      <c r="S37" s="1" t="s">
        <v>333</v>
      </c>
      <c r="T37" s="1">
        <v>0</v>
      </c>
      <c r="U37" s="1">
        <v>3420</v>
      </c>
      <c r="V37" s="1" t="s">
        <v>362</v>
      </c>
      <c r="W37" t="s">
        <v>1578</v>
      </c>
    </row>
    <row r="38" spans="1:23" x14ac:dyDescent="0.25">
      <c r="A38" s="1">
        <v>60</v>
      </c>
      <c r="B38" t="s">
        <v>100</v>
      </c>
      <c r="C38" s="1">
        <v>5</v>
      </c>
      <c r="D38" s="1">
        <v>2</v>
      </c>
      <c r="E38" s="1">
        <v>8</v>
      </c>
      <c r="F38" s="1" t="s">
        <v>380</v>
      </c>
      <c r="G38" s="1" t="s">
        <v>381</v>
      </c>
      <c r="H38" s="1" t="s">
        <v>333</v>
      </c>
      <c r="I38" s="1" t="s">
        <v>333</v>
      </c>
      <c r="J38" s="1" t="s">
        <v>333</v>
      </c>
      <c r="K38" s="1" t="s">
        <v>333</v>
      </c>
      <c r="L38" s="1" t="s">
        <v>333</v>
      </c>
      <c r="M38" s="1" t="s">
        <v>333</v>
      </c>
      <c r="N38" s="1" t="s">
        <v>333</v>
      </c>
      <c r="O38" s="1" t="s">
        <v>333</v>
      </c>
      <c r="P38" s="1" t="s">
        <v>333</v>
      </c>
      <c r="Q38" s="1" t="s">
        <v>333</v>
      </c>
      <c r="R38" s="1" t="s">
        <v>333</v>
      </c>
      <c r="S38" s="1" t="s">
        <v>333</v>
      </c>
      <c r="T38" s="1">
        <v>0</v>
      </c>
      <c r="U38" s="1">
        <v>3420</v>
      </c>
      <c r="V38" s="1" t="s">
        <v>382</v>
      </c>
      <c r="W38" t="s">
        <v>1579</v>
      </c>
    </row>
    <row r="39" spans="1:23" x14ac:dyDescent="0.25">
      <c r="A39" s="1">
        <v>61</v>
      </c>
      <c r="B39" t="s">
        <v>105</v>
      </c>
      <c r="C39" s="1">
        <v>5</v>
      </c>
      <c r="D39" s="1">
        <v>3</v>
      </c>
      <c r="E39" s="1">
        <v>14</v>
      </c>
      <c r="F39" s="1" t="s">
        <v>383</v>
      </c>
      <c r="G39" s="1" t="s">
        <v>333</v>
      </c>
      <c r="H39" s="1" t="s">
        <v>333</v>
      </c>
      <c r="I39" s="1" t="s">
        <v>333</v>
      </c>
      <c r="J39" s="1" t="s">
        <v>384</v>
      </c>
      <c r="K39" s="1" t="s">
        <v>333</v>
      </c>
      <c r="L39" s="1" t="s">
        <v>333</v>
      </c>
      <c r="M39" s="1" t="s">
        <v>333</v>
      </c>
      <c r="N39" s="1" t="s">
        <v>333</v>
      </c>
      <c r="O39" s="1" t="s">
        <v>333</v>
      </c>
      <c r="P39" s="1" t="s">
        <v>333</v>
      </c>
      <c r="Q39" s="1" t="s">
        <v>333</v>
      </c>
      <c r="R39" s="1" t="s">
        <v>333</v>
      </c>
      <c r="S39" s="1" t="s">
        <v>359</v>
      </c>
      <c r="T39" s="1">
        <v>0</v>
      </c>
      <c r="U39" s="1">
        <v>3420</v>
      </c>
      <c r="V39" s="1" t="s">
        <v>385</v>
      </c>
      <c r="W39" t="s">
        <v>1580</v>
      </c>
    </row>
    <row r="40" spans="1:23" x14ac:dyDescent="0.25">
      <c r="A40" s="1">
        <v>62</v>
      </c>
      <c r="B40" t="s">
        <v>739</v>
      </c>
      <c r="C40" s="1">
        <v>5</v>
      </c>
      <c r="D40" s="1">
        <v>3</v>
      </c>
      <c r="E40" s="1">
        <v>10</v>
      </c>
      <c r="F40" s="1" t="s">
        <v>386</v>
      </c>
      <c r="G40" s="1" t="s">
        <v>333</v>
      </c>
      <c r="H40" s="1" t="s">
        <v>387</v>
      </c>
      <c r="I40" s="1" t="s">
        <v>333</v>
      </c>
      <c r="J40" s="1" t="s">
        <v>333</v>
      </c>
      <c r="K40" s="1" t="s">
        <v>333</v>
      </c>
      <c r="L40" s="1" t="s">
        <v>333</v>
      </c>
      <c r="M40" s="1" t="s">
        <v>333</v>
      </c>
      <c r="N40" s="1" t="s">
        <v>333</v>
      </c>
      <c r="O40" s="1" t="s">
        <v>333</v>
      </c>
      <c r="P40" s="1" t="s">
        <v>333</v>
      </c>
      <c r="Q40" s="1" t="s">
        <v>333</v>
      </c>
      <c r="R40" s="1" t="s">
        <v>333</v>
      </c>
      <c r="S40" s="1" t="s">
        <v>333</v>
      </c>
      <c r="T40" s="1">
        <v>0</v>
      </c>
      <c r="U40" s="1">
        <v>3120</v>
      </c>
      <c r="V40" s="1" t="s">
        <v>388</v>
      </c>
      <c r="W40" t="s">
        <v>1581</v>
      </c>
    </row>
    <row r="41" spans="1:23" x14ac:dyDescent="0.25">
      <c r="A41" s="1">
        <v>63</v>
      </c>
      <c r="B41" t="s">
        <v>559</v>
      </c>
      <c r="C41" s="1">
        <v>2</v>
      </c>
      <c r="D41" s="1">
        <v>1</v>
      </c>
      <c r="E41" s="1">
        <v>13</v>
      </c>
      <c r="F41" s="1" t="s">
        <v>333</v>
      </c>
      <c r="G41" s="1" t="s">
        <v>333</v>
      </c>
      <c r="H41" s="1" t="s">
        <v>337</v>
      </c>
      <c r="I41" s="1" t="s">
        <v>333</v>
      </c>
      <c r="J41" s="1" t="s">
        <v>333</v>
      </c>
      <c r="K41" s="1" t="s">
        <v>333</v>
      </c>
      <c r="L41" s="1" t="s">
        <v>370</v>
      </c>
      <c r="M41" s="1" t="s">
        <v>333</v>
      </c>
      <c r="N41" s="1" t="s">
        <v>333</v>
      </c>
      <c r="O41" s="1" t="s">
        <v>333</v>
      </c>
      <c r="P41" s="1" t="s">
        <v>333</v>
      </c>
      <c r="Q41" s="1" t="s">
        <v>333</v>
      </c>
      <c r="R41" s="1" t="s">
        <v>333</v>
      </c>
      <c r="S41" s="1" t="s">
        <v>333</v>
      </c>
      <c r="T41" s="1">
        <v>0</v>
      </c>
      <c r="U41" s="1">
        <v>420</v>
      </c>
      <c r="V41" s="1" t="s">
        <v>333</v>
      </c>
      <c r="W41" t="s">
        <v>333</v>
      </c>
    </row>
    <row r="42" spans="1:23" x14ac:dyDescent="0.25">
      <c r="A42" s="1">
        <v>64</v>
      </c>
      <c r="B42" t="s">
        <v>560</v>
      </c>
      <c r="C42" s="1">
        <v>3</v>
      </c>
      <c r="D42" s="1">
        <v>1</v>
      </c>
      <c r="E42" s="1">
        <v>13</v>
      </c>
      <c r="F42" s="1" t="s">
        <v>333</v>
      </c>
      <c r="G42" s="1" t="s">
        <v>333</v>
      </c>
      <c r="H42" s="1" t="s">
        <v>369</v>
      </c>
      <c r="I42" s="1" t="s">
        <v>333</v>
      </c>
      <c r="J42" s="1" t="s">
        <v>333</v>
      </c>
      <c r="K42" s="1" t="s">
        <v>333</v>
      </c>
      <c r="L42" s="1" t="s">
        <v>363</v>
      </c>
      <c r="M42" s="1" t="s">
        <v>333</v>
      </c>
      <c r="N42" s="1" t="s">
        <v>333</v>
      </c>
      <c r="O42" s="1" t="s">
        <v>333</v>
      </c>
      <c r="P42" s="1" t="s">
        <v>333</v>
      </c>
      <c r="Q42" s="1" t="s">
        <v>333</v>
      </c>
      <c r="R42" s="1" t="s">
        <v>333</v>
      </c>
      <c r="S42" s="1" t="s">
        <v>333</v>
      </c>
      <c r="T42" s="1">
        <v>0</v>
      </c>
      <c r="U42" s="1">
        <v>1320</v>
      </c>
      <c r="V42" s="1" t="s">
        <v>333</v>
      </c>
      <c r="W42" t="s">
        <v>1582</v>
      </c>
    </row>
    <row r="43" spans="1:23" x14ac:dyDescent="0.25">
      <c r="A43" s="1">
        <v>65</v>
      </c>
      <c r="B43" t="s">
        <v>561</v>
      </c>
      <c r="C43" s="1">
        <v>4</v>
      </c>
      <c r="D43" s="1">
        <v>1</v>
      </c>
      <c r="E43" s="1">
        <v>13</v>
      </c>
      <c r="F43" s="1" t="s">
        <v>333</v>
      </c>
      <c r="G43" s="1" t="s">
        <v>333</v>
      </c>
      <c r="H43" s="1" t="s">
        <v>370</v>
      </c>
      <c r="I43" s="1" t="s">
        <v>333</v>
      </c>
      <c r="J43" s="1" t="s">
        <v>333</v>
      </c>
      <c r="K43" s="1" t="s">
        <v>333</v>
      </c>
      <c r="L43" s="1" t="s">
        <v>389</v>
      </c>
      <c r="M43" s="1" t="s">
        <v>333</v>
      </c>
      <c r="N43" s="1" t="s">
        <v>333</v>
      </c>
      <c r="O43" s="1" t="s">
        <v>333</v>
      </c>
      <c r="P43" s="1" t="s">
        <v>333</v>
      </c>
      <c r="Q43" s="1" t="s">
        <v>333</v>
      </c>
      <c r="R43" s="1" t="s">
        <v>333</v>
      </c>
      <c r="S43" s="1" t="s">
        <v>333</v>
      </c>
      <c r="T43" s="1">
        <v>0</v>
      </c>
      <c r="U43" s="1">
        <v>2220</v>
      </c>
      <c r="V43" s="1" t="s">
        <v>333</v>
      </c>
      <c r="W43" t="s">
        <v>1582</v>
      </c>
    </row>
    <row r="44" spans="1:23" x14ac:dyDescent="0.25">
      <c r="A44" s="1">
        <v>66</v>
      </c>
      <c r="B44" t="s">
        <v>562</v>
      </c>
      <c r="C44" s="1">
        <v>5</v>
      </c>
      <c r="D44" s="1">
        <v>1</v>
      </c>
      <c r="E44" s="1">
        <v>13</v>
      </c>
      <c r="F44" s="1" t="s">
        <v>333</v>
      </c>
      <c r="G44" s="1" t="s">
        <v>333</v>
      </c>
      <c r="H44" s="1" t="s">
        <v>363</v>
      </c>
      <c r="I44" s="1" t="s">
        <v>333</v>
      </c>
      <c r="J44" s="1" t="s">
        <v>333</v>
      </c>
      <c r="K44" s="1" t="s">
        <v>333</v>
      </c>
      <c r="L44" s="1" t="s">
        <v>390</v>
      </c>
      <c r="M44" s="1" t="s">
        <v>333</v>
      </c>
      <c r="N44" s="1" t="s">
        <v>333</v>
      </c>
      <c r="O44" s="1" t="s">
        <v>333</v>
      </c>
      <c r="P44" s="1" t="s">
        <v>333</v>
      </c>
      <c r="Q44" s="1" t="s">
        <v>333</v>
      </c>
      <c r="R44" s="1" t="s">
        <v>333</v>
      </c>
      <c r="S44" s="1" t="s">
        <v>333</v>
      </c>
      <c r="T44" s="1">
        <v>0</v>
      </c>
      <c r="U44" s="1">
        <v>2820</v>
      </c>
      <c r="V44" s="1" t="s">
        <v>333</v>
      </c>
      <c r="W44" t="s">
        <v>1583</v>
      </c>
    </row>
    <row r="45" spans="1:23" x14ac:dyDescent="0.25">
      <c r="A45" s="1">
        <v>67</v>
      </c>
      <c r="B45" t="s">
        <v>563</v>
      </c>
      <c r="C45" s="1">
        <v>4</v>
      </c>
      <c r="D45" s="1">
        <v>3</v>
      </c>
      <c r="E45" s="1">
        <v>14</v>
      </c>
      <c r="F45" s="1" t="s">
        <v>333</v>
      </c>
      <c r="G45" s="1" t="s">
        <v>333</v>
      </c>
      <c r="H45" s="1" t="s">
        <v>335</v>
      </c>
      <c r="I45" s="1" t="s">
        <v>333</v>
      </c>
      <c r="J45" s="1" t="s">
        <v>333</v>
      </c>
      <c r="K45" s="1" t="s">
        <v>333</v>
      </c>
      <c r="L45" s="1" t="s">
        <v>333</v>
      </c>
      <c r="M45" s="1" t="s">
        <v>333</v>
      </c>
      <c r="N45" s="1" t="s">
        <v>333</v>
      </c>
      <c r="O45" s="1" t="s">
        <v>333</v>
      </c>
      <c r="P45" s="1" t="s">
        <v>333</v>
      </c>
      <c r="Q45" s="1" t="s">
        <v>333</v>
      </c>
      <c r="R45" s="1" t="s">
        <v>333</v>
      </c>
      <c r="S45" s="1" t="s">
        <v>334</v>
      </c>
      <c r="T45" s="1">
        <v>0</v>
      </c>
      <c r="U45" s="1">
        <v>2820</v>
      </c>
      <c r="V45" s="1" t="s">
        <v>333</v>
      </c>
      <c r="W45" t="s">
        <v>1584</v>
      </c>
    </row>
    <row r="46" spans="1:23" x14ac:dyDescent="0.25">
      <c r="A46" s="1">
        <v>68</v>
      </c>
      <c r="B46" t="s">
        <v>564</v>
      </c>
      <c r="C46" s="1">
        <v>5</v>
      </c>
      <c r="D46" s="1">
        <v>3</v>
      </c>
      <c r="E46" s="1">
        <v>14</v>
      </c>
      <c r="F46" s="1" t="s">
        <v>333</v>
      </c>
      <c r="G46" s="1" t="s">
        <v>333</v>
      </c>
      <c r="H46" s="1" t="s">
        <v>371</v>
      </c>
      <c r="I46" s="1" t="s">
        <v>333</v>
      </c>
      <c r="J46" s="1" t="s">
        <v>333</v>
      </c>
      <c r="K46" s="1" t="s">
        <v>333</v>
      </c>
      <c r="L46" s="1" t="s">
        <v>333</v>
      </c>
      <c r="M46" s="1" t="s">
        <v>333</v>
      </c>
      <c r="N46" s="1" t="s">
        <v>333</v>
      </c>
      <c r="O46" s="1" t="s">
        <v>333</v>
      </c>
      <c r="P46" s="1" t="s">
        <v>333</v>
      </c>
      <c r="Q46" s="1" t="s">
        <v>333</v>
      </c>
      <c r="R46" s="1" t="s">
        <v>333</v>
      </c>
      <c r="S46" s="1" t="s">
        <v>339</v>
      </c>
      <c r="T46" s="1">
        <v>0</v>
      </c>
      <c r="U46" s="1">
        <v>3420</v>
      </c>
      <c r="V46" s="1" t="s">
        <v>333</v>
      </c>
      <c r="W46" t="s">
        <v>1585</v>
      </c>
    </row>
    <row r="47" spans="1:23" x14ac:dyDescent="0.25">
      <c r="A47" s="1">
        <v>69</v>
      </c>
      <c r="B47" t="s">
        <v>565</v>
      </c>
      <c r="C47" s="1">
        <v>2</v>
      </c>
      <c r="D47" s="1">
        <v>2</v>
      </c>
      <c r="E47" s="1">
        <v>6</v>
      </c>
      <c r="F47" s="1" t="s">
        <v>334</v>
      </c>
      <c r="G47" s="1" t="s">
        <v>333</v>
      </c>
      <c r="H47" s="1" t="s">
        <v>333</v>
      </c>
      <c r="I47" s="1" t="s">
        <v>333</v>
      </c>
      <c r="J47" s="1" t="s">
        <v>333</v>
      </c>
      <c r="K47" s="1" t="s">
        <v>333</v>
      </c>
      <c r="L47" s="1" t="s">
        <v>333</v>
      </c>
      <c r="M47" s="1" t="s">
        <v>335</v>
      </c>
      <c r="N47" s="1" t="s">
        <v>333</v>
      </c>
      <c r="O47" s="1" t="s">
        <v>333</v>
      </c>
      <c r="P47" s="1" t="s">
        <v>333</v>
      </c>
      <c r="Q47" s="1" t="s">
        <v>333</v>
      </c>
      <c r="R47" s="1" t="s">
        <v>333</v>
      </c>
      <c r="S47" s="1" t="s">
        <v>333</v>
      </c>
      <c r="T47" s="1">
        <v>0</v>
      </c>
      <c r="U47" s="1">
        <v>780</v>
      </c>
      <c r="V47" s="1" t="s">
        <v>333</v>
      </c>
      <c r="W47" t="s">
        <v>333</v>
      </c>
    </row>
    <row r="48" spans="1:23" x14ac:dyDescent="0.25">
      <c r="A48" s="1">
        <v>70</v>
      </c>
      <c r="B48" t="s">
        <v>566</v>
      </c>
      <c r="C48" s="1">
        <v>3</v>
      </c>
      <c r="D48" s="1">
        <v>2</v>
      </c>
      <c r="E48" s="1">
        <v>6</v>
      </c>
      <c r="F48" s="1" t="s">
        <v>339</v>
      </c>
      <c r="G48" s="1" t="s">
        <v>333</v>
      </c>
      <c r="H48" s="1" t="s">
        <v>333</v>
      </c>
      <c r="I48" s="1" t="s">
        <v>333</v>
      </c>
      <c r="J48" s="1" t="s">
        <v>333</v>
      </c>
      <c r="K48" s="1" t="s">
        <v>333</v>
      </c>
      <c r="L48" s="1" t="s">
        <v>333</v>
      </c>
      <c r="M48" s="1" t="s">
        <v>371</v>
      </c>
      <c r="N48" s="1" t="s">
        <v>333</v>
      </c>
      <c r="O48" s="1" t="s">
        <v>333</v>
      </c>
      <c r="P48" s="1" t="s">
        <v>333</v>
      </c>
      <c r="Q48" s="1" t="s">
        <v>333</v>
      </c>
      <c r="R48" s="1" t="s">
        <v>333</v>
      </c>
      <c r="S48" s="1" t="s">
        <v>333</v>
      </c>
      <c r="T48" s="1">
        <v>0</v>
      </c>
      <c r="U48" s="1">
        <v>1680</v>
      </c>
      <c r="V48" s="1" t="s">
        <v>333</v>
      </c>
      <c r="W48" t="s">
        <v>1572</v>
      </c>
    </row>
    <row r="49" spans="1:23" x14ac:dyDescent="0.25">
      <c r="A49" s="1">
        <v>71</v>
      </c>
      <c r="B49" t="s">
        <v>567</v>
      </c>
      <c r="C49" s="1">
        <v>4</v>
      </c>
      <c r="D49" s="1">
        <v>2</v>
      </c>
      <c r="E49" s="1">
        <v>6</v>
      </c>
      <c r="F49" s="1" t="s">
        <v>342</v>
      </c>
      <c r="G49" s="1" t="s">
        <v>333</v>
      </c>
      <c r="H49" s="1" t="s">
        <v>333</v>
      </c>
      <c r="I49" s="1" t="s">
        <v>333</v>
      </c>
      <c r="J49" s="1" t="s">
        <v>333</v>
      </c>
      <c r="K49" s="1" t="s">
        <v>333</v>
      </c>
      <c r="L49" s="1" t="s">
        <v>333</v>
      </c>
      <c r="M49" s="1" t="s">
        <v>344</v>
      </c>
      <c r="N49" s="1" t="s">
        <v>333</v>
      </c>
      <c r="O49" s="1" t="s">
        <v>333</v>
      </c>
      <c r="P49" s="1" t="s">
        <v>333</v>
      </c>
      <c r="Q49" s="1" t="s">
        <v>333</v>
      </c>
      <c r="R49" s="1" t="s">
        <v>333</v>
      </c>
      <c r="S49" s="1" t="s">
        <v>333</v>
      </c>
      <c r="T49" s="1">
        <v>0</v>
      </c>
      <c r="U49" s="1">
        <v>2580</v>
      </c>
      <c r="V49" s="1" t="s">
        <v>333</v>
      </c>
      <c r="W49" t="s">
        <v>1586</v>
      </c>
    </row>
    <row r="50" spans="1:23" x14ac:dyDescent="0.25">
      <c r="A50" s="1">
        <v>72</v>
      </c>
      <c r="B50" t="s">
        <v>568</v>
      </c>
      <c r="C50" s="1">
        <v>5</v>
      </c>
      <c r="D50" s="1">
        <v>2</v>
      </c>
      <c r="E50" s="1">
        <v>6</v>
      </c>
      <c r="F50" s="1" t="s">
        <v>346</v>
      </c>
      <c r="G50" s="1" t="s">
        <v>333</v>
      </c>
      <c r="H50" s="1" t="s">
        <v>333</v>
      </c>
      <c r="I50" s="1" t="s">
        <v>333</v>
      </c>
      <c r="J50" s="1" t="s">
        <v>333</v>
      </c>
      <c r="K50" s="1" t="s">
        <v>333</v>
      </c>
      <c r="L50" s="1" t="s">
        <v>333</v>
      </c>
      <c r="M50" s="1" t="s">
        <v>391</v>
      </c>
      <c r="N50" s="1" t="s">
        <v>333</v>
      </c>
      <c r="O50" s="1" t="s">
        <v>333</v>
      </c>
      <c r="P50" s="1" t="s">
        <v>333</v>
      </c>
      <c r="Q50" s="1" t="s">
        <v>333</v>
      </c>
      <c r="R50" s="1" t="s">
        <v>333</v>
      </c>
      <c r="S50" s="1" t="s">
        <v>333</v>
      </c>
      <c r="T50" s="1">
        <v>0</v>
      </c>
      <c r="U50" s="1">
        <v>3180</v>
      </c>
      <c r="V50" s="1" t="s">
        <v>333</v>
      </c>
      <c r="W50" t="s">
        <v>1586</v>
      </c>
    </row>
    <row r="51" spans="1:23" x14ac:dyDescent="0.25">
      <c r="A51" s="1">
        <v>73</v>
      </c>
      <c r="B51" t="s">
        <v>569</v>
      </c>
      <c r="C51" s="1">
        <v>2</v>
      </c>
      <c r="D51" s="1">
        <v>2</v>
      </c>
      <c r="E51" s="1">
        <v>7</v>
      </c>
      <c r="F51" s="1" t="s">
        <v>334</v>
      </c>
      <c r="G51" s="1" t="s">
        <v>333</v>
      </c>
      <c r="H51" s="1" t="s">
        <v>333</v>
      </c>
      <c r="I51" s="1" t="s">
        <v>333</v>
      </c>
      <c r="J51" s="1" t="s">
        <v>333</v>
      </c>
      <c r="K51" s="1" t="s">
        <v>359</v>
      </c>
      <c r="L51" s="1" t="s">
        <v>333</v>
      </c>
      <c r="M51" s="1" t="s">
        <v>333</v>
      </c>
      <c r="N51" s="1" t="s">
        <v>333</v>
      </c>
      <c r="O51" s="1" t="s">
        <v>333</v>
      </c>
      <c r="P51" s="1" t="s">
        <v>333</v>
      </c>
      <c r="Q51" s="1" t="s">
        <v>333</v>
      </c>
      <c r="R51" s="1" t="s">
        <v>333</v>
      </c>
      <c r="S51" s="1" t="s">
        <v>333</v>
      </c>
      <c r="T51" s="1">
        <v>0</v>
      </c>
      <c r="U51" s="1">
        <v>840</v>
      </c>
      <c r="V51" s="1" t="s">
        <v>333</v>
      </c>
      <c r="W51" t="s">
        <v>333</v>
      </c>
    </row>
    <row r="52" spans="1:23" x14ac:dyDescent="0.25">
      <c r="A52" s="1">
        <v>74</v>
      </c>
      <c r="B52" t="s">
        <v>570</v>
      </c>
      <c r="C52" s="1">
        <v>3</v>
      </c>
      <c r="D52" s="1">
        <v>2</v>
      </c>
      <c r="E52" s="1">
        <v>7</v>
      </c>
      <c r="F52" s="1" t="s">
        <v>339</v>
      </c>
      <c r="G52" s="1" t="s">
        <v>333</v>
      </c>
      <c r="H52" s="1" t="s">
        <v>333</v>
      </c>
      <c r="I52" s="1" t="s">
        <v>333</v>
      </c>
      <c r="J52" s="1" t="s">
        <v>333</v>
      </c>
      <c r="K52" s="1" t="s">
        <v>392</v>
      </c>
      <c r="L52" s="1" t="s">
        <v>333</v>
      </c>
      <c r="M52" s="1" t="s">
        <v>333</v>
      </c>
      <c r="N52" s="1" t="s">
        <v>333</v>
      </c>
      <c r="O52" s="1" t="s">
        <v>333</v>
      </c>
      <c r="P52" s="1" t="s">
        <v>333</v>
      </c>
      <c r="Q52" s="1" t="s">
        <v>333</v>
      </c>
      <c r="R52" s="1" t="s">
        <v>333</v>
      </c>
      <c r="S52" s="1" t="s">
        <v>333</v>
      </c>
      <c r="T52" s="1">
        <v>0</v>
      </c>
      <c r="U52" s="1">
        <v>1740</v>
      </c>
      <c r="V52" s="1" t="s">
        <v>333</v>
      </c>
      <c r="W52" t="s">
        <v>1587</v>
      </c>
    </row>
    <row r="53" spans="1:23" x14ac:dyDescent="0.25">
      <c r="A53" s="1">
        <v>75</v>
      </c>
      <c r="B53" t="s">
        <v>571</v>
      </c>
      <c r="C53" s="1">
        <v>4</v>
      </c>
      <c r="D53" s="1">
        <v>2</v>
      </c>
      <c r="E53" s="1">
        <v>7</v>
      </c>
      <c r="F53" s="1" t="s">
        <v>342</v>
      </c>
      <c r="G53" s="1" t="s">
        <v>333</v>
      </c>
      <c r="H53" s="1" t="s">
        <v>333</v>
      </c>
      <c r="I53" s="1" t="s">
        <v>333</v>
      </c>
      <c r="J53" s="1" t="s">
        <v>333</v>
      </c>
      <c r="K53" s="1" t="s">
        <v>393</v>
      </c>
      <c r="L53" s="1" t="s">
        <v>333</v>
      </c>
      <c r="M53" s="1" t="s">
        <v>333</v>
      </c>
      <c r="N53" s="1" t="s">
        <v>333</v>
      </c>
      <c r="O53" s="1" t="s">
        <v>333</v>
      </c>
      <c r="P53" s="1" t="s">
        <v>333</v>
      </c>
      <c r="Q53" s="1" t="s">
        <v>333</v>
      </c>
      <c r="R53" s="1" t="s">
        <v>333</v>
      </c>
      <c r="S53" s="1" t="s">
        <v>333</v>
      </c>
      <c r="T53" s="1">
        <v>0</v>
      </c>
      <c r="U53" s="1">
        <v>2640</v>
      </c>
      <c r="V53" s="1" t="s">
        <v>333</v>
      </c>
      <c r="W53" t="s">
        <v>1588</v>
      </c>
    </row>
    <row r="54" spans="1:23" x14ac:dyDescent="0.25">
      <c r="A54" s="1">
        <v>76</v>
      </c>
      <c r="B54" t="s">
        <v>572</v>
      </c>
      <c r="C54" s="1">
        <v>5</v>
      </c>
      <c r="D54" s="1">
        <v>2</v>
      </c>
      <c r="E54" s="1">
        <v>7</v>
      </c>
      <c r="F54" s="1" t="s">
        <v>346</v>
      </c>
      <c r="G54" s="1" t="s">
        <v>333</v>
      </c>
      <c r="H54" s="1" t="s">
        <v>333</v>
      </c>
      <c r="I54" s="1" t="s">
        <v>333</v>
      </c>
      <c r="J54" s="1" t="s">
        <v>333</v>
      </c>
      <c r="K54" s="1" t="s">
        <v>394</v>
      </c>
      <c r="L54" s="1" t="s">
        <v>333</v>
      </c>
      <c r="M54" s="1" t="s">
        <v>333</v>
      </c>
      <c r="N54" s="1" t="s">
        <v>333</v>
      </c>
      <c r="O54" s="1" t="s">
        <v>333</v>
      </c>
      <c r="P54" s="1" t="s">
        <v>333</v>
      </c>
      <c r="Q54" s="1" t="s">
        <v>333</v>
      </c>
      <c r="R54" s="1" t="s">
        <v>333</v>
      </c>
      <c r="S54" s="1" t="s">
        <v>333</v>
      </c>
      <c r="T54" s="1">
        <v>0</v>
      </c>
      <c r="U54" s="1">
        <v>3240</v>
      </c>
      <c r="V54" s="1" t="s">
        <v>333</v>
      </c>
      <c r="W54" t="s">
        <v>1587</v>
      </c>
    </row>
    <row r="55" spans="1:23" x14ac:dyDescent="0.25">
      <c r="A55" s="1">
        <v>77</v>
      </c>
      <c r="B55" t="s">
        <v>573</v>
      </c>
      <c r="C55" s="1">
        <v>2</v>
      </c>
      <c r="D55" s="1">
        <v>2</v>
      </c>
      <c r="E55" s="1">
        <v>7</v>
      </c>
      <c r="F55" s="1" t="s">
        <v>333</v>
      </c>
      <c r="G55" s="1" t="s">
        <v>336</v>
      </c>
      <c r="H55" s="1" t="s">
        <v>333</v>
      </c>
      <c r="I55" s="1" t="s">
        <v>333</v>
      </c>
      <c r="J55" s="1" t="s">
        <v>333</v>
      </c>
      <c r="K55" s="1" t="s">
        <v>333</v>
      </c>
      <c r="L55" s="1" t="s">
        <v>333</v>
      </c>
      <c r="M55" s="1" t="s">
        <v>333</v>
      </c>
      <c r="N55" s="1" t="s">
        <v>333</v>
      </c>
      <c r="O55" s="1" t="s">
        <v>333</v>
      </c>
      <c r="P55" s="1" t="s">
        <v>333</v>
      </c>
      <c r="Q55" s="1" t="s">
        <v>333</v>
      </c>
      <c r="R55" s="1" t="s">
        <v>333</v>
      </c>
      <c r="S55" s="1" t="s">
        <v>333</v>
      </c>
      <c r="T55" s="1">
        <v>0</v>
      </c>
      <c r="U55" s="1">
        <v>840</v>
      </c>
      <c r="V55" s="1" t="s">
        <v>333</v>
      </c>
      <c r="W55" t="s">
        <v>333</v>
      </c>
    </row>
    <row r="56" spans="1:23" x14ac:dyDescent="0.25">
      <c r="A56" s="1">
        <v>78</v>
      </c>
      <c r="B56" t="s">
        <v>574</v>
      </c>
      <c r="C56" s="1">
        <v>3</v>
      </c>
      <c r="D56" s="1">
        <v>2</v>
      </c>
      <c r="E56" s="1">
        <v>7</v>
      </c>
      <c r="F56" s="1" t="s">
        <v>333</v>
      </c>
      <c r="G56" s="1" t="s">
        <v>359</v>
      </c>
      <c r="H56" s="1" t="s">
        <v>333</v>
      </c>
      <c r="I56" s="1" t="s">
        <v>333</v>
      </c>
      <c r="J56" s="1" t="s">
        <v>333</v>
      </c>
      <c r="K56" s="1" t="s">
        <v>333</v>
      </c>
      <c r="L56" s="1" t="s">
        <v>333</v>
      </c>
      <c r="M56" s="1" t="s">
        <v>333</v>
      </c>
      <c r="N56" s="1" t="s">
        <v>333</v>
      </c>
      <c r="O56" s="1" t="s">
        <v>333</v>
      </c>
      <c r="P56" s="1" t="s">
        <v>333</v>
      </c>
      <c r="Q56" s="1" t="s">
        <v>333</v>
      </c>
      <c r="R56" s="1" t="s">
        <v>333</v>
      </c>
      <c r="S56" s="1" t="s">
        <v>333</v>
      </c>
      <c r="T56" s="1">
        <v>0</v>
      </c>
      <c r="U56" s="1">
        <v>1740</v>
      </c>
      <c r="V56" s="1" t="s">
        <v>333</v>
      </c>
      <c r="W56" t="s">
        <v>1567</v>
      </c>
    </row>
    <row r="57" spans="1:23" x14ac:dyDescent="0.25">
      <c r="A57" s="1">
        <v>79</v>
      </c>
      <c r="B57" t="s">
        <v>575</v>
      </c>
      <c r="C57" s="1">
        <v>4</v>
      </c>
      <c r="D57" s="1">
        <v>2</v>
      </c>
      <c r="E57" s="1">
        <v>7</v>
      </c>
      <c r="F57" s="1" t="s">
        <v>333</v>
      </c>
      <c r="G57" s="1" t="s">
        <v>360</v>
      </c>
      <c r="H57" s="1" t="s">
        <v>333</v>
      </c>
      <c r="I57" s="1" t="s">
        <v>333</v>
      </c>
      <c r="J57" s="1" t="s">
        <v>333</v>
      </c>
      <c r="K57" s="1" t="s">
        <v>333</v>
      </c>
      <c r="L57" s="1" t="s">
        <v>333</v>
      </c>
      <c r="M57" s="1" t="s">
        <v>333</v>
      </c>
      <c r="N57" s="1" t="s">
        <v>333</v>
      </c>
      <c r="O57" s="1" t="s">
        <v>333</v>
      </c>
      <c r="P57" s="1" t="s">
        <v>333</v>
      </c>
      <c r="Q57" s="1" t="s">
        <v>333</v>
      </c>
      <c r="R57" s="1" t="s">
        <v>333</v>
      </c>
      <c r="S57" s="1" t="s">
        <v>333</v>
      </c>
      <c r="T57" s="1">
        <v>0</v>
      </c>
      <c r="U57" s="1">
        <v>2640</v>
      </c>
      <c r="V57" s="1" t="s">
        <v>333</v>
      </c>
      <c r="W57" t="s">
        <v>1589</v>
      </c>
    </row>
    <row r="58" spans="1:23" x14ac:dyDescent="0.25">
      <c r="A58" s="1">
        <v>80</v>
      </c>
      <c r="B58" t="s">
        <v>576</v>
      </c>
      <c r="C58" s="1">
        <v>5</v>
      </c>
      <c r="D58" s="1">
        <v>2</v>
      </c>
      <c r="E58" s="1">
        <v>7</v>
      </c>
      <c r="F58" s="1" t="s">
        <v>333</v>
      </c>
      <c r="G58" s="1" t="s">
        <v>361</v>
      </c>
      <c r="H58" s="1" t="s">
        <v>333</v>
      </c>
      <c r="I58" s="1" t="s">
        <v>333</v>
      </c>
      <c r="J58" s="1" t="s">
        <v>333</v>
      </c>
      <c r="K58" s="1" t="s">
        <v>333</v>
      </c>
      <c r="L58" s="1" t="s">
        <v>333</v>
      </c>
      <c r="M58" s="1" t="s">
        <v>333</v>
      </c>
      <c r="N58" s="1" t="s">
        <v>333</v>
      </c>
      <c r="O58" s="1" t="s">
        <v>333</v>
      </c>
      <c r="P58" s="1" t="s">
        <v>333</v>
      </c>
      <c r="Q58" s="1" t="s">
        <v>333</v>
      </c>
      <c r="R58" s="1" t="s">
        <v>333</v>
      </c>
      <c r="S58" s="1" t="s">
        <v>333</v>
      </c>
      <c r="T58" s="1">
        <v>0</v>
      </c>
      <c r="U58" s="1">
        <v>3240</v>
      </c>
      <c r="V58" s="1" t="s">
        <v>333</v>
      </c>
      <c r="W58" t="s">
        <v>1590</v>
      </c>
    </row>
    <row r="59" spans="1:23" x14ac:dyDescent="0.25">
      <c r="A59" s="1">
        <v>83</v>
      </c>
      <c r="B59" t="s">
        <v>716</v>
      </c>
      <c r="C59" s="1">
        <v>5</v>
      </c>
      <c r="D59" s="1">
        <v>1</v>
      </c>
      <c r="E59" s="1">
        <v>1</v>
      </c>
      <c r="F59" s="1" t="s">
        <v>333</v>
      </c>
      <c r="G59" s="1" t="s">
        <v>333</v>
      </c>
      <c r="H59" s="1" t="s">
        <v>333</v>
      </c>
      <c r="I59" s="1" t="s">
        <v>333</v>
      </c>
      <c r="J59" s="1" t="s">
        <v>333</v>
      </c>
      <c r="K59" s="1" t="s">
        <v>398</v>
      </c>
      <c r="L59" s="1" t="s">
        <v>399</v>
      </c>
      <c r="M59" s="1" t="s">
        <v>333</v>
      </c>
      <c r="N59" s="1" t="s">
        <v>333</v>
      </c>
      <c r="O59" s="1" t="s">
        <v>333</v>
      </c>
      <c r="P59" s="1" t="s">
        <v>333</v>
      </c>
      <c r="Q59" s="1" t="s">
        <v>333</v>
      </c>
      <c r="R59" s="1" t="s">
        <v>333</v>
      </c>
      <c r="S59" s="1" t="s">
        <v>333</v>
      </c>
      <c r="T59" s="1">
        <v>0</v>
      </c>
      <c r="U59" s="1">
        <v>2700</v>
      </c>
      <c r="V59" s="1" t="s">
        <v>400</v>
      </c>
      <c r="W59" t="s">
        <v>1591</v>
      </c>
    </row>
    <row r="60" spans="1:23" x14ac:dyDescent="0.25">
      <c r="A60" s="1">
        <v>84</v>
      </c>
      <c r="B60" t="s">
        <v>717</v>
      </c>
      <c r="C60" s="1">
        <v>5</v>
      </c>
      <c r="D60" s="1">
        <v>1</v>
      </c>
      <c r="E60" s="1">
        <v>1</v>
      </c>
      <c r="F60" s="1" t="s">
        <v>333</v>
      </c>
      <c r="G60" s="1" t="s">
        <v>333</v>
      </c>
      <c r="H60" s="1" t="s">
        <v>333</v>
      </c>
      <c r="I60" s="1" t="s">
        <v>333</v>
      </c>
      <c r="J60" s="1" t="s">
        <v>333</v>
      </c>
      <c r="K60" s="1" t="s">
        <v>401</v>
      </c>
      <c r="L60" s="1" t="s">
        <v>399</v>
      </c>
      <c r="M60" s="1" t="s">
        <v>333</v>
      </c>
      <c r="N60" s="1" t="s">
        <v>333</v>
      </c>
      <c r="O60" s="1" t="s">
        <v>333</v>
      </c>
      <c r="P60" s="1" t="s">
        <v>333</v>
      </c>
      <c r="Q60" s="1" t="s">
        <v>333</v>
      </c>
      <c r="R60" s="1" t="s">
        <v>333</v>
      </c>
      <c r="S60" s="1" t="s">
        <v>333</v>
      </c>
      <c r="T60" s="1">
        <v>0</v>
      </c>
      <c r="U60" s="1">
        <v>2700</v>
      </c>
      <c r="V60" s="1" t="s">
        <v>400</v>
      </c>
      <c r="W60" t="s">
        <v>1592</v>
      </c>
    </row>
    <row r="61" spans="1:23" x14ac:dyDescent="0.25">
      <c r="A61" s="1">
        <v>85</v>
      </c>
      <c r="B61" t="s">
        <v>718</v>
      </c>
      <c r="C61" s="1">
        <v>5</v>
      </c>
      <c r="D61" s="1">
        <v>1</v>
      </c>
      <c r="E61" s="1">
        <v>1</v>
      </c>
      <c r="F61" s="1" t="s">
        <v>333</v>
      </c>
      <c r="G61" s="1" t="s">
        <v>333</v>
      </c>
      <c r="H61" s="1" t="s">
        <v>333</v>
      </c>
      <c r="I61" s="1" t="s">
        <v>333</v>
      </c>
      <c r="J61" s="1" t="s">
        <v>333</v>
      </c>
      <c r="K61" s="1" t="s">
        <v>396</v>
      </c>
      <c r="L61" s="1" t="s">
        <v>399</v>
      </c>
      <c r="M61" s="1" t="s">
        <v>333</v>
      </c>
      <c r="N61" s="1" t="s">
        <v>333</v>
      </c>
      <c r="O61" s="1" t="s">
        <v>333</v>
      </c>
      <c r="P61" s="1" t="s">
        <v>333</v>
      </c>
      <c r="Q61" s="1" t="s">
        <v>333</v>
      </c>
      <c r="R61" s="1" t="s">
        <v>333</v>
      </c>
      <c r="S61" s="1" t="s">
        <v>333</v>
      </c>
      <c r="T61" s="1">
        <v>0</v>
      </c>
      <c r="U61" s="1">
        <v>2700</v>
      </c>
      <c r="V61" s="1" t="s">
        <v>400</v>
      </c>
      <c r="W61" t="s">
        <v>1593</v>
      </c>
    </row>
    <row r="62" spans="1:23" x14ac:dyDescent="0.25">
      <c r="A62" s="1">
        <v>86</v>
      </c>
      <c r="B62" t="s">
        <v>738</v>
      </c>
      <c r="C62" s="1">
        <v>5</v>
      </c>
      <c r="D62" s="1">
        <v>3</v>
      </c>
      <c r="E62" s="1">
        <v>15</v>
      </c>
      <c r="F62" s="1" t="s">
        <v>402</v>
      </c>
      <c r="G62" s="1" t="s">
        <v>333</v>
      </c>
      <c r="H62" s="1" t="s">
        <v>403</v>
      </c>
      <c r="I62" s="1" t="s">
        <v>333</v>
      </c>
      <c r="J62" s="1" t="s">
        <v>333</v>
      </c>
      <c r="K62" s="1" t="s">
        <v>404</v>
      </c>
      <c r="L62" s="1" t="s">
        <v>333</v>
      </c>
      <c r="M62" s="1" t="s">
        <v>333</v>
      </c>
      <c r="N62" s="1" t="s">
        <v>333</v>
      </c>
      <c r="O62" s="1" t="s">
        <v>333</v>
      </c>
      <c r="P62" s="1" t="s">
        <v>333</v>
      </c>
      <c r="Q62" s="1" t="s">
        <v>333</v>
      </c>
      <c r="R62" s="1" t="s">
        <v>333</v>
      </c>
      <c r="S62" s="1" t="s">
        <v>333</v>
      </c>
      <c r="T62" s="1">
        <v>0</v>
      </c>
      <c r="U62" s="1">
        <v>3420</v>
      </c>
      <c r="V62" s="1" t="s">
        <v>405</v>
      </c>
      <c r="W62" t="s">
        <v>1594</v>
      </c>
    </row>
    <row r="63" spans="1:23" x14ac:dyDescent="0.25">
      <c r="A63" s="1">
        <v>87</v>
      </c>
      <c r="B63" t="s">
        <v>577</v>
      </c>
      <c r="C63" s="1">
        <v>2</v>
      </c>
      <c r="D63" s="1">
        <v>3</v>
      </c>
      <c r="E63" s="1">
        <v>15</v>
      </c>
      <c r="F63" s="1" t="s">
        <v>333</v>
      </c>
      <c r="G63" s="1" t="s">
        <v>333</v>
      </c>
      <c r="H63" s="1" t="s">
        <v>333</v>
      </c>
      <c r="I63" s="1" t="s">
        <v>406</v>
      </c>
      <c r="J63" s="1" t="s">
        <v>333</v>
      </c>
      <c r="K63" s="1" t="s">
        <v>359</v>
      </c>
      <c r="L63" s="1" t="s">
        <v>333</v>
      </c>
      <c r="M63" s="1" t="s">
        <v>333</v>
      </c>
      <c r="N63" s="1" t="s">
        <v>333</v>
      </c>
      <c r="O63" s="1" t="s">
        <v>333</v>
      </c>
      <c r="P63" s="1" t="s">
        <v>333</v>
      </c>
      <c r="Q63" s="1" t="s">
        <v>333</v>
      </c>
      <c r="R63" s="1" t="s">
        <v>333</v>
      </c>
      <c r="S63" s="1" t="s">
        <v>333</v>
      </c>
      <c r="T63" s="1">
        <v>0</v>
      </c>
      <c r="U63" s="1">
        <v>960</v>
      </c>
      <c r="V63" s="1" t="s">
        <v>333</v>
      </c>
      <c r="W63" t="s">
        <v>333</v>
      </c>
    </row>
    <row r="64" spans="1:23" x14ac:dyDescent="0.25">
      <c r="A64" s="1">
        <v>88</v>
      </c>
      <c r="B64" t="s">
        <v>578</v>
      </c>
      <c r="C64" s="1">
        <v>3</v>
      </c>
      <c r="D64" s="1">
        <v>3</v>
      </c>
      <c r="E64" s="1">
        <v>15</v>
      </c>
      <c r="F64" s="1" t="s">
        <v>333</v>
      </c>
      <c r="G64" s="1" t="s">
        <v>333</v>
      </c>
      <c r="H64" s="1" t="s">
        <v>333</v>
      </c>
      <c r="I64" s="1" t="s">
        <v>406</v>
      </c>
      <c r="J64" s="1" t="s">
        <v>333</v>
      </c>
      <c r="K64" s="1" t="s">
        <v>360</v>
      </c>
      <c r="L64" s="1" t="s">
        <v>333</v>
      </c>
      <c r="M64" s="1" t="s">
        <v>333</v>
      </c>
      <c r="N64" s="1" t="s">
        <v>333</v>
      </c>
      <c r="O64" s="1" t="s">
        <v>333</v>
      </c>
      <c r="P64" s="1" t="s">
        <v>333</v>
      </c>
      <c r="Q64" s="1" t="s">
        <v>333</v>
      </c>
      <c r="R64" s="1" t="s">
        <v>333</v>
      </c>
      <c r="S64" s="1" t="s">
        <v>333</v>
      </c>
      <c r="T64" s="1">
        <v>0</v>
      </c>
      <c r="U64" s="1">
        <v>1860</v>
      </c>
      <c r="V64" s="1" t="s">
        <v>333</v>
      </c>
      <c r="W64" t="s">
        <v>1595</v>
      </c>
    </row>
    <row r="65" spans="1:23" x14ac:dyDescent="0.25">
      <c r="A65" s="1">
        <v>89</v>
      </c>
      <c r="B65" t="s">
        <v>579</v>
      </c>
      <c r="C65" s="1">
        <v>4</v>
      </c>
      <c r="D65" s="1">
        <v>3</v>
      </c>
      <c r="E65" s="1">
        <v>15</v>
      </c>
      <c r="F65" s="1" t="s">
        <v>333</v>
      </c>
      <c r="G65" s="1" t="s">
        <v>333</v>
      </c>
      <c r="H65" s="1" t="s">
        <v>333</v>
      </c>
      <c r="I65" s="1" t="s">
        <v>406</v>
      </c>
      <c r="J65" s="1" t="s">
        <v>333</v>
      </c>
      <c r="K65" s="1" t="s">
        <v>407</v>
      </c>
      <c r="L65" s="1" t="s">
        <v>333</v>
      </c>
      <c r="M65" s="1" t="s">
        <v>333</v>
      </c>
      <c r="N65" s="1" t="s">
        <v>333</v>
      </c>
      <c r="O65" s="1" t="s">
        <v>333</v>
      </c>
      <c r="P65" s="1" t="s">
        <v>333</v>
      </c>
      <c r="Q65" s="1" t="s">
        <v>333</v>
      </c>
      <c r="R65" s="1" t="s">
        <v>333</v>
      </c>
      <c r="S65" s="1" t="s">
        <v>333</v>
      </c>
      <c r="T65" s="1">
        <v>0</v>
      </c>
      <c r="U65" s="1">
        <v>2760</v>
      </c>
      <c r="V65" s="1" t="s">
        <v>333</v>
      </c>
      <c r="W65" t="s">
        <v>1596</v>
      </c>
    </row>
    <row r="66" spans="1:23" x14ac:dyDescent="0.25">
      <c r="A66" s="1">
        <v>90</v>
      </c>
      <c r="B66" t="s">
        <v>580</v>
      </c>
      <c r="C66" s="1">
        <v>5</v>
      </c>
      <c r="D66" s="1">
        <v>3</v>
      </c>
      <c r="E66" s="1">
        <v>15</v>
      </c>
      <c r="F66" s="1" t="s">
        <v>333</v>
      </c>
      <c r="G66" s="1" t="s">
        <v>333</v>
      </c>
      <c r="H66" s="1" t="s">
        <v>333</v>
      </c>
      <c r="I66" s="1" t="s">
        <v>406</v>
      </c>
      <c r="J66" s="1" t="s">
        <v>333</v>
      </c>
      <c r="K66" s="1" t="s">
        <v>348</v>
      </c>
      <c r="L66" s="1" t="s">
        <v>333</v>
      </c>
      <c r="M66" s="1" t="s">
        <v>333</v>
      </c>
      <c r="N66" s="1" t="s">
        <v>333</v>
      </c>
      <c r="O66" s="1" t="s">
        <v>333</v>
      </c>
      <c r="P66" s="1" t="s">
        <v>333</v>
      </c>
      <c r="Q66" s="1" t="s">
        <v>333</v>
      </c>
      <c r="R66" s="1" t="s">
        <v>333</v>
      </c>
      <c r="S66" s="1" t="s">
        <v>333</v>
      </c>
      <c r="T66" s="1">
        <v>0</v>
      </c>
      <c r="U66" s="1">
        <v>3360</v>
      </c>
      <c r="V66" s="1" t="s">
        <v>333</v>
      </c>
      <c r="W66" t="s">
        <v>1597</v>
      </c>
    </row>
    <row r="67" spans="1:23" x14ac:dyDescent="0.25">
      <c r="A67" s="1">
        <v>91</v>
      </c>
      <c r="B67" t="s">
        <v>98</v>
      </c>
      <c r="C67" s="1">
        <v>5</v>
      </c>
      <c r="D67" s="1">
        <v>3</v>
      </c>
      <c r="E67" s="1">
        <v>11</v>
      </c>
      <c r="F67" s="1" t="s">
        <v>333</v>
      </c>
      <c r="G67" s="1" t="s">
        <v>408</v>
      </c>
      <c r="H67" s="1" t="s">
        <v>395</v>
      </c>
      <c r="I67" s="1" t="s">
        <v>333</v>
      </c>
      <c r="J67" s="1" t="s">
        <v>409</v>
      </c>
      <c r="K67" s="1" t="s">
        <v>333</v>
      </c>
      <c r="L67" s="1" t="s">
        <v>333</v>
      </c>
      <c r="M67" s="1" t="s">
        <v>333</v>
      </c>
      <c r="N67" s="1" t="s">
        <v>397</v>
      </c>
      <c r="O67" s="1" t="s">
        <v>333</v>
      </c>
      <c r="P67" s="1" t="s">
        <v>333</v>
      </c>
      <c r="Q67" s="1" t="s">
        <v>333</v>
      </c>
      <c r="R67" s="1" t="s">
        <v>333</v>
      </c>
      <c r="S67" s="1" t="s">
        <v>333</v>
      </c>
      <c r="T67" s="1">
        <v>0</v>
      </c>
      <c r="U67" s="1">
        <v>3060</v>
      </c>
      <c r="V67" s="1" t="s">
        <v>376</v>
      </c>
      <c r="W67" t="s">
        <v>1598</v>
      </c>
    </row>
    <row r="68" spans="1:23" x14ac:dyDescent="0.25">
      <c r="A68" s="1">
        <v>92</v>
      </c>
      <c r="B68" t="s">
        <v>740</v>
      </c>
      <c r="C68" s="1">
        <v>5</v>
      </c>
      <c r="D68" s="1">
        <v>3</v>
      </c>
      <c r="E68" s="1">
        <v>10</v>
      </c>
      <c r="F68" s="1" t="s">
        <v>333</v>
      </c>
      <c r="G68" s="1" t="s">
        <v>333</v>
      </c>
      <c r="H68" s="1" t="s">
        <v>368</v>
      </c>
      <c r="I68" s="1" t="s">
        <v>333</v>
      </c>
      <c r="J68" s="1" t="s">
        <v>333</v>
      </c>
      <c r="K68" s="1" t="s">
        <v>348</v>
      </c>
      <c r="L68" s="1" t="s">
        <v>333</v>
      </c>
      <c r="M68" s="1" t="s">
        <v>333</v>
      </c>
      <c r="N68" s="1" t="s">
        <v>333</v>
      </c>
      <c r="O68" s="1" t="s">
        <v>333</v>
      </c>
      <c r="P68" s="1" t="s">
        <v>333</v>
      </c>
      <c r="Q68" s="1" t="s">
        <v>333</v>
      </c>
      <c r="R68" s="1" t="s">
        <v>333</v>
      </c>
      <c r="S68" s="1" t="s">
        <v>333</v>
      </c>
      <c r="T68" s="1">
        <v>0</v>
      </c>
      <c r="U68" s="1">
        <v>3120</v>
      </c>
      <c r="V68" s="1" t="s">
        <v>410</v>
      </c>
      <c r="W68" t="s">
        <v>1599</v>
      </c>
    </row>
    <row r="69" spans="1:23" x14ac:dyDescent="0.25">
      <c r="A69" s="1">
        <v>93</v>
      </c>
      <c r="B69" t="s">
        <v>726</v>
      </c>
      <c r="C69" s="1">
        <v>5</v>
      </c>
      <c r="D69" s="1">
        <v>1</v>
      </c>
      <c r="E69" s="1">
        <v>4</v>
      </c>
      <c r="F69" s="1" t="s">
        <v>411</v>
      </c>
      <c r="G69" s="1" t="s">
        <v>333</v>
      </c>
      <c r="H69" s="1" t="s">
        <v>333</v>
      </c>
      <c r="I69" s="1" t="s">
        <v>333</v>
      </c>
      <c r="J69" s="1" t="s">
        <v>333</v>
      </c>
      <c r="K69" s="1" t="s">
        <v>333</v>
      </c>
      <c r="L69" s="1" t="s">
        <v>333</v>
      </c>
      <c r="M69" s="1" t="s">
        <v>333</v>
      </c>
      <c r="N69" s="1" t="s">
        <v>333</v>
      </c>
      <c r="O69" s="1" t="s">
        <v>333</v>
      </c>
      <c r="P69" s="1" t="s">
        <v>333</v>
      </c>
      <c r="Q69" s="1" t="s">
        <v>333</v>
      </c>
      <c r="R69" s="1" t="s">
        <v>373</v>
      </c>
      <c r="S69" s="1" t="s">
        <v>333</v>
      </c>
      <c r="T69" s="1">
        <v>0</v>
      </c>
      <c r="U69" s="1">
        <v>2940</v>
      </c>
      <c r="V69" s="1" t="s">
        <v>412</v>
      </c>
      <c r="W69" t="s">
        <v>1579</v>
      </c>
    </row>
    <row r="70" spans="1:23" x14ac:dyDescent="0.25">
      <c r="A70" s="1">
        <v>94</v>
      </c>
      <c r="B70" t="s">
        <v>163</v>
      </c>
      <c r="C70" s="1">
        <v>5</v>
      </c>
      <c r="D70" s="1">
        <v>3</v>
      </c>
      <c r="E70" s="1">
        <v>14</v>
      </c>
      <c r="F70" s="1" t="s">
        <v>340</v>
      </c>
      <c r="G70" s="1" t="s">
        <v>413</v>
      </c>
      <c r="H70" s="1" t="s">
        <v>333</v>
      </c>
      <c r="I70" s="1" t="s">
        <v>333</v>
      </c>
      <c r="J70" s="1" t="s">
        <v>333</v>
      </c>
      <c r="K70" s="1" t="s">
        <v>333</v>
      </c>
      <c r="L70" s="1" t="s">
        <v>333</v>
      </c>
      <c r="M70" s="1" t="s">
        <v>333</v>
      </c>
      <c r="N70" s="1" t="s">
        <v>333</v>
      </c>
      <c r="O70" s="1" t="s">
        <v>333</v>
      </c>
      <c r="P70" s="1" t="s">
        <v>333</v>
      </c>
      <c r="Q70" s="1" t="s">
        <v>333</v>
      </c>
      <c r="R70" s="1" t="s">
        <v>333</v>
      </c>
      <c r="S70" s="1" t="s">
        <v>359</v>
      </c>
      <c r="T70" s="1">
        <v>0</v>
      </c>
      <c r="U70" s="1">
        <v>3420</v>
      </c>
      <c r="V70" s="1" t="s">
        <v>414</v>
      </c>
      <c r="W70" t="s">
        <v>1600</v>
      </c>
    </row>
    <row r="71" spans="1:23" x14ac:dyDescent="0.25">
      <c r="A71" s="1">
        <v>99</v>
      </c>
      <c r="B71" t="s">
        <v>260</v>
      </c>
      <c r="C71" s="1">
        <v>5</v>
      </c>
      <c r="D71" s="1">
        <v>3</v>
      </c>
      <c r="E71" s="1">
        <v>12</v>
      </c>
      <c r="F71" s="1" t="s">
        <v>396</v>
      </c>
      <c r="G71" s="1" t="s">
        <v>333</v>
      </c>
      <c r="H71" s="1" t="s">
        <v>333</v>
      </c>
      <c r="I71" s="1" t="s">
        <v>333</v>
      </c>
      <c r="J71" s="1" t="s">
        <v>396</v>
      </c>
      <c r="K71" s="1" t="s">
        <v>333</v>
      </c>
      <c r="L71" s="1" t="s">
        <v>333</v>
      </c>
      <c r="M71" s="1" t="s">
        <v>333</v>
      </c>
      <c r="N71" s="1" t="s">
        <v>330</v>
      </c>
      <c r="O71" s="1" t="s">
        <v>333</v>
      </c>
      <c r="P71" s="1" t="s">
        <v>333</v>
      </c>
      <c r="Q71" s="1" t="s">
        <v>333</v>
      </c>
      <c r="R71" s="1" t="s">
        <v>333</v>
      </c>
      <c r="S71" s="1" t="s">
        <v>333</v>
      </c>
      <c r="T71" s="1">
        <v>0</v>
      </c>
      <c r="U71" s="1">
        <v>3600</v>
      </c>
      <c r="V71" s="1" t="s">
        <v>416</v>
      </c>
      <c r="W71" t="s">
        <v>1601</v>
      </c>
    </row>
    <row r="72" spans="1:23" x14ac:dyDescent="0.25">
      <c r="A72" s="1">
        <v>100</v>
      </c>
      <c r="B72" t="s">
        <v>1781</v>
      </c>
      <c r="C72" s="1">
        <v>5</v>
      </c>
      <c r="D72" s="1">
        <v>1</v>
      </c>
      <c r="E72" s="1">
        <v>16</v>
      </c>
      <c r="F72" s="1" t="s">
        <v>333</v>
      </c>
      <c r="G72" s="1" t="s">
        <v>342</v>
      </c>
      <c r="H72" s="1" t="s">
        <v>333</v>
      </c>
      <c r="I72" s="1" t="s">
        <v>333</v>
      </c>
      <c r="J72" s="1" t="s">
        <v>333</v>
      </c>
      <c r="K72" s="1" t="s">
        <v>348</v>
      </c>
      <c r="L72" s="1" t="s">
        <v>333</v>
      </c>
      <c r="M72" s="1" t="s">
        <v>333</v>
      </c>
      <c r="N72" s="1" t="s">
        <v>333</v>
      </c>
      <c r="O72" s="1" t="s">
        <v>333</v>
      </c>
      <c r="P72" s="1" t="s">
        <v>333</v>
      </c>
      <c r="Q72" s="1" t="s">
        <v>333</v>
      </c>
      <c r="R72" s="1" t="s">
        <v>333</v>
      </c>
      <c r="S72" s="1" t="s">
        <v>333</v>
      </c>
      <c r="T72" s="1">
        <v>0</v>
      </c>
      <c r="U72" s="1">
        <v>3600</v>
      </c>
      <c r="V72" s="1" t="s">
        <v>417</v>
      </c>
      <c r="W72" t="s">
        <v>1602</v>
      </c>
    </row>
    <row r="73" spans="1:23" x14ac:dyDescent="0.25">
      <c r="A73" s="1">
        <v>101</v>
      </c>
      <c r="B73" t="s">
        <v>257</v>
      </c>
      <c r="C73" s="1">
        <v>5</v>
      </c>
      <c r="D73" s="1">
        <v>2</v>
      </c>
      <c r="E73" s="1">
        <v>6</v>
      </c>
      <c r="F73" s="1" t="s">
        <v>418</v>
      </c>
      <c r="G73" s="1" t="s">
        <v>333</v>
      </c>
      <c r="H73" s="1" t="s">
        <v>333</v>
      </c>
      <c r="I73" s="1" t="s">
        <v>333</v>
      </c>
      <c r="J73" s="1" t="s">
        <v>333</v>
      </c>
      <c r="K73" s="1" t="s">
        <v>333</v>
      </c>
      <c r="L73" s="1" t="s">
        <v>333</v>
      </c>
      <c r="M73" s="1" t="s">
        <v>391</v>
      </c>
      <c r="N73" s="1" t="s">
        <v>333</v>
      </c>
      <c r="O73" s="1" t="s">
        <v>333</v>
      </c>
      <c r="P73" s="1" t="s">
        <v>333</v>
      </c>
      <c r="Q73" s="1" t="s">
        <v>333</v>
      </c>
      <c r="R73" s="1" t="s">
        <v>333</v>
      </c>
      <c r="S73" s="1" t="s">
        <v>333</v>
      </c>
      <c r="T73" s="1">
        <v>0</v>
      </c>
      <c r="U73" s="1">
        <v>3600</v>
      </c>
      <c r="V73" s="1" t="s">
        <v>419</v>
      </c>
      <c r="W73" t="s">
        <v>1603</v>
      </c>
    </row>
    <row r="74" spans="1:23" x14ac:dyDescent="0.25">
      <c r="A74" s="1">
        <v>102</v>
      </c>
      <c r="B74" t="s">
        <v>266</v>
      </c>
      <c r="C74" s="1">
        <v>5</v>
      </c>
      <c r="D74" s="1">
        <v>3</v>
      </c>
      <c r="E74" s="1">
        <v>9</v>
      </c>
      <c r="F74" s="1" t="s">
        <v>386</v>
      </c>
      <c r="G74" s="1" t="s">
        <v>333</v>
      </c>
      <c r="H74" s="1" t="s">
        <v>420</v>
      </c>
      <c r="I74" s="1" t="s">
        <v>333</v>
      </c>
      <c r="J74" s="1" t="s">
        <v>336</v>
      </c>
      <c r="K74" s="1" t="s">
        <v>333</v>
      </c>
      <c r="L74" s="1" t="s">
        <v>333</v>
      </c>
      <c r="M74" s="1" t="s">
        <v>333</v>
      </c>
      <c r="N74" s="1" t="s">
        <v>333</v>
      </c>
      <c r="O74" s="1" t="s">
        <v>333</v>
      </c>
      <c r="P74" s="1" t="s">
        <v>333</v>
      </c>
      <c r="Q74" s="1" t="s">
        <v>333</v>
      </c>
      <c r="R74" s="1" t="s">
        <v>333</v>
      </c>
      <c r="S74" s="1" t="s">
        <v>333</v>
      </c>
      <c r="T74" s="1">
        <v>0</v>
      </c>
      <c r="U74" s="1">
        <v>3600</v>
      </c>
      <c r="V74" s="1" t="s">
        <v>421</v>
      </c>
      <c r="W74" t="s">
        <v>1604</v>
      </c>
    </row>
    <row r="75" spans="1:23" x14ac:dyDescent="0.25">
      <c r="A75" s="1">
        <v>103</v>
      </c>
      <c r="B75" t="s">
        <v>750</v>
      </c>
      <c r="C75" s="1">
        <v>5</v>
      </c>
      <c r="D75" s="1">
        <v>1</v>
      </c>
      <c r="E75" s="1">
        <v>13</v>
      </c>
      <c r="F75" s="1" t="s">
        <v>333</v>
      </c>
      <c r="G75" s="1" t="s">
        <v>333</v>
      </c>
      <c r="H75" s="1" t="s">
        <v>418</v>
      </c>
      <c r="I75" s="1" t="s">
        <v>333</v>
      </c>
      <c r="J75" s="1" t="s">
        <v>333</v>
      </c>
      <c r="K75" s="1" t="s">
        <v>333</v>
      </c>
      <c r="L75" s="1" t="s">
        <v>390</v>
      </c>
      <c r="M75" s="1" t="s">
        <v>333</v>
      </c>
      <c r="N75" s="1" t="s">
        <v>333</v>
      </c>
      <c r="O75" s="1" t="s">
        <v>333</v>
      </c>
      <c r="P75" s="1" t="s">
        <v>333</v>
      </c>
      <c r="Q75" s="1" t="s">
        <v>333</v>
      </c>
      <c r="R75" s="1" t="s">
        <v>333</v>
      </c>
      <c r="S75" s="1" t="s">
        <v>333</v>
      </c>
      <c r="T75" s="1">
        <v>0</v>
      </c>
      <c r="U75" s="1">
        <v>3600</v>
      </c>
      <c r="V75" s="1" t="s">
        <v>422</v>
      </c>
      <c r="W75" t="s">
        <v>1605</v>
      </c>
    </row>
    <row r="76" spans="1:23" x14ac:dyDescent="0.25">
      <c r="A76" s="1">
        <v>104</v>
      </c>
      <c r="B76" t="s">
        <v>1514</v>
      </c>
      <c r="C76" s="1">
        <v>5</v>
      </c>
      <c r="D76" s="1">
        <v>1</v>
      </c>
      <c r="E76" s="1">
        <v>1</v>
      </c>
      <c r="F76" s="1" t="s">
        <v>333</v>
      </c>
      <c r="G76" s="1" t="s">
        <v>333</v>
      </c>
      <c r="H76" s="1" t="s">
        <v>333</v>
      </c>
      <c r="I76" s="1" t="s">
        <v>333</v>
      </c>
      <c r="J76" s="1" t="s">
        <v>339</v>
      </c>
      <c r="K76" s="1" t="s">
        <v>333</v>
      </c>
      <c r="L76" s="1" t="s">
        <v>332</v>
      </c>
      <c r="M76" s="1" t="s">
        <v>333</v>
      </c>
      <c r="N76" s="1" t="s">
        <v>333</v>
      </c>
      <c r="O76" s="1" t="s">
        <v>333</v>
      </c>
      <c r="P76" s="1" t="s">
        <v>333</v>
      </c>
      <c r="Q76" s="1" t="s">
        <v>333</v>
      </c>
      <c r="R76" s="1" t="s">
        <v>333</v>
      </c>
      <c r="S76" s="1" t="s">
        <v>333</v>
      </c>
      <c r="T76" s="1">
        <v>0</v>
      </c>
      <c r="U76" s="1">
        <v>3600</v>
      </c>
      <c r="V76" s="1" t="s">
        <v>423</v>
      </c>
      <c r="W76" t="s">
        <v>1606</v>
      </c>
    </row>
    <row r="77" spans="1:23" x14ac:dyDescent="0.25">
      <c r="A77" s="1">
        <v>105</v>
      </c>
      <c r="B77" t="s">
        <v>93</v>
      </c>
      <c r="C77" s="1">
        <v>5</v>
      </c>
      <c r="D77" s="1">
        <v>1</v>
      </c>
      <c r="E77" s="1">
        <v>1</v>
      </c>
      <c r="F77" s="1" t="s">
        <v>333</v>
      </c>
      <c r="G77" s="1" t="s">
        <v>333</v>
      </c>
      <c r="H77" s="1" t="s">
        <v>333</v>
      </c>
      <c r="I77" s="1" t="s">
        <v>333</v>
      </c>
      <c r="J77" s="1" t="s">
        <v>333</v>
      </c>
      <c r="K77" s="1" t="s">
        <v>396</v>
      </c>
      <c r="L77" s="1" t="s">
        <v>424</v>
      </c>
      <c r="M77" s="1" t="s">
        <v>333</v>
      </c>
      <c r="N77" s="1" t="s">
        <v>333</v>
      </c>
      <c r="O77" s="1" t="s">
        <v>333</v>
      </c>
      <c r="P77" s="1" t="s">
        <v>333</v>
      </c>
      <c r="Q77" s="1" t="s">
        <v>333</v>
      </c>
      <c r="R77" s="1" t="s">
        <v>333</v>
      </c>
      <c r="S77" s="1" t="s">
        <v>333</v>
      </c>
      <c r="T77" s="1">
        <v>0</v>
      </c>
      <c r="U77" s="1">
        <v>3600</v>
      </c>
      <c r="V77" s="1" t="s">
        <v>372</v>
      </c>
      <c r="W77" t="s">
        <v>1607</v>
      </c>
    </row>
    <row r="78" spans="1:23" x14ac:dyDescent="0.25">
      <c r="A78" s="1">
        <v>106</v>
      </c>
      <c r="B78" t="s">
        <v>225</v>
      </c>
      <c r="C78" s="1">
        <v>5</v>
      </c>
      <c r="D78" s="1">
        <v>1</v>
      </c>
      <c r="E78" s="1">
        <v>2</v>
      </c>
      <c r="F78" s="1" t="s">
        <v>342</v>
      </c>
      <c r="G78" s="1" t="s">
        <v>343</v>
      </c>
      <c r="H78" s="1" t="s">
        <v>333</v>
      </c>
      <c r="I78" s="1" t="s">
        <v>333</v>
      </c>
      <c r="J78" s="1" t="s">
        <v>333</v>
      </c>
      <c r="K78" s="1" t="s">
        <v>333</v>
      </c>
      <c r="L78" s="1" t="s">
        <v>390</v>
      </c>
      <c r="M78" s="1" t="s">
        <v>333</v>
      </c>
      <c r="N78" s="1" t="s">
        <v>333</v>
      </c>
      <c r="O78" s="1" t="s">
        <v>333</v>
      </c>
      <c r="P78" s="1" t="s">
        <v>333</v>
      </c>
      <c r="Q78" s="1" t="s">
        <v>333</v>
      </c>
      <c r="R78" s="1" t="s">
        <v>333</v>
      </c>
      <c r="S78" s="1" t="s">
        <v>333</v>
      </c>
      <c r="T78" s="1">
        <v>0</v>
      </c>
      <c r="U78" s="1">
        <v>3600</v>
      </c>
      <c r="V78" s="1" t="s">
        <v>425</v>
      </c>
      <c r="W78" t="s">
        <v>1608</v>
      </c>
    </row>
    <row r="79" spans="1:23" x14ac:dyDescent="0.25">
      <c r="A79" s="1">
        <v>107</v>
      </c>
      <c r="B79" t="s">
        <v>114</v>
      </c>
      <c r="C79" s="1">
        <v>5</v>
      </c>
      <c r="D79" s="1">
        <v>3</v>
      </c>
      <c r="E79" s="1">
        <v>14</v>
      </c>
      <c r="F79" s="1" t="s">
        <v>426</v>
      </c>
      <c r="G79" s="1" t="s">
        <v>409</v>
      </c>
      <c r="H79" s="1" t="s">
        <v>338</v>
      </c>
      <c r="I79" s="1" t="s">
        <v>333</v>
      </c>
      <c r="J79" s="1" t="s">
        <v>333</v>
      </c>
      <c r="K79" s="1" t="s">
        <v>333</v>
      </c>
      <c r="L79" s="1" t="s">
        <v>333</v>
      </c>
      <c r="M79" s="1" t="s">
        <v>333</v>
      </c>
      <c r="N79" s="1" t="s">
        <v>333</v>
      </c>
      <c r="O79" s="1" t="s">
        <v>333</v>
      </c>
      <c r="P79" s="1" t="s">
        <v>333</v>
      </c>
      <c r="Q79" s="1" t="s">
        <v>333</v>
      </c>
      <c r="R79" s="1" t="s">
        <v>333</v>
      </c>
      <c r="S79" s="1" t="s">
        <v>427</v>
      </c>
      <c r="T79" s="1">
        <v>0</v>
      </c>
      <c r="U79" s="1">
        <v>3600</v>
      </c>
      <c r="V79" s="1" t="s">
        <v>428</v>
      </c>
      <c r="W79" t="s">
        <v>1580</v>
      </c>
    </row>
    <row r="80" spans="1:23" x14ac:dyDescent="0.25">
      <c r="A80" s="1">
        <v>108</v>
      </c>
      <c r="B80" t="s">
        <v>91</v>
      </c>
      <c r="C80" s="1">
        <v>5</v>
      </c>
      <c r="D80" s="1">
        <v>3</v>
      </c>
      <c r="E80" s="1">
        <v>15</v>
      </c>
      <c r="F80" s="1" t="s">
        <v>333</v>
      </c>
      <c r="G80" s="1" t="s">
        <v>333</v>
      </c>
      <c r="H80" s="1" t="s">
        <v>333</v>
      </c>
      <c r="I80" s="1" t="s">
        <v>406</v>
      </c>
      <c r="J80" s="1" t="s">
        <v>336</v>
      </c>
      <c r="K80" s="1" t="s">
        <v>348</v>
      </c>
      <c r="L80" s="1" t="s">
        <v>333</v>
      </c>
      <c r="M80" s="1" t="s">
        <v>333</v>
      </c>
      <c r="N80" s="1" t="s">
        <v>333</v>
      </c>
      <c r="O80" s="1" t="s">
        <v>333</v>
      </c>
      <c r="P80" s="1" t="s">
        <v>333</v>
      </c>
      <c r="Q80" s="1" t="s">
        <v>333</v>
      </c>
      <c r="R80" s="1" t="s">
        <v>333</v>
      </c>
      <c r="S80" s="1" t="s">
        <v>333</v>
      </c>
      <c r="T80" s="1">
        <v>0</v>
      </c>
      <c r="U80" s="1">
        <v>3600</v>
      </c>
      <c r="V80" s="1" t="s">
        <v>429</v>
      </c>
      <c r="W80" t="s">
        <v>1609</v>
      </c>
    </row>
    <row r="81" spans="1:23" x14ac:dyDescent="0.25">
      <c r="A81" s="1">
        <v>111</v>
      </c>
      <c r="B81" t="s">
        <v>1778</v>
      </c>
      <c r="C81" s="1">
        <v>5</v>
      </c>
      <c r="D81" s="1">
        <v>1</v>
      </c>
      <c r="E81" s="1">
        <v>1</v>
      </c>
      <c r="F81" s="1" t="s">
        <v>333</v>
      </c>
      <c r="G81" s="1" t="s">
        <v>339</v>
      </c>
      <c r="H81" s="1" t="s">
        <v>333</v>
      </c>
      <c r="I81" s="1" t="s">
        <v>333</v>
      </c>
      <c r="J81" s="1" t="s">
        <v>333</v>
      </c>
      <c r="K81" s="1" t="s">
        <v>333</v>
      </c>
      <c r="L81" s="1" t="s">
        <v>402</v>
      </c>
      <c r="M81" s="1" t="s">
        <v>333</v>
      </c>
      <c r="N81" s="1" t="s">
        <v>333</v>
      </c>
      <c r="O81" s="1" t="s">
        <v>333</v>
      </c>
      <c r="P81" s="1" t="s">
        <v>333</v>
      </c>
      <c r="Q81" s="1" t="s">
        <v>333</v>
      </c>
      <c r="R81" s="1" t="s">
        <v>333</v>
      </c>
      <c r="S81" s="1" t="s">
        <v>333</v>
      </c>
      <c r="T81" s="1">
        <v>0</v>
      </c>
      <c r="U81" s="1">
        <v>3600</v>
      </c>
      <c r="V81" s="1" t="s">
        <v>431</v>
      </c>
      <c r="W81" t="s">
        <v>1610</v>
      </c>
    </row>
    <row r="82" spans="1:23" x14ac:dyDescent="0.25">
      <c r="A82" s="1">
        <v>112</v>
      </c>
      <c r="B82" t="s">
        <v>264</v>
      </c>
      <c r="C82" s="1">
        <v>5</v>
      </c>
      <c r="D82" s="1">
        <v>1</v>
      </c>
      <c r="E82" s="1">
        <v>3</v>
      </c>
      <c r="F82" s="1" t="s">
        <v>333</v>
      </c>
      <c r="G82" s="1" t="s">
        <v>348</v>
      </c>
      <c r="H82" s="1" t="s">
        <v>333</v>
      </c>
      <c r="I82" s="1" t="s">
        <v>333</v>
      </c>
      <c r="J82" s="1" t="s">
        <v>349</v>
      </c>
      <c r="K82" s="1" t="s">
        <v>333</v>
      </c>
      <c r="L82" s="1" t="s">
        <v>397</v>
      </c>
      <c r="M82" s="1" t="s">
        <v>333</v>
      </c>
      <c r="N82" s="1" t="s">
        <v>333</v>
      </c>
      <c r="O82" s="1" t="s">
        <v>333</v>
      </c>
      <c r="P82" s="1" t="s">
        <v>333</v>
      </c>
      <c r="Q82" s="1" t="s">
        <v>333</v>
      </c>
      <c r="R82" s="1" t="s">
        <v>333</v>
      </c>
      <c r="S82" s="1" t="s">
        <v>333</v>
      </c>
      <c r="T82" s="1">
        <v>0</v>
      </c>
      <c r="U82" s="1">
        <v>3600</v>
      </c>
      <c r="V82" s="1" t="s">
        <v>432</v>
      </c>
      <c r="W82" t="s">
        <v>1611</v>
      </c>
    </row>
    <row r="83" spans="1:23" x14ac:dyDescent="0.25">
      <c r="A83" s="1">
        <v>113</v>
      </c>
      <c r="B83" t="s">
        <v>797</v>
      </c>
      <c r="C83" s="1">
        <v>5</v>
      </c>
      <c r="D83" s="1">
        <v>1</v>
      </c>
      <c r="E83" s="1">
        <v>13</v>
      </c>
      <c r="F83" s="1" t="s">
        <v>333</v>
      </c>
      <c r="G83" s="1" t="s">
        <v>336</v>
      </c>
      <c r="H83" s="1" t="s">
        <v>346</v>
      </c>
      <c r="I83" s="1" t="s">
        <v>333</v>
      </c>
      <c r="J83" s="1" t="s">
        <v>333</v>
      </c>
      <c r="K83" s="1" t="s">
        <v>333</v>
      </c>
      <c r="L83" s="1" t="s">
        <v>390</v>
      </c>
      <c r="M83" s="1" t="s">
        <v>333</v>
      </c>
      <c r="N83" s="1" t="s">
        <v>333</v>
      </c>
      <c r="O83" s="1" t="s">
        <v>333</v>
      </c>
      <c r="P83" s="1" t="s">
        <v>333</v>
      </c>
      <c r="Q83" s="1" t="s">
        <v>333</v>
      </c>
      <c r="R83" s="1" t="s">
        <v>333</v>
      </c>
      <c r="S83" s="1" t="s">
        <v>333</v>
      </c>
      <c r="T83" s="1">
        <v>0</v>
      </c>
      <c r="U83" s="1">
        <v>3600</v>
      </c>
      <c r="V83" s="1" t="s">
        <v>433</v>
      </c>
      <c r="W83" t="s">
        <v>1612</v>
      </c>
    </row>
    <row r="84" spans="1:23" x14ac:dyDescent="0.25">
      <c r="A84" s="1">
        <v>114</v>
      </c>
      <c r="B84" t="s">
        <v>1782</v>
      </c>
      <c r="C84" s="1">
        <v>5</v>
      </c>
      <c r="D84" s="1">
        <v>1</v>
      </c>
      <c r="E84" s="1">
        <v>16</v>
      </c>
      <c r="F84" s="1" t="s">
        <v>333</v>
      </c>
      <c r="G84" s="1" t="s">
        <v>359</v>
      </c>
      <c r="H84" s="1" t="s">
        <v>363</v>
      </c>
      <c r="I84" s="1" t="s">
        <v>333</v>
      </c>
      <c r="J84" s="1" t="s">
        <v>333</v>
      </c>
      <c r="K84" s="1" t="s">
        <v>333</v>
      </c>
      <c r="L84" s="1" t="s">
        <v>390</v>
      </c>
      <c r="M84" s="1" t="s">
        <v>333</v>
      </c>
      <c r="N84" s="1" t="s">
        <v>333</v>
      </c>
      <c r="O84" s="1" t="s">
        <v>333</v>
      </c>
      <c r="P84" s="1" t="s">
        <v>333</v>
      </c>
      <c r="Q84" s="1" t="s">
        <v>333</v>
      </c>
      <c r="R84" s="1" t="s">
        <v>333</v>
      </c>
      <c r="S84" s="1" t="s">
        <v>333</v>
      </c>
      <c r="T84" s="1">
        <v>0</v>
      </c>
      <c r="U84" s="1">
        <v>3600</v>
      </c>
      <c r="V84" s="1" t="s">
        <v>434</v>
      </c>
      <c r="W84" t="s">
        <v>1613</v>
      </c>
    </row>
    <row r="85" spans="1:23" x14ac:dyDescent="0.25">
      <c r="A85" s="1">
        <v>115</v>
      </c>
      <c r="B85" t="s">
        <v>1779</v>
      </c>
      <c r="C85" s="1">
        <v>5</v>
      </c>
      <c r="D85" s="1">
        <v>3</v>
      </c>
      <c r="E85" s="1">
        <v>15</v>
      </c>
      <c r="F85" s="1" t="s">
        <v>339</v>
      </c>
      <c r="G85" s="1" t="s">
        <v>333</v>
      </c>
      <c r="H85" s="1" t="s">
        <v>333</v>
      </c>
      <c r="I85" s="1" t="s">
        <v>406</v>
      </c>
      <c r="J85" s="1" t="s">
        <v>333</v>
      </c>
      <c r="K85" s="1" t="s">
        <v>348</v>
      </c>
      <c r="L85" s="1" t="s">
        <v>333</v>
      </c>
      <c r="M85" s="1" t="s">
        <v>333</v>
      </c>
      <c r="N85" s="1" t="s">
        <v>333</v>
      </c>
      <c r="O85" s="1" t="s">
        <v>333</v>
      </c>
      <c r="P85" s="1" t="s">
        <v>333</v>
      </c>
      <c r="Q85" s="1" t="s">
        <v>333</v>
      </c>
      <c r="R85" s="1" t="s">
        <v>333</v>
      </c>
      <c r="S85" s="1" t="s">
        <v>333</v>
      </c>
      <c r="T85" s="1">
        <v>0</v>
      </c>
      <c r="U85" s="1">
        <v>3600</v>
      </c>
      <c r="V85" s="1" t="s">
        <v>435</v>
      </c>
      <c r="W85" t="s">
        <v>1614</v>
      </c>
    </row>
    <row r="86" spans="1:23" x14ac:dyDescent="0.25">
      <c r="A86" s="1">
        <v>117</v>
      </c>
      <c r="B86" t="s">
        <v>727</v>
      </c>
      <c r="C86" s="1">
        <v>5</v>
      </c>
      <c r="D86" s="1">
        <v>1</v>
      </c>
      <c r="E86" s="1">
        <v>4</v>
      </c>
      <c r="F86" s="1" t="s">
        <v>333</v>
      </c>
      <c r="G86" s="1" t="s">
        <v>333</v>
      </c>
      <c r="H86" s="1" t="s">
        <v>333</v>
      </c>
      <c r="I86" s="1" t="s">
        <v>333</v>
      </c>
      <c r="J86" s="1" t="s">
        <v>333</v>
      </c>
      <c r="K86" s="1" t="s">
        <v>333</v>
      </c>
      <c r="L86" s="1" t="s">
        <v>333</v>
      </c>
      <c r="M86" s="1" t="s">
        <v>333</v>
      </c>
      <c r="N86" s="1" t="s">
        <v>333</v>
      </c>
      <c r="O86" s="1" t="s">
        <v>333</v>
      </c>
      <c r="P86" s="1" t="s">
        <v>333</v>
      </c>
      <c r="Q86" s="1" t="s">
        <v>333</v>
      </c>
      <c r="R86" s="1" t="s">
        <v>373</v>
      </c>
      <c r="S86" s="1" t="s">
        <v>333</v>
      </c>
      <c r="T86" s="1">
        <v>30</v>
      </c>
      <c r="U86" s="1">
        <v>3600</v>
      </c>
      <c r="V86" s="1" t="s">
        <v>436</v>
      </c>
      <c r="W86" t="s">
        <v>333</v>
      </c>
    </row>
    <row r="87" spans="1:23" x14ac:dyDescent="0.25">
      <c r="A87" s="1">
        <v>118</v>
      </c>
      <c r="B87" t="s">
        <v>728</v>
      </c>
      <c r="C87" s="1">
        <v>5</v>
      </c>
      <c r="D87" s="1">
        <v>1</v>
      </c>
      <c r="E87" s="1">
        <v>4</v>
      </c>
      <c r="F87" s="1" t="s">
        <v>333</v>
      </c>
      <c r="G87" s="1" t="s">
        <v>333</v>
      </c>
      <c r="H87" s="1" t="s">
        <v>333</v>
      </c>
      <c r="I87" s="1" t="s">
        <v>333</v>
      </c>
      <c r="J87" s="1" t="s">
        <v>333</v>
      </c>
      <c r="K87" s="1" t="s">
        <v>333</v>
      </c>
      <c r="L87" s="1" t="s">
        <v>333</v>
      </c>
      <c r="M87" s="1" t="s">
        <v>333</v>
      </c>
      <c r="N87" s="1" t="s">
        <v>333</v>
      </c>
      <c r="O87" s="1" t="s">
        <v>333</v>
      </c>
      <c r="P87" s="1" t="s">
        <v>333</v>
      </c>
      <c r="Q87" s="1" t="s">
        <v>333</v>
      </c>
      <c r="R87" s="1" t="s">
        <v>373</v>
      </c>
      <c r="S87" s="1" t="s">
        <v>333</v>
      </c>
      <c r="T87" s="1">
        <v>30</v>
      </c>
      <c r="U87" s="1">
        <v>3600</v>
      </c>
      <c r="V87" s="1" t="s">
        <v>437</v>
      </c>
      <c r="W87" t="s">
        <v>333</v>
      </c>
    </row>
    <row r="88" spans="1:23" x14ac:dyDescent="0.25">
      <c r="A88" s="1">
        <v>119</v>
      </c>
      <c r="B88" t="s">
        <v>719</v>
      </c>
      <c r="C88" s="1">
        <v>5</v>
      </c>
      <c r="D88" s="1">
        <v>1</v>
      </c>
      <c r="E88" s="1">
        <v>1</v>
      </c>
      <c r="F88" s="1" t="s">
        <v>359</v>
      </c>
      <c r="G88" s="1" t="s">
        <v>336</v>
      </c>
      <c r="H88" s="1" t="s">
        <v>333</v>
      </c>
      <c r="I88" s="1" t="s">
        <v>333</v>
      </c>
      <c r="J88" s="1" t="s">
        <v>333</v>
      </c>
      <c r="K88" s="1" t="s">
        <v>333</v>
      </c>
      <c r="L88" s="1" t="s">
        <v>332</v>
      </c>
      <c r="M88" s="1" t="s">
        <v>333</v>
      </c>
      <c r="N88" s="1" t="s">
        <v>333</v>
      </c>
      <c r="O88" s="1" t="s">
        <v>333</v>
      </c>
      <c r="P88" s="1" t="s">
        <v>333</v>
      </c>
      <c r="Q88" s="1" t="s">
        <v>333</v>
      </c>
      <c r="R88" s="1" t="s">
        <v>333</v>
      </c>
      <c r="S88" s="1" t="s">
        <v>333</v>
      </c>
      <c r="T88" s="1">
        <v>0</v>
      </c>
      <c r="U88" s="1">
        <v>3600</v>
      </c>
      <c r="V88" s="1" t="s">
        <v>438</v>
      </c>
      <c r="W88" t="s">
        <v>1615</v>
      </c>
    </row>
    <row r="89" spans="1:23" x14ac:dyDescent="0.25">
      <c r="A89" s="1">
        <v>122</v>
      </c>
      <c r="B89" t="s">
        <v>271</v>
      </c>
      <c r="C89" s="1">
        <v>5</v>
      </c>
      <c r="D89" s="1">
        <v>1</v>
      </c>
      <c r="E89" s="1">
        <v>16</v>
      </c>
      <c r="F89" s="1" t="s">
        <v>336</v>
      </c>
      <c r="G89" s="1" t="s">
        <v>333</v>
      </c>
      <c r="H89" s="1" t="s">
        <v>363</v>
      </c>
      <c r="I89" s="1" t="s">
        <v>333</v>
      </c>
      <c r="J89" s="1" t="s">
        <v>333</v>
      </c>
      <c r="K89" s="1" t="s">
        <v>333</v>
      </c>
      <c r="L89" s="1" t="s">
        <v>390</v>
      </c>
      <c r="M89" s="1" t="s">
        <v>333</v>
      </c>
      <c r="N89" s="1" t="s">
        <v>333</v>
      </c>
      <c r="O89" s="1" t="s">
        <v>333</v>
      </c>
      <c r="P89" s="1" t="s">
        <v>333</v>
      </c>
      <c r="Q89" s="1" t="s">
        <v>333</v>
      </c>
      <c r="R89" s="1" t="s">
        <v>333</v>
      </c>
      <c r="S89" s="1" t="s">
        <v>333</v>
      </c>
      <c r="T89" s="1">
        <v>0</v>
      </c>
      <c r="U89" s="1">
        <v>2820</v>
      </c>
      <c r="V89" s="1" t="s">
        <v>440</v>
      </c>
      <c r="W89" t="s">
        <v>1616</v>
      </c>
    </row>
    <row r="90" spans="1:23" x14ac:dyDescent="0.25">
      <c r="A90" s="1">
        <v>123</v>
      </c>
      <c r="B90" t="s">
        <v>753</v>
      </c>
      <c r="C90" s="1">
        <v>5</v>
      </c>
      <c r="D90" s="1">
        <v>1</v>
      </c>
      <c r="E90" s="1">
        <v>16</v>
      </c>
      <c r="F90" s="1" t="s">
        <v>339</v>
      </c>
      <c r="G90" s="1" t="s">
        <v>348</v>
      </c>
      <c r="H90" s="1" t="s">
        <v>333</v>
      </c>
      <c r="I90" s="1" t="s">
        <v>333</v>
      </c>
      <c r="J90" s="1" t="s">
        <v>333</v>
      </c>
      <c r="K90" s="1" t="s">
        <v>333</v>
      </c>
      <c r="L90" s="1" t="s">
        <v>397</v>
      </c>
      <c r="M90" s="1" t="s">
        <v>333</v>
      </c>
      <c r="N90" s="1" t="s">
        <v>333</v>
      </c>
      <c r="O90" s="1" t="s">
        <v>333</v>
      </c>
      <c r="P90" s="1" t="s">
        <v>333</v>
      </c>
      <c r="Q90" s="1" t="s">
        <v>333</v>
      </c>
      <c r="R90" s="1" t="s">
        <v>333</v>
      </c>
      <c r="S90" s="1" t="s">
        <v>333</v>
      </c>
      <c r="T90" s="1">
        <v>0</v>
      </c>
      <c r="U90" s="1">
        <v>3600</v>
      </c>
      <c r="V90" s="1" t="s">
        <v>441</v>
      </c>
      <c r="W90" t="s">
        <v>1617</v>
      </c>
    </row>
    <row r="91" spans="1:23" x14ac:dyDescent="0.25">
      <c r="A91" s="1">
        <v>124</v>
      </c>
      <c r="B91" t="s">
        <v>1524</v>
      </c>
      <c r="C91" s="1">
        <v>5</v>
      </c>
      <c r="D91" s="1">
        <v>1</v>
      </c>
      <c r="E91" s="1">
        <v>1</v>
      </c>
      <c r="F91" s="1" t="s">
        <v>359</v>
      </c>
      <c r="G91" s="1" t="s">
        <v>333</v>
      </c>
      <c r="H91" s="1" t="s">
        <v>333</v>
      </c>
      <c r="I91" s="1" t="s">
        <v>333</v>
      </c>
      <c r="J91" s="1" t="s">
        <v>333</v>
      </c>
      <c r="K91" s="1" t="s">
        <v>333</v>
      </c>
      <c r="L91" s="1" t="s">
        <v>332</v>
      </c>
      <c r="M91" s="1" t="s">
        <v>333</v>
      </c>
      <c r="N91" s="1" t="s">
        <v>333</v>
      </c>
      <c r="O91" s="1" t="s">
        <v>333</v>
      </c>
      <c r="P91" s="1" t="s">
        <v>333</v>
      </c>
      <c r="Q91" s="1" t="s">
        <v>333</v>
      </c>
      <c r="R91" s="1" t="s">
        <v>333</v>
      </c>
      <c r="S91" s="1" t="s">
        <v>333</v>
      </c>
      <c r="T91" s="1">
        <v>0</v>
      </c>
      <c r="U91" s="1">
        <v>3600</v>
      </c>
      <c r="V91" s="1" t="s">
        <v>442</v>
      </c>
      <c r="W91" t="s">
        <v>1618</v>
      </c>
    </row>
    <row r="92" spans="1:23" x14ac:dyDescent="0.25">
      <c r="A92" s="1">
        <v>125</v>
      </c>
      <c r="B92" t="s">
        <v>269</v>
      </c>
      <c r="C92" s="1">
        <v>5</v>
      </c>
      <c r="D92" s="1">
        <v>1</v>
      </c>
      <c r="E92" s="1">
        <v>13</v>
      </c>
      <c r="F92" s="1" t="s">
        <v>333</v>
      </c>
      <c r="G92" s="1" t="s">
        <v>333</v>
      </c>
      <c r="H92" s="1" t="s">
        <v>346</v>
      </c>
      <c r="I92" s="1" t="s">
        <v>333</v>
      </c>
      <c r="J92" s="1" t="s">
        <v>333</v>
      </c>
      <c r="K92" s="1" t="s">
        <v>333</v>
      </c>
      <c r="L92" s="1" t="s">
        <v>443</v>
      </c>
      <c r="M92" s="1" t="s">
        <v>333</v>
      </c>
      <c r="N92" s="1" t="s">
        <v>333</v>
      </c>
      <c r="O92" s="1" t="s">
        <v>333</v>
      </c>
      <c r="P92" s="1" t="s">
        <v>333</v>
      </c>
      <c r="Q92" s="1" t="s">
        <v>333</v>
      </c>
      <c r="R92" s="1" t="s">
        <v>333</v>
      </c>
      <c r="S92" s="1" t="s">
        <v>333</v>
      </c>
      <c r="T92" s="1">
        <v>0</v>
      </c>
      <c r="U92" s="1">
        <v>3600</v>
      </c>
      <c r="V92" s="1" t="s">
        <v>444</v>
      </c>
      <c r="W92" t="s">
        <v>1619</v>
      </c>
    </row>
    <row r="93" spans="1:23" x14ac:dyDescent="0.25">
      <c r="A93" s="1">
        <v>126</v>
      </c>
      <c r="B93" t="s">
        <v>261</v>
      </c>
      <c r="C93" s="1">
        <v>5</v>
      </c>
      <c r="D93" s="1">
        <v>1</v>
      </c>
      <c r="E93" s="1">
        <v>16</v>
      </c>
      <c r="F93" s="1" t="s">
        <v>445</v>
      </c>
      <c r="G93" s="1" t="s">
        <v>343</v>
      </c>
      <c r="H93" s="1" t="s">
        <v>333</v>
      </c>
      <c r="I93" s="1" t="s">
        <v>333</v>
      </c>
      <c r="J93" s="1" t="s">
        <v>383</v>
      </c>
      <c r="K93" s="1" t="s">
        <v>333</v>
      </c>
      <c r="L93" s="1" t="s">
        <v>333</v>
      </c>
      <c r="M93" s="1" t="s">
        <v>333</v>
      </c>
      <c r="N93" s="1" t="s">
        <v>333</v>
      </c>
      <c r="O93" s="1" t="s">
        <v>333</v>
      </c>
      <c r="P93" s="1" t="s">
        <v>333</v>
      </c>
      <c r="Q93" s="1" t="s">
        <v>333</v>
      </c>
      <c r="R93" s="1" t="s">
        <v>333</v>
      </c>
      <c r="S93" s="1" t="s">
        <v>333</v>
      </c>
      <c r="T93" s="1">
        <v>0</v>
      </c>
      <c r="U93" s="1">
        <v>3600</v>
      </c>
      <c r="V93" s="1" t="s">
        <v>446</v>
      </c>
      <c r="W93" t="s">
        <v>1620</v>
      </c>
    </row>
    <row r="94" spans="1:23" x14ac:dyDescent="0.25">
      <c r="A94" s="1">
        <v>127</v>
      </c>
      <c r="B94" t="s">
        <v>744</v>
      </c>
      <c r="C94" s="1">
        <v>5</v>
      </c>
      <c r="D94" s="1">
        <v>3</v>
      </c>
      <c r="E94" s="1">
        <v>12</v>
      </c>
      <c r="F94" s="1" t="s">
        <v>396</v>
      </c>
      <c r="G94" s="1" t="s">
        <v>411</v>
      </c>
      <c r="H94" s="1" t="s">
        <v>430</v>
      </c>
      <c r="I94" s="1" t="s">
        <v>333</v>
      </c>
      <c r="J94" s="1" t="s">
        <v>333</v>
      </c>
      <c r="K94" s="1" t="s">
        <v>333</v>
      </c>
      <c r="L94" s="1" t="s">
        <v>333</v>
      </c>
      <c r="M94" s="1" t="s">
        <v>333</v>
      </c>
      <c r="N94" s="1" t="s">
        <v>333</v>
      </c>
      <c r="O94" s="1" t="s">
        <v>333</v>
      </c>
      <c r="P94" s="1" t="s">
        <v>333</v>
      </c>
      <c r="Q94" s="1" t="s">
        <v>333</v>
      </c>
      <c r="R94" s="1" t="s">
        <v>333</v>
      </c>
      <c r="S94" s="1" t="s">
        <v>333</v>
      </c>
      <c r="T94" s="1">
        <v>0</v>
      </c>
      <c r="U94" s="1">
        <v>3600</v>
      </c>
      <c r="V94" s="1" t="s">
        <v>447</v>
      </c>
      <c r="W94" t="s">
        <v>1621</v>
      </c>
    </row>
    <row r="95" spans="1:23" x14ac:dyDescent="0.25">
      <c r="A95" s="1">
        <v>128</v>
      </c>
      <c r="B95" t="s">
        <v>841</v>
      </c>
      <c r="C95" s="1">
        <v>5</v>
      </c>
      <c r="D95" s="1">
        <v>1</v>
      </c>
      <c r="E95" s="1">
        <v>13</v>
      </c>
      <c r="F95" s="1" t="s">
        <v>333</v>
      </c>
      <c r="G95" s="1" t="s">
        <v>333</v>
      </c>
      <c r="H95" s="1" t="s">
        <v>418</v>
      </c>
      <c r="I95" s="1" t="s">
        <v>333</v>
      </c>
      <c r="J95" s="1" t="s">
        <v>333</v>
      </c>
      <c r="K95" s="1" t="s">
        <v>333</v>
      </c>
      <c r="L95" s="1" t="s">
        <v>390</v>
      </c>
      <c r="M95" s="1" t="s">
        <v>333</v>
      </c>
      <c r="N95" s="1" t="s">
        <v>333</v>
      </c>
      <c r="O95" s="1" t="s">
        <v>333</v>
      </c>
      <c r="P95" s="1" t="s">
        <v>333</v>
      </c>
      <c r="Q95" s="1" t="s">
        <v>333</v>
      </c>
      <c r="R95" s="1" t="s">
        <v>333</v>
      </c>
      <c r="S95" s="1" t="s">
        <v>333</v>
      </c>
      <c r="T95" s="1">
        <v>0</v>
      </c>
      <c r="U95" s="1">
        <v>3600</v>
      </c>
      <c r="V95" s="1" t="s">
        <v>448</v>
      </c>
      <c r="W95" t="s">
        <v>1605</v>
      </c>
    </row>
    <row r="96" spans="1:23" x14ac:dyDescent="0.25">
      <c r="A96" s="1">
        <v>129</v>
      </c>
      <c r="B96" t="s">
        <v>259</v>
      </c>
      <c r="C96" s="1">
        <v>5</v>
      </c>
      <c r="D96" s="1">
        <v>1</v>
      </c>
      <c r="E96" s="1">
        <v>1</v>
      </c>
      <c r="F96" s="1" t="s">
        <v>333</v>
      </c>
      <c r="G96" s="1" t="s">
        <v>340</v>
      </c>
      <c r="H96" s="1" t="s">
        <v>333</v>
      </c>
      <c r="I96" s="1" t="s">
        <v>333</v>
      </c>
      <c r="J96" s="1" t="s">
        <v>333</v>
      </c>
      <c r="K96" s="1" t="s">
        <v>333</v>
      </c>
      <c r="L96" s="1" t="s">
        <v>332</v>
      </c>
      <c r="M96" s="1" t="s">
        <v>333</v>
      </c>
      <c r="N96" s="1" t="s">
        <v>333</v>
      </c>
      <c r="O96" s="1" t="s">
        <v>333</v>
      </c>
      <c r="P96" s="1" t="s">
        <v>333</v>
      </c>
      <c r="Q96" s="1" t="s">
        <v>333</v>
      </c>
      <c r="R96" s="1" t="s">
        <v>333</v>
      </c>
      <c r="S96" s="1" t="s">
        <v>333</v>
      </c>
      <c r="T96" s="1">
        <v>0</v>
      </c>
      <c r="U96" s="1">
        <v>3600</v>
      </c>
      <c r="V96" s="1" t="s">
        <v>449</v>
      </c>
      <c r="W96" t="s">
        <v>1610</v>
      </c>
    </row>
    <row r="97" spans="1:23" x14ac:dyDescent="0.25">
      <c r="A97" s="1">
        <v>130</v>
      </c>
      <c r="B97" t="s">
        <v>1526</v>
      </c>
      <c r="C97" s="1">
        <v>5</v>
      </c>
      <c r="D97" s="1">
        <v>1</v>
      </c>
      <c r="E97" s="1">
        <v>1</v>
      </c>
      <c r="F97" s="1" t="s">
        <v>333</v>
      </c>
      <c r="G97" s="1" t="s">
        <v>359</v>
      </c>
      <c r="H97" s="1" t="s">
        <v>333</v>
      </c>
      <c r="I97" s="1" t="s">
        <v>333</v>
      </c>
      <c r="J97" s="1" t="s">
        <v>333</v>
      </c>
      <c r="K97" s="1" t="s">
        <v>333</v>
      </c>
      <c r="L97" s="1" t="s">
        <v>332</v>
      </c>
      <c r="M97" s="1" t="s">
        <v>333</v>
      </c>
      <c r="N97" s="1" t="s">
        <v>333</v>
      </c>
      <c r="O97" s="1" t="s">
        <v>333</v>
      </c>
      <c r="P97" s="1" t="s">
        <v>333</v>
      </c>
      <c r="Q97" s="1" t="s">
        <v>333</v>
      </c>
      <c r="R97" s="1" t="s">
        <v>333</v>
      </c>
      <c r="S97" s="1" t="s">
        <v>333</v>
      </c>
      <c r="T97" s="1">
        <v>0</v>
      </c>
      <c r="U97" s="1">
        <v>3600</v>
      </c>
      <c r="V97" s="1" t="s">
        <v>450</v>
      </c>
      <c r="W97" t="s">
        <v>1610</v>
      </c>
    </row>
    <row r="98" spans="1:23" x14ac:dyDescent="0.25">
      <c r="A98" s="1">
        <v>131</v>
      </c>
      <c r="B98" t="s">
        <v>265</v>
      </c>
      <c r="C98" s="1">
        <v>5</v>
      </c>
      <c r="D98" s="1">
        <v>1</v>
      </c>
      <c r="E98" s="1">
        <v>3</v>
      </c>
      <c r="F98" s="1" t="s">
        <v>334</v>
      </c>
      <c r="G98" s="1" t="s">
        <v>451</v>
      </c>
      <c r="H98" s="1" t="s">
        <v>333</v>
      </c>
      <c r="I98" s="1" t="s">
        <v>333</v>
      </c>
      <c r="J98" s="1" t="s">
        <v>333</v>
      </c>
      <c r="K98" s="1" t="s">
        <v>333</v>
      </c>
      <c r="L98" s="1" t="s">
        <v>397</v>
      </c>
      <c r="M98" s="1" t="s">
        <v>333</v>
      </c>
      <c r="N98" s="1" t="s">
        <v>333</v>
      </c>
      <c r="O98" s="1" t="s">
        <v>333</v>
      </c>
      <c r="P98" s="1" t="s">
        <v>333</v>
      </c>
      <c r="Q98" s="1" t="s">
        <v>333</v>
      </c>
      <c r="R98" s="1" t="s">
        <v>333</v>
      </c>
      <c r="S98" s="1" t="s">
        <v>333</v>
      </c>
      <c r="T98" s="1">
        <v>0</v>
      </c>
      <c r="U98" s="1">
        <v>3600</v>
      </c>
      <c r="V98" s="1" t="s">
        <v>452</v>
      </c>
      <c r="W98" t="s">
        <v>1622</v>
      </c>
    </row>
    <row r="99" spans="1:23" x14ac:dyDescent="0.25">
      <c r="A99" s="1">
        <v>132</v>
      </c>
      <c r="B99" t="s">
        <v>304</v>
      </c>
      <c r="C99" s="1">
        <v>5</v>
      </c>
      <c r="D99" s="1">
        <v>1</v>
      </c>
      <c r="E99" s="1">
        <v>3</v>
      </c>
      <c r="F99" s="1" t="s">
        <v>333</v>
      </c>
      <c r="G99" s="1" t="s">
        <v>453</v>
      </c>
      <c r="H99" s="1" t="s">
        <v>333</v>
      </c>
      <c r="I99" s="1" t="s">
        <v>333</v>
      </c>
      <c r="J99" s="1" t="s">
        <v>335</v>
      </c>
      <c r="K99" s="1" t="s">
        <v>333</v>
      </c>
      <c r="L99" s="1" t="s">
        <v>427</v>
      </c>
      <c r="M99" s="1" t="s">
        <v>333</v>
      </c>
      <c r="N99" s="1" t="s">
        <v>333</v>
      </c>
      <c r="O99" s="1" t="s">
        <v>333</v>
      </c>
      <c r="P99" s="1" t="s">
        <v>333</v>
      </c>
      <c r="Q99" s="1" t="s">
        <v>333</v>
      </c>
      <c r="R99" s="1" t="s">
        <v>333</v>
      </c>
      <c r="S99" s="1" t="s">
        <v>333</v>
      </c>
      <c r="T99" s="1">
        <v>0</v>
      </c>
      <c r="U99" s="1">
        <v>3600</v>
      </c>
      <c r="V99" s="1" t="s">
        <v>954</v>
      </c>
      <c r="W99" t="s">
        <v>1623</v>
      </c>
    </row>
    <row r="100" spans="1:23" x14ac:dyDescent="0.25">
      <c r="A100" s="1">
        <v>133</v>
      </c>
      <c r="B100" t="s">
        <v>67</v>
      </c>
      <c r="C100" s="1">
        <v>5</v>
      </c>
      <c r="D100" s="1">
        <v>1</v>
      </c>
      <c r="E100" s="1">
        <v>16</v>
      </c>
      <c r="F100" s="1" t="s">
        <v>333</v>
      </c>
      <c r="G100" s="1" t="s">
        <v>336</v>
      </c>
      <c r="H100" s="1" t="s">
        <v>363</v>
      </c>
      <c r="I100" s="1" t="s">
        <v>333</v>
      </c>
      <c r="J100" s="1" t="s">
        <v>333</v>
      </c>
      <c r="K100" s="1" t="s">
        <v>333</v>
      </c>
      <c r="L100" s="1" t="s">
        <v>390</v>
      </c>
      <c r="M100" s="1" t="s">
        <v>333</v>
      </c>
      <c r="N100" s="1" t="s">
        <v>333</v>
      </c>
      <c r="O100" s="1" t="s">
        <v>333</v>
      </c>
      <c r="P100" s="1" t="s">
        <v>333</v>
      </c>
      <c r="Q100" s="1" t="s">
        <v>333</v>
      </c>
      <c r="R100" s="1" t="s">
        <v>333</v>
      </c>
      <c r="S100" s="1" t="s">
        <v>333</v>
      </c>
      <c r="T100" s="1">
        <v>0</v>
      </c>
      <c r="U100" s="1">
        <v>3600</v>
      </c>
      <c r="V100" s="1" t="s">
        <v>454</v>
      </c>
      <c r="W100" t="s">
        <v>1624</v>
      </c>
    </row>
    <row r="101" spans="1:23" x14ac:dyDescent="0.25">
      <c r="A101" s="1">
        <v>134</v>
      </c>
      <c r="B101" t="s">
        <v>258</v>
      </c>
      <c r="C101" s="1">
        <v>5</v>
      </c>
      <c r="D101" s="1">
        <v>1</v>
      </c>
      <c r="E101" s="1">
        <v>3</v>
      </c>
      <c r="F101" s="1" t="s">
        <v>411</v>
      </c>
      <c r="G101" s="1" t="s">
        <v>455</v>
      </c>
      <c r="H101" s="1" t="s">
        <v>333</v>
      </c>
      <c r="I101" s="1" t="s">
        <v>333</v>
      </c>
      <c r="J101" s="1" t="s">
        <v>349</v>
      </c>
      <c r="K101" s="1" t="s">
        <v>333</v>
      </c>
      <c r="L101" s="1" t="s">
        <v>333</v>
      </c>
      <c r="M101" s="1" t="s">
        <v>333</v>
      </c>
      <c r="N101" s="1" t="s">
        <v>333</v>
      </c>
      <c r="O101" s="1" t="s">
        <v>333</v>
      </c>
      <c r="P101" s="1" t="s">
        <v>333</v>
      </c>
      <c r="Q101" s="1" t="s">
        <v>333</v>
      </c>
      <c r="R101" s="1" t="s">
        <v>333</v>
      </c>
      <c r="S101" s="1" t="s">
        <v>333</v>
      </c>
      <c r="T101" s="1">
        <v>0</v>
      </c>
      <c r="U101" s="1">
        <v>3600</v>
      </c>
      <c r="V101" s="1" t="s">
        <v>456</v>
      </c>
      <c r="W101" t="s">
        <v>1625</v>
      </c>
    </row>
    <row r="102" spans="1:23" x14ac:dyDescent="0.25">
      <c r="A102" s="1">
        <v>135</v>
      </c>
      <c r="B102" t="s">
        <v>262</v>
      </c>
      <c r="C102" s="1">
        <v>5</v>
      </c>
      <c r="D102" s="1">
        <v>2</v>
      </c>
      <c r="E102" s="1">
        <v>8</v>
      </c>
      <c r="F102" s="1" t="s">
        <v>457</v>
      </c>
      <c r="G102" s="1" t="s">
        <v>333</v>
      </c>
      <c r="H102" s="1" t="s">
        <v>333</v>
      </c>
      <c r="I102" s="1" t="s">
        <v>333</v>
      </c>
      <c r="J102" s="1" t="s">
        <v>333</v>
      </c>
      <c r="K102" s="1" t="s">
        <v>333</v>
      </c>
      <c r="L102" s="1" t="s">
        <v>333</v>
      </c>
      <c r="M102" s="1" t="s">
        <v>333</v>
      </c>
      <c r="N102" s="1" t="s">
        <v>333</v>
      </c>
      <c r="O102" s="1" t="s">
        <v>333</v>
      </c>
      <c r="P102" s="1" t="s">
        <v>333</v>
      </c>
      <c r="Q102" s="1" t="s">
        <v>333</v>
      </c>
      <c r="R102" s="1" t="s">
        <v>333</v>
      </c>
      <c r="S102" s="1" t="s">
        <v>333</v>
      </c>
      <c r="T102" s="1">
        <v>0</v>
      </c>
      <c r="U102" s="1">
        <v>3600</v>
      </c>
      <c r="V102" s="1" t="s">
        <v>458</v>
      </c>
      <c r="W102" t="s">
        <v>1626</v>
      </c>
    </row>
    <row r="103" spans="1:23" x14ac:dyDescent="0.25">
      <c r="A103" s="1">
        <v>136</v>
      </c>
      <c r="B103" t="s">
        <v>843</v>
      </c>
      <c r="C103" s="1">
        <v>5</v>
      </c>
      <c r="D103" s="1">
        <v>2</v>
      </c>
      <c r="E103" s="1">
        <v>8</v>
      </c>
      <c r="F103" s="1" t="s">
        <v>457</v>
      </c>
      <c r="G103" s="1" t="s">
        <v>333</v>
      </c>
      <c r="H103" s="1" t="s">
        <v>333</v>
      </c>
      <c r="I103" s="1" t="s">
        <v>333</v>
      </c>
      <c r="J103" s="1" t="s">
        <v>333</v>
      </c>
      <c r="K103" s="1" t="s">
        <v>333</v>
      </c>
      <c r="L103" s="1" t="s">
        <v>333</v>
      </c>
      <c r="M103" s="1" t="s">
        <v>333</v>
      </c>
      <c r="N103" s="1" t="s">
        <v>333</v>
      </c>
      <c r="O103" s="1" t="s">
        <v>333</v>
      </c>
      <c r="P103" s="1" t="s">
        <v>333</v>
      </c>
      <c r="Q103" s="1" t="s">
        <v>333</v>
      </c>
      <c r="R103" s="1" t="s">
        <v>333</v>
      </c>
      <c r="S103" s="1" t="s">
        <v>333</v>
      </c>
      <c r="T103" s="1">
        <v>0</v>
      </c>
      <c r="U103" s="1">
        <v>3600</v>
      </c>
      <c r="V103" s="1" t="s">
        <v>459</v>
      </c>
      <c r="W103" t="s">
        <v>1626</v>
      </c>
    </row>
    <row r="104" spans="1:23" x14ac:dyDescent="0.25">
      <c r="A104" s="1">
        <v>137</v>
      </c>
      <c r="B104" t="s">
        <v>765</v>
      </c>
      <c r="C104" s="1">
        <v>5</v>
      </c>
      <c r="D104" s="1">
        <v>1</v>
      </c>
      <c r="E104" s="1">
        <v>16</v>
      </c>
      <c r="F104" s="1" t="s">
        <v>333</v>
      </c>
      <c r="G104" s="1" t="s">
        <v>333</v>
      </c>
      <c r="H104" s="1" t="s">
        <v>397</v>
      </c>
      <c r="I104" s="1" t="s">
        <v>333</v>
      </c>
      <c r="J104" s="1" t="s">
        <v>333</v>
      </c>
      <c r="K104" s="1" t="s">
        <v>333</v>
      </c>
      <c r="L104" s="1" t="s">
        <v>333</v>
      </c>
      <c r="M104" s="1" t="s">
        <v>333</v>
      </c>
      <c r="N104" s="1" t="s">
        <v>333</v>
      </c>
      <c r="O104" s="1" t="s">
        <v>333</v>
      </c>
      <c r="P104" s="1" t="s">
        <v>333</v>
      </c>
      <c r="Q104" s="1" t="s">
        <v>333</v>
      </c>
      <c r="R104" s="1" t="s">
        <v>333</v>
      </c>
      <c r="S104" s="1" t="s">
        <v>333</v>
      </c>
      <c r="T104" s="1">
        <v>0</v>
      </c>
      <c r="U104" s="1">
        <v>3600</v>
      </c>
      <c r="V104" s="1" t="s">
        <v>460</v>
      </c>
      <c r="W104" t="s">
        <v>333</v>
      </c>
    </row>
    <row r="105" spans="1:23" x14ac:dyDescent="0.25">
      <c r="A105" s="1">
        <v>138</v>
      </c>
      <c r="B105" t="s">
        <v>766</v>
      </c>
      <c r="C105" s="1">
        <v>5</v>
      </c>
      <c r="D105" s="1">
        <v>1</v>
      </c>
      <c r="E105" s="1">
        <v>16</v>
      </c>
      <c r="F105" s="1" t="s">
        <v>333</v>
      </c>
      <c r="G105" s="1" t="s">
        <v>333</v>
      </c>
      <c r="H105" s="1" t="s">
        <v>397</v>
      </c>
      <c r="I105" s="1" t="s">
        <v>333</v>
      </c>
      <c r="J105" s="1" t="s">
        <v>333</v>
      </c>
      <c r="K105" s="1" t="s">
        <v>333</v>
      </c>
      <c r="L105" s="1" t="s">
        <v>333</v>
      </c>
      <c r="M105" s="1" t="s">
        <v>333</v>
      </c>
      <c r="N105" s="1" t="s">
        <v>333</v>
      </c>
      <c r="O105" s="1" t="s">
        <v>333</v>
      </c>
      <c r="P105" s="1" t="s">
        <v>333</v>
      </c>
      <c r="Q105" s="1" t="s">
        <v>333</v>
      </c>
      <c r="R105" s="1" t="s">
        <v>333</v>
      </c>
      <c r="S105" s="1" t="s">
        <v>333</v>
      </c>
      <c r="T105" s="1">
        <v>0</v>
      </c>
      <c r="U105" s="1">
        <v>3600</v>
      </c>
      <c r="V105" s="1" t="s">
        <v>460</v>
      </c>
      <c r="W105" t="s">
        <v>333</v>
      </c>
    </row>
    <row r="106" spans="1:23" x14ac:dyDescent="0.25">
      <c r="A106" s="1">
        <v>139</v>
      </c>
      <c r="B106" t="s">
        <v>768</v>
      </c>
      <c r="C106" s="1">
        <v>5</v>
      </c>
      <c r="D106" s="1">
        <v>2</v>
      </c>
      <c r="E106" s="1">
        <v>6</v>
      </c>
      <c r="F106" s="1" t="s">
        <v>333</v>
      </c>
      <c r="G106" s="1" t="s">
        <v>333</v>
      </c>
      <c r="H106" s="1" t="s">
        <v>397</v>
      </c>
      <c r="I106" s="1" t="s">
        <v>333</v>
      </c>
      <c r="J106" s="1" t="s">
        <v>333</v>
      </c>
      <c r="K106" s="1" t="s">
        <v>333</v>
      </c>
      <c r="L106" s="1" t="s">
        <v>333</v>
      </c>
      <c r="M106" s="1" t="s">
        <v>333</v>
      </c>
      <c r="N106" s="1" t="s">
        <v>333</v>
      </c>
      <c r="O106" s="1" t="s">
        <v>333</v>
      </c>
      <c r="P106" s="1" t="s">
        <v>333</v>
      </c>
      <c r="Q106" s="1" t="s">
        <v>333</v>
      </c>
      <c r="R106" s="1" t="s">
        <v>333</v>
      </c>
      <c r="S106" s="1" t="s">
        <v>333</v>
      </c>
      <c r="T106" s="1">
        <v>0</v>
      </c>
      <c r="U106" s="1">
        <v>3600</v>
      </c>
      <c r="V106" s="1" t="s">
        <v>460</v>
      </c>
      <c r="W106" t="s">
        <v>333</v>
      </c>
    </row>
    <row r="107" spans="1:23" x14ac:dyDescent="0.25">
      <c r="A107" s="1">
        <v>140</v>
      </c>
      <c r="B107" t="s">
        <v>769</v>
      </c>
      <c r="C107" s="1">
        <v>5</v>
      </c>
      <c r="D107" s="1">
        <v>2</v>
      </c>
      <c r="E107" s="1">
        <v>6</v>
      </c>
      <c r="F107" s="1" t="s">
        <v>333</v>
      </c>
      <c r="G107" s="1" t="s">
        <v>333</v>
      </c>
      <c r="H107" s="1" t="s">
        <v>397</v>
      </c>
      <c r="I107" s="1" t="s">
        <v>333</v>
      </c>
      <c r="J107" s="1" t="s">
        <v>333</v>
      </c>
      <c r="K107" s="1" t="s">
        <v>333</v>
      </c>
      <c r="L107" s="1" t="s">
        <v>333</v>
      </c>
      <c r="M107" s="1" t="s">
        <v>333</v>
      </c>
      <c r="N107" s="1" t="s">
        <v>333</v>
      </c>
      <c r="O107" s="1" t="s">
        <v>333</v>
      </c>
      <c r="P107" s="1" t="s">
        <v>333</v>
      </c>
      <c r="Q107" s="1" t="s">
        <v>333</v>
      </c>
      <c r="R107" s="1" t="s">
        <v>333</v>
      </c>
      <c r="S107" s="1" t="s">
        <v>333</v>
      </c>
      <c r="T107" s="1">
        <v>0</v>
      </c>
      <c r="U107" s="1">
        <v>3600</v>
      </c>
      <c r="V107" s="1" t="s">
        <v>460</v>
      </c>
      <c r="W107" t="s">
        <v>333</v>
      </c>
    </row>
    <row r="108" spans="1:23" x14ac:dyDescent="0.25">
      <c r="A108" s="1">
        <v>141</v>
      </c>
      <c r="B108" t="s">
        <v>854</v>
      </c>
      <c r="C108" s="1">
        <v>5</v>
      </c>
      <c r="D108" s="1">
        <v>3</v>
      </c>
      <c r="E108" s="1">
        <v>12</v>
      </c>
      <c r="F108" s="1" t="s">
        <v>333</v>
      </c>
      <c r="G108" s="1" t="s">
        <v>333</v>
      </c>
      <c r="H108" s="1" t="s">
        <v>397</v>
      </c>
      <c r="I108" s="1" t="s">
        <v>333</v>
      </c>
      <c r="J108" s="1" t="s">
        <v>333</v>
      </c>
      <c r="K108" s="1" t="s">
        <v>333</v>
      </c>
      <c r="L108" s="1" t="s">
        <v>333</v>
      </c>
      <c r="M108" s="1" t="s">
        <v>333</v>
      </c>
      <c r="N108" s="1" t="s">
        <v>333</v>
      </c>
      <c r="O108" s="1" t="s">
        <v>333</v>
      </c>
      <c r="P108" s="1" t="s">
        <v>333</v>
      </c>
      <c r="Q108" s="1" t="s">
        <v>333</v>
      </c>
      <c r="R108" s="1" t="s">
        <v>333</v>
      </c>
      <c r="S108" s="1" t="s">
        <v>333</v>
      </c>
      <c r="T108" s="1">
        <v>0</v>
      </c>
      <c r="U108" s="1">
        <v>3600</v>
      </c>
      <c r="V108" s="1" t="s">
        <v>460</v>
      </c>
      <c r="W108" t="s">
        <v>333</v>
      </c>
    </row>
    <row r="109" spans="1:23" x14ac:dyDescent="0.25">
      <c r="A109" s="1">
        <v>142</v>
      </c>
      <c r="B109" t="s">
        <v>764</v>
      </c>
      <c r="C109" s="1">
        <v>5</v>
      </c>
      <c r="D109" s="1">
        <v>1</v>
      </c>
      <c r="E109" s="1">
        <v>16</v>
      </c>
      <c r="F109" s="1" t="s">
        <v>333</v>
      </c>
      <c r="G109" s="1" t="s">
        <v>333</v>
      </c>
      <c r="H109" s="1" t="s">
        <v>397</v>
      </c>
      <c r="I109" s="1" t="s">
        <v>333</v>
      </c>
      <c r="J109" s="1" t="s">
        <v>333</v>
      </c>
      <c r="K109" s="1" t="s">
        <v>333</v>
      </c>
      <c r="L109" s="1" t="s">
        <v>333</v>
      </c>
      <c r="M109" s="1" t="s">
        <v>333</v>
      </c>
      <c r="N109" s="1" t="s">
        <v>333</v>
      </c>
      <c r="O109" s="1" t="s">
        <v>333</v>
      </c>
      <c r="P109" s="1" t="s">
        <v>333</v>
      </c>
      <c r="Q109" s="1" t="s">
        <v>333</v>
      </c>
      <c r="R109" s="1" t="s">
        <v>333</v>
      </c>
      <c r="S109" s="1" t="s">
        <v>333</v>
      </c>
      <c r="T109" s="1">
        <v>0</v>
      </c>
      <c r="U109" s="1">
        <v>3600</v>
      </c>
      <c r="V109" s="1" t="s">
        <v>460</v>
      </c>
      <c r="W109" t="s">
        <v>333</v>
      </c>
    </row>
    <row r="110" spans="1:23" x14ac:dyDescent="0.25">
      <c r="A110" s="1">
        <v>143</v>
      </c>
      <c r="B110" t="s">
        <v>767</v>
      </c>
      <c r="C110" s="1">
        <v>5</v>
      </c>
      <c r="D110" s="1">
        <v>2</v>
      </c>
      <c r="E110" s="1">
        <v>6</v>
      </c>
      <c r="F110" s="1" t="s">
        <v>333</v>
      </c>
      <c r="G110" s="1" t="s">
        <v>333</v>
      </c>
      <c r="H110" s="1" t="s">
        <v>397</v>
      </c>
      <c r="I110" s="1" t="s">
        <v>333</v>
      </c>
      <c r="J110" s="1" t="s">
        <v>333</v>
      </c>
      <c r="K110" s="1" t="s">
        <v>333</v>
      </c>
      <c r="L110" s="1" t="s">
        <v>333</v>
      </c>
      <c r="M110" s="1" t="s">
        <v>333</v>
      </c>
      <c r="N110" s="1" t="s">
        <v>333</v>
      </c>
      <c r="O110" s="1" t="s">
        <v>333</v>
      </c>
      <c r="P110" s="1" t="s">
        <v>333</v>
      </c>
      <c r="Q110" s="1" t="s">
        <v>333</v>
      </c>
      <c r="R110" s="1" t="s">
        <v>333</v>
      </c>
      <c r="S110" s="1" t="s">
        <v>333</v>
      </c>
      <c r="T110" s="1">
        <v>0</v>
      </c>
      <c r="U110" s="1">
        <v>3600</v>
      </c>
      <c r="V110" s="1" t="s">
        <v>460</v>
      </c>
      <c r="W110" t="s">
        <v>333</v>
      </c>
    </row>
    <row r="111" spans="1:23" x14ac:dyDescent="0.25">
      <c r="A111" s="1">
        <v>144</v>
      </c>
      <c r="B111" t="s">
        <v>770</v>
      </c>
      <c r="C111" s="1">
        <v>5</v>
      </c>
      <c r="D111" s="1">
        <v>3</v>
      </c>
      <c r="E111" s="1">
        <v>12</v>
      </c>
      <c r="F111" s="1" t="s">
        <v>333</v>
      </c>
      <c r="G111" s="1" t="s">
        <v>333</v>
      </c>
      <c r="H111" s="1" t="s">
        <v>397</v>
      </c>
      <c r="I111" s="1" t="s">
        <v>333</v>
      </c>
      <c r="J111" s="1" t="s">
        <v>333</v>
      </c>
      <c r="K111" s="1" t="s">
        <v>333</v>
      </c>
      <c r="L111" s="1" t="s">
        <v>333</v>
      </c>
      <c r="M111" s="1" t="s">
        <v>333</v>
      </c>
      <c r="N111" s="1" t="s">
        <v>333</v>
      </c>
      <c r="O111" s="1" t="s">
        <v>333</v>
      </c>
      <c r="P111" s="1" t="s">
        <v>333</v>
      </c>
      <c r="Q111" s="1" t="s">
        <v>333</v>
      </c>
      <c r="R111" s="1" t="s">
        <v>333</v>
      </c>
      <c r="S111" s="1" t="s">
        <v>333</v>
      </c>
      <c r="T111" s="1">
        <v>0</v>
      </c>
      <c r="U111" s="1">
        <v>3600</v>
      </c>
      <c r="V111" s="1" t="s">
        <v>460</v>
      </c>
      <c r="W111" t="s">
        <v>333</v>
      </c>
    </row>
    <row r="112" spans="1:23" x14ac:dyDescent="0.25">
      <c r="A112" s="1">
        <v>145</v>
      </c>
      <c r="B112" t="s">
        <v>745</v>
      </c>
      <c r="C112" s="1">
        <v>5</v>
      </c>
      <c r="D112" s="1">
        <v>3</v>
      </c>
      <c r="E112" s="1">
        <v>12</v>
      </c>
      <c r="F112" s="1" t="s">
        <v>403</v>
      </c>
      <c r="G112" s="1" t="s">
        <v>333</v>
      </c>
      <c r="H112" s="1" t="s">
        <v>371</v>
      </c>
      <c r="I112" s="1" t="s">
        <v>333</v>
      </c>
      <c r="J112" s="1" t="s">
        <v>333</v>
      </c>
      <c r="K112" s="1" t="s">
        <v>333</v>
      </c>
      <c r="L112" s="1" t="s">
        <v>333</v>
      </c>
      <c r="M112" s="1" t="s">
        <v>333</v>
      </c>
      <c r="N112" s="1" t="s">
        <v>363</v>
      </c>
      <c r="O112" s="1" t="s">
        <v>333</v>
      </c>
      <c r="P112" s="1" t="s">
        <v>333</v>
      </c>
      <c r="Q112" s="1" t="s">
        <v>333</v>
      </c>
      <c r="R112" s="1" t="s">
        <v>333</v>
      </c>
      <c r="S112" s="1" t="s">
        <v>333</v>
      </c>
      <c r="T112" s="1">
        <v>0</v>
      </c>
      <c r="U112" s="1">
        <v>3600</v>
      </c>
      <c r="V112" s="1" t="s">
        <v>461</v>
      </c>
      <c r="W112" t="s">
        <v>1627</v>
      </c>
    </row>
    <row r="113" spans="1:23" x14ac:dyDescent="0.25">
      <c r="A113" s="1">
        <v>146</v>
      </c>
      <c r="B113" t="s">
        <v>731</v>
      </c>
      <c r="C113" s="1">
        <v>5</v>
      </c>
      <c r="D113" s="1">
        <v>2</v>
      </c>
      <c r="E113" s="1">
        <v>6</v>
      </c>
      <c r="F113" s="1" t="s">
        <v>390</v>
      </c>
      <c r="G113" s="1" t="s">
        <v>333</v>
      </c>
      <c r="H113" s="1" t="s">
        <v>333</v>
      </c>
      <c r="I113" s="1" t="s">
        <v>333</v>
      </c>
      <c r="J113" s="1" t="s">
        <v>333</v>
      </c>
      <c r="K113" s="1" t="s">
        <v>333</v>
      </c>
      <c r="L113" s="1" t="s">
        <v>333</v>
      </c>
      <c r="M113" s="1" t="s">
        <v>391</v>
      </c>
      <c r="N113" s="1" t="s">
        <v>333</v>
      </c>
      <c r="O113" s="1" t="s">
        <v>333</v>
      </c>
      <c r="P113" s="1" t="s">
        <v>333</v>
      </c>
      <c r="Q113" s="1" t="s">
        <v>333</v>
      </c>
      <c r="R113" s="1" t="s">
        <v>333</v>
      </c>
      <c r="S113" s="1" t="s">
        <v>333</v>
      </c>
      <c r="T113" s="1">
        <v>0</v>
      </c>
      <c r="U113" s="1">
        <v>3600</v>
      </c>
      <c r="V113" s="1" t="s">
        <v>462</v>
      </c>
      <c r="W113" t="s">
        <v>1586</v>
      </c>
    </row>
    <row r="114" spans="1:23" x14ac:dyDescent="0.25">
      <c r="A114" s="1">
        <v>147</v>
      </c>
      <c r="B114" t="s">
        <v>741</v>
      </c>
      <c r="C114" s="1">
        <v>5</v>
      </c>
      <c r="D114" s="1">
        <v>3</v>
      </c>
      <c r="E114" s="1">
        <v>10</v>
      </c>
      <c r="F114" s="1" t="s">
        <v>333</v>
      </c>
      <c r="G114" s="1" t="s">
        <v>333</v>
      </c>
      <c r="H114" s="1" t="s">
        <v>404</v>
      </c>
      <c r="I114" s="1" t="s">
        <v>333</v>
      </c>
      <c r="J114" s="1" t="s">
        <v>333</v>
      </c>
      <c r="K114" s="1" t="s">
        <v>333</v>
      </c>
      <c r="L114" s="1" t="s">
        <v>333</v>
      </c>
      <c r="M114" s="1" t="s">
        <v>333</v>
      </c>
      <c r="N114" s="1" t="s">
        <v>333</v>
      </c>
      <c r="O114" s="1" t="s">
        <v>333</v>
      </c>
      <c r="P114" s="1" t="s">
        <v>333</v>
      </c>
      <c r="Q114" s="1" t="s">
        <v>333</v>
      </c>
      <c r="R114" s="1" t="s">
        <v>333</v>
      </c>
      <c r="S114" s="1" t="s">
        <v>333</v>
      </c>
      <c r="T114" s="1">
        <v>0</v>
      </c>
      <c r="U114" s="1">
        <v>3600</v>
      </c>
      <c r="V114" s="1" t="s">
        <v>463</v>
      </c>
      <c r="W114" t="s">
        <v>1577</v>
      </c>
    </row>
    <row r="115" spans="1:23" x14ac:dyDescent="0.25">
      <c r="A115" s="1">
        <v>148</v>
      </c>
      <c r="B115" t="s">
        <v>746</v>
      </c>
      <c r="C115" s="1">
        <v>5</v>
      </c>
      <c r="D115" s="1">
        <v>3</v>
      </c>
      <c r="E115" s="1">
        <v>12</v>
      </c>
      <c r="F115" s="1" t="s">
        <v>333</v>
      </c>
      <c r="G115" s="1" t="s">
        <v>333</v>
      </c>
      <c r="H115" s="1" t="s">
        <v>333</v>
      </c>
      <c r="I115" s="1" t="s">
        <v>406</v>
      </c>
      <c r="J115" s="1" t="s">
        <v>336</v>
      </c>
      <c r="K115" s="1" t="s">
        <v>404</v>
      </c>
      <c r="L115" s="1" t="s">
        <v>333</v>
      </c>
      <c r="M115" s="1" t="s">
        <v>333</v>
      </c>
      <c r="N115" s="1" t="s">
        <v>333</v>
      </c>
      <c r="O115" s="1" t="s">
        <v>333</v>
      </c>
      <c r="P115" s="1" t="s">
        <v>333</v>
      </c>
      <c r="Q115" s="1" t="s">
        <v>333</v>
      </c>
      <c r="R115" s="1" t="s">
        <v>333</v>
      </c>
      <c r="S115" s="1" t="s">
        <v>333</v>
      </c>
      <c r="T115" s="1">
        <v>0</v>
      </c>
      <c r="U115" s="1">
        <v>3600</v>
      </c>
      <c r="V115" s="1" t="s">
        <v>464</v>
      </c>
      <c r="W115" t="s">
        <v>1628</v>
      </c>
    </row>
    <row r="116" spans="1:23" x14ac:dyDescent="0.25">
      <c r="A116" s="1">
        <v>149</v>
      </c>
      <c r="B116" t="s">
        <v>747</v>
      </c>
      <c r="C116" s="1">
        <v>5</v>
      </c>
      <c r="D116" s="1">
        <v>3</v>
      </c>
      <c r="E116" s="1">
        <v>12</v>
      </c>
      <c r="F116" s="1" t="s">
        <v>403</v>
      </c>
      <c r="G116" s="1" t="s">
        <v>333</v>
      </c>
      <c r="H116" s="1" t="s">
        <v>371</v>
      </c>
      <c r="I116" s="1" t="s">
        <v>333</v>
      </c>
      <c r="J116" s="1" t="s">
        <v>333</v>
      </c>
      <c r="K116" s="1" t="s">
        <v>333</v>
      </c>
      <c r="L116" s="1" t="s">
        <v>333</v>
      </c>
      <c r="M116" s="1" t="s">
        <v>333</v>
      </c>
      <c r="N116" s="1" t="s">
        <v>333</v>
      </c>
      <c r="O116" s="1" t="s">
        <v>333</v>
      </c>
      <c r="P116" s="1" t="s">
        <v>333</v>
      </c>
      <c r="Q116" s="1" t="s">
        <v>333</v>
      </c>
      <c r="R116" s="1" t="s">
        <v>333</v>
      </c>
      <c r="S116" s="1" t="s">
        <v>359</v>
      </c>
      <c r="T116" s="1">
        <v>0</v>
      </c>
      <c r="U116" s="1">
        <v>3600</v>
      </c>
      <c r="V116" s="1" t="s">
        <v>465</v>
      </c>
      <c r="W116" t="s">
        <v>1629</v>
      </c>
    </row>
    <row r="117" spans="1:23" x14ac:dyDescent="0.25">
      <c r="A117" s="1">
        <v>150</v>
      </c>
      <c r="B117" t="s">
        <v>125</v>
      </c>
      <c r="C117" s="1">
        <v>5</v>
      </c>
      <c r="D117" s="1">
        <v>1</v>
      </c>
      <c r="E117" s="1">
        <v>1</v>
      </c>
      <c r="F117" s="1" t="s">
        <v>333</v>
      </c>
      <c r="G117" s="1" t="s">
        <v>451</v>
      </c>
      <c r="H117" s="1" t="s">
        <v>333</v>
      </c>
      <c r="I117" s="1" t="s">
        <v>333</v>
      </c>
      <c r="J117" s="1" t="s">
        <v>349</v>
      </c>
      <c r="K117" s="1" t="s">
        <v>333</v>
      </c>
      <c r="L117" s="1" t="s">
        <v>427</v>
      </c>
      <c r="M117" s="1" t="s">
        <v>333</v>
      </c>
      <c r="N117" s="1" t="s">
        <v>333</v>
      </c>
      <c r="O117" s="1" t="s">
        <v>333</v>
      </c>
      <c r="P117" s="1" t="s">
        <v>333</v>
      </c>
      <c r="Q117" s="1" t="s">
        <v>333</v>
      </c>
      <c r="R117" s="1" t="s">
        <v>333</v>
      </c>
      <c r="S117" s="1" t="s">
        <v>333</v>
      </c>
      <c r="T117" s="1">
        <v>0</v>
      </c>
      <c r="U117" s="1">
        <v>3600</v>
      </c>
      <c r="V117" s="1" t="s">
        <v>466</v>
      </c>
      <c r="W117" t="s">
        <v>1630</v>
      </c>
    </row>
    <row r="118" spans="1:23" x14ac:dyDescent="0.25">
      <c r="A118" s="1">
        <v>151</v>
      </c>
      <c r="B118" t="s">
        <v>732</v>
      </c>
      <c r="C118" s="1">
        <v>5</v>
      </c>
      <c r="D118" s="1">
        <v>2</v>
      </c>
      <c r="E118" s="1">
        <v>7</v>
      </c>
      <c r="F118" s="1" t="s">
        <v>361</v>
      </c>
      <c r="G118" s="1" t="s">
        <v>336</v>
      </c>
      <c r="H118" s="1" t="s">
        <v>333</v>
      </c>
      <c r="I118" s="1" t="s">
        <v>333</v>
      </c>
      <c r="J118" s="1" t="s">
        <v>333</v>
      </c>
      <c r="K118" s="1" t="s">
        <v>455</v>
      </c>
      <c r="L118" s="1" t="s">
        <v>333</v>
      </c>
      <c r="M118" s="1" t="s">
        <v>333</v>
      </c>
      <c r="N118" s="1" t="s">
        <v>333</v>
      </c>
      <c r="O118" s="1" t="s">
        <v>333</v>
      </c>
      <c r="P118" s="1" t="s">
        <v>333</v>
      </c>
      <c r="Q118" s="1" t="s">
        <v>333</v>
      </c>
      <c r="R118" s="1" t="s">
        <v>333</v>
      </c>
      <c r="S118" s="1" t="s">
        <v>333</v>
      </c>
      <c r="T118" s="1">
        <v>0</v>
      </c>
      <c r="U118" s="1">
        <v>3600</v>
      </c>
      <c r="V118" s="1" t="s">
        <v>467</v>
      </c>
      <c r="W118" t="s">
        <v>1631</v>
      </c>
    </row>
    <row r="119" spans="1:23" x14ac:dyDescent="0.25">
      <c r="A119" s="1">
        <v>152</v>
      </c>
      <c r="B119" t="s">
        <v>754</v>
      </c>
      <c r="C119" s="1">
        <v>5</v>
      </c>
      <c r="D119" s="1">
        <v>1</v>
      </c>
      <c r="E119" s="1">
        <v>1</v>
      </c>
      <c r="F119" s="1" t="s">
        <v>340</v>
      </c>
      <c r="G119" s="1" t="s">
        <v>336</v>
      </c>
      <c r="H119" s="1" t="s">
        <v>333</v>
      </c>
      <c r="I119" s="1" t="s">
        <v>333</v>
      </c>
      <c r="J119" s="1" t="s">
        <v>333</v>
      </c>
      <c r="K119" s="1" t="s">
        <v>333</v>
      </c>
      <c r="L119" s="1" t="s">
        <v>402</v>
      </c>
      <c r="M119" s="1" t="s">
        <v>333</v>
      </c>
      <c r="N119" s="1" t="s">
        <v>333</v>
      </c>
      <c r="O119" s="1" t="s">
        <v>333</v>
      </c>
      <c r="P119" s="1" t="s">
        <v>333</v>
      </c>
      <c r="Q119" s="1" t="s">
        <v>333</v>
      </c>
      <c r="R119" s="1" t="s">
        <v>333</v>
      </c>
      <c r="S119" s="1" t="s">
        <v>333</v>
      </c>
      <c r="T119" s="1">
        <v>0</v>
      </c>
      <c r="U119" s="1">
        <v>3600</v>
      </c>
      <c r="V119" s="1" t="s">
        <v>468</v>
      </c>
      <c r="W119" t="s">
        <v>1632</v>
      </c>
    </row>
    <row r="120" spans="1:23" x14ac:dyDescent="0.25">
      <c r="A120" s="1">
        <v>153</v>
      </c>
      <c r="B120" t="s">
        <v>97</v>
      </c>
      <c r="C120" s="1">
        <v>5</v>
      </c>
      <c r="D120" s="1">
        <v>1</v>
      </c>
      <c r="E120" s="1">
        <v>1</v>
      </c>
      <c r="F120" s="1" t="s">
        <v>333</v>
      </c>
      <c r="G120" s="1" t="s">
        <v>342</v>
      </c>
      <c r="H120" s="1" t="s">
        <v>333</v>
      </c>
      <c r="I120" s="1" t="s">
        <v>333</v>
      </c>
      <c r="J120" s="1" t="s">
        <v>403</v>
      </c>
      <c r="K120" s="1" t="s">
        <v>333</v>
      </c>
      <c r="L120" s="1" t="s">
        <v>402</v>
      </c>
      <c r="M120" s="1" t="s">
        <v>333</v>
      </c>
      <c r="N120" s="1" t="s">
        <v>333</v>
      </c>
      <c r="O120" s="1" t="s">
        <v>333</v>
      </c>
      <c r="P120" s="1" t="s">
        <v>333</v>
      </c>
      <c r="Q120" s="1" t="s">
        <v>333</v>
      </c>
      <c r="R120" s="1" t="s">
        <v>333</v>
      </c>
      <c r="S120" s="1" t="s">
        <v>333</v>
      </c>
      <c r="T120" s="1">
        <v>0</v>
      </c>
      <c r="U120" s="1">
        <v>3600</v>
      </c>
      <c r="V120" s="1" t="s">
        <v>375</v>
      </c>
      <c r="W120" t="s">
        <v>1633</v>
      </c>
    </row>
    <row r="121" spans="1:23" x14ac:dyDescent="0.25">
      <c r="A121" s="1">
        <v>154</v>
      </c>
      <c r="B121" t="s">
        <v>77</v>
      </c>
      <c r="C121" s="1">
        <v>5</v>
      </c>
      <c r="D121" s="1">
        <v>1</v>
      </c>
      <c r="E121" s="1">
        <v>13</v>
      </c>
      <c r="F121" s="1" t="s">
        <v>359</v>
      </c>
      <c r="G121" s="1" t="s">
        <v>333</v>
      </c>
      <c r="H121" s="1" t="s">
        <v>469</v>
      </c>
      <c r="I121" s="1" t="s">
        <v>333</v>
      </c>
      <c r="J121" s="1" t="s">
        <v>333</v>
      </c>
      <c r="K121" s="1" t="s">
        <v>333</v>
      </c>
      <c r="L121" s="1" t="s">
        <v>404</v>
      </c>
      <c r="M121" s="1" t="s">
        <v>333</v>
      </c>
      <c r="N121" s="1" t="s">
        <v>333</v>
      </c>
      <c r="O121" s="1" t="s">
        <v>333</v>
      </c>
      <c r="P121" s="1" t="s">
        <v>333</v>
      </c>
      <c r="Q121" s="1" t="s">
        <v>333</v>
      </c>
      <c r="R121" s="1" t="s">
        <v>333</v>
      </c>
      <c r="S121" s="1" t="s">
        <v>333</v>
      </c>
      <c r="T121" s="1">
        <v>0</v>
      </c>
      <c r="U121" s="1">
        <v>3600</v>
      </c>
      <c r="V121" s="1" t="s">
        <v>470</v>
      </c>
      <c r="W121" t="s">
        <v>1634</v>
      </c>
    </row>
    <row r="122" spans="1:23" x14ac:dyDescent="0.25">
      <c r="A122" s="1">
        <v>155</v>
      </c>
      <c r="B122" t="s">
        <v>70</v>
      </c>
      <c r="C122" s="1">
        <v>5</v>
      </c>
      <c r="D122" s="1">
        <v>1</v>
      </c>
      <c r="E122" s="1">
        <v>13</v>
      </c>
      <c r="F122" s="1" t="s">
        <v>333</v>
      </c>
      <c r="G122" s="1" t="s">
        <v>333</v>
      </c>
      <c r="H122" s="1" t="s">
        <v>471</v>
      </c>
      <c r="I122" s="1" t="s">
        <v>333</v>
      </c>
      <c r="J122" s="1" t="s">
        <v>333</v>
      </c>
      <c r="K122" s="1" t="s">
        <v>333</v>
      </c>
      <c r="L122" s="1" t="s">
        <v>404</v>
      </c>
      <c r="M122" s="1" t="s">
        <v>333</v>
      </c>
      <c r="N122" s="1" t="s">
        <v>333</v>
      </c>
      <c r="O122" s="1" t="s">
        <v>333</v>
      </c>
      <c r="P122" s="1" t="s">
        <v>333</v>
      </c>
      <c r="Q122" s="1" t="s">
        <v>333</v>
      </c>
      <c r="R122" s="1" t="s">
        <v>333</v>
      </c>
      <c r="S122" s="1" t="s">
        <v>333</v>
      </c>
      <c r="T122" s="1">
        <v>0</v>
      </c>
      <c r="U122" s="1">
        <v>3600</v>
      </c>
      <c r="V122" s="1" t="s">
        <v>472</v>
      </c>
      <c r="W122" t="s">
        <v>1635</v>
      </c>
    </row>
    <row r="123" spans="1:23" x14ac:dyDescent="0.25">
      <c r="A123" s="1">
        <v>156</v>
      </c>
      <c r="B123" t="s">
        <v>268</v>
      </c>
      <c r="C123" s="1">
        <v>5</v>
      </c>
      <c r="D123" s="1">
        <v>1</v>
      </c>
      <c r="E123" s="1">
        <v>2</v>
      </c>
      <c r="F123" s="1" t="s">
        <v>360</v>
      </c>
      <c r="G123" s="1" t="s">
        <v>343</v>
      </c>
      <c r="H123" s="1" t="s">
        <v>396</v>
      </c>
      <c r="I123" s="1" t="s">
        <v>333</v>
      </c>
      <c r="J123" s="1" t="s">
        <v>333</v>
      </c>
      <c r="K123" s="1" t="s">
        <v>333</v>
      </c>
      <c r="L123" s="1" t="s">
        <v>333</v>
      </c>
      <c r="M123" s="1" t="s">
        <v>333</v>
      </c>
      <c r="N123" s="1" t="s">
        <v>333</v>
      </c>
      <c r="O123" s="1" t="s">
        <v>333</v>
      </c>
      <c r="P123" s="1" t="s">
        <v>333</v>
      </c>
      <c r="Q123" s="1" t="s">
        <v>333</v>
      </c>
      <c r="R123" s="1" t="s">
        <v>333</v>
      </c>
      <c r="S123" s="1" t="s">
        <v>333</v>
      </c>
      <c r="T123" s="1">
        <v>0</v>
      </c>
      <c r="U123" s="1">
        <v>3600</v>
      </c>
      <c r="V123" s="1" t="s">
        <v>473</v>
      </c>
      <c r="W123" t="s">
        <v>1636</v>
      </c>
    </row>
    <row r="124" spans="1:23" x14ac:dyDescent="0.25">
      <c r="A124" s="1">
        <v>157</v>
      </c>
      <c r="B124" t="s">
        <v>1506</v>
      </c>
      <c r="C124" s="1">
        <v>5</v>
      </c>
      <c r="D124" s="1">
        <v>1</v>
      </c>
      <c r="E124" s="1">
        <v>2</v>
      </c>
      <c r="F124" s="1" t="s">
        <v>360</v>
      </c>
      <c r="G124" s="1" t="s">
        <v>474</v>
      </c>
      <c r="H124" s="1" t="s">
        <v>396</v>
      </c>
      <c r="I124" s="1" t="s">
        <v>333</v>
      </c>
      <c r="J124" s="1" t="s">
        <v>333</v>
      </c>
      <c r="K124" s="1" t="s">
        <v>333</v>
      </c>
      <c r="L124" s="1" t="s">
        <v>333</v>
      </c>
      <c r="M124" s="1" t="s">
        <v>333</v>
      </c>
      <c r="N124" s="1" t="s">
        <v>333</v>
      </c>
      <c r="O124" s="1" t="s">
        <v>333</v>
      </c>
      <c r="P124" s="1" t="s">
        <v>333</v>
      </c>
      <c r="Q124" s="1" t="s">
        <v>333</v>
      </c>
      <c r="R124" s="1" t="s">
        <v>333</v>
      </c>
      <c r="S124" s="1" t="s">
        <v>333</v>
      </c>
      <c r="T124" s="1">
        <v>0</v>
      </c>
      <c r="U124" s="1">
        <v>3600</v>
      </c>
      <c r="V124" s="1" t="s">
        <v>388</v>
      </c>
      <c r="W124" t="s">
        <v>1637</v>
      </c>
    </row>
    <row r="125" spans="1:23" x14ac:dyDescent="0.25">
      <c r="A125" s="1">
        <v>158</v>
      </c>
      <c r="B125" t="s">
        <v>851</v>
      </c>
      <c r="C125" s="1">
        <v>5</v>
      </c>
      <c r="D125" s="1">
        <v>1</v>
      </c>
      <c r="E125" s="1">
        <v>1</v>
      </c>
      <c r="F125" s="1" t="s">
        <v>475</v>
      </c>
      <c r="G125" s="1" t="s">
        <v>333</v>
      </c>
      <c r="H125" s="1" t="s">
        <v>333</v>
      </c>
      <c r="I125" s="1" t="s">
        <v>333</v>
      </c>
      <c r="J125" s="1" t="s">
        <v>333</v>
      </c>
      <c r="K125" s="1" t="s">
        <v>333</v>
      </c>
      <c r="L125" s="1" t="s">
        <v>402</v>
      </c>
      <c r="M125" s="1" t="s">
        <v>333</v>
      </c>
      <c r="N125" s="1" t="s">
        <v>333</v>
      </c>
      <c r="O125" s="1" t="s">
        <v>333</v>
      </c>
      <c r="P125" s="1" t="s">
        <v>333</v>
      </c>
      <c r="Q125" s="1" t="s">
        <v>333</v>
      </c>
      <c r="R125" s="1" t="s">
        <v>333</v>
      </c>
      <c r="S125" s="1" t="s">
        <v>333</v>
      </c>
      <c r="T125" s="1">
        <v>0</v>
      </c>
      <c r="U125" s="1">
        <v>3600</v>
      </c>
      <c r="V125" s="1" t="s">
        <v>476</v>
      </c>
      <c r="W125" t="s">
        <v>1638</v>
      </c>
    </row>
    <row r="126" spans="1:23" x14ac:dyDescent="0.25">
      <c r="A126" s="1">
        <v>159</v>
      </c>
      <c r="B126" t="s">
        <v>263</v>
      </c>
      <c r="C126" s="1">
        <v>5</v>
      </c>
      <c r="D126" s="1">
        <v>3</v>
      </c>
      <c r="E126" s="1">
        <v>12</v>
      </c>
      <c r="F126" s="1" t="s">
        <v>396</v>
      </c>
      <c r="G126" s="1" t="s">
        <v>333</v>
      </c>
      <c r="H126" s="1" t="s">
        <v>364</v>
      </c>
      <c r="I126" s="1" t="s">
        <v>333</v>
      </c>
      <c r="J126" s="1" t="s">
        <v>333</v>
      </c>
      <c r="K126" s="1" t="s">
        <v>363</v>
      </c>
      <c r="L126" s="1" t="s">
        <v>333</v>
      </c>
      <c r="M126" s="1" t="s">
        <v>333</v>
      </c>
      <c r="N126" s="1" t="s">
        <v>333</v>
      </c>
      <c r="O126" s="1" t="s">
        <v>333</v>
      </c>
      <c r="P126" s="1" t="s">
        <v>333</v>
      </c>
      <c r="Q126" s="1" t="s">
        <v>333</v>
      </c>
      <c r="R126" s="1" t="s">
        <v>333</v>
      </c>
      <c r="S126" s="1" t="s">
        <v>333</v>
      </c>
      <c r="T126" s="1">
        <v>0</v>
      </c>
      <c r="U126" s="1">
        <v>3600</v>
      </c>
      <c r="V126" s="1" t="s">
        <v>425</v>
      </c>
      <c r="W126" t="s">
        <v>1639</v>
      </c>
    </row>
    <row r="127" spans="1:23" x14ac:dyDescent="0.25">
      <c r="A127" s="1">
        <v>160</v>
      </c>
      <c r="B127" t="s">
        <v>96</v>
      </c>
      <c r="C127" s="1">
        <v>5</v>
      </c>
      <c r="D127" s="1">
        <v>1</v>
      </c>
      <c r="E127" s="1">
        <v>1</v>
      </c>
      <c r="F127" s="1" t="s">
        <v>333</v>
      </c>
      <c r="G127" s="1" t="s">
        <v>333</v>
      </c>
      <c r="H127" s="1" t="s">
        <v>333</v>
      </c>
      <c r="I127" s="1" t="s">
        <v>333</v>
      </c>
      <c r="J127" s="1" t="s">
        <v>337</v>
      </c>
      <c r="K127" s="1" t="s">
        <v>333</v>
      </c>
      <c r="L127" s="1" t="s">
        <v>424</v>
      </c>
      <c r="M127" s="1" t="s">
        <v>333</v>
      </c>
      <c r="N127" s="1" t="s">
        <v>333</v>
      </c>
      <c r="O127" s="1" t="s">
        <v>333</v>
      </c>
      <c r="P127" s="1" t="s">
        <v>333</v>
      </c>
      <c r="Q127" s="1" t="s">
        <v>333</v>
      </c>
      <c r="R127" s="1" t="s">
        <v>333</v>
      </c>
      <c r="S127" s="1" t="s">
        <v>333</v>
      </c>
      <c r="T127" s="1">
        <v>0</v>
      </c>
      <c r="U127" s="1">
        <v>3600</v>
      </c>
      <c r="V127" s="1" t="s">
        <v>477</v>
      </c>
      <c r="W127" t="s">
        <v>1640</v>
      </c>
    </row>
    <row r="128" spans="1:23" x14ac:dyDescent="0.25">
      <c r="A128" s="1">
        <v>161</v>
      </c>
      <c r="B128" t="s">
        <v>720</v>
      </c>
      <c r="C128" s="1">
        <v>5</v>
      </c>
      <c r="D128" s="1">
        <v>1</v>
      </c>
      <c r="E128" s="1">
        <v>1</v>
      </c>
      <c r="F128" s="1" t="s">
        <v>339</v>
      </c>
      <c r="G128" s="1" t="s">
        <v>333</v>
      </c>
      <c r="H128" s="1" t="s">
        <v>333</v>
      </c>
      <c r="I128" s="1" t="s">
        <v>333</v>
      </c>
      <c r="J128" s="1" t="s">
        <v>333</v>
      </c>
      <c r="K128" s="1" t="s">
        <v>333</v>
      </c>
      <c r="L128" s="1" t="s">
        <v>332</v>
      </c>
      <c r="M128" s="1" t="s">
        <v>333</v>
      </c>
      <c r="N128" s="1" t="s">
        <v>333</v>
      </c>
      <c r="O128" s="1" t="s">
        <v>333</v>
      </c>
      <c r="P128" s="1" t="s">
        <v>333</v>
      </c>
      <c r="Q128" s="1" t="s">
        <v>333</v>
      </c>
      <c r="R128" s="1" t="s">
        <v>333</v>
      </c>
      <c r="S128" s="1" t="s">
        <v>333</v>
      </c>
      <c r="T128" s="1">
        <v>0</v>
      </c>
      <c r="U128" s="1">
        <v>3600</v>
      </c>
      <c r="V128" s="1" t="s">
        <v>478</v>
      </c>
      <c r="W128" t="s">
        <v>1641</v>
      </c>
    </row>
    <row r="129" spans="1:23" x14ac:dyDescent="0.25">
      <c r="A129" s="1">
        <v>162</v>
      </c>
      <c r="B129" t="s">
        <v>110</v>
      </c>
      <c r="C129" s="1">
        <v>5</v>
      </c>
      <c r="D129" s="1">
        <v>3</v>
      </c>
      <c r="E129" s="1">
        <v>12</v>
      </c>
      <c r="F129" s="1" t="s">
        <v>339</v>
      </c>
      <c r="G129" s="1" t="s">
        <v>333</v>
      </c>
      <c r="H129" s="1" t="s">
        <v>371</v>
      </c>
      <c r="I129" s="1" t="s">
        <v>333</v>
      </c>
      <c r="J129" s="1" t="s">
        <v>333</v>
      </c>
      <c r="K129" s="1" t="s">
        <v>333</v>
      </c>
      <c r="L129" s="1" t="s">
        <v>333</v>
      </c>
      <c r="M129" s="1" t="s">
        <v>333</v>
      </c>
      <c r="N129" s="1" t="s">
        <v>333</v>
      </c>
      <c r="O129" s="1" t="s">
        <v>333</v>
      </c>
      <c r="P129" s="1" t="s">
        <v>333</v>
      </c>
      <c r="Q129" s="1" t="s">
        <v>333</v>
      </c>
      <c r="R129" s="1" t="s">
        <v>333</v>
      </c>
      <c r="S129" s="1" t="s">
        <v>339</v>
      </c>
      <c r="T129" s="1">
        <v>0</v>
      </c>
      <c r="U129" s="1">
        <v>3420</v>
      </c>
      <c r="V129" s="1" t="s">
        <v>479</v>
      </c>
      <c r="W129" t="s">
        <v>1642</v>
      </c>
    </row>
    <row r="130" spans="1:23" x14ac:dyDescent="0.25">
      <c r="A130" s="1">
        <v>163</v>
      </c>
      <c r="B130" t="s">
        <v>78</v>
      </c>
      <c r="C130" s="1">
        <v>5</v>
      </c>
      <c r="D130" s="1">
        <v>1</v>
      </c>
      <c r="E130" s="1">
        <v>13</v>
      </c>
      <c r="F130" s="1" t="s">
        <v>333</v>
      </c>
      <c r="G130" s="1" t="s">
        <v>333</v>
      </c>
      <c r="H130" s="1" t="s">
        <v>364</v>
      </c>
      <c r="I130" s="1" t="s">
        <v>333</v>
      </c>
      <c r="J130" s="1" t="s">
        <v>344</v>
      </c>
      <c r="K130" s="1" t="s">
        <v>333</v>
      </c>
      <c r="L130" s="1" t="s">
        <v>404</v>
      </c>
      <c r="M130" s="1" t="s">
        <v>333</v>
      </c>
      <c r="N130" s="1" t="s">
        <v>333</v>
      </c>
      <c r="O130" s="1" t="s">
        <v>333</v>
      </c>
      <c r="P130" s="1" t="s">
        <v>333</v>
      </c>
      <c r="Q130" s="1" t="s">
        <v>333</v>
      </c>
      <c r="R130" s="1" t="s">
        <v>333</v>
      </c>
      <c r="S130" s="1" t="s">
        <v>333</v>
      </c>
      <c r="T130" s="1">
        <v>0</v>
      </c>
      <c r="U130" s="1">
        <v>2820</v>
      </c>
      <c r="V130" s="1" t="s">
        <v>480</v>
      </c>
      <c r="W130" t="s">
        <v>1643</v>
      </c>
    </row>
    <row r="131" spans="1:23" x14ac:dyDescent="0.25">
      <c r="A131" s="1">
        <v>164</v>
      </c>
      <c r="B131" t="s">
        <v>63</v>
      </c>
      <c r="C131" s="1">
        <v>5</v>
      </c>
      <c r="D131" s="1">
        <v>1</v>
      </c>
      <c r="E131" s="1">
        <v>16</v>
      </c>
      <c r="F131" s="1" t="s">
        <v>333</v>
      </c>
      <c r="G131" s="1" t="s">
        <v>369</v>
      </c>
      <c r="H131" s="1" t="s">
        <v>364</v>
      </c>
      <c r="I131" s="1" t="s">
        <v>333</v>
      </c>
      <c r="J131" s="1" t="s">
        <v>333</v>
      </c>
      <c r="K131" s="1" t="s">
        <v>333</v>
      </c>
      <c r="L131" s="1" t="s">
        <v>390</v>
      </c>
      <c r="M131" s="1" t="s">
        <v>333</v>
      </c>
      <c r="N131" s="1" t="s">
        <v>333</v>
      </c>
      <c r="O131" s="1" t="s">
        <v>333</v>
      </c>
      <c r="P131" s="1" t="s">
        <v>333</v>
      </c>
      <c r="Q131" s="1" t="s">
        <v>333</v>
      </c>
      <c r="R131" s="1" t="s">
        <v>333</v>
      </c>
      <c r="S131" s="1" t="s">
        <v>333</v>
      </c>
      <c r="T131" s="1">
        <v>0</v>
      </c>
      <c r="U131" s="1">
        <v>2820</v>
      </c>
      <c r="V131" s="1" t="s">
        <v>481</v>
      </c>
      <c r="W131" t="s">
        <v>1644</v>
      </c>
    </row>
    <row r="132" spans="1:23" x14ac:dyDescent="0.25">
      <c r="A132" s="1">
        <v>165</v>
      </c>
      <c r="B132" t="s">
        <v>748</v>
      </c>
      <c r="C132" s="1">
        <v>5</v>
      </c>
      <c r="D132" s="1">
        <v>3</v>
      </c>
      <c r="E132" s="1">
        <v>12</v>
      </c>
      <c r="F132" s="1" t="s">
        <v>411</v>
      </c>
      <c r="G132" s="1" t="s">
        <v>333</v>
      </c>
      <c r="H132" s="1" t="s">
        <v>364</v>
      </c>
      <c r="I132" s="1" t="s">
        <v>333</v>
      </c>
      <c r="J132" s="1" t="s">
        <v>411</v>
      </c>
      <c r="K132" s="1" t="s">
        <v>333</v>
      </c>
      <c r="L132" s="1" t="s">
        <v>333</v>
      </c>
      <c r="M132" s="1" t="s">
        <v>333</v>
      </c>
      <c r="N132" s="1" t="s">
        <v>333</v>
      </c>
      <c r="O132" s="1" t="s">
        <v>333</v>
      </c>
      <c r="P132" s="1" t="s">
        <v>333</v>
      </c>
      <c r="Q132" s="1" t="s">
        <v>333</v>
      </c>
      <c r="R132" s="1" t="s">
        <v>333</v>
      </c>
      <c r="S132" s="1" t="s">
        <v>333</v>
      </c>
      <c r="T132" s="1">
        <v>0</v>
      </c>
      <c r="U132" s="1">
        <v>3600</v>
      </c>
      <c r="V132" s="1" t="s">
        <v>482</v>
      </c>
      <c r="W132" t="s">
        <v>1645</v>
      </c>
    </row>
    <row r="133" spans="1:23" x14ac:dyDescent="0.25">
      <c r="A133" s="1">
        <v>166</v>
      </c>
      <c r="B133" t="s">
        <v>723</v>
      </c>
      <c r="C133" s="1">
        <v>5</v>
      </c>
      <c r="D133" s="1">
        <v>1</v>
      </c>
      <c r="E133" s="1">
        <v>2</v>
      </c>
      <c r="F133" s="1" t="s">
        <v>342</v>
      </c>
      <c r="G133" s="1" t="s">
        <v>343</v>
      </c>
      <c r="H133" s="1" t="s">
        <v>333</v>
      </c>
      <c r="I133" s="1" t="s">
        <v>333</v>
      </c>
      <c r="J133" s="1" t="s">
        <v>344</v>
      </c>
      <c r="K133" s="1" t="s">
        <v>333</v>
      </c>
      <c r="L133" s="1" t="s">
        <v>333</v>
      </c>
      <c r="M133" s="1" t="s">
        <v>333</v>
      </c>
      <c r="N133" s="1" t="s">
        <v>333</v>
      </c>
      <c r="O133" s="1" t="s">
        <v>333</v>
      </c>
      <c r="P133" s="1" t="s">
        <v>333</v>
      </c>
      <c r="Q133" s="1" t="s">
        <v>333</v>
      </c>
      <c r="R133" s="1" t="s">
        <v>333</v>
      </c>
      <c r="S133" s="1" t="s">
        <v>333</v>
      </c>
      <c r="T133" s="1">
        <v>0</v>
      </c>
      <c r="U133" s="1">
        <v>2880</v>
      </c>
      <c r="V133" s="1" t="s">
        <v>483</v>
      </c>
      <c r="W133" t="s">
        <v>1646</v>
      </c>
    </row>
    <row r="134" spans="1:23" x14ac:dyDescent="0.25">
      <c r="A134" s="1">
        <v>167</v>
      </c>
      <c r="B134" t="s">
        <v>755</v>
      </c>
      <c r="C134" s="1">
        <v>5</v>
      </c>
      <c r="D134" s="1">
        <v>1</v>
      </c>
      <c r="E134" s="1">
        <v>16</v>
      </c>
      <c r="F134" s="1" t="s">
        <v>333</v>
      </c>
      <c r="G134" s="1" t="s">
        <v>333</v>
      </c>
      <c r="H134" s="1" t="s">
        <v>407</v>
      </c>
      <c r="I134" s="1" t="s">
        <v>333</v>
      </c>
      <c r="J134" s="1" t="s">
        <v>333</v>
      </c>
      <c r="K134" s="1" t="s">
        <v>333</v>
      </c>
      <c r="L134" s="1" t="s">
        <v>390</v>
      </c>
      <c r="M134" s="1" t="s">
        <v>333</v>
      </c>
      <c r="N134" s="1" t="s">
        <v>333</v>
      </c>
      <c r="O134" s="1" t="s">
        <v>333</v>
      </c>
      <c r="P134" s="1" t="s">
        <v>333</v>
      </c>
      <c r="Q134" s="1" t="s">
        <v>333</v>
      </c>
      <c r="R134" s="1" t="s">
        <v>333</v>
      </c>
      <c r="S134" s="1" t="s">
        <v>333</v>
      </c>
      <c r="T134" s="1">
        <v>0</v>
      </c>
      <c r="U134" s="1">
        <v>2820</v>
      </c>
      <c r="V134" s="1" t="s">
        <v>484</v>
      </c>
      <c r="W134" t="s">
        <v>1647</v>
      </c>
    </row>
    <row r="135" spans="1:23" x14ac:dyDescent="0.25">
      <c r="A135" s="1">
        <v>168</v>
      </c>
      <c r="B135" t="s">
        <v>761</v>
      </c>
      <c r="C135" s="1">
        <v>5</v>
      </c>
      <c r="D135" s="1">
        <v>1</v>
      </c>
      <c r="E135" s="1">
        <v>13</v>
      </c>
      <c r="F135" s="1" t="s">
        <v>333</v>
      </c>
      <c r="G135" s="1" t="s">
        <v>333</v>
      </c>
      <c r="H135" s="1" t="s">
        <v>390</v>
      </c>
      <c r="I135" s="1" t="s">
        <v>333</v>
      </c>
      <c r="J135" s="1" t="s">
        <v>333</v>
      </c>
      <c r="K135" s="1" t="s">
        <v>333</v>
      </c>
      <c r="L135" s="1" t="s">
        <v>390</v>
      </c>
      <c r="M135" s="1" t="s">
        <v>333</v>
      </c>
      <c r="N135" s="1" t="s">
        <v>333</v>
      </c>
      <c r="O135" s="1" t="s">
        <v>333</v>
      </c>
      <c r="P135" s="1" t="s">
        <v>333</v>
      </c>
      <c r="Q135" s="1" t="s">
        <v>333</v>
      </c>
      <c r="R135" s="1" t="s">
        <v>333</v>
      </c>
      <c r="S135" s="1" t="s">
        <v>333</v>
      </c>
      <c r="T135" s="1">
        <v>0</v>
      </c>
      <c r="U135" s="1">
        <v>2820</v>
      </c>
      <c r="V135" s="1" t="s">
        <v>485</v>
      </c>
      <c r="W135" t="s">
        <v>1644</v>
      </c>
    </row>
    <row r="136" spans="1:23" x14ac:dyDescent="0.25">
      <c r="A136" s="1">
        <v>169</v>
      </c>
      <c r="B136" t="s">
        <v>232</v>
      </c>
      <c r="C136" s="1">
        <v>5</v>
      </c>
      <c r="D136" s="1">
        <v>1</v>
      </c>
      <c r="E136" s="1">
        <v>1</v>
      </c>
      <c r="F136" s="1" t="s">
        <v>333</v>
      </c>
      <c r="G136" s="1" t="s">
        <v>333</v>
      </c>
      <c r="H136" s="1" t="s">
        <v>333</v>
      </c>
      <c r="I136" s="1" t="s">
        <v>333</v>
      </c>
      <c r="J136" s="1" t="s">
        <v>333</v>
      </c>
      <c r="K136" s="1" t="s">
        <v>343</v>
      </c>
      <c r="L136" s="1" t="s">
        <v>332</v>
      </c>
      <c r="M136" s="1" t="s">
        <v>333</v>
      </c>
      <c r="N136" s="1" t="s">
        <v>333</v>
      </c>
      <c r="O136" s="1" t="s">
        <v>333</v>
      </c>
      <c r="P136" s="1" t="s">
        <v>333</v>
      </c>
      <c r="Q136" s="1" t="s">
        <v>333</v>
      </c>
      <c r="R136" s="1" t="s">
        <v>333</v>
      </c>
      <c r="S136" s="1" t="s">
        <v>333</v>
      </c>
      <c r="T136" s="1">
        <v>0</v>
      </c>
      <c r="U136" s="1">
        <v>3600</v>
      </c>
      <c r="V136" s="1" t="s">
        <v>486</v>
      </c>
      <c r="W136" t="s">
        <v>1648</v>
      </c>
    </row>
    <row r="137" spans="1:23" x14ac:dyDescent="0.25">
      <c r="A137" s="1">
        <v>170</v>
      </c>
      <c r="B137" t="s">
        <v>1780</v>
      </c>
      <c r="C137" s="1">
        <v>5</v>
      </c>
      <c r="D137" s="1">
        <v>2</v>
      </c>
      <c r="E137" s="1">
        <v>5</v>
      </c>
      <c r="F137" s="1" t="s">
        <v>340</v>
      </c>
      <c r="G137" s="1" t="s">
        <v>333</v>
      </c>
      <c r="H137" s="1" t="s">
        <v>333</v>
      </c>
      <c r="I137" s="1" t="s">
        <v>333</v>
      </c>
      <c r="J137" s="1" t="s">
        <v>333</v>
      </c>
      <c r="K137" s="1" t="s">
        <v>333</v>
      </c>
      <c r="L137" s="1" t="s">
        <v>333</v>
      </c>
      <c r="M137" s="1" t="s">
        <v>357</v>
      </c>
      <c r="N137" s="1" t="s">
        <v>333</v>
      </c>
      <c r="O137" s="1" t="s">
        <v>333</v>
      </c>
      <c r="P137" s="1" t="s">
        <v>333</v>
      </c>
      <c r="Q137" s="1" t="s">
        <v>333</v>
      </c>
      <c r="R137" s="1" t="s">
        <v>333</v>
      </c>
      <c r="S137" s="1" t="s">
        <v>333</v>
      </c>
      <c r="T137" s="1">
        <v>0</v>
      </c>
      <c r="U137" s="1">
        <v>3300</v>
      </c>
      <c r="V137" s="1" t="s">
        <v>487</v>
      </c>
      <c r="W137" t="s">
        <v>1649</v>
      </c>
    </row>
    <row r="138" spans="1:23" x14ac:dyDescent="0.25">
      <c r="A138" s="1">
        <v>171</v>
      </c>
      <c r="B138" t="s">
        <v>749</v>
      </c>
      <c r="C138" s="1">
        <v>5</v>
      </c>
      <c r="D138" s="1">
        <v>3</v>
      </c>
      <c r="E138" s="1">
        <v>12</v>
      </c>
      <c r="F138" s="1" t="s">
        <v>333</v>
      </c>
      <c r="G138" s="1" t="s">
        <v>333</v>
      </c>
      <c r="H138" s="1" t="s">
        <v>361</v>
      </c>
      <c r="I138" s="1" t="s">
        <v>333</v>
      </c>
      <c r="J138" s="1" t="s">
        <v>333</v>
      </c>
      <c r="K138" s="1" t="s">
        <v>333</v>
      </c>
      <c r="L138" s="1" t="s">
        <v>390</v>
      </c>
      <c r="M138" s="1" t="s">
        <v>333</v>
      </c>
      <c r="N138" s="1" t="s">
        <v>333</v>
      </c>
      <c r="O138" s="1" t="s">
        <v>333</v>
      </c>
      <c r="P138" s="1" t="s">
        <v>333</v>
      </c>
      <c r="Q138" s="1" t="s">
        <v>333</v>
      </c>
      <c r="R138" s="1" t="s">
        <v>333</v>
      </c>
      <c r="S138" s="1" t="s">
        <v>333</v>
      </c>
      <c r="T138" s="1">
        <v>0</v>
      </c>
      <c r="U138" s="1">
        <v>3120</v>
      </c>
      <c r="V138" s="1" t="s">
        <v>488</v>
      </c>
      <c r="W138" t="s">
        <v>1644</v>
      </c>
    </row>
    <row r="139" spans="1:23" x14ac:dyDescent="0.25">
      <c r="A139" s="1">
        <v>172</v>
      </c>
      <c r="B139" t="s">
        <v>89</v>
      </c>
      <c r="C139" s="1">
        <v>5</v>
      </c>
      <c r="D139" s="1">
        <v>1</v>
      </c>
      <c r="E139" s="1">
        <v>1</v>
      </c>
      <c r="F139" s="1" t="s">
        <v>340</v>
      </c>
      <c r="G139" s="1" t="s">
        <v>333</v>
      </c>
      <c r="H139" s="1" t="s">
        <v>333</v>
      </c>
      <c r="I139" s="1" t="s">
        <v>333</v>
      </c>
      <c r="J139" s="1" t="s">
        <v>333</v>
      </c>
      <c r="K139" s="1" t="s">
        <v>333</v>
      </c>
      <c r="L139" s="1" t="s">
        <v>332</v>
      </c>
      <c r="M139" s="1" t="s">
        <v>333</v>
      </c>
      <c r="N139" s="1" t="s">
        <v>333</v>
      </c>
      <c r="O139" s="1" t="s">
        <v>333</v>
      </c>
      <c r="P139" s="1" t="s">
        <v>333</v>
      </c>
      <c r="Q139" s="1" t="s">
        <v>333</v>
      </c>
      <c r="R139" s="1" t="s">
        <v>333</v>
      </c>
      <c r="S139" s="1" t="s">
        <v>333</v>
      </c>
      <c r="T139" s="1">
        <v>0</v>
      </c>
      <c r="U139" s="1">
        <v>2700</v>
      </c>
      <c r="V139" s="1" t="s">
        <v>489</v>
      </c>
      <c r="W139" t="s">
        <v>1650</v>
      </c>
    </row>
    <row r="140" spans="1:23" x14ac:dyDescent="0.25">
      <c r="A140" s="1">
        <v>173</v>
      </c>
      <c r="B140" t="s">
        <v>736</v>
      </c>
      <c r="C140" s="1">
        <v>5</v>
      </c>
      <c r="D140" s="1">
        <v>2</v>
      </c>
      <c r="E140" s="1">
        <v>8</v>
      </c>
      <c r="F140" s="1" t="s">
        <v>361</v>
      </c>
      <c r="G140" s="1" t="s">
        <v>333</v>
      </c>
      <c r="H140" s="1" t="s">
        <v>333</v>
      </c>
      <c r="I140" s="1" t="s">
        <v>333</v>
      </c>
      <c r="J140" s="1" t="s">
        <v>333</v>
      </c>
      <c r="K140" s="1" t="s">
        <v>343</v>
      </c>
      <c r="L140" s="1" t="s">
        <v>333</v>
      </c>
      <c r="M140" s="1" t="s">
        <v>333</v>
      </c>
      <c r="N140" s="1" t="s">
        <v>333</v>
      </c>
      <c r="O140" s="1" t="s">
        <v>333</v>
      </c>
      <c r="P140" s="1" t="s">
        <v>333</v>
      </c>
      <c r="Q140" s="1" t="s">
        <v>333</v>
      </c>
      <c r="R140" s="1" t="s">
        <v>333</v>
      </c>
      <c r="S140" s="1" t="s">
        <v>333</v>
      </c>
      <c r="T140" s="1">
        <v>0</v>
      </c>
      <c r="U140" s="1">
        <v>3480</v>
      </c>
      <c r="V140" s="1" t="s">
        <v>490</v>
      </c>
      <c r="W140" t="s">
        <v>1651</v>
      </c>
    </row>
    <row r="141" spans="1:23" x14ac:dyDescent="0.25">
      <c r="A141" s="1">
        <v>174</v>
      </c>
      <c r="B141" t="s">
        <v>733</v>
      </c>
      <c r="C141" s="1">
        <v>5</v>
      </c>
      <c r="D141" s="1">
        <v>2</v>
      </c>
      <c r="E141" s="1">
        <v>7</v>
      </c>
      <c r="F141" s="1" t="s">
        <v>395</v>
      </c>
      <c r="G141" s="1" t="s">
        <v>430</v>
      </c>
      <c r="H141" s="1" t="s">
        <v>333</v>
      </c>
      <c r="I141" s="1" t="s">
        <v>333</v>
      </c>
      <c r="J141" s="1" t="s">
        <v>333</v>
      </c>
      <c r="K141" s="1" t="s">
        <v>333</v>
      </c>
      <c r="L141" s="1" t="s">
        <v>333</v>
      </c>
      <c r="M141" s="1" t="s">
        <v>333</v>
      </c>
      <c r="N141" s="1" t="s">
        <v>333</v>
      </c>
      <c r="O141" s="1" t="s">
        <v>333</v>
      </c>
      <c r="P141" s="1" t="s">
        <v>333</v>
      </c>
      <c r="Q141" s="1" t="s">
        <v>333</v>
      </c>
      <c r="R141" s="1" t="s">
        <v>333</v>
      </c>
      <c r="S141" s="1" t="s">
        <v>333</v>
      </c>
      <c r="T141" s="1">
        <v>0</v>
      </c>
      <c r="U141" s="1">
        <v>3240</v>
      </c>
      <c r="V141" s="1" t="s">
        <v>491</v>
      </c>
      <c r="W141" t="s">
        <v>1652</v>
      </c>
    </row>
    <row r="142" spans="1:23" x14ac:dyDescent="0.25">
      <c r="A142" s="1">
        <v>175</v>
      </c>
      <c r="B142" t="s">
        <v>181</v>
      </c>
      <c r="C142" s="1">
        <v>5</v>
      </c>
      <c r="D142" s="1">
        <v>1</v>
      </c>
      <c r="E142" s="1">
        <v>13</v>
      </c>
      <c r="F142" s="1" t="s">
        <v>339</v>
      </c>
      <c r="G142" s="1" t="s">
        <v>333</v>
      </c>
      <c r="H142" s="1" t="s">
        <v>363</v>
      </c>
      <c r="I142" s="1" t="s">
        <v>333</v>
      </c>
      <c r="J142" s="1" t="s">
        <v>333</v>
      </c>
      <c r="K142" s="1" t="s">
        <v>333</v>
      </c>
      <c r="L142" s="1" t="s">
        <v>332</v>
      </c>
      <c r="M142" s="1" t="s">
        <v>333</v>
      </c>
      <c r="N142" s="1" t="s">
        <v>333</v>
      </c>
      <c r="O142" s="1" t="s">
        <v>333</v>
      </c>
      <c r="P142" s="1" t="s">
        <v>333</v>
      </c>
      <c r="Q142" s="1" t="s">
        <v>333</v>
      </c>
      <c r="R142" s="1" t="s">
        <v>333</v>
      </c>
      <c r="S142" s="1" t="s">
        <v>333</v>
      </c>
      <c r="T142" s="1">
        <v>0</v>
      </c>
      <c r="U142" s="1">
        <v>2820</v>
      </c>
      <c r="V142" s="1" t="s">
        <v>492</v>
      </c>
      <c r="W142" t="s">
        <v>1653</v>
      </c>
    </row>
    <row r="143" spans="1:23" x14ac:dyDescent="0.25">
      <c r="A143" s="1">
        <v>176</v>
      </c>
      <c r="B143" t="s">
        <v>1784</v>
      </c>
      <c r="C143" s="1">
        <v>5</v>
      </c>
      <c r="D143" s="1">
        <v>2</v>
      </c>
      <c r="E143" s="1">
        <v>6</v>
      </c>
      <c r="F143" s="1" t="s">
        <v>346</v>
      </c>
      <c r="G143" s="1" t="s">
        <v>333</v>
      </c>
      <c r="H143" s="1" t="s">
        <v>333</v>
      </c>
      <c r="I143" s="1" t="s">
        <v>333</v>
      </c>
      <c r="J143" s="1" t="s">
        <v>336</v>
      </c>
      <c r="K143" s="1" t="s">
        <v>333</v>
      </c>
      <c r="L143" s="1" t="s">
        <v>333</v>
      </c>
      <c r="M143" s="1" t="s">
        <v>493</v>
      </c>
      <c r="N143" s="1" t="s">
        <v>333</v>
      </c>
      <c r="O143" s="1" t="s">
        <v>333</v>
      </c>
      <c r="P143" s="1" t="s">
        <v>333</v>
      </c>
      <c r="Q143" s="1" t="s">
        <v>333</v>
      </c>
      <c r="R143" s="1" t="s">
        <v>333</v>
      </c>
      <c r="S143" s="1" t="s">
        <v>333</v>
      </c>
      <c r="T143" s="1">
        <v>0</v>
      </c>
      <c r="U143" s="1">
        <v>3180</v>
      </c>
      <c r="V143" s="1" t="s">
        <v>494</v>
      </c>
      <c r="W143" t="s">
        <v>1654</v>
      </c>
    </row>
    <row r="144" spans="1:23" x14ac:dyDescent="0.25">
      <c r="A144" s="1">
        <v>177</v>
      </c>
      <c r="B144" t="s">
        <v>725</v>
      </c>
      <c r="C144" s="1">
        <v>5</v>
      </c>
      <c r="D144" s="1">
        <v>1</v>
      </c>
      <c r="E144" s="1">
        <v>3</v>
      </c>
      <c r="F144" s="1" t="s">
        <v>333</v>
      </c>
      <c r="G144" s="1" t="s">
        <v>348</v>
      </c>
      <c r="H144" s="1" t="s">
        <v>333</v>
      </c>
      <c r="I144" s="1" t="s">
        <v>333</v>
      </c>
      <c r="J144" s="1" t="s">
        <v>349</v>
      </c>
      <c r="K144" s="1" t="s">
        <v>390</v>
      </c>
      <c r="L144" s="1" t="s">
        <v>333</v>
      </c>
      <c r="M144" s="1" t="s">
        <v>333</v>
      </c>
      <c r="N144" s="1" t="s">
        <v>333</v>
      </c>
      <c r="O144" s="1" t="s">
        <v>333</v>
      </c>
      <c r="P144" s="1" t="s">
        <v>333</v>
      </c>
      <c r="Q144" s="1" t="s">
        <v>333</v>
      </c>
      <c r="R144" s="1" t="s">
        <v>333</v>
      </c>
      <c r="S144" s="1" t="s">
        <v>333</v>
      </c>
      <c r="T144" s="1">
        <v>0</v>
      </c>
      <c r="U144" s="1">
        <v>3000</v>
      </c>
      <c r="V144" s="1" t="s">
        <v>495</v>
      </c>
      <c r="W144" t="s">
        <v>1655</v>
      </c>
    </row>
    <row r="145" spans="1:23" x14ac:dyDescent="0.25">
      <c r="A145" s="1">
        <v>178</v>
      </c>
      <c r="B145" t="s">
        <v>270</v>
      </c>
      <c r="C145" s="1">
        <v>5</v>
      </c>
      <c r="D145" s="1">
        <v>2</v>
      </c>
      <c r="E145" s="1">
        <v>5</v>
      </c>
      <c r="F145" s="1" t="s">
        <v>340</v>
      </c>
      <c r="G145" s="1" t="s">
        <v>333</v>
      </c>
      <c r="H145" s="1" t="s">
        <v>333</v>
      </c>
      <c r="I145" s="1" t="s">
        <v>333</v>
      </c>
      <c r="J145" s="1" t="s">
        <v>333</v>
      </c>
      <c r="K145" s="1" t="s">
        <v>333</v>
      </c>
      <c r="L145" s="1" t="s">
        <v>333</v>
      </c>
      <c r="M145" s="1" t="s">
        <v>357</v>
      </c>
      <c r="N145" s="1" t="s">
        <v>333</v>
      </c>
      <c r="O145" s="1" t="s">
        <v>333</v>
      </c>
      <c r="P145" s="1" t="s">
        <v>333</v>
      </c>
      <c r="Q145" s="1" t="s">
        <v>333</v>
      </c>
      <c r="R145" s="1" t="s">
        <v>333</v>
      </c>
      <c r="S145" s="1" t="s">
        <v>333</v>
      </c>
      <c r="T145" s="1">
        <v>0</v>
      </c>
      <c r="U145" s="1">
        <v>3300</v>
      </c>
      <c r="V145" s="1" t="s">
        <v>496</v>
      </c>
      <c r="W145" t="s">
        <v>1649</v>
      </c>
    </row>
    <row r="146" spans="1:23" x14ac:dyDescent="0.25">
      <c r="A146" s="1">
        <v>179</v>
      </c>
      <c r="B146" t="s">
        <v>267</v>
      </c>
      <c r="C146" s="1">
        <v>5</v>
      </c>
      <c r="D146" s="1">
        <v>1</v>
      </c>
      <c r="E146" s="1">
        <v>16</v>
      </c>
      <c r="F146" s="1" t="s">
        <v>333</v>
      </c>
      <c r="G146" s="1" t="s">
        <v>333</v>
      </c>
      <c r="H146" s="1" t="s">
        <v>330</v>
      </c>
      <c r="I146" s="1" t="s">
        <v>333</v>
      </c>
      <c r="J146" s="1" t="s">
        <v>333</v>
      </c>
      <c r="K146" s="1" t="s">
        <v>333</v>
      </c>
      <c r="L146" s="1" t="s">
        <v>390</v>
      </c>
      <c r="M146" s="1" t="s">
        <v>333</v>
      </c>
      <c r="N146" s="1" t="s">
        <v>333</v>
      </c>
      <c r="O146" s="1" t="s">
        <v>333</v>
      </c>
      <c r="P146" s="1" t="s">
        <v>333</v>
      </c>
      <c r="Q146" s="1" t="s">
        <v>333</v>
      </c>
      <c r="R146" s="1" t="s">
        <v>333</v>
      </c>
      <c r="S146" s="1" t="s">
        <v>333</v>
      </c>
      <c r="T146" s="1">
        <v>0</v>
      </c>
      <c r="U146" s="1">
        <v>2820</v>
      </c>
      <c r="V146" s="1" t="s">
        <v>497</v>
      </c>
      <c r="W146" t="s">
        <v>1644</v>
      </c>
    </row>
    <row r="147" spans="1:23" x14ac:dyDescent="0.25">
      <c r="A147" s="1">
        <v>180</v>
      </c>
      <c r="B147" t="s">
        <v>68</v>
      </c>
      <c r="C147" s="1">
        <v>5</v>
      </c>
      <c r="D147" s="1">
        <v>1</v>
      </c>
      <c r="E147" s="1">
        <v>16</v>
      </c>
      <c r="F147" s="1" t="s">
        <v>333</v>
      </c>
      <c r="G147" s="1" t="s">
        <v>333</v>
      </c>
      <c r="H147" s="1" t="s">
        <v>418</v>
      </c>
      <c r="I147" s="1" t="s">
        <v>333</v>
      </c>
      <c r="J147" s="1" t="s">
        <v>333</v>
      </c>
      <c r="K147" s="1" t="s">
        <v>333</v>
      </c>
      <c r="L147" s="1" t="s">
        <v>390</v>
      </c>
      <c r="M147" s="1" t="s">
        <v>333</v>
      </c>
      <c r="N147" s="1" t="s">
        <v>333</v>
      </c>
      <c r="O147" s="1" t="s">
        <v>333</v>
      </c>
      <c r="P147" s="1" t="s">
        <v>333</v>
      </c>
      <c r="Q147" s="1" t="s">
        <v>333</v>
      </c>
      <c r="R147" s="1" t="s">
        <v>333</v>
      </c>
      <c r="S147" s="1" t="s">
        <v>333</v>
      </c>
      <c r="T147" s="1">
        <v>0</v>
      </c>
      <c r="U147" s="1">
        <v>2820</v>
      </c>
      <c r="V147" s="1" t="s">
        <v>955</v>
      </c>
      <c r="W147" t="s">
        <v>1656</v>
      </c>
    </row>
    <row r="148" spans="1:23" x14ac:dyDescent="0.25">
      <c r="A148" s="1">
        <v>181</v>
      </c>
      <c r="B148" t="s">
        <v>81</v>
      </c>
      <c r="C148" s="1">
        <v>5</v>
      </c>
      <c r="D148" s="1">
        <v>2</v>
      </c>
      <c r="E148" s="1">
        <v>6</v>
      </c>
      <c r="F148" s="1" t="s">
        <v>346</v>
      </c>
      <c r="G148" s="1" t="s">
        <v>333</v>
      </c>
      <c r="H148" s="1" t="s">
        <v>333</v>
      </c>
      <c r="I148" s="1" t="s">
        <v>333</v>
      </c>
      <c r="J148" s="1" t="s">
        <v>498</v>
      </c>
      <c r="K148" s="1" t="s">
        <v>333</v>
      </c>
      <c r="L148" s="1" t="s">
        <v>333</v>
      </c>
      <c r="M148" s="1" t="s">
        <v>391</v>
      </c>
      <c r="N148" s="1" t="s">
        <v>333</v>
      </c>
      <c r="O148" s="1" t="s">
        <v>333</v>
      </c>
      <c r="P148" s="1" t="s">
        <v>333</v>
      </c>
      <c r="Q148" s="1" t="s">
        <v>333</v>
      </c>
      <c r="R148" s="1" t="s">
        <v>333</v>
      </c>
      <c r="S148" s="1" t="s">
        <v>333</v>
      </c>
      <c r="T148" s="1">
        <v>0</v>
      </c>
      <c r="U148" s="1">
        <v>3180</v>
      </c>
      <c r="V148" s="1" t="s">
        <v>358</v>
      </c>
      <c r="W148" t="s">
        <v>1570</v>
      </c>
    </row>
    <row r="149" spans="1:23" x14ac:dyDescent="0.25">
      <c r="A149" s="1">
        <v>182</v>
      </c>
      <c r="B149" t="s">
        <v>226</v>
      </c>
      <c r="C149" s="1">
        <v>5</v>
      </c>
      <c r="D149" s="1">
        <v>2</v>
      </c>
      <c r="E149" s="1">
        <v>6</v>
      </c>
      <c r="F149" s="1" t="s">
        <v>390</v>
      </c>
      <c r="G149" s="1" t="s">
        <v>333</v>
      </c>
      <c r="H149" s="1" t="s">
        <v>333</v>
      </c>
      <c r="I149" s="1" t="s">
        <v>333</v>
      </c>
      <c r="J149" s="1" t="s">
        <v>498</v>
      </c>
      <c r="K149" s="1" t="s">
        <v>333</v>
      </c>
      <c r="L149" s="1" t="s">
        <v>333</v>
      </c>
      <c r="M149" s="1" t="s">
        <v>333</v>
      </c>
      <c r="N149" s="1" t="s">
        <v>333</v>
      </c>
      <c r="O149" s="1" t="s">
        <v>333</v>
      </c>
      <c r="P149" s="1" t="s">
        <v>333</v>
      </c>
      <c r="Q149" s="1" t="s">
        <v>333</v>
      </c>
      <c r="R149" s="1" t="s">
        <v>333</v>
      </c>
      <c r="S149" s="1" t="s">
        <v>333</v>
      </c>
      <c r="T149" s="1">
        <v>0</v>
      </c>
      <c r="U149" s="1">
        <v>3180</v>
      </c>
      <c r="V149" s="1" t="s">
        <v>499</v>
      </c>
      <c r="W149" t="s">
        <v>1572</v>
      </c>
    </row>
    <row r="150" spans="1:23" x14ac:dyDescent="0.25">
      <c r="A150" s="1">
        <v>183</v>
      </c>
      <c r="B150" t="s">
        <v>253</v>
      </c>
      <c r="C150" s="1">
        <v>5</v>
      </c>
      <c r="D150" s="1">
        <v>3</v>
      </c>
      <c r="E150" s="1">
        <v>12</v>
      </c>
      <c r="F150" s="1" t="s">
        <v>333</v>
      </c>
      <c r="G150" s="1" t="s">
        <v>333</v>
      </c>
      <c r="H150" s="1" t="s">
        <v>333</v>
      </c>
      <c r="I150" s="1" t="s">
        <v>406</v>
      </c>
      <c r="J150" s="1" t="s">
        <v>333</v>
      </c>
      <c r="K150" s="1" t="s">
        <v>368</v>
      </c>
      <c r="L150" s="1" t="s">
        <v>333</v>
      </c>
      <c r="M150" s="1" t="s">
        <v>333</v>
      </c>
      <c r="N150" s="1" t="s">
        <v>333</v>
      </c>
      <c r="O150" s="1" t="s">
        <v>333</v>
      </c>
      <c r="P150" s="1" t="s">
        <v>333</v>
      </c>
      <c r="Q150" s="1" t="s">
        <v>333</v>
      </c>
      <c r="R150" s="1" t="s">
        <v>333</v>
      </c>
      <c r="S150" s="1" t="s">
        <v>333</v>
      </c>
      <c r="T150" s="1">
        <v>0</v>
      </c>
      <c r="U150" s="1">
        <v>3360</v>
      </c>
      <c r="V150" s="1" t="s">
        <v>500</v>
      </c>
      <c r="W150" t="s">
        <v>1596</v>
      </c>
    </row>
    <row r="151" spans="1:23" x14ac:dyDescent="0.25">
      <c r="A151" s="1">
        <v>184</v>
      </c>
      <c r="B151" t="s">
        <v>256</v>
      </c>
      <c r="C151" s="1">
        <v>5</v>
      </c>
      <c r="D151" s="1">
        <v>3</v>
      </c>
      <c r="E151" s="1">
        <v>12</v>
      </c>
      <c r="F151" s="1" t="s">
        <v>395</v>
      </c>
      <c r="G151" s="1" t="s">
        <v>333</v>
      </c>
      <c r="H151" s="1" t="s">
        <v>361</v>
      </c>
      <c r="I151" s="1" t="s">
        <v>333</v>
      </c>
      <c r="J151" s="1" t="s">
        <v>333</v>
      </c>
      <c r="K151" s="1" t="s">
        <v>333</v>
      </c>
      <c r="L151" s="1" t="s">
        <v>333</v>
      </c>
      <c r="M151" s="1" t="s">
        <v>333</v>
      </c>
      <c r="N151" s="1" t="s">
        <v>333</v>
      </c>
      <c r="O151" s="1" t="s">
        <v>333</v>
      </c>
      <c r="P151" s="1" t="s">
        <v>333</v>
      </c>
      <c r="Q151" s="1" t="s">
        <v>333</v>
      </c>
      <c r="R151" s="1" t="s">
        <v>333</v>
      </c>
      <c r="S151" s="1" t="s">
        <v>333</v>
      </c>
      <c r="T151" s="1">
        <v>0</v>
      </c>
      <c r="U151" s="1">
        <v>3120</v>
      </c>
      <c r="V151" s="1" t="s">
        <v>501</v>
      </c>
      <c r="W151" t="s">
        <v>1657</v>
      </c>
    </row>
    <row r="152" spans="1:23" x14ac:dyDescent="0.25">
      <c r="A152" s="1">
        <v>185</v>
      </c>
      <c r="B152" t="s">
        <v>756</v>
      </c>
      <c r="C152" s="1">
        <v>5</v>
      </c>
      <c r="D152" s="1">
        <v>1</v>
      </c>
      <c r="E152" s="1">
        <v>16</v>
      </c>
      <c r="F152" s="1" t="s">
        <v>340</v>
      </c>
      <c r="G152" s="1" t="s">
        <v>475</v>
      </c>
      <c r="H152" s="1" t="s">
        <v>333</v>
      </c>
      <c r="I152" s="1" t="s">
        <v>333</v>
      </c>
      <c r="J152" s="1" t="s">
        <v>333</v>
      </c>
      <c r="K152" s="1" t="s">
        <v>333</v>
      </c>
      <c r="L152" s="1" t="s">
        <v>402</v>
      </c>
      <c r="M152" s="1" t="s">
        <v>333</v>
      </c>
      <c r="N152" s="1" t="s">
        <v>333</v>
      </c>
      <c r="O152" s="1" t="s">
        <v>333</v>
      </c>
      <c r="P152" s="1" t="s">
        <v>333</v>
      </c>
      <c r="Q152" s="1" t="s">
        <v>333</v>
      </c>
      <c r="R152" s="1" t="s">
        <v>333</v>
      </c>
      <c r="S152" s="1" t="s">
        <v>333</v>
      </c>
      <c r="T152" s="1">
        <v>0</v>
      </c>
      <c r="U152" s="1">
        <v>2700</v>
      </c>
      <c r="V152" s="1" t="s">
        <v>502</v>
      </c>
      <c r="W152" t="s">
        <v>1658</v>
      </c>
    </row>
    <row r="153" spans="1:23" x14ac:dyDescent="0.25">
      <c r="A153" s="1">
        <v>186</v>
      </c>
      <c r="B153" t="s">
        <v>254</v>
      </c>
      <c r="C153" s="1">
        <v>5</v>
      </c>
      <c r="D153" s="1">
        <v>2</v>
      </c>
      <c r="E153" s="1">
        <v>7</v>
      </c>
      <c r="F153" s="1" t="s">
        <v>346</v>
      </c>
      <c r="G153" s="1" t="s">
        <v>333</v>
      </c>
      <c r="H153" s="1" t="s">
        <v>333</v>
      </c>
      <c r="I153" s="1" t="s">
        <v>333</v>
      </c>
      <c r="J153" s="1" t="s">
        <v>333</v>
      </c>
      <c r="K153" s="1" t="s">
        <v>394</v>
      </c>
      <c r="L153" s="1" t="s">
        <v>503</v>
      </c>
      <c r="M153" s="1" t="s">
        <v>333</v>
      </c>
      <c r="N153" s="1" t="s">
        <v>333</v>
      </c>
      <c r="O153" s="1" t="s">
        <v>333</v>
      </c>
      <c r="P153" s="1" t="s">
        <v>333</v>
      </c>
      <c r="Q153" s="1" t="s">
        <v>333</v>
      </c>
      <c r="R153" s="1" t="s">
        <v>333</v>
      </c>
      <c r="S153" s="1" t="s">
        <v>333</v>
      </c>
      <c r="T153" s="1">
        <v>0</v>
      </c>
      <c r="U153" s="1">
        <v>3240</v>
      </c>
      <c r="V153" s="1" t="s">
        <v>504</v>
      </c>
      <c r="W153" t="s">
        <v>1659</v>
      </c>
    </row>
    <row r="154" spans="1:23" x14ac:dyDescent="0.25">
      <c r="A154" s="1">
        <v>187</v>
      </c>
      <c r="B154" t="s">
        <v>252</v>
      </c>
      <c r="C154" s="1">
        <v>5</v>
      </c>
      <c r="D154" s="1">
        <v>1</v>
      </c>
      <c r="E154" s="1">
        <v>13</v>
      </c>
      <c r="F154" s="1" t="s">
        <v>333</v>
      </c>
      <c r="G154" s="1" t="s">
        <v>475</v>
      </c>
      <c r="H154" s="1" t="s">
        <v>363</v>
      </c>
      <c r="I154" s="1" t="s">
        <v>333</v>
      </c>
      <c r="J154" s="1" t="s">
        <v>333</v>
      </c>
      <c r="K154" s="1" t="s">
        <v>333</v>
      </c>
      <c r="L154" s="1" t="s">
        <v>390</v>
      </c>
      <c r="M154" s="1" t="s">
        <v>333</v>
      </c>
      <c r="N154" s="1" t="s">
        <v>333</v>
      </c>
      <c r="O154" s="1" t="s">
        <v>333</v>
      </c>
      <c r="P154" s="1" t="s">
        <v>333</v>
      </c>
      <c r="Q154" s="1" t="s">
        <v>333</v>
      </c>
      <c r="R154" s="1" t="s">
        <v>333</v>
      </c>
      <c r="S154" s="1" t="s">
        <v>333</v>
      </c>
      <c r="T154" s="1">
        <v>0</v>
      </c>
      <c r="U154" s="1">
        <v>2820</v>
      </c>
      <c r="V154" s="1" t="s">
        <v>505</v>
      </c>
      <c r="W154" t="s">
        <v>1660</v>
      </c>
    </row>
    <row r="155" spans="1:23" x14ac:dyDescent="0.25">
      <c r="A155" s="1">
        <v>188</v>
      </c>
      <c r="B155" t="s">
        <v>757</v>
      </c>
      <c r="C155" s="1">
        <v>5</v>
      </c>
      <c r="D155" s="1">
        <v>1</v>
      </c>
      <c r="E155" s="1">
        <v>16</v>
      </c>
      <c r="F155" s="1" t="s">
        <v>340</v>
      </c>
      <c r="G155" s="1" t="s">
        <v>475</v>
      </c>
      <c r="H155" s="1" t="s">
        <v>333</v>
      </c>
      <c r="I155" s="1" t="s">
        <v>333</v>
      </c>
      <c r="J155" s="1" t="s">
        <v>333</v>
      </c>
      <c r="K155" s="1" t="s">
        <v>333</v>
      </c>
      <c r="L155" s="1" t="s">
        <v>402</v>
      </c>
      <c r="M155" s="1" t="s">
        <v>333</v>
      </c>
      <c r="N155" s="1" t="s">
        <v>333</v>
      </c>
      <c r="O155" s="1" t="s">
        <v>333</v>
      </c>
      <c r="P155" s="1" t="s">
        <v>333</v>
      </c>
      <c r="Q155" s="1" t="s">
        <v>333</v>
      </c>
      <c r="R155" s="1" t="s">
        <v>333</v>
      </c>
      <c r="S155" s="1" t="s">
        <v>333</v>
      </c>
      <c r="T155" s="1">
        <v>0</v>
      </c>
      <c r="U155" s="1">
        <v>2700</v>
      </c>
      <c r="V155" s="1" t="s">
        <v>502</v>
      </c>
      <c r="W155" t="s">
        <v>1658</v>
      </c>
    </row>
    <row r="156" spans="1:23" x14ac:dyDescent="0.25">
      <c r="A156" s="1">
        <v>189</v>
      </c>
      <c r="B156" t="s">
        <v>758</v>
      </c>
      <c r="C156" s="1">
        <v>5</v>
      </c>
      <c r="D156" s="1">
        <v>1</v>
      </c>
      <c r="E156" s="1">
        <v>16</v>
      </c>
      <c r="F156" s="1" t="s">
        <v>340</v>
      </c>
      <c r="G156" s="1" t="s">
        <v>475</v>
      </c>
      <c r="H156" s="1" t="s">
        <v>333</v>
      </c>
      <c r="I156" s="1" t="s">
        <v>333</v>
      </c>
      <c r="J156" s="1" t="s">
        <v>333</v>
      </c>
      <c r="K156" s="1" t="s">
        <v>333</v>
      </c>
      <c r="L156" s="1" t="s">
        <v>402</v>
      </c>
      <c r="M156" s="1" t="s">
        <v>333</v>
      </c>
      <c r="N156" s="1" t="s">
        <v>333</v>
      </c>
      <c r="O156" s="1" t="s">
        <v>333</v>
      </c>
      <c r="P156" s="1" t="s">
        <v>333</v>
      </c>
      <c r="Q156" s="1" t="s">
        <v>333</v>
      </c>
      <c r="R156" s="1" t="s">
        <v>333</v>
      </c>
      <c r="S156" s="1" t="s">
        <v>333</v>
      </c>
      <c r="T156" s="1">
        <v>0</v>
      </c>
      <c r="U156" s="1">
        <v>2700</v>
      </c>
      <c r="V156" s="1" t="s">
        <v>502</v>
      </c>
      <c r="W156" t="s">
        <v>1658</v>
      </c>
    </row>
    <row r="157" spans="1:23" x14ac:dyDescent="0.25">
      <c r="A157" s="1">
        <v>190</v>
      </c>
      <c r="B157" t="s">
        <v>1544</v>
      </c>
      <c r="C157" s="1">
        <v>5</v>
      </c>
      <c r="D157" s="1">
        <v>3</v>
      </c>
      <c r="E157" s="1">
        <v>12</v>
      </c>
      <c r="F157" s="1" t="s">
        <v>396</v>
      </c>
      <c r="G157" s="1" t="s">
        <v>340</v>
      </c>
      <c r="H157" s="1" t="s">
        <v>333</v>
      </c>
      <c r="I157" s="1" t="s">
        <v>333</v>
      </c>
      <c r="J157" s="1" t="s">
        <v>333</v>
      </c>
      <c r="K157" s="1" t="s">
        <v>396</v>
      </c>
      <c r="L157" s="1" t="s">
        <v>333</v>
      </c>
      <c r="M157" s="1" t="s">
        <v>333</v>
      </c>
      <c r="N157" s="1" t="s">
        <v>333</v>
      </c>
      <c r="O157" s="1" t="s">
        <v>333</v>
      </c>
      <c r="P157" s="1" t="s">
        <v>333</v>
      </c>
      <c r="Q157" s="1" t="s">
        <v>333</v>
      </c>
      <c r="R157" s="1" t="s">
        <v>333</v>
      </c>
      <c r="S157" s="1" t="s">
        <v>333</v>
      </c>
      <c r="T157" s="1">
        <v>0</v>
      </c>
      <c r="U157" s="1">
        <v>3120</v>
      </c>
      <c r="V157" s="1" t="s">
        <v>506</v>
      </c>
      <c r="W157" t="s">
        <v>1661</v>
      </c>
    </row>
    <row r="158" spans="1:23" x14ac:dyDescent="0.25">
      <c r="A158" s="1">
        <v>191</v>
      </c>
      <c r="B158" t="s">
        <v>845</v>
      </c>
      <c r="C158" s="1">
        <v>5</v>
      </c>
      <c r="D158" s="1">
        <v>1</v>
      </c>
      <c r="E158" s="1">
        <v>1</v>
      </c>
      <c r="F158" s="1" t="s">
        <v>340</v>
      </c>
      <c r="G158" s="1" t="s">
        <v>333</v>
      </c>
      <c r="H158" s="1" t="s">
        <v>333</v>
      </c>
      <c r="I158" s="1" t="s">
        <v>333</v>
      </c>
      <c r="J158" s="1" t="s">
        <v>333</v>
      </c>
      <c r="K158" s="1" t="s">
        <v>333</v>
      </c>
      <c r="L158" s="1" t="s">
        <v>332</v>
      </c>
      <c r="M158" s="1" t="s">
        <v>333</v>
      </c>
      <c r="N158" s="1" t="s">
        <v>333</v>
      </c>
      <c r="O158" s="1" t="s">
        <v>333</v>
      </c>
      <c r="P158" s="1" t="s">
        <v>333</v>
      </c>
      <c r="Q158" s="1" t="s">
        <v>333</v>
      </c>
      <c r="R158" s="1" t="s">
        <v>333</v>
      </c>
      <c r="S158" s="1" t="s">
        <v>333</v>
      </c>
      <c r="T158" s="1">
        <v>0</v>
      </c>
      <c r="U158" s="1">
        <v>2700</v>
      </c>
      <c r="V158" s="1" t="s">
        <v>507</v>
      </c>
      <c r="W158" t="s">
        <v>1618</v>
      </c>
    </row>
    <row r="159" spans="1:23" x14ac:dyDescent="0.25">
      <c r="A159" s="1">
        <v>192</v>
      </c>
      <c r="B159" t="s">
        <v>838</v>
      </c>
      <c r="C159" s="1">
        <v>5</v>
      </c>
      <c r="D159" s="1">
        <v>3</v>
      </c>
      <c r="E159" s="1">
        <v>12</v>
      </c>
      <c r="F159" s="1" t="s">
        <v>367</v>
      </c>
      <c r="G159" s="1" t="s">
        <v>333</v>
      </c>
      <c r="H159" s="1" t="s">
        <v>368</v>
      </c>
      <c r="I159" s="1" t="s">
        <v>333</v>
      </c>
      <c r="J159" s="1" t="s">
        <v>333</v>
      </c>
      <c r="K159" s="1" t="s">
        <v>333</v>
      </c>
      <c r="L159" s="1" t="s">
        <v>333</v>
      </c>
      <c r="M159" s="1" t="s">
        <v>333</v>
      </c>
      <c r="N159" s="1" t="s">
        <v>333</v>
      </c>
      <c r="O159" s="1" t="s">
        <v>333</v>
      </c>
      <c r="P159" s="1" t="s">
        <v>333</v>
      </c>
      <c r="Q159" s="1" t="s">
        <v>333</v>
      </c>
      <c r="R159" s="1" t="s">
        <v>333</v>
      </c>
      <c r="S159" s="1" t="s">
        <v>333</v>
      </c>
      <c r="T159" s="1">
        <v>0</v>
      </c>
      <c r="U159" s="1">
        <v>3120</v>
      </c>
      <c r="V159" s="1" t="s">
        <v>508</v>
      </c>
      <c r="W159" t="s">
        <v>1575</v>
      </c>
    </row>
    <row r="160" spans="1:23" x14ac:dyDescent="0.25">
      <c r="A160" s="1">
        <v>193</v>
      </c>
      <c r="B160" t="s">
        <v>743</v>
      </c>
      <c r="C160" s="1">
        <v>5</v>
      </c>
      <c r="D160" s="1">
        <v>3</v>
      </c>
      <c r="E160" s="1">
        <v>11</v>
      </c>
      <c r="F160" s="1" t="s">
        <v>333</v>
      </c>
      <c r="G160" s="1" t="s">
        <v>333</v>
      </c>
      <c r="H160" s="1" t="s">
        <v>336</v>
      </c>
      <c r="I160" s="1" t="s">
        <v>333</v>
      </c>
      <c r="J160" s="1" t="s">
        <v>333</v>
      </c>
      <c r="K160" s="1" t="s">
        <v>333</v>
      </c>
      <c r="L160" s="1" t="s">
        <v>333</v>
      </c>
      <c r="M160" s="1" t="s">
        <v>333</v>
      </c>
      <c r="N160" s="1" t="s">
        <v>363</v>
      </c>
      <c r="O160" s="1" t="s">
        <v>333</v>
      </c>
      <c r="P160" s="1" t="s">
        <v>333</v>
      </c>
      <c r="Q160" s="1" t="s">
        <v>333</v>
      </c>
      <c r="R160" s="1" t="s">
        <v>333</v>
      </c>
      <c r="S160" s="1" t="s">
        <v>333</v>
      </c>
      <c r="T160" s="1">
        <v>0</v>
      </c>
      <c r="U160" s="1">
        <v>3060</v>
      </c>
      <c r="V160" s="1" t="s">
        <v>509</v>
      </c>
      <c r="W160" t="s">
        <v>1574</v>
      </c>
    </row>
    <row r="161" spans="1:23" x14ac:dyDescent="0.25">
      <c r="A161" s="1">
        <v>194</v>
      </c>
      <c r="B161" t="s">
        <v>759</v>
      </c>
      <c r="C161" s="1">
        <v>5</v>
      </c>
      <c r="D161" s="1">
        <v>1</v>
      </c>
      <c r="E161" s="1">
        <v>16</v>
      </c>
      <c r="F161" s="1" t="s">
        <v>333</v>
      </c>
      <c r="G161" s="1" t="s">
        <v>333</v>
      </c>
      <c r="H161" s="1" t="s">
        <v>418</v>
      </c>
      <c r="I161" s="1" t="s">
        <v>333</v>
      </c>
      <c r="J161" s="1" t="s">
        <v>333</v>
      </c>
      <c r="K161" s="1" t="s">
        <v>333</v>
      </c>
      <c r="L161" s="1" t="s">
        <v>390</v>
      </c>
      <c r="M161" s="1" t="s">
        <v>333</v>
      </c>
      <c r="N161" s="1" t="s">
        <v>333</v>
      </c>
      <c r="O161" s="1" t="s">
        <v>333</v>
      </c>
      <c r="P161" s="1" t="s">
        <v>333</v>
      </c>
      <c r="Q161" s="1" t="s">
        <v>333</v>
      </c>
      <c r="R161" s="1" t="s">
        <v>333</v>
      </c>
      <c r="S161" s="1" t="s">
        <v>333</v>
      </c>
      <c r="T161" s="1">
        <v>0</v>
      </c>
      <c r="U161" s="1">
        <v>2820</v>
      </c>
      <c r="V161" s="1" t="s">
        <v>510</v>
      </c>
      <c r="W161" t="s">
        <v>1656</v>
      </c>
    </row>
    <row r="162" spans="1:23" x14ac:dyDescent="0.25">
      <c r="A162" s="1">
        <v>195</v>
      </c>
      <c r="B162" t="s">
        <v>74</v>
      </c>
      <c r="C162" s="1">
        <v>5</v>
      </c>
      <c r="D162" s="1">
        <v>2</v>
      </c>
      <c r="E162" s="1">
        <v>6</v>
      </c>
      <c r="F162" s="1" t="s">
        <v>407</v>
      </c>
      <c r="G162" s="1" t="s">
        <v>333</v>
      </c>
      <c r="H162" s="1" t="s">
        <v>333</v>
      </c>
      <c r="I162" s="1" t="s">
        <v>333</v>
      </c>
      <c r="J162" s="1" t="s">
        <v>333</v>
      </c>
      <c r="K162" s="1" t="s">
        <v>333</v>
      </c>
      <c r="L162" s="1" t="s">
        <v>333</v>
      </c>
      <c r="M162" s="1" t="s">
        <v>391</v>
      </c>
      <c r="N162" s="1" t="s">
        <v>333</v>
      </c>
      <c r="O162" s="1" t="s">
        <v>333</v>
      </c>
      <c r="P162" s="1" t="s">
        <v>333</v>
      </c>
      <c r="Q162" s="1" t="s">
        <v>333</v>
      </c>
      <c r="R162" s="1" t="s">
        <v>333</v>
      </c>
      <c r="S162" s="1" t="s">
        <v>333</v>
      </c>
      <c r="T162" s="1">
        <v>0</v>
      </c>
      <c r="U162" s="1">
        <v>3600</v>
      </c>
      <c r="V162" s="1" t="s">
        <v>511</v>
      </c>
      <c r="W162" t="s">
        <v>1570</v>
      </c>
    </row>
    <row r="163" spans="1:23" x14ac:dyDescent="0.25">
      <c r="A163" s="1">
        <v>196</v>
      </c>
      <c r="B163" t="s">
        <v>116</v>
      </c>
      <c r="C163" s="1">
        <v>5</v>
      </c>
      <c r="D163" s="1">
        <v>1</v>
      </c>
      <c r="E163" s="1">
        <v>13</v>
      </c>
      <c r="F163" s="1" t="s">
        <v>336</v>
      </c>
      <c r="G163" s="1" t="s">
        <v>333</v>
      </c>
      <c r="H163" s="1" t="s">
        <v>346</v>
      </c>
      <c r="I163" s="1" t="s">
        <v>333</v>
      </c>
      <c r="J163" s="1" t="s">
        <v>333</v>
      </c>
      <c r="K163" s="1" t="s">
        <v>333</v>
      </c>
      <c r="L163" s="1" t="s">
        <v>333</v>
      </c>
      <c r="M163" s="1" t="s">
        <v>333</v>
      </c>
      <c r="N163" s="1" t="s">
        <v>333</v>
      </c>
      <c r="O163" s="1" t="s">
        <v>333</v>
      </c>
      <c r="P163" s="1" t="s">
        <v>333</v>
      </c>
      <c r="Q163" s="1" t="s">
        <v>333</v>
      </c>
      <c r="R163" s="1" t="s">
        <v>333</v>
      </c>
      <c r="S163" s="1" t="s">
        <v>333</v>
      </c>
      <c r="T163" s="1">
        <v>0</v>
      </c>
      <c r="U163" s="1">
        <v>2820</v>
      </c>
      <c r="V163" s="1" t="s">
        <v>512</v>
      </c>
      <c r="W163" t="s">
        <v>1662</v>
      </c>
    </row>
    <row r="164" spans="1:23" x14ac:dyDescent="0.25">
      <c r="A164" s="1">
        <v>197</v>
      </c>
      <c r="B164" t="s">
        <v>127</v>
      </c>
      <c r="C164" s="1">
        <v>5</v>
      </c>
      <c r="D164" s="1">
        <v>3</v>
      </c>
      <c r="E164" s="1">
        <v>10</v>
      </c>
      <c r="F164" s="1" t="s">
        <v>439</v>
      </c>
      <c r="G164" s="1" t="s">
        <v>333</v>
      </c>
      <c r="H164" s="1" t="s">
        <v>401</v>
      </c>
      <c r="I164" s="1" t="s">
        <v>333</v>
      </c>
      <c r="J164" s="1" t="s">
        <v>333</v>
      </c>
      <c r="K164" s="1" t="s">
        <v>333</v>
      </c>
      <c r="L164" s="1" t="s">
        <v>333</v>
      </c>
      <c r="M164" s="1" t="s">
        <v>333</v>
      </c>
      <c r="N164" s="1" t="s">
        <v>333</v>
      </c>
      <c r="O164" s="1" t="s">
        <v>333</v>
      </c>
      <c r="P164" s="1" t="s">
        <v>333</v>
      </c>
      <c r="Q164" s="1" t="s">
        <v>333</v>
      </c>
      <c r="R164" s="1" t="s">
        <v>333</v>
      </c>
      <c r="S164" s="1" t="s">
        <v>333</v>
      </c>
      <c r="T164" s="1">
        <v>0</v>
      </c>
      <c r="U164" s="1">
        <v>3120</v>
      </c>
      <c r="V164" s="1" t="s">
        <v>513</v>
      </c>
      <c r="W164" t="s">
        <v>1576</v>
      </c>
    </row>
    <row r="165" spans="1:23" x14ac:dyDescent="0.25">
      <c r="A165" s="1">
        <v>198</v>
      </c>
      <c r="B165" t="s">
        <v>131</v>
      </c>
      <c r="C165" s="1">
        <v>5</v>
      </c>
      <c r="D165" s="1">
        <v>1</v>
      </c>
      <c r="E165" s="1">
        <v>16</v>
      </c>
      <c r="F165" s="1" t="s">
        <v>333</v>
      </c>
      <c r="G165" s="1" t="s">
        <v>333</v>
      </c>
      <c r="H165" s="1" t="s">
        <v>346</v>
      </c>
      <c r="I165" s="1" t="s">
        <v>333</v>
      </c>
      <c r="J165" s="1" t="s">
        <v>333</v>
      </c>
      <c r="K165" s="1" t="s">
        <v>333</v>
      </c>
      <c r="L165" s="1" t="s">
        <v>493</v>
      </c>
      <c r="M165" s="1" t="s">
        <v>333</v>
      </c>
      <c r="N165" s="1" t="s">
        <v>333</v>
      </c>
      <c r="O165" s="1" t="s">
        <v>333</v>
      </c>
      <c r="P165" s="1" t="s">
        <v>333</v>
      </c>
      <c r="Q165" s="1" t="s">
        <v>333</v>
      </c>
      <c r="R165" s="1" t="s">
        <v>333</v>
      </c>
      <c r="S165" s="1" t="s">
        <v>333</v>
      </c>
      <c r="T165" s="1">
        <v>0</v>
      </c>
      <c r="U165" s="1">
        <v>2820</v>
      </c>
      <c r="V165" s="1" t="s">
        <v>514</v>
      </c>
      <c r="W165" t="s">
        <v>1663</v>
      </c>
    </row>
    <row r="166" spans="1:23" x14ac:dyDescent="0.25">
      <c r="A166" s="1">
        <v>199</v>
      </c>
      <c r="B166" t="s">
        <v>940</v>
      </c>
      <c r="C166" s="1">
        <v>5</v>
      </c>
      <c r="D166" s="1">
        <v>1</v>
      </c>
      <c r="E166" s="1">
        <v>13</v>
      </c>
      <c r="F166" s="1" t="s">
        <v>333</v>
      </c>
      <c r="G166" s="1" t="s">
        <v>333</v>
      </c>
      <c r="H166" s="1" t="s">
        <v>395</v>
      </c>
      <c r="I166" s="1" t="s">
        <v>333</v>
      </c>
      <c r="J166" s="1" t="s">
        <v>333</v>
      </c>
      <c r="K166" s="1" t="s">
        <v>333</v>
      </c>
      <c r="L166" s="1" t="s">
        <v>397</v>
      </c>
      <c r="M166" s="1" t="s">
        <v>333</v>
      </c>
      <c r="N166" s="1" t="s">
        <v>333</v>
      </c>
      <c r="O166" s="1" t="s">
        <v>333</v>
      </c>
      <c r="P166" s="1" t="s">
        <v>333</v>
      </c>
      <c r="Q166" s="1" t="s">
        <v>333</v>
      </c>
      <c r="R166" s="1" t="s">
        <v>333</v>
      </c>
      <c r="S166" s="1" t="s">
        <v>333</v>
      </c>
      <c r="T166" s="1">
        <v>0</v>
      </c>
      <c r="U166" s="1">
        <v>2820</v>
      </c>
      <c r="V166" s="1" t="s">
        <v>515</v>
      </c>
      <c r="W166" t="s">
        <v>1583</v>
      </c>
    </row>
    <row r="167" spans="1:23" x14ac:dyDescent="0.25">
      <c r="A167" s="1">
        <v>200</v>
      </c>
      <c r="B167" t="s">
        <v>938</v>
      </c>
      <c r="C167" s="1">
        <v>5</v>
      </c>
      <c r="D167" s="1">
        <v>2</v>
      </c>
      <c r="E167" s="1">
        <v>6</v>
      </c>
      <c r="F167" s="1" t="s">
        <v>396</v>
      </c>
      <c r="G167" s="1" t="s">
        <v>333</v>
      </c>
      <c r="H167" s="1" t="s">
        <v>333</v>
      </c>
      <c r="I167" s="1" t="s">
        <v>333</v>
      </c>
      <c r="J167" s="1" t="s">
        <v>333</v>
      </c>
      <c r="K167" s="1" t="s">
        <v>333</v>
      </c>
      <c r="L167" s="1" t="s">
        <v>333</v>
      </c>
      <c r="M167" s="1" t="s">
        <v>415</v>
      </c>
      <c r="N167" s="1" t="s">
        <v>333</v>
      </c>
      <c r="O167" s="1" t="s">
        <v>333</v>
      </c>
      <c r="P167" s="1" t="s">
        <v>333</v>
      </c>
      <c r="Q167" s="1" t="s">
        <v>333</v>
      </c>
      <c r="R167" s="1" t="s">
        <v>333</v>
      </c>
      <c r="S167" s="1" t="s">
        <v>333</v>
      </c>
      <c r="T167" s="1">
        <v>0</v>
      </c>
      <c r="U167" s="1">
        <v>3180</v>
      </c>
      <c r="V167" s="1" t="s">
        <v>515</v>
      </c>
      <c r="W167" t="s">
        <v>1586</v>
      </c>
    </row>
    <row r="168" spans="1:23" x14ac:dyDescent="0.25">
      <c r="A168" s="1">
        <v>201</v>
      </c>
      <c r="B168" t="s">
        <v>939</v>
      </c>
      <c r="C168" s="1">
        <v>5</v>
      </c>
      <c r="D168" s="1">
        <v>3</v>
      </c>
      <c r="E168" s="1">
        <v>10</v>
      </c>
      <c r="F168" s="1" t="s">
        <v>439</v>
      </c>
      <c r="G168" s="1" t="s">
        <v>333</v>
      </c>
      <c r="H168" s="1" t="s">
        <v>401</v>
      </c>
      <c r="I168" s="1" t="s">
        <v>333</v>
      </c>
      <c r="J168" s="1" t="s">
        <v>333</v>
      </c>
      <c r="K168" s="1" t="s">
        <v>333</v>
      </c>
      <c r="L168" s="1" t="s">
        <v>333</v>
      </c>
      <c r="M168" s="1" t="s">
        <v>333</v>
      </c>
      <c r="N168" s="1" t="s">
        <v>333</v>
      </c>
      <c r="O168" s="1" t="s">
        <v>333</v>
      </c>
      <c r="P168" s="1" t="s">
        <v>333</v>
      </c>
      <c r="Q168" s="1" t="s">
        <v>333</v>
      </c>
      <c r="R168" s="1" t="s">
        <v>333</v>
      </c>
      <c r="S168" s="1" t="s">
        <v>333</v>
      </c>
      <c r="T168" s="1">
        <v>0</v>
      </c>
      <c r="U168" s="1">
        <v>3120</v>
      </c>
      <c r="V168" s="1" t="s">
        <v>515</v>
      </c>
      <c r="W168" t="s">
        <v>1573</v>
      </c>
    </row>
    <row r="169" spans="1:23" x14ac:dyDescent="0.25">
      <c r="A169" s="1">
        <v>202</v>
      </c>
      <c r="B169" t="s">
        <v>941</v>
      </c>
      <c r="C169" s="1">
        <v>5</v>
      </c>
      <c r="D169" s="1">
        <v>1</v>
      </c>
      <c r="E169" s="1">
        <v>1</v>
      </c>
      <c r="F169" s="1" t="s">
        <v>333</v>
      </c>
      <c r="G169" s="1" t="s">
        <v>333</v>
      </c>
      <c r="H169" s="1" t="s">
        <v>333</v>
      </c>
      <c r="I169" s="1" t="s">
        <v>333</v>
      </c>
      <c r="J169" s="1" t="s">
        <v>333</v>
      </c>
      <c r="K169" s="1" t="s">
        <v>333</v>
      </c>
      <c r="L169" s="1" t="s">
        <v>424</v>
      </c>
      <c r="M169" s="1" t="s">
        <v>333</v>
      </c>
      <c r="N169" s="1" t="s">
        <v>333</v>
      </c>
      <c r="O169" s="1" t="s">
        <v>333</v>
      </c>
      <c r="P169" s="1" t="s">
        <v>333</v>
      </c>
      <c r="Q169" s="1" t="s">
        <v>333</v>
      </c>
      <c r="R169" s="1" t="s">
        <v>333</v>
      </c>
      <c r="S169" s="1" t="s">
        <v>333</v>
      </c>
      <c r="T169" s="1">
        <v>0</v>
      </c>
      <c r="U169" s="1">
        <v>3600</v>
      </c>
      <c r="V169" s="1" t="s">
        <v>516</v>
      </c>
      <c r="W169" t="s">
        <v>1564</v>
      </c>
    </row>
    <row r="170" spans="1:23" x14ac:dyDescent="0.25">
      <c r="A170" s="1">
        <v>203</v>
      </c>
      <c r="B170" t="s">
        <v>942</v>
      </c>
      <c r="C170" s="1">
        <v>5</v>
      </c>
      <c r="D170" s="1">
        <v>2</v>
      </c>
      <c r="E170" s="1">
        <v>8</v>
      </c>
      <c r="F170" s="1" t="s">
        <v>430</v>
      </c>
      <c r="G170" s="1" t="s">
        <v>333</v>
      </c>
      <c r="H170" s="1" t="s">
        <v>333</v>
      </c>
      <c r="I170" s="1" t="s">
        <v>333</v>
      </c>
      <c r="J170" s="1" t="s">
        <v>333</v>
      </c>
      <c r="K170" s="1" t="s">
        <v>333</v>
      </c>
      <c r="L170" s="1" t="s">
        <v>333</v>
      </c>
      <c r="M170" s="1" t="s">
        <v>333</v>
      </c>
      <c r="N170" s="1" t="s">
        <v>333</v>
      </c>
      <c r="O170" s="1" t="s">
        <v>333</v>
      </c>
      <c r="P170" s="1" t="s">
        <v>333</v>
      </c>
      <c r="Q170" s="1" t="s">
        <v>333</v>
      </c>
      <c r="R170" s="1" t="s">
        <v>333</v>
      </c>
      <c r="S170" s="1" t="s">
        <v>333</v>
      </c>
      <c r="T170" s="1">
        <v>0</v>
      </c>
      <c r="U170" s="1">
        <v>3480</v>
      </c>
      <c r="V170" s="1" t="s">
        <v>516</v>
      </c>
      <c r="W170" t="s">
        <v>1572</v>
      </c>
    </row>
    <row r="171" spans="1:23" x14ac:dyDescent="0.25">
      <c r="A171" s="1">
        <v>204</v>
      </c>
      <c r="B171" t="s">
        <v>943</v>
      </c>
      <c r="C171" s="1">
        <v>5</v>
      </c>
      <c r="D171" s="1">
        <v>3</v>
      </c>
      <c r="E171" s="1">
        <v>10</v>
      </c>
      <c r="F171" s="1" t="s">
        <v>333</v>
      </c>
      <c r="G171" s="1" t="s">
        <v>333</v>
      </c>
      <c r="H171" s="1" t="s">
        <v>430</v>
      </c>
      <c r="I171" s="1" t="s">
        <v>333</v>
      </c>
      <c r="J171" s="1" t="s">
        <v>333</v>
      </c>
      <c r="K171" s="1" t="s">
        <v>333</v>
      </c>
      <c r="L171" s="1" t="s">
        <v>333</v>
      </c>
      <c r="M171" s="1" t="s">
        <v>333</v>
      </c>
      <c r="N171" s="1" t="s">
        <v>333</v>
      </c>
      <c r="O171" s="1" t="s">
        <v>333</v>
      </c>
      <c r="P171" s="1" t="s">
        <v>333</v>
      </c>
      <c r="Q171" s="1" t="s">
        <v>333</v>
      </c>
      <c r="R171" s="1" t="s">
        <v>333</v>
      </c>
      <c r="S171" s="1" t="s">
        <v>333</v>
      </c>
      <c r="T171" s="1">
        <v>0</v>
      </c>
      <c r="U171" s="1">
        <v>3120</v>
      </c>
      <c r="V171" s="1" t="s">
        <v>516</v>
      </c>
      <c r="W171" t="s">
        <v>1577</v>
      </c>
    </row>
    <row r="172" spans="1:23" x14ac:dyDescent="0.25">
      <c r="A172" s="1">
        <v>205</v>
      </c>
      <c r="B172" t="s">
        <v>844</v>
      </c>
      <c r="C172" s="1">
        <v>5</v>
      </c>
      <c r="D172" s="1">
        <v>3</v>
      </c>
      <c r="E172" s="1">
        <v>12</v>
      </c>
      <c r="F172" s="1" t="s">
        <v>396</v>
      </c>
      <c r="G172" s="1" t="s">
        <v>340</v>
      </c>
      <c r="H172" s="1" t="s">
        <v>374</v>
      </c>
      <c r="I172" s="1" t="s">
        <v>333</v>
      </c>
      <c r="J172" s="1" t="s">
        <v>333</v>
      </c>
      <c r="K172" s="1" t="s">
        <v>333</v>
      </c>
      <c r="L172" s="1" t="s">
        <v>333</v>
      </c>
      <c r="M172" s="1" t="s">
        <v>333</v>
      </c>
      <c r="N172" s="1" t="s">
        <v>333</v>
      </c>
      <c r="O172" s="1" t="s">
        <v>333</v>
      </c>
      <c r="P172" s="1" t="s">
        <v>333</v>
      </c>
      <c r="Q172" s="1" t="s">
        <v>333</v>
      </c>
      <c r="R172" s="1" t="s">
        <v>333</v>
      </c>
      <c r="S172" s="1" t="s">
        <v>333</v>
      </c>
      <c r="T172" s="1">
        <v>0</v>
      </c>
      <c r="U172" s="1">
        <v>3120</v>
      </c>
      <c r="V172" s="1" t="s">
        <v>517</v>
      </c>
      <c r="W172" t="s">
        <v>1664</v>
      </c>
    </row>
    <row r="173" spans="1:23" x14ac:dyDescent="0.25">
      <c r="A173" s="1">
        <v>206</v>
      </c>
      <c r="B173" t="s">
        <v>734</v>
      </c>
      <c r="C173" s="1">
        <v>5</v>
      </c>
      <c r="D173" s="1">
        <v>2</v>
      </c>
      <c r="E173" s="1">
        <v>7</v>
      </c>
      <c r="F173" s="1" t="s">
        <v>361</v>
      </c>
      <c r="G173" s="1" t="s">
        <v>342</v>
      </c>
      <c r="H173" s="1" t="s">
        <v>333</v>
      </c>
      <c r="I173" s="1" t="s">
        <v>333</v>
      </c>
      <c r="J173" s="1" t="s">
        <v>333</v>
      </c>
      <c r="K173" s="1" t="s">
        <v>333</v>
      </c>
      <c r="L173" s="1" t="s">
        <v>333</v>
      </c>
      <c r="M173" s="1" t="s">
        <v>333</v>
      </c>
      <c r="N173" s="1" t="s">
        <v>333</v>
      </c>
      <c r="O173" s="1" t="s">
        <v>333</v>
      </c>
      <c r="P173" s="1" t="s">
        <v>333</v>
      </c>
      <c r="Q173" s="1" t="s">
        <v>333</v>
      </c>
      <c r="R173" s="1" t="s">
        <v>333</v>
      </c>
      <c r="S173" s="1" t="s">
        <v>333</v>
      </c>
      <c r="T173" s="1">
        <v>0</v>
      </c>
      <c r="U173" s="1">
        <v>3600</v>
      </c>
      <c r="V173" s="1" t="s">
        <v>518</v>
      </c>
      <c r="W173" t="s">
        <v>1664</v>
      </c>
    </row>
    <row r="174" spans="1:23" x14ac:dyDescent="0.25">
      <c r="A174" s="1">
        <v>207</v>
      </c>
      <c r="B174" t="s">
        <v>1783</v>
      </c>
      <c r="C174" s="1">
        <v>5</v>
      </c>
      <c r="D174" s="1">
        <v>1</v>
      </c>
      <c r="E174" s="1">
        <v>13</v>
      </c>
      <c r="F174" s="1" t="s">
        <v>336</v>
      </c>
      <c r="G174" s="1" t="s">
        <v>333</v>
      </c>
      <c r="H174" s="1" t="s">
        <v>346</v>
      </c>
      <c r="I174" s="1" t="s">
        <v>333</v>
      </c>
      <c r="J174" s="1" t="s">
        <v>333</v>
      </c>
      <c r="K174" s="1" t="s">
        <v>333</v>
      </c>
      <c r="L174" s="1" t="s">
        <v>333</v>
      </c>
      <c r="M174" s="1" t="s">
        <v>333</v>
      </c>
      <c r="N174" s="1" t="s">
        <v>333</v>
      </c>
      <c r="O174" s="1" t="s">
        <v>333</v>
      </c>
      <c r="P174" s="1" t="s">
        <v>333</v>
      </c>
      <c r="Q174" s="1" t="s">
        <v>333</v>
      </c>
      <c r="R174" s="1" t="s">
        <v>333</v>
      </c>
      <c r="S174" s="1" t="s">
        <v>333</v>
      </c>
      <c r="T174" s="1">
        <v>0</v>
      </c>
      <c r="U174" s="1">
        <v>2820</v>
      </c>
      <c r="V174" s="1" t="s">
        <v>519</v>
      </c>
      <c r="W174" t="s">
        <v>1662</v>
      </c>
    </row>
    <row r="175" spans="1:23" x14ac:dyDescent="0.25">
      <c r="A175" s="1">
        <v>208</v>
      </c>
      <c r="B175" t="s">
        <v>1728</v>
      </c>
      <c r="C175" s="1">
        <v>5</v>
      </c>
      <c r="D175" s="1">
        <v>1</v>
      </c>
      <c r="E175" s="1">
        <v>1</v>
      </c>
      <c r="F175" s="1" t="s">
        <v>333</v>
      </c>
      <c r="G175" s="1" t="s">
        <v>333</v>
      </c>
      <c r="H175" s="1" t="s">
        <v>333</v>
      </c>
      <c r="I175" s="1" t="s">
        <v>333</v>
      </c>
      <c r="J175" s="1" t="s">
        <v>333</v>
      </c>
      <c r="K175" s="1" t="s">
        <v>340</v>
      </c>
      <c r="L175" s="1" t="s">
        <v>332</v>
      </c>
      <c r="M175" s="1" t="s">
        <v>333</v>
      </c>
      <c r="N175" s="1" t="s">
        <v>333</v>
      </c>
      <c r="O175" s="1" t="s">
        <v>333</v>
      </c>
      <c r="P175" s="1" t="s">
        <v>333</v>
      </c>
      <c r="Q175" s="1" t="s">
        <v>333</v>
      </c>
      <c r="R175" s="1" t="s">
        <v>333</v>
      </c>
      <c r="S175" s="1" t="s">
        <v>333</v>
      </c>
      <c r="T175" s="1">
        <v>0</v>
      </c>
      <c r="U175" s="1">
        <v>2700</v>
      </c>
      <c r="V175" s="1" t="s">
        <v>520</v>
      </c>
      <c r="W175" t="s">
        <v>1665</v>
      </c>
    </row>
    <row r="176" spans="1:23" x14ac:dyDescent="0.25">
      <c r="A176" s="1">
        <v>209</v>
      </c>
      <c r="B176" t="s">
        <v>136</v>
      </c>
      <c r="C176" s="1">
        <v>5</v>
      </c>
      <c r="D176" s="1">
        <v>1</v>
      </c>
      <c r="E176" s="1">
        <v>1</v>
      </c>
      <c r="F176" s="1" t="s">
        <v>359</v>
      </c>
      <c r="G176" s="1" t="s">
        <v>333</v>
      </c>
      <c r="H176" s="1" t="s">
        <v>333</v>
      </c>
      <c r="I176" s="1" t="s">
        <v>333</v>
      </c>
      <c r="J176" s="1" t="s">
        <v>333</v>
      </c>
      <c r="K176" s="1" t="s">
        <v>333</v>
      </c>
      <c r="L176" s="1" t="s">
        <v>332</v>
      </c>
      <c r="M176" s="1" t="s">
        <v>333</v>
      </c>
      <c r="N176" s="1" t="s">
        <v>333</v>
      </c>
      <c r="O176" s="1" t="s">
        <v>333</v>
      </c>
      <c r="P176" s="1" t="s">
        <v>333</v>
      </c>
      <c r="Q176" s="1" t="s">
        <v>333</v>
      </c>
      <c r="R176" s="1" t="s">
        <v>333</v>
      </c>
      <c r="S176" s="1" t="s">
        <v>333</v>
      </c>
      <c r="T176" s="1">
        <v>0</v>
      </c>
      <c r="U176" s="1">
        <v>2820</v>
      </c>
      <c r="V176" s="1" t="s">
        <v>521</v>
      </c>
      <c r="W176" t="s">
        <v>1618</v>
      </c>
    </row>
    <row r="177" spans="1:23" x14ac:dyDescent="0.25">
      <c r="A177" s="1">
        <v>210</v>
      </c>
      <c r="B177" t="s">
        <v>760</v>
      </c>
      <c r="C177" s="1">
        <v>5</v>
      </c>
      <c r="D177" s="1">
        <v>1</v>
      </c>
      <c r="E177" s="1">
        <v>13</v>
      </c>
      <c r="F177" s="1" t="s">
        <v>333</v>
      </c>
      <c r="G177" s="1" t="s">
        <v>333</v>
      </c>
      <c r="H177" s="1" t="s">
        <v>363</v>
      </c>
      <c r="I177" s="1" t="s">
        <v>333</v>
      </c>
      <c r="J177" s="1" t="s">
        <v>333</v>
      </c>
      <c r="K177" s="1" t="s">
        <v>333</v>
      </c>
      <c r="L177" s="1" t="s">
        <v>390</v>
      </c>
      <c r="M177" s="1" t="s">
        <v>333</v>
      </c>
      <c r="N177" s="1" t="s">
        <v>333</v>
      </c>
      <c r="O177" s="1" t="s">
        <v>333</v>
      </c>
      <c r="P177" s="1" t="s">
        <v>333</v>
      </c>
      <c r="Q177" s="1" t="s">
        <v>333</v>
      </c>
      <c r="R177" s="1" t="s">
        <v>333</v>
      </c>
      <c r="S177" s="1" t="s">
        <v>333</v>
      </c>
      <c r="T177" s="1">
        <v>0</v>
      </c>
      <c r="U177" s="1">
        <v>2820</v>
      </c>
      <c r="V177" s="1" t="s">
        <v>522</v>
      </c>
      <c r="W177" t="s">
        <v>1666</v>
      </c>
    </row>
    <row r="178" spans="1:23" x14ac:dyDescent="0.25">
      <c r="A178" s="1">
        <v>211</v>
      </c>
      <c r="B178" t="s">
        <v>246</v>
      </c>
      <c r="C178" s="1">
        <v>5</v>
      </c>
      <c r="D178" s="1">
        <v>2</v>
      </c>
      <c r="E178" s="1">
        <v>5</v>
      </c>
      <c r="F178" s="1" t="s">
        <v>340</v>
      </c>
      <c r="G178" s="1" t="s">
        <v>333</v>
      </c>
      <c r="H178" s="1" t="s">
        <v>333</v>
      </c>
      <c r="I178" s="1" t="s">
        <v>333</v>
      </c>
      <c r="J178" s="1" t="s">
        <v>333</v>
      </c>
      <c r="K178" s="1" t="s">
        <v>333</v>
      </c>
      <c r="L178" s="1" t="s">
        <v>333</v>
      </c>
      <c r="M178" s="1" t="s">
        <v>357</v>
      </c>
      <c r="N178" s="1" t="s">
        <v>333</v>
      </c>
      <c r="O178" s="1" t="s">
        <v>333</v>
      </c>
      <c r="P178" s="1" t="s">
        <v>333</v>
      </c>
      <c r="Q178" s="1" t="s">
        <v>333</v>
      </c>
      <c r="R178" s="1" t="s">
        <v>333</v>
      </c>
      <c r="S178" s="1" t="s">
        <v>333</v>
      </c>
      <c r="T178" s="1">
        <v>0</v>
      </c>
      <c r="U178" s="1">
        <v>3300</v>
      </c>
      <c r="V178" s="1" t="s">
        <v>523</v>
      </c>
      <c r="W178" t="s">
        <v>1649</v>
      </c>
    </row>
    <row r="179" spans="1:23" x14ac:dyDescent="0.25">
      <c r="A179" s="1">
        <v>212</v>
      </c>
      <c r="B179" t="s">
        <v>842</v>
      </c>
      <c r="C179" s="1">
        <v>5</v>
      </c>
      <c r="D179" s="1">
        <v>2</v>
      </c>
      <c r="E179" s="1">
        <v>5</v>
      </c>
      <c r="F179" s="1" t="s">
        <v>340</v>
      </c>
      <c r="G179" s="1" t="s">
        <v>333</v>
      </c>
      <c r="H179" s="1" t="s">
        <v>333</v>
      </c>
      <c r="I179" s="1" t="s">
        <v>333</v>
      </c>
      <c r="J179" s="1" t="s">
        <v>333</v>
      </c>
      <c r="K179" s="1" t="s">
        <v>333</v>
      </c>
      <c r="L179" s="1" t="s">
        <v>333</v>
      </c>
      <c r="M179" s="1" t="s">
        <v>357</v>
      </c>
      <c r="N179" s="1" t="s">
        <v>333</v>
      </c>
      <c r="O179" s="1" t="s">
        <v>333</v>
      </c>
      <c r="P179" s="1" t="s">
        <v>333</v>
      </c>
      <c r="Q179" s="1" t="s">
        <v>333</v>
      </c>
      <c r="R179" s="1" t="s">
        <v>333</v>
      </c>
      <c r="S179" s="1" t="s">
        <v>333</v>
      </c>
      <c r="T179" s="1">
        <v>0</v>
      </c>
      <c r="U179" s="1">
        <v>3300</v>
      </c>
      <c r="V179" s="1" t="s">
        <v>905</v>
      </c>
      <c r="W179" t="s">
        <v>1649</v>
      </c>
    </row>
    <row r="180" spans="1:23" x14ac:dyDescent="0.25">
      <c r="A180" s="1">
        <v>213</v>
      </c>
      <c r="B180" t="s">
        <v>847</v>
      </c>
      <c r="C180" s="1">
        <v>5</v>
      </c>
      <c r="D180" s="1">
        <v>3</v>
      </c>
      <c r="E180" s="1">
        <v>10</v>
      </c>
      <c r="F180" s="1" t="s">
        <v>333</v>
      </c>
      <c r="G180" s="1" t="s">
        <v>333</v>
      </c>
      <c r="H180" s="1" t="s">
        <v>390</v>
      </c>
      <c r="I180" s="1" t="s">
        <v>333</v>
      </c>
      <c r="J180" s="1" t="s">
        <v>333</v>
      </c>
      <c r="K180" s="1" t="s">
        <v>333</v>
      </c>
      <c r="L180" s="1" t="s">
        <v>333</v>
      </c>
      <c r="M180" s="1" t="s">
        <v>333</v>
      </c>
      <c r="N180" s="1" t="s">
        <v>340</v>
      </c>
      <c r="O180" s="1" t="s">
        <v>333</v>
      </c>
      <c r="P180" s="1" t="s">
        <v>333</v>
      </c>
      <c r="Q180" s="1" t="s">
        <v>333</v>
      </c>
      <c r="R180" s="1" t="s">
        <v>333</v>
      </c>
      <c r="S180" s="1" t="s">
        <v>333</v>
      </c>
      <c r="T180" s="1">
        <v>0</v>
      </c>
      <c r="U180" s="1">
        <v>3120</v>
      </c>
      <c r="V180" s="1" t="s">
        <v>906</v>
      </c>
      <c r="W180" t="s">
        <v>1577</v>
      </c>
    </row>
    <row r="181" spans="1:23" x14ac:dyDescent="0.25">
      <c r="A181" s="1">
        <v>214</v>
      </c>
      <c r="B181" t="s">
        <v>839</v>
      </c>
      <c r="C181" s="1">
        <v>5</v>
      </c>
      <c r="D181" s="1">
        <v>3</v>
      </c>
      <c r="E181" s="1">
        <v>9</v>
      </c>
      <c r="F181" s="1" t="s">
        <v>340</v>
      </c>
      <c r="G181" s="1" t="s">
        <v>333</v>
      </c>
      <c r="H181" s="1" t="s">
        <v>368</v>
      </c>
      <c r="I181" s="1" t="s">
        <v>333</v>
      </c>
      <c r="J181" s="1" t="s">
        <v>333</v>
      </c>
      <c r="K181" s="1" t="s">
        <v>333</v>
      </c>
      <c r="L181" s="1" t="s">
        <v>333</v>
      </c>
      <c r="M181" s="1" t="s">
        <v>333</v>
      </c>
      <c r="N181" s="1" t="s">
        <v>333</v>
      </c>
      <c r="O181" s="1" t="s">
        <v>333</v>
      </c>
      <c r="P181" s="1" t="s">
        <v>333</v>
      </c>
      <c r="Q181" s="1" t="s">
        <v>333</v>
      </c>
      <c r="R181" s="1" t="s">
        <v>333</v>
      </c>
      <c r="S181" s="1" t="s">
        <v>333</v>
      </c>
      <c r="T181" s="1">
        <v>0</v>
      </c>
      <c r="U181" s="1">
        <v>3600</v>
      </c>
      <c r="V181" s="1" t="s">
        <v>907</v>
      </c>
      <c r="W181" t="s">
        <v>1667</v>
      </c>
    </row>
    <row r="182" spans="1:23" x14ac:dyDescent="0.25">
      <c r="A182" s="1">
        <v>215</v>
      </c>
      <c r="B182" t="s">
        <v>846</v>
      </c>
      <c r="C182" s="1">
        <v>5</v>
      </c>
      <c r="D182" s="1">
        <v>2</v>
      </c>
      <c r="E182" s="1">
        <v>5</v>
      </c>
      <c r="F182" s="1" t="s">
        <v>340</v>
      </c>
      <c r="G182" s="1" t="s">
        <v>333</v>
      </c>
      <c r="H182" s="1" t="s">
        <v>333</v>
      </c>
      <c r="I182" s="1" t="s">
        <v>333</v>
      </c>
      <c r="J182" s="1" t="s">
        <v>333</v>
      </c>
      <c r="K182" s="1" t="s">
        <v>333</v>
      </c>
      <c r="L182" s="1" t="s">
        <v>333</v>
      </c>
      <c r="M182" s="1" t="s">
        <v>357</v>
      </c>
      <c r="N182" s="1" t="s">
        <v>333</v>
      </c>
      <c r="O182" s="1" t="s">
        <v>333</v>
      </c>
      <c r="P182" s="1" t="s">
        <v>333</v>
      </c>
      <c r="Q182" s="1" t="s">
        <v>333</v>
      </c>
      <c r="R182" s="1" t="s">
        <v>333</v>
      </c>
      <c r="S182" s="1" t="s">
        <v>333</v>
      </c>
      <c r="T182" s="1">
        <v>0</v>
      </c>
      <c r="U182" s="1">
        <v>3300</v>
      </c>
      <c r="V182" s="1" t="s">
        <v>908</v>
      </c>
      <c r="W182" t="s">
        <v>1649</v>
      </c>
    </row>
    <row r="183" spans="1:23" x14ac:dyDescent="0.25">
      <c r="A183" s="1">
        <v>216</v>
      </c>
      <c r="B183" t="s">
        <v>1701</v>
      </c>
      <c r="C183" s="1">
        <v>5</v>
      </c>
      <c r="D183" s="1">
        <v>2</v>
      </c>
      <c r="E183" s="1">
        <v>7</v>
      </c>
      <c r="F183" s="1" t="s">
        <v>363</v>
      </c>
      <c r="G183" s="1" t="s">
        <v>333</v>
      </c>
      <c r="H183" s="1" t="s">
        <v>333</v>
      </c>
      <c r="I183" s="1" t="s">
        <v>333</v>
      </c>
      <c r="J183" s="1" t="s">
        <v>333</v>
      </c>
      <c r="K183" s="1" t="s">
        <v>333</v>
      </c>
      <c r="L183" s="1" t="s">
        <v>390</v>
      </c>
      <c r="M183" s="1" t="s">
        <v>333</v>
      </c>
      <c r="N183" s="1" t="s">
        <v>333</v>
      </c>
      <c r="O183" s="1" t="s">
        <v>333</v>
      </c>
      <c r="P183" s="1" t="s">
        <v>333</v>
      </c>
      <c r="Q183" s="1" t="s">
        <v>333</v>
      </c>
      <c r="R183" s="1" t="s">
        <v>333</v>
      </c>
      <c r="S183" s="1" t="s">
        <v>333</v>
      </c>
      <c r="T183" s="1">
        <v>0</v>
      </c>
      <c r="U183" s="1">
        <v>3240</v>
      </c>
      <c r="V183" s="1" t="s">
        <v>909</v>
      </c>
      <c r="W183" t="s">
        <v>1668</v>
      </c>
    </row>
    <row r="184" spans="1:23" x14ac:dyDescent="0.25">
      <c r="A184" s="1">
        <v>217</v>
      </c>
      <c r="B184" t="s">
        <v>95</v>
      </c>
      <c r="C184" s="1">
        <v>5</v>
      </c>
      <c r="D184" s="1">
        <v>1</v>
      </c>
      <c r="E184" s="1">
        <v>1</v>
      </c>
      <c r="F184" s="1" t="s">
        <v>369</v>
      </c>
      <c r="G184" s="1" t="s">
        <v>333</v>
      </c>
      <c r="H184" s="1" t="s">
        <v>333</v>
      </c>
      <c r="I184" s="1" t="s">
        <v>333</v>
      </c>
      <c r="J184" s="1" t="s">
        <v>333</v>
      </c>
      <c r="K184" s="1" t="s">
        <v>333</v>
      </c>
      <c r="L184" s="1" t="s">
        <v>401</v>
      </c>
      <c r="M184" s="1" t="s">
        <v>333</v>
      </c>
      <c r="N184" s="1" t="s">
        <v>333</v>
      </c>
      <c r="O184" s="1" t="s">
        <v>333</v>
      </c>
      <c r="P184" s="1" t="s">
        <v>333</v>
      </c>
      <c r="Q184" s="1" t="s">
        <v>333</v>
      </c>
      <c r="R184" s="1" t="s">
        <v>333</v>
      </c>
      <c r="S184" s="1" t="s">
        <v>333</v>
      </c>
      <c r="T184" s="1">
        <v>0</v>
      </c>
      <c r="U184" s="1">
        <v>3600</v>
      </c>
      <c r="V184" s="1" t="s">
        <v>904</v>
      </c>
      <c r="W184" t="s">
        <v>1641</v>
      </c>
    </row>
    <row r="185" spans="1:23" x14ac:dyDescent="0.25">
      <c r="A185" s="1">
        <v>218</v>
      </c>
      <c r="B185" t="s">
        <v>118</v>
      </c>
      <c r="C185" s="1">
        <v>5</v>
      </c>
      <c r="D185" s="1">
        <v>3</v>
      </c>
      <c r="E185" s="1">
        <v>10</v>
      </c>
      <c r="F185" s="1" t="s">
        <v>333</v>
      </c>
      <c r="G185" s="1" t="s">
        <v>333</v>
      </c>
      <c r="H185" s="1" t="s">
        <v>493</v>
      </c>
      <c r="I185" s="1" t="s">
        <v>333</v>
      </c>
      <c r="J185" s="1" t="s">
        <v>333</v>
      </c>
      <c r="K185" s="1" t="s">
        <v>333</v>
      </c>
      <c r="L185" s="1" t="s">
        <v>333</v>
      </c>
      <c r="M185" s="1" t="s">
        <v>333</v>
      </c>
      <c r="N185" s="1" t="s">
        <v>333</v>
      </c>
      <c r="O185" s="1" t="s">
        <v>333</v>
      </c>
      <c r="P185" s="1" t="s">
        <v>333</v>
      </c>
      <c r="Q185" s="1" t="s">
        <v>333</v>
      </c>
      <c r="R185" s="1" t="s">
        <v>333</v>
      </c>
      <c r="S185" s="1" t="s">
        <v>333</v>
      </c>
      <c r="T185" s="1">
        <v>0</v>
      </c>
      <c r="U185" s="1">
        <v>3120</v>
      </c>
      <c r="V185" s="1" t="s">
        <v>915</v>
      </c>
      <c r="W185" t="s">
        <v>1669</v>
      </c>
    </row>
    <row r="186" spans="1:23" x14ac:dyDescent="0.25">
      <c r="A186" s="1">
        <v>219</v>
      </c>
      <c r="B186" t="s">
        <v>925</v>
      </c>
      <c r="C186" s="1">
        <v>5</v>
      </c>
      <c r="D186" s="1">
        <v>1</v>
      </c>
      <c r="E186" s="1">
        <v>13</v>
      </c>
      <c r="F186" s="1" t="s">
        <v>336</v>
      </c>
      <c r="G186" s="1" t="s">
        <v>333</v>
      </c>
      <c r="H186" s="1" t="s">
        <v>346</v>
      </c>
      <c r="I186" s="1" t="s">
        <v>333</v>
      </c>
      <c r="J186" s="1" t="s">
        <v>333</v>
      </c>
      <c r="K186" s="1" t="s">
        <v>333</v>
      </c>
      <c r="L186" s="1" t="s">
        <v>333</v>
      </c>
      <c r="M186" s="1" t="s">
        <v>333</v>
      </c>
      <c r="N186" s="1" t="s">
        <v>333</v>
      </c>
      <c r="O186" s="1" t="s">
        <v>333</v>
      </c>
      <c r="P186" s="1" t="s">
        <v>333</v>
      </c>
      <c r="Q186" s="1" t="s">
        <v>333</v>
      </c>
      <c r="R186" s="1" t="s">
        <v>333</v>
      </c>
      <c r="S186" s="1" t="s">
        <v>333</v>
      </c>
      <c r="T186" s="1">
        <v>0</v>
      </c>
      <c r="U186" s="1">
        <v>2820</v>
      </c>
      <c r="V186" s="1" t="s">
        <v>910</v>
      </c>
      <c r="W186" t="s">
        <v>1662</v>
      </c>
    </row>
    <row r="187" spans="1:23" x14ac:dyDescent="0.25">
      <c r="A187" s="1">
        <v>220</v>
      </c>
      <c r="B187" t="s">
        <v>107</v>
      </c>
      <c r="C187" s="1">
        <v>5</v>
      </c>
      <c r="D187" s="1">
        <v>1</v>
      </c>
      <c r="E187" s="1">
        <v>16</v>
      </c>
      <c r="F187" s="1" t="s">
        <v>333</v>
      </c>
      <c r="G187" s="1" t="s">
        <v>366</v>
      </c>
      <c r="H187" s="1" t="s">
        <v>333</v>
      </c>
      <c r="I187" s="1" t="s">
        <v>333</v>
      </c>
      <c r="J187" s="1" t="s">
        <v>333</v>
      </c>
      <c r="K187" s="1" t="s">
        <v>340</v>
      </c>
      <c r="L187" s="1" t="s">
        <v>397</v>
      </c>
      <c r="M187" s="1" t="s">
        <v>333</v>
      </c>
      <c r="N187" s="1" t="s">
        <v>333</v>
      </c>
      <c r="O187" s="1" t="s">
        <v>333</v>
      </c>
      <c r="P187" s="1" t="s">
        <v>333</v>
      </c>
      <c r="Q187" s="1" t="s">
        <v>333</v>
      </c>
      <c r="R187" s="1" t="s">
        <v>333</v>
      </c>
      <c r="S187" s="1" t="s">
        <v>333</v>
      </c>
      <c r="T187" s="1">
        <v>0</v>
      </c>
      <c r="U187" s="1">
        <v>2820</v>
      </c>
      <c r="V187" s="1" t="s">
        <v>916</v>
      </c>
      <c r="W187" t="s">
        <v>1670</v>
      </c>
    </row>
    <row r="188" spans="1:23" x14ac:dyDescent="0.25">
      <c r="A188" s="1">
        <v>221</v>
      </c>
      <c r="B188" t="s">
        <v>119</v>
      </c>
      <c r="C188" s="1">
        <v>5</v>
      </c>
      <c r="D188" s="1">
        <v>2</v>
      </c>
      <c r="E188" s="1">
        <v>5</v>
      </c>
      <c r="F188" s="1" t="s">
        <v>339</v>
      </c>
      <c r="G188" s="1" t="s">
        <v>333</v>
      </c>
      <c r="H188" s="1" t="s">
        <v>333</v>
      </c>
      <c r="I188" s="1" t="s">
        <v>333</v>
      </c>
      <c r="J188" s="1" t="s">
        <v>333</v>
      </c>
      <c r="K188" s="1" t="s">
        <v>333</v>
      </c>
      <c r="L188" s="1" t="s">
        <v>333</v>
      </c>
      <c r="M188" s="1" t="s">
        <v>357</v>
      </c>
      <c r="N188" s="1" t="s">
        <v>333</v>
      </c>
      <c r="O188" s="1" t="s">
        <v>333</v>
      </c>
      <c r="P188" s="1" t="s">
        <v>333</v>
      </c>
      <c r="Q188" s="1" t="s">
        <v>333</v>
      </c>
      <c r="R188" s="1" t="s">
        <v>333</v>
      </c>
      <c r="S188" s="1" t="s">
        <v>333</v>
      </c>
      <c r="T188" s="1">
        <v>0</v>
      </c>
      <c r="U188" s="1">
        <v>3300</v>
      </c>
      <c r="V188" s="1" t="s">
        <v>956</v>
      </c>
      <c r="W188" t="s">
        <v>1671</v>
      </c>
    </row>
    <row r="189" spans="1:23" x14ac:dyDescent="0.25">
      <c r="A189" s="1">
        <v>222</v>
      </c>
      <c r="B189" t="s">
        <v>944</v>
      </c>
      <c r="C189" s="1">
        <v>3</v>
      </c>
      <c r="D189" s="1">
        <v>1</v>
      </c>
      <c r="E189" s="1">
        <v>16</v>
      </c>
      <c r="F189" s="1" t="s">
        <v>333</v>
      </c>
      <c r="G189" s="1" t="s">
        <v>340</v>
      </c>
      <c r="H189" s="1" t="s">
        <v>333</v>
      </c>
      <c r="I189" s="1" t="s">
        <v>333</v>
      </c>
      <c r="J189" s="1" t="s">
        <v>333</v>
      </c>
      <c r="K189" s="1" t="s">
        <v>333</v>
      </c>
      <c r="L189" s="1" t="s">
        <v>329</v>
      </c>
      <c r="M189" s="1" t="s">
        <v>333</v>
      </c>
      <c r="N189" s="1" t="s">
        <v>333</v>
      </c>
      <c r="O189" s="1" t="s">
        <v>333</v>
      </c>
      <c r="P189" s="1" t="s">
        <v>333</v>
      </c>
      <c r="Q189" s="1" t="s">
        <v>333</v>
      </c>
      <c r="R189" s="1" t="s">
        <v>333</v>
      </c>
      <c r="S189" s="1" t="s">
        <v>333</v>
      </c>
      <c r="T189" s="1">
        <v>0</v>
      </c>
      <c r="U189" s="1">
        <v>2040</v>
      </c>
      <c r="V189" s="1" t="s">
        <v>333</v>
      </c>
      <c r="W189" t="s">
        <v>1672</v>
      </c>
    </row>
    <row r="190" spans="1:23" x14ac:dyDescent="0.25">
      <c r="A190" s="1">
        <v>223</v>
      </c>
      <c r="B190" t="s">
        <v>945</v>
      </c>
      <c r="C190" s="1">
        <v>4</v>
      </c>
      <c r="D190" s="1">
        <v>1</v>
      </c>
      <c r="E190" s="1">
        <v>16</v>
      </c>
      <c r="F190" s="1" t="s">
        <v>333</v>
      </c>
      <c r="G190" s="1" t="s">
        <v>445</v>
      </c>
      <c r="H190" s="1" t="s">
        <v>333</v>
      </c>
      <c r="I190" s="1" t="s">
        <v>333</v>
      </c>
      <c r="J190" s="1" t="s">
        <v>333</v>
      </c>
      <c r="K190" s="1" t="s">
        <v>333</v>
      </c>
      <c r="L190" s="1" t="s">
        <v>330</v>
      </c>
      <c r="M190" s="1" t="s">
        <v>333</v>
      </c>
      <c r="N190" s="1" t="s">
        <v>333</v>
      </c>
      <c r="O190" s="1" t="s">
        <v>333</v>
      </c>
      <c r="P190" s="1" t="s">
        <v>333</v>
      </c>
      <c r="Q190" s="1" t="s">
        <v>333</v>
      </c>
      <c r="R190" s="1" t="s">
        <v>333</v>
      </c>
      <c r="S190" s="1" t="s">
        <v>333</v>
      </c>
      <c r="T190" s="1">
        <v>0</v>
      </c>
      <c r="U190" s="1">
        <v>2940</v>
      </c>
      <c r="V190" s="1" t="s">
        <v>333</v>
      </c>
      <c r="W190" t="s">
        <v>1673</v>
      </c>
    </row>
    <row r="191" spans="1:23" x14ac:dyDescent="0.25">
      <c r="A191" s="1">
        <v>224</v>
      </c>
      <c r="B191" t="s">
        <v>946</v>
      </c>
      <c r="C191" s="1">
        <v>5</v>
      </c>
      <c r="D191" s="1">
        <v>1</v>
      </c>
      <c r="E191" s="1">
        <v>16</v>
      </c>
      <c r="F191" s="1" t="s">
        <v>333</v>
      </c>
      <c r="G191" s="1" t="s">
        <v>364</v>
      </c>
      <c r="H191" s="1" t="s">
        <v>333</v>
      </c>
      <c r="I191" s="1" t="s">
        <v>333</v>
      </c>
      <c r="J191" s="1" t="s">
        <v>333</v>
      </c>
      <c r="K191" s="1" t="s">
        <v>333</v>
      </c>
      <c r="L191" s="1" t="s">
        <v>917</v>
      </c>
      <c r="M191" s="1" t="s">
        <v>333</v>
      </c>
      <c r="N191" s="1" t="s">
        <v>333</v>
      </c>
      <c r="O191" s="1" t="s">
        <v>333</v>
      </c>
      <c r="P191" s="1" t="s">
        <v>333</v>
      </c>
      <c r="Q191" s="1" t="s">
        <v>333</v>
      </c>
      <c r="R191" s="1" t="s">
        <v>333</v>
      </c>
      <c r="S191" s="1" t="s">
        <v>333</v>
      </c>
      <c r="T191" s="1">
        <v>0</v>
      </c>
      <c r="U191" s="1">
        <v>3540</v>
      </c>
      <c r="V191" s="1" t="s">
        <v>333</v>
      </c>
      <c r="W191" t="s">
        <v>1674</v>
      </c>
    </row>
    <row r="192" spans="1:23" x14ac:dyDescent="0.25">
      <c r="A192" s="1">
        <v>225</v>
      </c>
      <c r="B192" t="s">
        <v>936</v>
      </c>
      <c r="C192" s="1">
        <v>5</v>
      </c>
      <c r="D192" s="1">
        <v>2</v>
      </c>
      <c r="E192" s="1">
        <v>6</v>
      </c>
      <c r="F192" s="1" t="s">
        <v>333</v>
      </c>
      <c r="G192" s="1" t="s">
        <v>333</v>
      </c>
      <c r="H192" s="1" t="s">
        <v>333</v>
      </c>
      <c r="I192" s="1" t="s">
        <v>333</v>
      </c>
      <c r="J192" s="1" t="s">
        <v>381</v>
      </c>
      <c r="K192" s="1" t="s">
        <v>333</v>
      </c>
      <c r="L192" s="1" t="s">
        <v>333</v>
      </c>
      <c r="M192" s="1" t="s">
        <v>333</v>
      </c>
      <c r="N192" s="1" t="s">
        <v>333</v>
      </c>
      <c r="O192" s="1" t="s">
        <v>333</v>
      </c>
      <c r="P192" s="1" t="s">
        <v>333</v>
      </c>
      <c r="Q192" s="1" t="s">
        <v>333</v>
      </c>
      <c r="R192" s="1" t="s">
        <v>333</v>
      </c>
      <c r="S192" s="1" t="s">
        <v>333</v>
      </c>
      <c r="T192" s="1">
        <v>0</v>
      </c>
      <c r="U192" s="1">
        <v>3420</v>
      </c>
      <c r="V192" s="1" t="s">
        <v>333</v>
      </c>
      <c r="W192" t="s">
        <v>333</v>
      </c>
    </row>
    <row r="193" spans="1:23" x14ac:dyDescent="0.25">
      <c r="A193" s="1">
        <v>226</v>
      </c>
      <c r="B193" t="s">
        <v>935</v>
      </c>
      <c r="C193" s="1">
        <v>4</v>
      </c>
      <c r="D193" s="1">
        <v>2</v>
      </c>
      <c r="E193" s="1">
        <v>5</v>
      </c>
      <c r="F193" s="1" t="s">
        <v>475</v>
      </c>
      <c r="G193" s="1" t="s">
        <v>333</v>
      </c>
      <c r="H193" s="1" t="s">
        <v>333</v>
      </c>
      <c r="I193" s="1" t="s">
        <v>333</v>
      </c>
      <c r="J193" s="1" t="s">
        <v>333</v>
      </c>
      <c r="K193" s="1" t="s">
        <v>333</v>
      </c>
      <c r="L193" s="1" t="s">
        <v>333</v>
      </c>
      <c r="M193" s="1" t="s">
        <v>918</v>
      </c>
      <c r="N193" s="1" t="s">
        <v>333</v>
      </c>
      <c r="O193" s="1" t="s">
        <v>333</v>
      </c>
      <c r="P193" s="1" t="s">
        <v>333</v>
      </c>
      <c r="Q193" s="1" t="s">
        <v>333</v>
      </c>
      <c r="R193" s="1" t="s">
        <v>333</v>
      </c>
      <c r="S193" s="1" t="s">
        <v>333</v>
      </c>
      <c r="T193" s="1">
        <v>0</v>
      </c>
      <c r="U193" s="1">
        <v>2400</v>
      </c>
      <c r="V193" s="1" t="s">
        <v>333</v>
      </c>
      <c r="W193" t="s">
        <v>1675</v>
      </c>
    </row>
    <row r="194" spans="1:23" x14ac:dyDescent="0.25">
      <c r="A194" s="1">
        <v>227</v>
      </c>
      <c r="B194" t="s">
        <v>934</v>
      </c>
      <c r="C194" s="1">
        <v>5</v>
      </c>
      <c r="D194" s="1">
        <v>2</v>
      </c>
      <c r="E194" s="1">
        <v>5</v>
      </c>
      <c r="F194" s="1" t="s">
        <v>363</v>
      </c>
      <c r="G194" s="1" t="s">
        <v>333</v>
      </c>
      <c r="H194" s="1" t="s">
        <v>333</v>
      </c>
      <c r="I194" s="1" t="s">
        <v>333</v>
      </c>
      <c r="J194" s="1" t="s">
        <v>333</v>
      </c>
      <c r="K194" s="1" t="s">
        <v>333</v>
      </c>
      <c r="L194" s="1" t="s">
        <v>333</v>
      </c>
      <c r="M194" s="1" t="s">
        <v>919</v>
      </c>
      <c r="N194" s="1" t="s">
        <v>333</v>
      </c>
      <c r="O194" s="1" t="s">
        <v>333</v>
      </c>
      <c r="P194" s="1" t="s">
        <v>333</v>
      </c>
      <c r="Q194" s="1" t="s">
        <v>333</v>
      </c>
      <c r="R194" s="1" t="s">
        <v>333</v>
      </c>
      <c r="S194" s="1" t="s">
        <v>333</v>
      </c>
      <c r="T194" s="1">
        <v>0</v>
      </c>
      <c r="U194" s="1">
        <v>3000</v>
      </c>
      <c r="V194" s="1" t="s">
        <v>333</v>
      </c>
      <c r="W194" t="s">
        <v>1676</v>
      </c>
    </row>
    <row r="195" spans="1:23" x14ac:dyDescent="0.25">
      <c r="A195" s="1">
        <v>228</v>
      </c>
      <c r="B195" t="s">
        <v>933</v>
      </c>
      <c r="C195" s="1">
        <v>4</v>
      </c>
      <c r="D195" s="1">
        <v>2</v>
      </c>
      <c r="E195" s="1">
        <v>17</v>
      </c>
      <c r="F195" s="1" t="s">
        <v>333</v>
      </c>
      <c r="G195" s="1" t="s">
        <v>333</v>
      </c>
      <c r="H195" s="1" t="s">
        <v>333</v>
      </c>
      <c r="I195" s="1" t="s">
        <v>333</v>
      </c>
      <c r="J195" s="1" t="s">
        <v>920</v>
      </c>
      <c r="K195" s="1" t="s">
        <v>333</v>
      </c>
      <c r="L195" s="1" t="s">
        <v>333</v>
      </c>
      <c r="M195" s="1" t="s">
        <v>921</v>
      </c>
      <c r="N195" s="1" t="s">
        <v>333</v>
      </c>
      <c r="O195" s="1" t="s">
        <v>333</v>
      </c>
      <c r="P195" s="1" t="s">
        <v>333</v>
      </c>
      <c r="Q195" s="1" t="s">
        <v>333</v>
      </c>
      <c r="R195" s="1" t="s">
        <v>333</v>
      </c>
      <c r="S195" s="1" t="s">
        <v>333</v>
      </c>
      <c r="T195" s="1">
        <v>0</v>
      </c>
      <c r="U195" s="1">
        <v>2880</v>
      </c>
      <c r="V195" s="1" t="s">
        <v>333</v>
      </c>
      <c r="W195" t="s">
        <v>1677</v>
      </c>
    </row>
    <row r="196" spans="1:23" x14ac:dyDescent="0.25">
      <c r="A196" s="1">
        <v>229</v>
      </c>
      <c r="B196" t="s">
        <v>932</v>
      </c>
      <c r="C196" s="1">
        <v>5</v>
      </c>
      <c r="D196" s="1">
        <v>2</v>
      </c>
      <c r="E196" s="1">
        <v>17</v>
      </c>
      <c r="F196" s="1" t="s">
        <v>333</v>
      </c>
      <c r="G196" s="1" t="s">
        <v>333</v>
      </c>
      <c r="H196" s="1" t="s">
        <v>333</v>
      </c>
      <c r="I196" s="1" t="s">
        <v>333</v>
      </c>
      <c r="J196" s="1" t="s">
        <v>920</v>
      </c>
      <c r="K196" s="1" t="s">
        <v>333</v>
      </c>
      <c r="L196" s="1" t="s">
        <v>333</v>
      </c>
      <c r="M196" s="1" t="s">
        <v>922</v>
      </c>
      <c r="N196" s="1" t="s">
        <v>333</v>
      </c>
      <c r="O196" s="1" t="s">
        <v>333</v>
      </c>
      <c r="P196" s="1" t="s">
        <v>333</v>
      </c>
      <c r="Q196" s="1" t="s">
        <v>333</v>
      </c>
      <c r="R196" s="1" t="s">
        <v>333</v>
      </c>
      <c r="S196" s="1" t="s">
        <v>333</v>
      </c>
      <c r="T196" s="1">
        <v>0</v>
      </c>
      <c r="U196" s="1">
        <v>3480</v>
      </c>
      <c r="V196" s="1" t="s">
        <v>333</v>
      </c>
      <c r="W196" t="s">
        <v>1677</v>
      </c>
    </row>
    <row r="197" spans="1:23" x14ac:dyDescent="0.25">
      <c r="A197" s="1">
        <v>230</v>
      </c>
      <c r="B197" t="s">
        <v>931</v>
      </c>
      <c r="C197" s="1">
        <v>4</v>
      </c>
      <c r="D197" s="1">
        <v>2</v>
      </c>
      <c r="E197" s="1">
        <v>7</v>
      </c>
      <c r="F197" s="1" t="s">
        <v>333</v>
      </c>
      <c r="G197" s="1" t="s">
        <v>333</v>
      </c>
      <c r="H197" s="1" t="s">
        <v>333</v>
      </c>
      <c r="I197" s="1" t="s">
        <v>333</v>
      </c>
      <c r="J197" s="1" t="s">
        <v>359</v>
      </c>
      <c r="K197" s="1" t="s">
        <v>914</v>
      </c>
      <c r="L197" s="1" t="s">
        <v>333</v>
      </c>
      <c r="M197" s="1" t="s">
        <v>333</v>
      </c>
      <c r="N197" s="1" t="s">
        <v>333</v>
      </c>
      <c r="O197" s="1" t="s">
        <v>333</v>
      </c>
      <c r="P197" s="1" t="s">
        <v>333</v>
      </c>
      <c r="Q197" s="1" t="s">
        <v>333</v>
      </c>
      <c r="R197" s="1" t="s">
        <v>333</v>
      </c>
      <c r="S197" s="1" t="s">
        <v>333</v>
      </c>
      <c r="T197" s="1">
        <v>0</v>
      </c>
      <c r="U197" s="1">
        <v>2700</v>
      </c>
      <c r="V197" s="1" t="s">
        <v>333</v>
      </c>
      <c r="W197" t="s">
        <v>1678</v>
      </c>
    </row>
    <row r="198" spans="1:23" x14ac:dyDescent="0.25">
      <c r="A198" s="1">
        <v>231</v>
      </c>
      <c r="B198" t="s">
        <v>930</v>
      </c>
      <c r="C198" s="1">
        <v>5</v>
      </c>
      <c r="D198" s="1">
        <v>2</v>
      </c>
      <c r="E198" s="1">
        <v>7</v>
      </c>
      <c r="F198" s="1" t="s">
        <v>333</v>
      </c>
      <c r="G198" s="1" t="s">
        <v>333</v>
      </c>
      <c r="H198" s="1" t="s">
        <v>333</v>
      </c>
      <c r="I198" s="1" t="s">
        <v>333</v>
      </c>
      <c r="J198" s="1" t="s">
        <v>363</v>
      </c>
      <c r="K198" s="1" t="s">
        <v>913</v>
      </c>
      <c r="L198" s="1" t="s">
        <v>333</v>
      </c>
      <c r="M198" s="1" t="s">
        <v>333</v>
      </c>
      <c r="N198" s="1" t="s">
        <v>333</v>
      </c>
      <c r="O198" s="1" t="s">
        <v>333</v>
      </c>
      <c r="P198" s="1" t="s">
        <v>333</v>
      </c>
      <c r="Q198" s="1" t="s">
        <v>333</v>
      </c>
      <c r="R198" s="1" t="s">
        <v>333</v>
      </c>
      <c r="S198" s="1" t="s">
        <v>333</v>
      </c>
      <c r="T198" s="1">
        <v>0</v>
      </c>
      <c r="U198" s="1">
        <v>3300</v>
      </c>
      <c r="V198" s="1" t="s">
        <v>333</v>
      </c>
      <c r="W198" t="s">
        <v>1678</v>
      </c>
    </row>
    <row r="199" spans="1:23" x14ac:dyDescent="0.25">
      <c r="A199" s="1">
        <v>232</v>
      </c>
      <c r="B199" t="s">
        <v>929</v>
      </c>
      <c r="C199" s="1">
        <v>3</v>
      </c>
      <c r="D199" s="1">
        <v>3</v>
      </c>
      <c r="E199" s="1">
        <v>9</v>
      </c>
      <c r="F199" s="1" t="s">
        <v>475</v>
      </c>
      <c r="G199" s="1" t="s">
        <v>333</v>
      </c>
      <c r="H199" s="1" t="s">
        <v>333</v>
      </c>
      <c r="I199" s="1" t="s">
        <v>333</v>
      </c>
      <c r="J199" s="1" t="s">
        <v>340</v>
      </c>
      <c r="K199" s="1" t="s">
        <v>923</v>
      </c>
      <c r="L199" s="1" t="s">
        <v>333</v>
      </c>
      <c r="M199" s="1" t="s">
        <v>333</v>
      </c>
      <c r="N199" s="1" t="s">
        <v>333</v>
      </c>
      <c r="O199" s="1" t="s">
        <v>333</v>
      </c>
      <c r="P199" s="1" t="s">
        <v>333</v>
      </c>
      <c r="Q199" s="1" t="s">
        <v>333</v>
      </c>
      <c r="R199" s="1" t="s">
        <v>333</v>
      </c>
      <c r="S199" s="1" t="s">
        <v>333</v>
      </c>
      <c r="T199" s="1">
        <v>0</v>
      </c>
      <c r="U199" s="1">
        <v>1560</v>
      </c>
      <c r="V199" s="1" t="s">
        <v>333</v>
      </c>
      <c r="W199" t="s">
        <v>1679</v>
      </c>
    </row>
    <row r="200" spans="1:23" x14ac:dyDescent="0.25">
      <c r="A200" s="1">
        <v>233</v>
      </c>
      <c r="B200" t="s">
        <v>928</v>
      </c>
      <c r="C200" s="1">
        <v>4</v>
      </c>
      <c r="D200" s="1">
        <v>3</v>
      </c>
      <c r="E200" s="1">
        <v>9</v>
      </c>
      <c r="F200" s="1" t="s">
        <v>342</v>
      </c>
      <c r="G200" s="1" t="s">
        <v>333</v>
      </c>
      <c r="H200" s="1" t="s">
        <v>333</v>
      </c>
      <c r="I200" s="1" t="s">
        <v>333</v>
      </c>
      <c r="J200" s="1" t="s">
        <v>407</v>
      </c>
      <c r="K200" s="1" t="s">
        <v>923</v>
      </c>
      <c r="L200" s="1" t="s">
        <v>333</v>
      </c>
      <c r="M200" s="1" t="s">
        <v>333</v>
      </c>
      <c r="N200" s="1" t="s">
        <v>333</v>
      </c>
      <c r="O200" s="1" t="s">
        <v>333</v>
      </c>
      <c r="P200" s="1" t="s">
        <v>333</v>
      </c>
      <c r="Q200" s="1" t="s">
        <v>333</v>
      </c>
      <c r="R200" s="1" t="s">
        <v>333</v>
      </c>
      <c r="S200" s="1" t="s">
        <v>333</v>
      </c>
      <c r="T200" s="1">
        <v>0</v>
      </c>
      <c r="U200" s="1">
        <v>2460</v>
      </c>
      <c r="V200" s="1" t="s">
        <v>333</v>
      </c>
      <c r="W200" t="s">
        <v>1679</v>
      </c>
    </row>
    <row r="201" spans="1:23" x14ac:dyDescent="0.25">
      <c r="A201" s="1">
        <v>234</v>
      </c>
      <c r="B201" t="s">
        <v>927</v>
      </c>
      <c r="C201" s="1">
        <v>5</v>
      </c>
      <c r="D201" s="1">
        <v>3</v>
      </c>
      <c r="E201" s="1">
        <v>9</v>
      </c>
      <c r="F201" s="1" t="s">
        <v>407</v>
      </c>
      <c r="G201" s="1" t="s">
        <v>333</v>
      </c>
      <c r="H201" s="1" t="s">
        <v>333</v>
      </c>
      <c r="I201" s="1" t="s">
        <v>333</v>
      </c>
      <c r="J201" s="1" t="s">
        <v>380</v>
      </c>
      <c r="K201" s="1" t="s">
        <v>923</v>
      </c>
      <c r="L201" s="1" t="s">
        <v>333</v>
      </c>
      <c r="M201" s="1" t="s">
        <v>333</v>
      </c>
      <c r="N201" s="1" t="s">
        <v>333</v>
      </c>
      <c r="O201" s="1" t="s">
        <v>333</v>
      </c>
      <c r="P201" s="1" t="s">
        <v>333</v>
      </c>
      <c r="Q201" s="1" t="s">
        <v>333</v>
      </c>
      <c r="R201" s="1" t="s">
        <v>333</v>
      </c>
      <c r="S201" s="1" t="s">
        <v>333</v>
      </c>
      <c r="T201" s="1">
        <v>0</v>
      </c>
      <c r="U201" s="1">
        <v>3060</v>
      </c>
      <c r="V201" s="1" t="s">
        <v>333</v>
      </c>
      <c r="W201" t="s">
        <v>1680</v>
      </c>
    </row>
    <row r="202" spans="1:23" x14ac:dyDescent="0.25">
      <c r="A202" s="1">
        <v>235</v>
      </c>
      <c r="B202" t="s">
        <v>926</v>
      </c>
      <c r="C202" s="1">
        <v>5</v>
      </c>
      <c r="D202" s="1">
        <v>2</v>
      </c>
      <c r="E202" s="1">
        <v>7</v>
      </c>
      <c r="F202" s="1" t="s">
        <v>333</v>
      </c>
      <c r="G202" s="1" t="s">
        <v>361</v>
      </c>
      <c r="H202" s="1" t="s">
        <v>333</v>
      </c>
      <c r="I202" s="1" t="s">
        <v>333</v>
      </c>
      <c r="J202" s="1" t="s">
        <v>333</v>
      </c>
      <c r="K202" s="1" t="s">
        <v>333</v>
      </c>
      <c r="L202" s="1" t="s">
        <v>333</v>
      </c>
      <c r="M202" s="1" t="s">
        <v>333</v>
      </c>
      <c r="N202" s="1" t="s">
        <v>333</v>
      </c>
      <c r="O202" s="1" t="s">
        <v>333</v>
      </c>
      <c r="P202" s="1" t="s">
        <v>333</v>
      </c>
      <c r="Q202" s="1" t="s">
        <v>333</v>
      </c>
      <c r="R202" s="1" t="s">
        <v>333</v>
      </c>
      <c r="S202" s="1" t="s">
        <v>333</v>
      </c>
      <c r="T202" s="1">
        <v>0</v>
      </c>
      <c r="U202" s="1">
        <v>3420</v>
      </c>
      <c r="V202" s="1" t="s">
        <v>333</v>
      </c>
      <c r="W202" t="s">
        <v>1590</v>
      </c>
    </row>
    <row r="203" spans="1:23" x14ac:dyDescent="0.25">
      <c r="A203" s="1">
        <v>236</v>
      </c>
      <c r="B203" t="s">
        <v>76</v>
      </c>
      <c r="C203" s="1">
        <v>5</v>
      </c>
      <c r="D203" s="1">
        <v>3</v>
      </c>
      <c r="E203" s="1">
        <v>10</v>
      </c>
      <c r="F203" s="1" t="s">
        <v>1704</v>
      </c>
      <c r="G203" s="1" t="s">
        <v>333</v>
      </c>
      <c r="H203" s="1" t="s">
        <v>368</v>
      </c>
      <c r="I203" s="1" t="s">
        <v>333</v>
      </c>
      <c r="J203" s="1" t="s">
        <v>333</v>
      </c>
      <c r="K203" s="1" t="s">
        <v>333</v>
      </c>
      <c r="L203" s="1" t="s">
        <v>333</v>
      </c>
      <c r="M203" s="1" t="s">
        <v>333</v>
      </c>
      <c r="N203" s="1" t="s">
        <v>333</v>
      </c>
      <c r="O203" s="1" t="s">
        <v>333</v>
      </c>
      <c r="P203" s="1" t="s">
        <v>333</v>
      </c>
      <c r="Q203" s="1" t="s">
        <v>333</v>
      </c>
      <c r="R203" s="1" t="s">
        <v>333</v>
      </c>
      <c r="S203" s="1" t="s">
        <v>333</v>
      </c>
      <c r="T203" s="1">
        <v>0</v>
      </c>
      <c r="U203" s="1">
        <v>3120</v>
      </c>
      <c r="V203" s="1" t="s">
        <v>924</v>
      </c>
      <c r="W203" t="s">
        <v>1681</v>
      </c>
    </row>
    <row r="204" spans="1:23" x14ac:dyDescent="0.25">
      <c r="A204" s="1">
        <v>237</v>
      </c>
      <c r="B204" t="s">
        <v>120</v>
      </c>
      <c r="C204" s="1">
        <v>5</v>
      </c>
      <c r="D204" s="1">
        <v>3</v>
      </c>
      <c r="E204" s="1">
        <v>10</v>
      </c>
      <c r="F204" s="1" t="s">
        <v>333</v>
      </c>
      <c r="G204" s="1" t="s">
        <v>333</v>
      </c>
      <c r="H204" s="1" t="s">
        <v>957</v>
      </c>
      <c r="I204" s="1" t="s">
        <v>369</v>
      </c>
      <c r="J204" s="1" t="s">
        <v>333</v>
      </c>
      <c r="K204" s="1" t="s">
        <v>333</v>
      </c>
      <c r="L204" s="1" t="s">
        <v>333</v>
      </c>
      <c r="M204" s="1" t="s">
        <v>333</v>
      </c>
      <c r="N204" s="1" t="s">
        <v>333</v>
      </c>
      <c r="O204" s="1" t="s">
        <v>333</v>
      </c>
      <c r="P204" s="1" t="s">
        <v>333</v>
      </c>
      <c r="Q204" s="1" t="s">
        <v>333</v>
      </c>
      <c r="R204" s="1" t="s">
        <v>333</v>
      </c>
      <c r="S204" s="1" t="s">
        <v>333</v>
      </c>
      <c r="T204" s="1">
        <v>0</v>
      </c>
      <c r="U204" s="1">
        <v>3120</v>
      </c>
      <c r="V204" s="1" t="s">
        <v>958</v>
      </c>
      <c r="W204" t="s">
        <v>1669</v>
      </c>
    </row>
    <row r="205" spans="1:23" x14ac:dyDescent="0.25">
      <c r="A205" s="1">
        <v>238</v>
      </c>
      <c r="B205" t="s">
        <v>962</v>
      </c>
      <c r="C205" s="1">
        <v>5</v>
      </c>
      <c r="D205" s="1">
        <v>2</v>
      </c>
      <c r="E205" s="1">
        <v>6</v>
      </c>
      <c r="F205" s="1" t="s">
        <v>329</v>
      </c>
      <c r="G205" s="1" t="s">
        <v>333</v>
      </c>
      <c r="H205" s="1" t="s">
        <v>333</v>
      </c>
      <c r="I205" s="1" t="s">
        <v>333</v>
      </c>
      <c r="J205" s="1" t="s">
        <v>333</v>
      </c>
      <c r="K205" s="1" t="s">
        <v>333</v>
      </c>
      <c r="L205" s="1" t="s">
        <v>333</v>
      </c>
      <c r="M205" s="1" t="s">
        <v>333</v>
      </c>
      <c r="N205" s="1" t="s">
        <v>333</v>
      </c>
      <c r="O205" s="1" t="s">
        <v>333</v>
      </c>
      <c r="P205" s="1" t="s">
        <v>333</v>
      </c>
      <c r="Q205" s="1" t="s">
        <v>333</v>
      </c>
      <c r="R205" s="1" t="s">
        <v>333</v>
      </c>
      <c r="S205" s="1" t="s">
        <v>333</v>
      </c>
      <c r="T205" s="1">
        <v>0</v>
      </c>
      <c r="U205" s="1">
        <v>3600</v>
      </c>
      <c r="V205" s="1" t="s">
        <v>955</v>
      </c>
      <c r="W205" t="s">
        <v>1570</v>
      </c>
    </row>
    <row r="206" spans="1:23" x14ac:dyDescent="0.25">
      <c r="A206" s="1">
        <v>239</v>
      </c>
      <c r="B206" t="s">
        <v>951</v>
      </c>
      <c r="C206" s="1">
        <v>5</v>
      </c>
      <c r="D206" s="1">
        <v>2</v>
      </c>
      <c r="E206" s="1">
        <v>17</v>
      </c>
      <c r="F206" s="1" t="s">
        <v>381</v>
      </c>
      <c r="G206" s="1" t="s">
        <v>333</v>
      </c>
      <c r="H206" s="1" t="s">
        <v>333</v>
      </c>
      <c r="I206" s="1" t="s">
        <v>333</v>
      </c>
      <c r="J206" s="1" t="s">
        <v>333</v>
      </c>
      <c r="K206" s="1" t="s">
        <v>333</v>
      </c>
      <c r="L206" s="1" t="s">
        <v>333</v>
      </c>
      <c r="M206" s="1" t="s">
        <v>959</v>
      </c>
      <c r="N206" s="1" t="s">
        <v>333</v>
      </c>
      <c r="O206" s="1" t="s">
        <v>333</v>
      </c>
      <c r="P206" s="1" t="s">
        <v>333</v>
      </c>
      <c r="Q206" s="1" t="s">
        <v>333</v>
      </c>
      <c r="R206" s="1" t="s">
        <v>333</v>
      </c>
      <c r="S206" s="1" t="s">
        <v>333</v>
      </c>
      <c r="T206" s="1">
        <v>0</v>
      </c>
      <c r="U206" s="1">
        <v>3300</v>
      </c>
      <c r="V206" s="1" t="s">
        <v>954</v>
      </c>
      <c r="W206" t="s">
        <v>1677</v>
      </c>
    </row>
    <row r="207" spans="1:23" x14ac:dyDescent="0.25">
      <c r="A207" s="1">
        <v>240</v>
      </c>
      <c r="B207" t="s">
        <v>952</v>
      </c>
      <c r="C207" s="1">
        <v>5</v>
      </c>
      <c r="D207" s="1">
        <v>3</v>
      </c>
      <c r="E207" s="1">
        <v>11</v>
      </c>
      <c r="F207" s="1" t="s">
        <v>333</v>
      </c>
      <c r="G207" s="1" t="s">
        <v>333</v>
      </c>
      <c r="H207" s="1" t="s">
        <v>333</v>
      </c>
      <c r="I207" s="1" t="s">
        <v>369</v>
      </c>
      <c r="J207" s="1" t="s">
        <v>333</v>
      </c>
      <c r="K207" s="1" t="s">
        <v>333</v>
      </c>
      <c r="L207" s="1" t="s">
        <v>333</v>
      </c>
      <c r="M207" s="1" t="s">
        <v>333</v>
      </c>
      <c r="N207" s="1" t="s">
        <v>363</v>
      </c>
      <c r="O207" s="1" t="s">
        <v>333</v>
      </c>
      <c r="P207" s="1" t="s">
        <v>333</v>
      </c>
      <c r="Q207" s="1" t="s">
        <v>333</v>
      </c>
      <c r="R207" s="1" t="s">
        <v>333</v>
      </c>
      <c r="S207" s="1" t="s">
        <v>333</v>
      </c>
      <c r="T207" s="1">
        <v>0</v>
      </c>
      <c r="U207" s="1">
        <v>3060</v>
      </c>
      <c r="V207" s="1" t="s">
        <v>960</v>
      </c>
      <c r="W207" t="s">
        <v>1682</v>
      </c>
    </row>
    <row r="208" spans="1:23" x14ac:dyDescent="0.25">
      <c r="A208" s="1">
        <v>241</v>
      </c>
      <c r="B208" t="s">
        <v>953</v>
      </c>
      <c r="C208" s="1">
        <v>5</v>
      </c>
      <c r="D208" s="1">
        <v>2</v>
      </c>
      <c r="E208" s="1">
        <v>5</v>
      </c>
      <c r="F208" s="1" t="s">
        <v>403</v>
      </c>
      <c r="G208" s="1" t="s">
        <v>411</v>
      </c>
      <c r="H208" s="1" t="s">
        <v>333</v>
      </c>
      <c r="I208" s="1" t="s">
        <v>333</v>
      </c>
      <c r="J208" s="1" t="s">
        <v>333</v>
      </c>
      <c r="K208" s="1" t="s">
        <v>333</v>
      </c>
      <c r="L208" s="1" t="s">
        <v>333</v>
      </c>
      <c r="M208" s="1" t="s">
        <v>357</v>
      </c>
      <c r="N208" s="1" t="s">
        <v>333</v>
      </c>
      <c r="O208" s="1" t="s">
        <v>333</v>
      </c>
      <c r="P208" s="1" t="s">
        <v>333</v>
      </c>
      <c r="Q208" s="1" t="s">
        <v>333</v>
      </c>
      <c r="R208" s="1" t="s">
        <v>333</v>
      </c>
      <c r="S208" s="1" t="s">
        <v>333</v>
      </c>
      <c r="T208" s="1">
        <v>0</v>
      </c>
      <c r="U208" s="1">
        <v>3300</v>
      </c>
      <c r="V208" s="1" t="s">
        <v>961</v>
      </c>
      <c r="W208" t="s">
        <v>1683</v>
      </c>
    </row>
    <row r="209" spans="1:23" x14ac:dyDescent="0.25">
      <c r="A209" s="1">
        <v>242</v>
      </c>
      <c r="B209" t="s">
        <v>92</v>
      </c>
      <c r="C209" s="1">
        <v>5</v>
      </c>
      <c r="D209" s="1">
        <v>2</v>
      </c>
      <c r="E209" s="1">
        <v>5</v>
      </c>
      <c r="F209" s="1" t="s">
        <v>336</v>
      </c>
      <c r="G209" s="1" t="s">
        <v>333</v>
      </c>
      <c r="H209" s="1" t="s">
        <v>333</v>
      </c>
      <c r="I209" s="1" t="s">
        <v>333</v>
      </c>
      <c r="J209" s="1" t="s">
        <v>333</v>
      </c>
      <c r="K209" s="1" t="s">
        <v>333</v>
      </c>
      <c r="L209" s="1" t="s">
        <v>333</v>
      </c>
      <c r="M209" s="1" t="s">
        <v>357</v>
      </c>
      <c r="N209" s="1" t="s">
        <v>333</v>
      </c>
      <c r="O209" s="1" t="s">
        <v>333</v>
      </c>
      <c r="P209" s="1" t="s">
        <v>333</v>
      </c>
      <c r="Q209" s="1" t="s">
        <v>333</v>
      </c>
      <c r="R209" s="1" t="s">
        <v>333</v>
      </c>
      <c r="S209" s="1" t="s">
        <v>333</v>
      </c>
      <c r="T209" s="1">
        <v>0</v>
      </c>
      <c r="U209" s="1">
        <v>3300</v>
      </c>
      <c r="V209" s="1" t="s">
        <v>1684</v>
      </c>
      <c r="W209" t="s">
        <v>1649</v>
      </c>
    </row>
    <row r="210" spans="1:23" x14ac:dyDescent="0.25">
      <c r="A210" s="1">
        <v>243</v>
      </c>
      <c r="B210" t="s">
        <v>1255</v>
      </c>
      <c r="C210" s="1">
        <v>5</v>
      </c>
      <c r="D210" s="1">
        <v>1</v>
      </c>
      <c r="E210" s="1">
        <v>1</v>
      </c>
      <c r="F210" s="1" t="s">
        <v>403</v>
      </c>
      <c r="G210" s="1" t="s">
        <v>333</v>
      </c>
      <c r="H210" s="1" t="s">
        <v>333</v>
      </c>
      <c r="I210" s="1" t="s">
        <v>333</v>
      </c>
      <c r="J210" s="1" t="s">
        <v>333</v>
      </c>
      <c r="K210" s="1" t="s">
        <v>333</v>
      </c>
      <c r="L210" s="1" t="s">
        <v>332</v>
      </c>
      <c r="M210" s="1" t="s">
        <v>333</v>
      </c>
      <c r="N210" s="1" t="s">
        <v>333</v>
      </c>
      <c r="O210" s="1" t="s">
        <v>333</v>
      </c>
      <c r="P210" s="1" t="s">
        <v>333</v>
      </c>
      <c r="Q210" s="1" t="s">
        <v>333</v>
      </c>
      <c r="R210" s="1" t="s">
        <v>333</v>
      </c>
      <c r="S210" s="1" t="s">
        <v>333</v>
      </c>
      <c r="T210" s="1">
        <v>0</v>
      </c>
      <c r="U210" s="1">
        <v>3600</v>
      </c>
      <c r="V210" s="1" t="s">
        <v>1685</v>
      </c>
      <c r="W210" t="s">
        <v>1686</v>
      </c>
    </row>
    <row r="211" spans="1:23" x14ac:dyDescent="0.25">
      <c r="A211" s="1">
        <v>244</v>
      </c>
      <c r="B211" t="s">
        <v>1197</v>
      </c>
      <c r="C211" s="1">
        <v>5</v>
      </c>
      <c r="D211" s="1">
        <v>1</v>
      </c>
      <c r="E211" s="1">
        <v>2</v>
      </c>
      <c r="F211" s="1" t="s">
        <v>342</v>
      </c>
      <c r="G211" s="1" t="s">
        <v>343</v>
      </c>
      <c r="H211" s="1" t="s">
        <v>363</v>
      </c>
      <c r="I211" s="1" t="s">
        <v>333</v>
      </c>
      <c r="J211" s="1" t="s">
        <v>333</v>
      </c>
      <c r="K211" s="1" t="s">
        <v>333</v>
      </c>
      <c r="L211" s="1" t="s">
        <v>333</v>
      </c>
      <c r="M211" s="1" t="s">
        <v>333</v>
      </c>
      <c r="N211" s="1" t="s">
        <v>333</v>
      </c>
      <c r="O211" s="1" t="s">
        <v>333</v>
      </c>
      <c r="P211" s="1" t="s">
        <v>333</v>
      </c>
      <c r="Q211" s="1" t="s">
        <v>333</v>
      </c>
      <c r="R211" s="1" t="s">
        <v>333</v>
      </c>
      <c r="S211" s="1" t="s">
        <v>333</v>
      </c>
      <c r="T211" s="1">
        <v>0</v>
      </c>
      <c r="U211" s="1">
        <v>3600</v>
      </c>
      <c r="V211" s="1" t="s">
        <v>1569</v>
      </c>
      <c r="W211" t="s">
        <v>1687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333</v>
      </c>
      <c r="G212" s="1" t="s">
        <v>364</v>
      </c>
      <c r="H212" s="1" t="s">
        <v>363</v>
      </c>
      <c r="I212" s="1" t="s">
        <v>333</v>
      </c>
      <c r="J212" s="1" t="s">
        <v>333</v>
      </c>
      <c r="K212" s="1" t="s">
        <v>333</v>
      </c>
      <c r="L212" s="1" t="s">
        <v>917</v>
      </c>
      <c r="M212" s="1" t="s">
        <v>333</v>
      </c>
      <c r="N212" s="1" t="s">
        <v>333</v>
      </c>
      <c r="O212" s="1" t="s">
        <v>333</v>
      </c>
      <c r="P212" s="1" t="s">
        <v>333</v>
      </c>
      <c r="Q212" s="1" t="s">
        <v>333</v>
      </c>
      <c r="R212" s="1" t="s">
        <v>333</v>
      </c>
      <c r="S212" s="1" t="s">
        <v>333</v>
      </c>
      <c r="T212" s="1">
        <v>0</v>
      </c>
      <c r="U212" s="1">
        <v>3540</v>
      </c>
      <c r="V212" s="1" t="s">
        <v>1688</v>
      </c>
      <c r="W212" t="s">
        <v>1689</v>
      </c>
    </row>
    <row r="213" spans="1:23" x14ac:dyDescent="0.25">
      <c r="A213" s="1">
        <v>246</v>
      </c>
      <c r="B213" t="s">
        <v>194</v>
      </c>
      <c r="C213" s="1">
        <v>5</v>
      </c>
      <c r="D213" s="1">
        <v>1</v>
      </c>
      <c r="E213" s="1">
        <v>16</v>
      </c>
      <c r="F213" s="1" t="s">
        <v>333</v>
      </c>
      <c r="G213" s="1" t="s">
        <v>333</v>
      </c>
      <c r="H213" s="1" t="s">
        <v>346</v>
      </c>
      <c r="I213" s="1" t="s">
        <v>333</v>
      </c>
      <c r="J213" s="1" t="s">
        <v>333</v>
      </c>
      <c r="K213" s="1" t="s">
        <v>333</v>
      </c>
      <c r="L213" s="1" t="s">
        <v>390</v>
      </c>
      <c r="M213" s="1" t="s">
        <v>333</v>
      </c>
      <c r="N213" s="1" t="s">
        <v>333</v>
      </c>
      <c r="O213" s="1" t="s">
        <v>333</v>
      </c>
      <c r="P213" s="1" t="s">
        <v>333</v>
      </c>
      <c r="Q213" s="1" t="s">
        <v>333</v>
      </c>
      <c r="R213" s="1" t="s">
        <v>333</v>
      </c>
      <c r="S213" s="1" t="s">
        <v>333</v>
      </c>
      <c r="T213" s="1">
        <v>0</v>
      </c>
      <c r="U213" s="1">
        <v>2820</v>
      </c>
      <c r="V213" s="1" t="s">
        <v>1690</v>
      </c>
      <c r="W213" t="s">
        <v>1691</v>
      </c>
    </row>
    <row r="214" spans="1:23" x14ac:dyDescent="0.25">
      <c r="A214" s="1">
        <v>247</v>
      </c>
      <c r="B214" t="s">
        <v>1314</v>
      </c>
      <c r="C214" s="1">
        <v>5</v>
      </c>
      <c r="D214" s="1">
        <v>1</v>
      </c>
      <c r="E214" s="1">
        <v>1</v>
      </c>
      <c r="F214" s="1" t="s">
        <v>333</v>
      </c>
      <c r="G214" s="1" t="s">
        <v>333</v>
      </c>
      <c r="H214" s="1" t="s">
        <v>333</v>
      </c>
      <c r="I214" s="1" t="s">
        <v>333</v>
      </c>
      <c r="J214" s="1" t="s">
        <v>333</v>
      </c>
      <c r="K214" s="1" t="s">
        <v>407</v>
      </c>
      <c r="L214" s="1" t="s">
        <v>368</v>
      </c>
      <c r="M214" s="1" t="s">
        <v>333</v>
      </c>
      <c r="N214" s="1" t="s">
        <v>333</v>
      </c>
      <c r="O214" s="1" t="s">
        <v>333</v>
      </c>
      <c r="P214" s="1" t="s">
        <v>333</v>
      </c>
      <c r="Q214" s="1" t="s">
        <v>333</v>
      </c>
      <c r="R214" s="1" t="s">
        <v>333</v>
      </c>
      <c r="S214" s="1" t="s">
        <v>333</v>
      </c>
      <c r="T214" s="1">
        <v>0</v>
      </c>
      <c r="U214" s="1">
        <v>3600</v>
      </c>
      <c r="V214" s="1" t="s">
        <v>1467</v>
      </c>
      <c r="W214" t="s">
        <v>1692</v>
      </c>
    </row>
    <row r="215" spans="1:23" x14ac:dyDescent="0.25">
      <c r="A215" s="1">
        <v>248</v>
      </c>
      <c r="B215" t="s">
        <v>1705</v>
      </c>
      <c r="C215" s="1">
        <v>5</v>
      </c>
      <c r="D215" s="1">
        <v>3</v>
      </c>
      <c r="E215" s="1">
        <v>9</v>
      </c>
      <c r="F215" s="1" t="s">
        <v>407</v>
      </c>
      <c r="G215" s="1" t="s">
        <v>333</v>
      </c>
      <c r="H215" s="1" t="s">
        <v>333</v>
      </c>
      <c r="I215" s="1" t="s">
        <v>333</v>
      </c>
      <c r="J215" s="1" t="s">
        <v>380</v>
      </c>
      <c r="K215" s="1" t="s">
        <v>333</v>
      </c>
      <c r="L215" s="1" t="s">
        <v>333</v>
      </c>
      <c r="M215" s="1" t="s">
        <v>333</v>
      </c>
      <c r="N215" s="1" t="s">
        <v>333</v>
      </c>
      <c r="O215" s="1" t="s">
        <v>333</v>
      </c>
      <c r="P215" s="1" t="s">
        <v>333</v>
      </c>
      <c r="Q215" s="1" t="s">
        <v>333</v>
      </c>
      <c r="R215" s="1" t="s">
        <v>333</v>
      </c>
      <c r="S215" s="1" t="s">
        <v>333</v>
      </c>
      <c r="T215" s="1">
        <v>0</v>
      </c>
      <c r="U215" s="1">
        <v>3060</v>
      </c>
      <c r="V215" s="1" t="s">
        <v>412</v>
      </c>
      <c r="W215" t="s">
        <v>1680</v>
      </c>
    </row>
    <row r="216" spans="1:23" x14ac:dyDescent="0.25">
      <c r="A216" s="1">
        <v>249</v>
      </c>
      <c r="B216" t="s">
        <v>1724</v>
      </c>
      <c r="C216" s="1">
        <v>5</v>
      </c>
      <c r="D216" s="1">
        <v>1</v>
      </c>
      <c r="E216" s="1">
        <v>18</v>
      </c>
      <c r="F216" s="1" t="s">
        <v>1819</v>
      </c>
      <c r="G216" s="1" t="s">
        <v>396</v>
      </c>
      <c r="H216" s="1" t="s">
        <v>396</v>
      </c>
      <c r="I216" s="1" t="s">
        <v>333</v>
      </c>
      <c r="J216" s="1" t="s">
        <v>333</v>
      </c>
      <c r="K216" s="1" t="s">
        <v>333</v>
      </c>
      <c r="L216" s="1" t="s">
        <v>333</v>
      </c>
      <c r="M216" s="1" t="s">
        <v>333</v>
      </c>
      <c r="N216" s="1" t="s">
        <v>333</v>
      </c>
      <c r="O216" s="1" t="s">
        <v>333</v>
      </c>
      <c r="P216" s="1" t="s">
        <v>333</v>
      </c>
      <c r="Q216" s="1" t="s">
        <v>333</v>
      </c>
      <c r="R216" s="1" t="s">
        <v>333</v>
      </c>
      <c r="S216" s="1" t="s">
        <v>333</v>
      </c>
      <c r="T216" s="1">
        <v>0</v>
      </c>
      <c r="U216" s="1">
        <v>3600</v>
      </c>
      <c r="V216" s="1" t="s">
        <v>1820</v>
      </c>
      <c r="W216" t="s">
        <v>1821</v>
      </c>
    </row>
    <row r="217" spans="1:23" x14ac:dyDescent="0.25">
      <c r="A217" s="1">
        <v>250</v>
      </c>
      <c r="B217" t="s">
        <v>1818</v>
      </c>
      <c r="C217" s="1">
        <v>5</v>
      </c>
      <c r="D217" s="1">
        <v>3</v>
      </c>
      <c r="E217" s="1">
        <v>20</v>
      </c>
      <c r="F217" s="1" t="s">
        <v>407</v>
      </c>
      <c r="G217" s="1" t="s">
        <v>333</v>
      </c>
      <c r="H217" s="1" t="s">
        <v>368</v>
      </c>
      <c r="I217" s="1" t="s">
        <v>333</v>
      </c>
      <c r="J217" s="1" t="s">
        <v>333</v>
      </c>
      <c r="K217" s="1" t="s">
        <v>333</v>
      </c>
      <c r="L217" s="1" t="s">
        <v>333</v>
      </c>
      <c r="M217" s="1" t="s">
        <v>333</v>
      </c>
      <c r="N217" s="1" t="s">
        <v>333</v>
      </c>
      <c r="O217" s="1" t="s">
        <v>333</v>
      </c>
      <c r="P217" s="1" t="s">
        <v>333</v>
      </c>
      <c r="Q217" s="1" t="s">
        <v>333</v>
      </c>
      <c r="R217" s="1" t="s">
        <v>333</v>
      </c>
      <c r="S217" s="1" t="s">
        <v>333</v>
      </c>
      <c r="T217" s="1">
        <v>0</v>
      </c>
      <c r="U217" s="1">
        <v>3120</v>
      </c>
      <c r="V217" s="1" t="s">
        <v>1822</v>
      </c>
      <c r="W217" t="s">
        <v>1823</v>
      </c>
    </row>
    <row r="218" spans="1:23" x14ac:dyDescent="0.25">
      <c r="A218" s="1">
        <v>251</v>
      </c>
      <c r="B218" t="s">
        <v>1497</v>
      </c>
      <c r="C218" s="1">
        <v>5</v>
      </c>
      <c r="D218" s="1">
        <v>1</v>
      </c>
      <c r="E218" s="1">
        <v>3</v>
      </c>
      <c r="F218" s="1" t="s">
        <v>333</v>
      </c>
      <c r="G218" s="1" t="s">
        <v>1693</v>
      </c>
      <c r="H218" s="1" t="s">
        <v>340</v>
      </c>
      <c r="I218" s="1" t="s">
        <v>333</v>
      </c>
      <c r="J218" s="1" t="s">
        <v>333</v>
      </c>
      <c r="K218" s="1" t="s">
        <v>333</v>
      </c>
      <c r="L218" s="1" t="s">
        <v>333</v>
      </c>
      <c r="M218" s="1" t="s">
        <v>333</v>
      </c>
      <c r="N218" s="1" t="s">
        <v>333</v>
      </c>
      <c r="O218" s="1" t="s">
        <v>333</v>
      </c>
      <c r="P218" s="1" t="s">
        <v>333</v>
      </c>
      <c r="Q218" s="1" t="s">
        <v>333</v>
      </c>
      <c r="R218" s="1" t="s">
        <v>333</v>
      </c>
      <c r="S218" s="1" t="s">
        <v>333</v>
      </c>
      <c r="T218" s="1">
        <v>0</v>
      </c>
      <c r="U218" s="1">
        <v>3000</v>
      </c>
      <c r="V218" s="1" t="s">
        <v>1694</v>
      </c>
      <c r="W218" t="s">
        <v>1567</v>
      </c>
    </row>
    <row r="219" spans="1:23" x14ac:dyDescent="0.25">
      <c r="A219" s="1">
        <v>252</v>
      </c>
      <c r="B219" t="s">
        <v>1789</v>
      </c>
      <c r="C219" s="1">
        <v>5</v>
      </c>
      <c r="D219" s="1">
        <v>1</v>
      </c>
      <c r="E219" s="1">
        <v>16</v>
      </c>
      <c r="F219" s="1" t="s">
        <v>340</v>
      </c>
      <c r="G219" s="1" t="s">
        <v>475</v>
      </c>
      <c r="H219" s="1" t="s">
        <v>333</v>
      </c>
      <c r="I219" s="1" t="s">
        <v>333</v>
      </c>
      <c r="J219" s="1" t="s">
        <v>333</v>
      </c>
      <c r="K219" s="1" t="s">
        <v>333</v>
      </c>
      <c r="L219" s="1" t="s">
        <v>402</v>
      </c>
      <c r="M219" s="1" t="s">
        <v>333</v>
      </c>
      <c r="N219" s="1" t="s">
        <v>333</v>
      </c>
      <c r="O219" s="1" t="s">
        <v>333</v>
      </c>
      <c r="P219" s="1" t="s">
        <v>333</v>
      </c>
      <c r="Q219" s="1" t="s">
        <v>333</v>
      </c>
      <c r="R219" s="1" t="s">
        <v>333</v>
      </c>
      <c r="S219" s="1" t="s">
        <v>333</v>
      </c>
      <c r="T219" s="1">
        <v>0</v>
      </c>
      <c r="U219" s="1">
        <v>2700</v>
      </c>
      <c r="V219" s="1" t="s">
        <v>1695</v>
      </c>
      <c r="W219" t="s">
        <v>1658</v>
      </c>
    </row>
    <row r="220" spans="1:23" x14ac:dyDescent="0.25">
      <c r="A220" s="1">
        <v>253</v>
      </c>
      <c r="B220" t="s">
        <v>1790</v>
      </c>
      <c r="C220" s="1">
        <v>5</v>
      </c>
      <c r="D220" s="1">
        <v>3</v>
      </c>
      <c r="E220" s="1">
        <v>10</v>
      </c>
      <c r="F220" s="1" t="s">
        <v>340</v>
      </c>
      <c r="G220" s="1" t="s">
        <v>333</v>
      </c>
      <c r="H220" s="1" t="s">
        <v>368</v>
      </c>
      <c r="I220" s="1" t="s">
        <v>333</v>
      </c>
      <c r="J220" s="1" t="s">
        <v>333</v>
      </c>
      <c r="K220" s="1" t="s">
        <v>333</v>
      </c>
      <c r="L220" s="1" t="s">
        <v>333</v>
      </c>
      <c r="M220" s="1" t="s">
        <v>333</v>
      </c>
      <c r="N220" s="1" t="s">
        <v>333</v>
      </c>
      <c r="O220" s="1" t="s">
        <v>333</v>
      </c>
      <c r="P220" s="1" t="s">
        <v>333</v>
      </c>
      <c r="Q220" s="1" t="s">
        <v>333</v>
      </c>
      <c r="R220" s="1" t="s">
        <v>333</v>
      </c>
      <c r="S220" s="1" t="s">
        <v>333</v>
      </c>
      <c r="T220" s="1">
        <v>0</v>
      </c>
      <c r="U220" s="1">
        <v>3600</v>
      </c>
      <c r="V220" s="1" t="s">
        <v>1696</v>
      </c>
      <c r="W220" t="s">
        <v>1667</v>
      </c>
    </row>
    <row r="221" spans="1:23" x14ac:dyDescent="0.25">
      <c r="A221" s="1">
        <v>254</v>
      </c>
      <c r="B221" t="s">
        <v>1490</v>
      </c>
      <c r="C221" s="1">
        <v>5</v>
      </c>
      <c r="D221" s="1">
        <v>3</v>
      </c>
      <c r="E221" s="1">
        <v>12</v>
      </c>
      <c r="F221" s="1" t="s">
        <v>333</v>
      </c>
      <c r="G221" s="1" t="s">
        <v>333</v>
      </c>
      <c r="H221" s="1" t="s">
        <v>333</v>
      </c>
      <c r="I221" s="1" t="s">
        <v>406</v>
      </c>
      <c r="J221" s="1" t="s">
        <v>333</v>
      </c>
      <c r="K221" s="1" t="s">
        <v>368</v>
      </c>
      <c r="L221" s="1" t="s">
        <v>333</v>
      </c>
      <c r="M221" s="1" t="s">
        <v>333</v>
      </c>
      <c r="N221" s="1" t="s">
        <v>333</v>
      </c>
      <c r="O221" s="1" t="s">
        <v>333</v>
      </c>
      <c r="P221" s="1" t="s">
        <v>333</v>
      </c>
      <c r="Q221" s="1" t="s">
        <v>333</v>
      </c>
      <c r="R221" s="1" t="s">
        <v>333</v>
      </c>
      <c r="S221" s="1" t="s">
        <v>333</v>
      </c>
      <c r="T221" s="1">
        <v>0</v>
      </c>
      <c r="U221" s="1">
        <v>3360</v>
      </c>
      <c r="V221" s="1" t="s">
        <v>1697</v>
      </c>
      <c r="W221" t="s">
        <v>1596</v>
      </c>
    </row>
    <row r="222" spans="1:23" x14ac:dyDescent="0.25">
      <c r="A222" s="1">
        <v>255</v>
      </c>
      <c r="B222" t="s">
        <v>1493</v>
      </c>
      <c r="C222" s="1">
        <v>5</v>
      </c>
      <c r="D222" s="1">
        <v>3</v>
      </c>
      <c r="E222" s="1">
        <v>9</v>
      </c>
      <c r="F222" s="1" t="s">
        <v>364</v>
      </c>
      <c r="G222" s="1" t="s">
        <v>333</v>
      </c>
      <c r="H222" s="1" t="s">
        <v>333</v>
      </c>
      <c r="I222" s="1" t="s">
        <v>333</v>
      </c>
      <c r="J222" s="1" t="s">
        <v>380</v>
      </c>
      <c r="K222" s="1" t="s">
        <v>923</v>
      </c>
      <c r="L222" s="1" t="s">
        <v>333</v>
      </c>
      <c r="M222" s="1" t="s">
        <v>333</v>
      </c>
      <c r="N222" s="1" t="s">
        <v>333</v>
      </c>
      <c r="O222" s="1" t="s">
        <v>333</v>
      </c>
      <c r="P222" s="1" t="s">
        <v>333</v>
      </c>
      <c r="Q222" s="1" t="s">
        <v>333</v>
      </c>
      <c r="R222" s="1" t="s">
        <v>333</v>
      </c>
      <c r="S222" s="1" t="s">
        <v>333</v>
      </c>
      <c r="T222" s="1">
        <v>0</v>
      </c>
      <c r="U222" s="1">
        <v>3120</v>
      </c>
      <c r="V222" s="1" t="s">
        <v>1698</v>
      </c>
      <c r="W222" t="s">
        <v>1680</v>
      </c>
    </row>
    <row r="223" spans="1:23" x14ac:dyDescent="0.25">
      <c r="A223" s="1">
        <v>256</v>
      </c>
      <c r="B223" t="s">
        <v>1242</v>
      </c>
      <c r="C223" s="1">
        <v>5</v>
      </c>
      <c r="D223" s="1">
        <v>3</v>
      </c>
      <c r="E223" s="1">
        <v>20</v>
      </c>
      <c r="F223" s="1" t="s">
        <v>333</v>
      </c>
      <c r="G223" s="1" t="s">
        <v>333</v>
      </c>
      <c r="H223" s="1" t="s">
        <v>333</v>
      </c>
      <c r="I223" s="1" t="s">
        <v>333</v>
      </c>
      <c r="J223" s="1" t="s">
        <v>333</v>
      </c>
      <c r="K223" s="1" t="s">
        <v>333</v>
      </c>
      <c r="L223" s="1" t="s">
        <v>390</v>
      </c>
      <c r="M223" s="1" t="s">
        <v>333</v>
      </c>
      <c r="N223" s="1" t="s">
        <v>333</v>
      </c>
      <c r="O223" s="1" t="s">
        <v>333</v>
      </c>
      <c r="P223" s="1" t="s">
        <v>333</v>
      </c>
      <c r="Q223" s="1" t="s">
        <v>333</v>
      </c>
      <c r="R223" s="1" t="s">
        <v>333</v>
      </c>
      <c r="S223" s="1" t="s">
        <v>359</v>
      </c>
      <c r="T223" s="1">
        <v>0</v>
      </c>
      <c r="U223" s="1">
        <v>3420</v>
      </c>
      <c r="V223" s="1" t="s">
        <v>1839</v>
      </c>
      <c r="W223" t="s">
        <v>1840</v>
      </c>
    </row>
    <row r="224" spans="1:23" x14ac:dyDescent="0.25">
      <c r="A224" s="1">
        <v>257</v>
      </c>
      <c r="B224" t="s">
        <v>109</v>
      </c>
      <c r="C224" s="1">
        <v>5</v>
      </c>
      <c r="D224" s="1">
        <v>1</v>
      </c>
      <c r="E224" s="1">
        <v>18</v>
      </c>
      <c r="F224" s="1" t="s">
        <v>333</v>
      </c>
      <c r="G224" s="1" t="s">
        <v>366</v>
      </c>
      <c r="H224" s="1" t="s">
        <v>333</v>
      </c>
      <c r="I224" s="1" t="s">
        <v>333</v>
      </c>
      <c r="J224" s="1" t="s">
        <v>333</v>
      </c>
      <c r="K224" s="1" t="s">
        <v>333</v>
      </c>
      <c r="L224" s="1" t="s">
        <v>1841</v>
      </c>
      <c r="M224" s="1" t="s">
        <v>333</v>
      </c>
      <c r="N224" s="1" t="s">
        <v>333</v>
      </c>
      <c r="O224" s="1" t="s">
        <v>333</v>
      </c>
      <c r="P224" s="1" t="s">
        <v>333</v>
      </c>
      <c r="Q224" s="1" t="s">
        <v>333</v>
      </c>
      <c r="R224" s="1" t="s">
        <v>333</v>
      </c>
      <c r="S224" s="1" t="s">
        <v>333</v>
      </c>
      <c r="T224" s="1">
        <v>0</v>
      </c>
      <c r="U224" s="1">
        <v>3600</v>
      </c>
      <c r="V224" s="1" t="s">
        <v>1826</v>
      </c>
      <c r="W224" t="s">
        <v>1611</v>
      </c>
    </row>
    <row r="225" spans="1:24" x14ac:dyDescent="0.25">
      <c r="A225" s="1">
        <v>258</v>
      </c>
      <c r="B225" t="s">
        <v>159</v>
      </c>
      <c r="C225" s="1">
        <v>5</v>
      </c>
      <c r="D225" s="1">
        <v>2</v>
      </c>
      <c r="E225" s="1">
        <v>19</v>
      </c>
      <c r="F225" s="1" t="s">
        <v>340</v>
      </c>
      <c r="G225" s="1" t="s">
        <v>333</v>
      </c>
      <c r="H225" s="1" t="s">
        <v>333</v>
      </c>
      <c r="I225" s="1" t="s">
        <v>333</v>
      </c>
      <c r="J225" s="1" t="s">
        <v>333</v>
      </c>
      <c r="K225" s="1" t="s">
        <v>333</v>
      </c>
      <c r="L225" s="1" t="s">
        <v>333</v>
      </c>
      <c r="M225" s="1" t="s">
        <v>357</v>
      </c>
      <c r="N225" s="1" t="s">
        <v>333</v>
      </c>
      <c r="O225" s="1" t="s">
        <v>333</v>
      </c>
      <c r="P225" s="1" t="s">
        <v>333</v>
      </c>
      <c r="Q225" s="1" t="s">
        <v>333</v>
      </c>
      <c r="R225" s="1" t="s">
        <v>333</v>
      </c>
      <c r="S225" s="1" t="s">
        <v>333</v>
      </c>
      <c r="T225" s="1">
        <v>0</v>
      </c>
      <c r="U225" s="1">
        <v>3300</v>
      </c>
      <c r="V225" s="1" t="s">
        <v>1842</v>
      </c>
      <c r="W225" t="s">
        <v>1649</v>
      </c>
    </row>
    <row r="226" spans="1:24" x14ac:dyDescent="0.25">
      <c r="A226" s="1">
        <v>259</v>
      </c>
      <c r="B226" t="s">
        <v>818</v>
      </c>
      <c r="C226" s="1">
        <v>5</v>
      </c>
      <c r="D226" s="1">
        <v>3</v>
      </c>
      <c r="E226" s="1">
        <v>20</v>
      </c>
      <c r="F226" s="1" t="s">
        <v>333</v>
      </c>
      <c r="G226" s="1" t="s">
        <v>333</v>
      </c>
      <c r="H226" s="1" t="s">
        <v>333</v>
      </c>
      <c r="I226" s="1" t="s">
        <v>333</v>
      </c>
      <c r="J226" s="1" t="s">
        <v>333</v>
      </c>
      <c r="K226" s="1" t="s">
        <v>368</v>
      </c>
      <c r="L226" s="1" t="s">
        <v>333</v>
      </c>
      <c r="M226" s="1" t="s">
        <v>333</v>
      </c>
      <c r="N226" s="1" t="s">
        <v>333</v>
      </c>
      <c r="O226" s="1" t="s">
        <v>333</v>
      </c>
      <c r="P226" s="1" t="s">
        <v>333</v>
      </c>
      <c r="Q226" s="1" t="s">
        <v>333</v>
      </c>
      <c r="R226" s="1" t="s">
        <v>333</v>
      </c>
      <c r="S226" s="1" t="s">
        <v>333</v>
      </c>
      <c r="T226" s="1">
        <v>0</v>
      </c>
      <c r="U226" s="1">
        <v>3360</v>
      </c>
      <c r="V226" s="1" t="s">
        <v>1843</v>
      </c>
      <c r="W226" t="s">
        <v>1596</v>
      </c>
    </row>
    <row r="227" spans="1:24" x14ac:dyDescent="0.25">
      <c r="A227" s="1">
        <v>260</v>
      </c>
      <c r="B227" t="s">
        <v>1851</v>
      </c>
      <c r="C227" s="1">
        <v>5</v>
      </c>
      <c r="D227" s="1">
        <v>3</v>
      </c>
      <c r="E227" s="1">
        <v>20</v>
      </c>
      <c r="F227" s="1" t="s">
        <v>333</v>
      </c>
      <c r="G227" s="1" t="s">
        <v>333</v>
      </c>
      <c r="H227" s="1" t="s">
        <v>493</v>
      </c>
      <c r="I227" s="1" t="s">
        <v>369</v>
      </c>
      <c r="J227" s="1" t="s">
        <v>333</v>
      </c>
      <c r="K227" s="1" t="s">
        <v>333</v>
      </c>
      <c r="L227" s="1" t="s">
        <v>333</v>
      </c>
      <c r="M227" s="1" t="s">
        <v>333</v>
      </c>
      <c r="N227" s="1" t="s">
        <v>333</v>
      </c>
      <c r="O227" s="1" t="s">
        <v>333</v>
      </c>
      <c r="P227" s="1" t="s">
        <v>333</v>
      </c>
      <c r="Q227" s="1" t="s">
        <v>333</v>
      </c>
      <c r="R227" s="1" t="s">
        <v>333</v>
      </c>
      <c r="S227" s="1" t="s">
        <v>333</v>
      </c>
      <c r="T227" s="1">
        <v>0</v>
      </c>
      <c r="U227" s="1">
        <v>3120</v>
      </c>
      <c r="V227" s="1" t="s">
        <v>1859</v>
      </c>
      <c r="W227" t="s">
        <v>1860</v>
      </c>
      <c r="X227">
        <v>0</v>
      </c>
    </row>
    <row r="228" spans="1:24" x14ac:dyDescent="0.25">
      <c r="A228" s="1">
        <v>261</v>
      </c>
      <c r="B228" t="s">
        <v>1857</v>
      </c>
      <c r="C228" s="1">
        <v>5</v>
      </c>
      <c r="D228" s="1">
        <v>1</v>
      </c>
      <c r="E228" s="1">
        <v>18</v>
      </c>
      <c r="F228" s="1" t="s">
        <v>342</v>
      </c>
      <c r="G228" s="1" t="s">
        <v>348</v>
      </c>
      <c r="H228" s="1" t="s">
        <v>333</v>
      </c>
      <c r="I228" s="1" t="s">
        <v>333</v>
      </c>
      <c r="J228" s="1" t="s">
        <v>333</v>
      </c>
      <c r="K228" s="1" t="s">
        <v>333</v>
      </c>
      <c r="L228" s="1" t="s">
        <v>333</v>
      </c>
      <c r="M228" s="1" t="s">
        <v>333</v>
      </c>
      <c r="N228" s="1" t="s">
        <v>333</v>
      </c>
      <c r="O228" s="1" t="s">
        <v>333</v>
      </c>
      <c r="P228" s="1" t="s">
        <v>333</v>
      </c>
      <c r="Q228" s="1" t="s">
        <v>333</v>
      </c>
      <c r="R228" s="1" t="s">
        <v>333</v>
      </c>
      <c r="S228" s="1" t="s">
        <v>333</v>
      </c>
      <c r="T228" s="1">
        <v>0</v>
      </c>
      <c r="U228" s="1">
        <v>3600</v>
      </c>
      <c r="V228" s="1" t="s">
        <v>1861</v>
      </c>
      <c r="W228" t="s">
        <v>1821</v>
      </c>
      <c r="X228">
        <v>0</v>
      </c>
    </row>
    <row r="229" spans="1:24" x14ac:dyDescent="0.25">
      <c r="A229" s="1">
        <v>262</v>
      </c>
      <c r="B229" t="s">
        <v>1858</v>
      </c>
      <c r="C229" s="1">
        <v>5</v>
      </c>
      <c r="D229" s="1">
        <v>2</v>
      </c>
      <c r="E229" s="1">
        <v>19</v>
      </c>
      <c r="F229" s="1" t="s">
        <v>340</v>
      </c>
      <c r="G229" s="1" t="s">
        <v>333</v>
      </c>
      <c r="H229" s="1" t="s">
        <v>333</v>
      </c>
      <c r="I229" s="1" t="s">
        <v>333</v>
      </c>
      <c r="J229" s="1" t="s">
        <v>333</v>
      </c>
      <c r="K229" s="1" t="s">
        <v>333</v>
      </c>
      <c r="L229" s="1" t="s">
        <v>333</v>
      </c>
      <c r="M229" s="1" t="s">
        <v>1862</v>
      </c>
      <c r="N229" s="1" t="s">
        <v>333</v>
      </c>
      <c r="O229" s="1" t="s">
        <v>333</v>
      </c>
      <c r="P229" s="1" t="s">
        <v>333</v>
      </c>
      <c r="Q229" s="1" t="s">
        <v>333</v>
      </c>
      <c r="R229" s="1" t="s">
        <v>333</v>
      </c>
      <c r="S229" s="1" t="s">
        <v>333</v>
      </c>
      <c r="T229" s="1">
        <v>0</v>
      </c>
      <c r="U229" s="1">
        <v>3300</v>
      </c>
      <c r="V229" s="1" t="s">
        <v>1863</v>
      </c>
      <c r="W229" t="s">
        <v>1864</v>
      </c>
      <c r="X229">
        <v>0</v>
      </c>
    </row>
    <row r="230" spans="1:24" x14ac:dyDescent="0.25">
      <c r="A230" s="1">
        <v>263</v>
      </c>
      <c r="B230" t="s">
        <v>1856</v>
      </c>
      <c r="C230" s="1">
        <v>5</v>
      </c>
      <c r="D230" s="1">
        <v>2</v>
      </c>
      <c r="E230" s="1">
        <v>19</v>
      </c>
      <c r="F230" s="1" t="s">
        <v>333</v>
      </c>
      <c r="G230" s="1" t="s">
        <v>361</v>
      </c>
      <c r="H230" s="1" t="s">
        <v>333</v>
      </c>
      <c r="I230" s="1" t="s">
        <v>333</v>
      </c>
      <c r="J230" s="1" t="s">
        <v>333</v>
      </c>
      <c r="K230" s="1" t="s">
        <v>333</v>
      </c>
      <c r="L230" s="1" t="s">
        <v>333</v>
      </c>
      <c r="M230" s="1" t="s">
        <v>333</v>
      </c>
      <c r="N230" s="1" t="s">
        <v>333</v>
      </c>
      <c r="O230" s="1" t="s">
        <v>333</v>
      </c>
      <c r="P230" s="1" t="s">
        <v>333</v>
      </c>
      <c r="Q230" s="1" t="s">
        <v>333</v>
      </c>
      <c r="R230" s="1" t="s">
        <v>333</v>
      </c>
      <c r="S230" s="1" t="s">
        <v>333</v>
      </c>
      <c r="T230" s="1">
        <v>0</v>
      </c>
      <c r="U230" s="1">
        <v>3600</v>
      </c>
      <c r="V230" s="1" t="s">
        <v>1865</v>
      </c>
      <c r="W230" t="s">
        <v>1590</v>
      </c>
      <c r="X230">
        <v>0</v>
      </c>
    </row>
  </sheetData>
  <autoFilter ref="A1:X220" xr:uid="{91183598-7250-4440-B19F-AED7566FDE1C}">
    <sortState ref="A2:X222">
      <sortCondition ref="A1:A220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Y425"/>
  <sheetViews>
    <sheetView workbookViewId="0">
      <pane ySplit="1" topLeftCell="A413" activePane="bottomLeft" state="frozen"/>
      <selection pane="bottomLeft" activeCell="B422" sqref="B422:B425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221</v>
      </c>
      <c r="C1" s="43" t="s">
        <v>61</v>
      </c>
      <c r="D1" s="43" t="s">
        <v>222</v>
      </c>
      <c r="E1" s="43" t="s">
        <v>1167</v>
      </c>
      <c r="F1" s="43" t="s">
        <v>1168</v>
      </c>
      <c r="G1" s="43" t="s">
        <v>1169</v>
      </c>
      <c r="H1" s="43" t="s">
        <v>1170</v>
      </c>
      <c r="I1" s="43" t="s">
        <v>1171</v>
      </c>
      <c r="J1" s="43" t="s">
        <v>1172</v>
      </c>
      <c r="K1" s="43" t="s">
        <v>1173</v>
      </c>
      <c r="L1" s="43" t="s">
        <v>41</v>
      </c>
      <c r="M1" s="43" t="s">
        <v>42</v>
      </c>
      <c r="N1" s="43" t="s">
        <v>1174</v>
      </c>
      <c r="O1" s="43" t="s">
        <v>638</v>
      </c>
      <c r="P1" s="43" t="s">
        <v>1175</v>
      </c>
      <c r="Q1" s="43" t="s">
        <v>1176</v>
      </c>
      <c r="R1" s="43" t="s">
        <v>1177</v>
      </c>
      <c r="S1" s="43" t="s">
        <v>1178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333</v>
      </c>
      <c r="P2" s="1" t="s">
        <v>333</v>
      </c>
      <c r="Q2" s="1" t="s">
        <v>1179</v>
      </c>
      <c r="R2" s="1" t="s">
        <v>1180</v>
      </c>
      <c r="S2" s="1" t="s">
        <v>1181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1182</v>
      </c>
      <c r="P3" s="1" t="s">
        <v>333</v>
      </c>
      <c r="Q3" s="1" t="s">
        <v>1179</v>
      </c>
      <c r="R3" s="1" t="s">
        <v>1180</v>
      </c>
      <c r="S3" s="1" t="s">
        <v>1181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1182</v>
      </c>
      <c r="P4" s="1" t="s">
        <v>333</v>
      </c>
      <c r="Q4" s="1" t="s">
        <v>1179</v>
      </c>
      <c r="R4" s="1" t="s">
        <v>1180</v>
      </c>
      <c r="S4" s="1" t="s">
        <v>1181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1183</v>
      </c>
      <c r="P5" s="1" t="s">
        <v>1184</v>
      </c>
      <c r="Q5" s="1" t="s">
        <v>1179</v>
      </c>
      <c r="R5" s="1" t="s">
        <v>1180</v>
      </c>
      <c r="S5" s="1" t="s">
        <v>1181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1185</v>
      </c>
      <c r="P6" s="1" t="s">
        <v>333</v>
      </c>
      <c r="Q6" s="1" t="s">
        <v>1179</v>
      </c>
      <c r="R6" s="1" t="s">
        <v>1180</v>
      </c>
      <c r="S6" s="1" t="s">
        <v>1181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1186</v>
      </c>
      <c r="P7" s="1" t="s">
        <v>333</v>
      </c>
      <c r="Q7" s="1" t="s">
        <v>1179</v>
      </c>
      <c r="R7" s="1" t="s">
        <v>1180</v>
      </c>
      <c r="S7" s="1" t="s">
        <v>1181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333</v>
      </c>
      <c r="P8" s="1" t="s">
        <v>333</v>
      </c>
      <c r="Q8" s="1" t="s">
        <v>1179</v>
      </c>
      <c r="R8" s="1" t="s">
        <v>1180</v>
      </c>
      <c r="S8" s="1" t="s">
        <v>1187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1188</v>
      </c>
      <c r="P9" s="1" t="s">
        <v>1189</v>
      </c>
      <c r="Q9" s="1" t="s">
        <v>1179</v>
      </c>
      <c r="R9" s="1" t="s">
        <v>1180</v>
      </c>
      <c r="S9" s="1" t="s">
        <v>1181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1190</v>
      </c>
      <c r="P10" s="1" t="s">
        <v>333</v>
      </c>
      <c r="Q10" s="1" t="s">
        <v>1179</v>
      </c>
      <c r="R10" s="1" t="s">
        <v>1180</v>
      </c>
      <c r="S10" s="1" t="s">
        <v>1181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1188</v>
      </c>
      <c r="P11" s="1" t="s">
        <v>333</v>
      </c>
      <c r="Q11" s="1" t="s">
        <v>1179</v>
      </c>
      <c r="R11" s="1" t="s">
        <v>1180</v>
      </c>
      <c r="S11" s="1" t="s">
        <v>1181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1188</v>
      </c>
      <c r="P12" s="1" t="s">
        <v>333</v>
      </c>
      <c r="Q12" s="1" t="s">
        <v>1179</v>
      </c>
      <c r="R12" s="1" t="s">
        <v>1180</v>
      </c>
      <c r="S12" s="1" t="s">
        <v>1181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1188</v>
      </c>
      <c r="P13" s="1" t="s">
        <v>333</v>
      </c>
      <c r="Q13" s="1" t="s">
        <v>1179</v>
      </c>
      <c r="R13" s="1" t="s">
        <v>1180</v>
      </c>
      <c r="S13" s="1" t="s">
        <v>1181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1191</v>
      </c>
      <c r="P14" s="1" t="s">
        <v>333</v>
      </c>
      <c r="Q14" s="1" t="s">
        <v>1179</v>
      </c>
      <c r="R14" s="1" t="s">
        <v>1180</v>
      </c>
      <c r="S14" s="1" t="s">
        <v>1181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1188</v>
      </c>
      <c r="P15" s="1" t="s">
        <v>333</v>
      </c>
      <c r="Q15" s="1" t="s">
        <v>1179</v>
      </c>
      <c r="R15" s="1" t="s">
        <v>1180</v>
      </c>
      <c r="S15" s="1" t="s">
        <v>1181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1188</v>
      </c>
      <c r="P16" s="1" t="s">
        <v>333</v>
      </c>
      <c r="Q16" s="1" t="s">
        <v>1179</v>
      </c>
      <c r="R16" s="1" t="s">
        <v>1180</v>
      </c>
      <c r="S16" s="1" t="s">
        <v>1181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1192</v>
      </c>
      <c r="P17" s="1" t="s">
        <v>333</v>
      </c>
      <c r="Q17" s="1" t="s">
        <v>1193</v>
      </c>
      <c r="R17" s="1" t="s">
        <v>1180</v>
      </c>
      <c r="S17" s="1" t="s">
        <v>1194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1182</v>
      </c>
      <c r="P18" s="1" t="s">
        <v>333</v>
      </c>
      <c r="Q18" s="1" t="s">
        <v>1193</v>
      </c>
      <c r="R18" s="1" t="s">
        <v>1180</v>
      </c>
      <c r="S18" s="1" t="s">
        <v>1194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1182</v>
      </c>
      <c r="P19" s="1" t="s">
        <v>333</v>
      </c>
      <c r="Q19" s="1" t="s">
        <v>1193</v>
      </c>
      <c r="R19" s="1" t="s">
        <v>1180</v>
      </c>
      <c r="S19" s="1" t="s">
        <v>1194</v>
      </c>
    </row>
    <row r="20" spans="1:19" x14ac:dyDescent="0.25">
      <c r="A20" s="1">
        <v>19</v>
      </c>
      <c r="B20" s="9" t="s">
        <v>1706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1188</v>
      </c>
      <c r="P20" s="1" t="s">
        <v>333</v>
      </c>
      <c r="Q20" s="1" t="s">
        <v>1193</v>
      </c>
      <c r="R20" s="1" t="s">
        <v>1180</v>
      </c>
      <c r="S20" s="1" t="s">
        <v>1194</v>
      </c>
    </row>
    <row r="21" spans="1:19" x14ac:dyDescent="0.25">
      <c r="A21" s="1">
        <v>20</v>
      </c>
      <c r="B21" s="9" t="s">
        <v>79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1195</v>
      </c>
      <c r="P21" s="1" t="s">
        <v>333</v>
      </c>
      <c r="Q21" s="1" t="s">
        <v>1193</v>
      </c>
      <c r="R21" s="1" t="s">
        <v>1180</v>
      </c>
      <c r="S21" s="1" t="s">
        <v>1194</v>
      </c>
    </row>
    <row r="22" spans="1:19" x14ac:dyDescent="0.25">
      <c r="A22" s="1">
        <v>21</v>
      </c>
      <c r="B22" s="9" t="s">
        <v>925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1182</v>
      </c>
      <c r="P22" s="1" t="s">
        <v>333</v>
      </c>
      <c r="Q22" s="1" t="s">
        <v>1193</v>
      </c>
      <c r="R22" s="1" t="s">
        <v>1180</v>
      </c>
      <c r="S22" s="1" t="s">
        <v>1194</v>
      </c>
    </row>
    <row r="23" spans="1:19" x14ac:dyDescent="0.25">
      <c r="A23" s="1">
        <v>22</v>
      </c>
      <c r="B23" s="9" t="s">
        <v>1707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1182</v>
      </c>
      <c r="P23" s="1" t="s">
        <v>333</v>
      </c>
      <c r="Q23" s="1" t="s">
        <v>1193</v>
      </c>
      <c r="R23" s="1" t="s">
        <v>1180</v>
      </c>
      <c r="S23" s="1" t="s">
        <v>1194</v>
      </c>
    </row>
    <row r="24" spans="1:19" x14ac:dyDescent="0.25">
      <c r="A24" s="1">
        <v>23</v>
      </c>
      <c r="B24" s="9" t="s">
        <v>1708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1196</v>
      </c>
      <c r="P24" s="1" t="s">
        <v>333</v>
      </c>
      <c r="Q24" s="1" t="s">
        <v>1193</v>
      </c>
      <c r="R24" s="1" t="s">
        <v>1180</v>
      </c>
      <c r="S24" s="1" t="s">
        <v>1194</v>
      </c>
    </row>
    <row r="25" spans="1:19" x14ac:dyDescent="0.25">
      <c r="A25" s="1">
        <v>24</v>
      </c>
      <c r="B25" s="9" t="s">
        <v>1197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1182</v>
      </c>
      <c r="P25" s="1" t="s">
        <v>333</v>
      </c>
      <c r="Q25" s="1" t="s">
        <v>1193</v>
      </c>
      <c r="R25" s="1" t="s">
        <v>1180</v>
      </c>
      <c r="S25" s="1" t="s">
        <v>1194</v>
      </c>
    </row>
    <row r="26" spans="1:19" x14ac:dyDescent="0.25">
      <c r="A26" s="1">
        <v>25</v>
      </c>
      <c r="B26" s="9" t="s">
        <v>80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1182</v>
      </c>
      <c r="P26" s="1" t="s">
        <v>333</v>
      </c>
      <c r="Q26" s="1" t="s">
        <v>1193</v>
      </c>
      <c r="R26" s="1" t="s">
        <v>1180</v>
      </c>
      <c r="S26" s="1" t="s">
        <v>1194</v>
      </c>
    </row>
    <row r="27" spans="1:19" x14ac:dyDescent="0.25">
      <c r="A27" s="1">
        <v>26</v>
      </c>
      <c r="B27" s="9" t="s">
        <v>739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1198</v>
      </c>
      <c r="P27" s="1" t="s">
        <v>333</v>
      </c>
      <c r="Q27" s="1" t="s">
        <v>1193</v>
      </c>
      <c r="R27" s="1" t="s">
        <v>1180</v>
      </c>
      <c r="S27" s="1" t="s">
        <v>1194</v>
      </c>
    </row>
    <row r="28" spans="1:19" x14ac:dyDescent="0.25">
      <c r="A28" s="1">
        <v>27</v>
      </c>
      <c r="B28" s="9" t="s">
        <v>81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1199</v>
      </c>
      <c r="P28" s="1" t="s">
        <v>333</v>
      </c>
      <c r="Q28" s="1" t="s">
        <v>1193</v>
      </c>
      <c r="R28" s="1" t="s">
        <v>1180</v>
      </c>
      <c r="S28" s="1" t="s">
        <v>1194</v>
      </c>
    </row>
    <row r="29" spans="1:19" x14ac:dyDescent="0.25">
      <c r="A29" s="1">
        <v>28</v>
      </c>
      <c r="B29" s="9" t="s">
        <v>82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1200</v>
      </c>
      <c r="P29" s="1" t="s">
        <v>333</v>
      </c>
      <c r="Q29" s="1" t="s">
        <v>1193</v>
      </c>
      <c r="R29" s="1" t="s">
        <v>1180</v>
      </c>
      <c r="S29" s="1" t="s">
        <v>1194</v>
      </c>
    </row>
    <row r="30" spans="1:19" x14ac:dyDescent="0.25">
      <c r="A30" s="1">
        <v>29</v>
      </c>
      <c r="B30" s="9" t="s">
        <v>840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1201</v>
      </c>
      <c r="P30" s="1" t="s">
        <v>333</v>
      </c>
      <c r="Q30" s="1" t="s">
        <v>1193</v>
      </c>
      <c r="R30" s="1" t="s">
        <v>1180</v>
      </c>
      <c r="S30" s="1" t="s">
        <v>1194</v>
      </c>
    </row>
    <row r="31" spans="1:19" x14ac:dyDescent="0.25">
      <c r="A31" s="1">
        <v>31</v>
      </c>
      <c r="B31" s="9" t="s">
        <v>83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1182</v>
      </c>
      <c r="P31" s="1" t="s">
        <v>1202</v>
      </c>
      <c r="Q31" s="1" t="s">
        <v>1193</v>
      </c>
      <c r="R31" s="1" t="s">
        <v>1180</v>
      </c>
      <c r="S31" s="1" t="s">
        <v>1194</v>
      </c>
    </row>
    <row r="32" spans="1:19" x14ac:dyDescent="0.25">
      <c r="A32" s="1">
        <v>32</v>
      </c>
      <c r="B32" s="9" t="s">
        <v>84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1182</v>
      </c>
      <c r="P32" s="1" t="s">
        <v>1203</v>
      </c>
      <c r="Q32" s="1" t="s">
        <v>1193</v>
      </c>
      <c r="R32" s="1" t="s">
        <v>1180</v>
      </c>
      <c r="S32" s="1" t="s">
        <v>1194</v>
      </c>
    </row>
    <row r="33" spans="1:19" x14ac:dyDescent="0.25">
      <c r="A33" s="1">
        <v>33</v>
      </c>
      <c r="B33" s="9" t="s">
        <v>85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1182</v>
      </c>
      <c r="P33" s="1" t="s">
        <v>333</v>
      </c>
      <c r="Q33" s="1" t="s">
        <v>1193</v>
      </c>
      <c r="R33" s="1" t="s">
        <v>1180</v>
      </c>
      <c r="S33" s="1" t="s">
        <v>1194</v>
      </c>
    </row>
    <row r="34" spans="1:19" x14ac:dyDescent="0.25">
      <c r="A34" s="1">
        <v>34</v>
      </c>
      <c r="B34" s="9" t="s">
        <v>86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1204</v>
      </c>
      <c r="P34" s="1" t="s">
        <v>333</v>
      </c>
      <c r="Q34" s="1" t="s">
        <v>1205</v>
      </c>
      <c r="R34" s="1" t="s">
        <v>1206</v>
      </c>
      <c r="S34" s="1" t="s">
        <v>1207</v>
      </c>
    </row>
    <row r="35" spans="1:19" x14ac:dyDescent="0.25">
      <c r="A35" s="1">
        <v>35</v>
      </c>
      <c r="B35" s="9" t="s">
        <v>801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1188</v>
      </c>
      <c r="P35" s="1" t="s">
        <v>333</v>
      </c>
      <c r="Q35" s="1" t="s">
        <v>1205</v>
      </c>
      <c r="R35" s="1" t="s">
        <v>1206</v>
      </c>
      <c r="S35" s="1" t="s">
        <v>1207</v>
      </c>
    </row>
    <row r="36" spans="1:19" x14ac:dyDescent="0.25">
      <c r="A36" s="1">
        <v>36</v>
      </c>
      <c r="B36" s="9" t="s">
        <v>87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1208</v>
      </c>
      <c r="P36" s="1" t="s">
        <v>333</v>
      </c>
      <c r="Q36" s="1" t="s">
        <v>1205</v>
      </c>
      <c r="R36" s="1" t="s">
        <v>1206</v>
      </c>
      <c r="S36" s="1" t="s">
        <v>1207</v>
      </c>
    </row>
    <row r="37" spans="1:19" x14ac:dyDescent="0.25">
      <c r="A37" s="1">
        <v>37</v>
      </c>
      <c r="B37" s="9" t="s">
        <v>88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1188</v>
      </c>
      <c r="P37" s="1" t="s">
        <v>333</v>
      </c>
      <c r="Q37" s="1" t="s">
        <v>1205</v>
      </c>
      <c r="R37" s="1" t="s">
        <v>1206</v>
      </c>
      <c r="S37" s="1" t="s">
        <v>1207</v>
      </c>
    </row>
    <row r="38" spans="1:19" x14ac:dyDescent="0.25">
      <c r="A38" s="1">
        <v>38</v>
      </c>
      <c r="B38" s="9" t="s">
        <v>89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1209</v>
      </c>
      <c r="P38" s="1" t="s">
        <v>333</v>
      </c>
      <c r="Q38" s="1" t="s">
        <v>1205</v>
      </c>
      <c r="R38" s="1" t="s">
        <v>1206</v>
      </c>
      <c r="S38" s="1" t="s">
        <v>1207</v>
      </c>
    </row>
    <row r="39" spans="1:19" x14ac:dyDescent="0.25">
      <c r="A39" s="1">
        <v>39</v>
      </c>
      <c r="B39" s="9" t="s">
        <v>738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1210</v>
      </c>
      <c r="P39" s="1" t="s">
        <v>333</v>
      </c>
      <c r="Q39" s="1" t="s">
        <v>1205</v>
      </c>
      <c r="R39" s="1" t="s">
        <v>1206</v>
      </c>
      <c r="S39" s="1" t="s">
        <v>1207</v>
      </c>
    </row>
    <row r="40" spans="1:19" x14ac:dyDescent="0.25">
      <c r="A40" s="1">
        <v>40</v>
      </c>
      <c r="B40" s="9" t="s">
        <v>1709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1209</v>
      </c>
      <c r="P40" s="1" t="s">
        <v>333</v>
      </c>
      <c r="Q40" s="1" t="s">
        <v>1205</v>
      </c>
      <c r="R40" s="1" t="s">
        <v>1206</v>
      </c>
      <c r="S40" s="1" t="s">
        <v>1207</v>
      </c>
    </row>
    <row r="41" spans="1:19" x14ac:dyDescent="0.25">
      <c r="A41" s="1">
        <v>41</v>
      </c>
      <c r="B41" s="9" t="s">
        <v>90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1188</v>
      </c>
      <c r="P41" s="1" t="s">
        <v>333</v>
      </c>
      <c r="Q41" s="1" t="s">
        <v>1205</v>
      </c>
      <c r="R41" s="1" t="s">
        <v>1206</v>
      </c>
      <c r="S41" s="1" t="s">
        <v>1207</v>
      </c>
    </row>
    <row r="42" spans="1:19" x14ac:dyDescent="0.25">
      <c r="A42" s="1">
        <v>42</v>
      </c>
      <c r="B42" s="9" t="s">
        <v>91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1211</v>
      </c>
      <c r="P42" s="1" t="s">
        <v>333</v>
      </c>
      <c r="Q42" s="1" t="s">
        <v>1205</v>
      </c>
      <c r="R42" s="1" t="s">
        <v>1206</v>
      </c>
      <c r="S42" s="1" t="s">
        <v>1207</v>
      </c>
    </row>
    <row r="43" spans="1:19" x14ac:dyDescent="0.25">
      <c r="A43" s="1">
        <v>43</v>
      </c>
      <c r="B43" s="9" t="s">
        <v>92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333</v>
      </c>
      <c r="P43" s="1" t="s">
        <v>333</v>
      </c>
      <c r="Q43" s="1" t="s">
        <v>1205</v>
      </c>
      <c r="R43" s="1" t="s">
        <v>1206</v>
      </c>
      <c r="S43" s="1" t="s">
        <v>1207</v>
      </c>
    </row>
    <row r="44" spans="1:19" x14ac:dyDescent="0.25">
      <c r="A44" s="1">
        <v>44</v>
      </c>
      <c r="B44" s="9" t="s">
        <v>1710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1212</v>
      </c>
      <c r="P44" s="1" t="s">
        <v>1213</v>
      </c>
      <c r="Q44" s="1" t="s">
        <v>1205</v>
      </c>
      <c r="R44" s="1" t="s">
        <v>1206</v>
      </c>
      <c r="S44" s="1" t="s">
        <v>1207</v>
      </c>
    </row>
    <row r="45" spans="1:19" x14ac:dyDescent="0.25">
      <c r="A45" s="1">
        <v>46</v>
      </c>
      <c r="B45" s="9" t="s">
        <v>93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1214</v>
      </c>
      <c r="P45" s="1" t="s">
        <v>333</v>
      </c>
      <c r="Q45" s="1" t="s">
        <v>1205</v>
      </c>
      <c r="R45" s="1" t="s">
        <v>1206</v>
      </c>
      <c r="S45" s="1" t="s">
        <v>1207</v>
      </c>
    </row>
    <row r="46" spans="1:19" x14ac:dyDescent="0.25">
      <c r="A46" s="1">
        <v>47</v>
      </c>
      <c r="B46" s="9" t="s">
        <v>94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1188</v>
      </c>
      <c r="P46" s="1" t="s">
        <v>333</v>
      </c>
      <c r="Q46" s="1" t="s">
        <v>1205</v>
      </c>
      <c r="R46" s="1" t="s">
        <v>1206</v>
      </c>
      <c r="S46" s="1" t="s">
        <v>1207</v>
      </c>
    </row>
    <row r="47" spans="1:19" x14ac:dyDescent="0.25">
      <c r="A47" s="1">
        <v>48</v>
      </c>
      <c r="B47" s="9" t="s">
        <v>95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1215</v>
      </c>
      <c r="P47" s="1" t="s">
        <v>333</v>
      </c>
      <c r="Q47" s="1" t="s">
        <v>1205</v>
      </c>
      <c r="R47" s="1" t="s">
        <v>1206</v>
      </c>
      <c r="S47" s="1" t="s">
        <v>1207</v>
      </c>
    </row>
    <row r="48" spans="1:19" x14ac:dyDescent="0.25">
      <c r="A48" s="1">
        <v>49</v>
      </c>
      <c r="B48" s="9" t="s">
        <v>224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1216</v>
      </c>
      <c r="P48" s="1" t="s">
        <v>333</v>
      </c>
      <c r="Q48" s="1" t="s">
        <v>1205</v>
      </c>
      <c r="R48" s="1" t="s">
        <v>1206</v>
      </c>
      <c r="S48" s="1" t="s">
        <v>1207</v>
      </c>
    </row>
    <row r="49" spans="1:19" x14ac:dyDescent="0.25">
      <c r="A49" s="1">
        <v>50</v>
      </c>
      <c r="B49" s="9" t="s">
        <v>96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333</v>
      </c>
      <c r="P49" s="1" t="s">
        <v>333</v>
      </c>
      <c r="Q49" s="1" t="s">
        <v>1205</v>
      </c>
      <c r="R49" s="1" t="s">
        <v>1206</v>
      </c>
      <c r="S49" s="1" t="s">
        <v>1207</v>
      </c>
    </row>
    <row r="50" spans="1:19" x14ac:dyDescent="0.25">
      <c r="A50" s="1">
        <v>51</v>
      </c>
      <c r="B50" s="9" t="s">
        <v>1217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1188</v>
      </c>
      <c r="P50" s="1" t="s">
        <v>333</v>
      </c>
      <c r="Q50" s="1" t="s">
        <v>1205</v>
      </c>
      <c r="R50" s="1" t="s">
        <v>1206</v>
      </c>
      <c r="S50" s="1" t="s">
        <v>1207</v>
      </c>
    </row>
    <row r="51" spans="1:19" x14ac:dyDescent="0.25">
      <c r="A51" s="1">
        <v>52</v>
      </c>
      <c r="B51" s="9" t="s">
        <v>97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1188</v>
      </c>
      <c r="P51" s="1" t="s">
        <v>333</v>
      </c>
      <c r="Q51" s="1" t="s">
        <v>1205</v>
      </c>
      <c r="R51" s="1" t="s">
        <v>1206</v>
      </c>
      <c r="S51" s="1" t="s">
        <v>1207</v>
      </c>
    </row>
    <row r="52" spans="1:19" x14ac:dyDescent="0.25">
      <c r="A52" s="1">
        <v>53</v>
      </c>
      <c r="B52" s="9" t="s">
        <v>1711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1211</v>
      </c>
      <c r="P52" s="1" t="s">
        <v>333</v>
      </c>
      <c r="Q52" s="1" t="s">
        <v>1205</v>
      </c>
      <c r="R52" s="1" t="s">
        <v>1206</v>
      </c>
      <c r="S52" s="1" t="s">
        <v>1207</v>
      </c>
    </row>
    <row r="53" spans="1:19" x14ac:dyDescent="0.25">
      <c r="A53" s="1">
        <v>54</v>
      </c>
      <c r="B53" s="9" t="s">
        <v>98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1218</v>
      </c>
      <c r="P53" s="1" t="s">
        <v>333</v>
      </c>
      <c r="Q53" s="1" t="s">
        <v>1219</v>
      </c>
      <c r="R53" s="1" t="s">
        <v>1220</v>
      </c>
      <c r="S53" s="1" t="s">
        <v>1220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1221</v>
      </c>
      <c r="P54" s="1" t="s">
        <v>333</v>
      </c>
      <c r="Q54" s="1" t="s">
        <v>1194</v>
      </c>
      <c r="R54" s="1" t="s">
        <v>1219</v>
      </c>
      <c r="S54" s="1" t="s">
        <v>1222</v>
      </c>
    </row>
    <row r="55" spans="1:19" x14ac:dyDescent="0.25">
      <c r="A55" s="1">
        <v>56</v>
      </c>
      <c r="B55" s="9" t="s">
        <v>99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1223</v>
      </c>
      <c r="P55" s="1" t="s">
        <v>333</v>
      </c>
      <c r="Q55" s="1" t="s">
        <v>1224</v>
      </c>
      <c r="R55" s="1" t="s">
        <v>1224</v>
      </c>
      <c r="S55" s="1" t="s">
        <v>1219</v>
      </c>
    </row>
    <row r="56" spans="1:19" x14ac:dyDescent="0.25">
      <c r="A56" s="1">
        <v>57</v>
      </c>
      <c r="B56" s="9" t="s">
        <v>1712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1225</v>
      </c>
      <c r="P56" s="1" t="s">
        <v>333</v>
      </c>
      <c r="Q56" s="1" t="s">
        <v>1224</v>
      </c>
      <c r="R56" s="1" t="s">
        <v>1224</v>
      </c>
      <c r="S56" s="1" t="s">
        <v>1219</v>
      </c>
    </row>
    <row r="57" spans="1:19" x14ac:dyDescent="0.25">
      <c r="A57" s="1">
        <v>58</v>
      </c>
      <c r="B57" s="9" t="s">
        <v>1713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1188</v>
      </c>
      <c r="P57" s="1" t="s">
        <v>333</v>
      </c>
      <c r="Q57" s="1" t="s">
        <v>1194</v>
      </c>
      <c r="R57" s="1" t="s">
        <v>1219</v>
      </c>
      <c r="S57" s="1" t="s">
        <v>1193</v>
      </c>
    </row>
    <row r="58" spans="1:19" x14ac:dyDescent="0.25">
      <c r="A58" s="1">
        <v>59</v>
      </c>
      <c r="B58" s="9" t="s">
        <v>1714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1226</v>
      </c>
      <c r="P58" s="1" t="s">
        <v>1227</v>
      </c>
      <c r="Q58" s="1" t="s">
        <v>1193</v>
      </c>
      <c r="R58" s="1" t="s">
        <v>1180</v>
      </c>
      <c r="S58" s="1" t="s">
        <v>1194</v>
      </c>
    </row>
    <row r="59" spans="1:19" x14ac:dyDescent="0.25">
      <c r="A59" s="1">
        <v>60</v>
      </c>
      <c r="B59" s="9" t="s">
        <v>101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1228</v>
      </c>
      <c r="P59" s="1" t="s">
        <v>333</v>
      </c>
      <c r="Q59" s="1" t="s">
        <v>1194</v>
      </c>
      <c r="R59" s="1" t="s">
        <v>1219</v>
      </c>
      <c r="S59" s="1" t="s">
        <v>1193</v>
      </c>
    </row>
    <row r="60" spans="1:19" x14ac:dyDescent="0.25">
      <c r="A60" s="1">
        <v>61</v>
      </c>
      <c r="B60" s="9" t="s">
        <v>102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1182</v>
      </c>
      <c r="P60" s="1" t="s">
        <v>1229</v>
      </c>
      <c r="Q60" s="1" t="s">
        <v>1194</v>
      </c>
      <c r="R60" s="1" t="s">
        <v>1219</v>
      </c>
      <c r="S60" s="1" t="s">
        <v>1193</v>
      </c>
    </row>
    <row r="61" spans="1:19" x14ac:dyDescent="0.25">
      <c r="A61" s="1">
        <v>62</v>
      </c>
      <c r="B61" s="9" t="s">
        <v>744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1230</v>
      </c>
      <c r="P61" s="1" t="s">
        <v>333</v>
      </c>
      <c r="Q61" s="1" t="s">
        <v>1194</v>
      </c>
      <c r="R61" s="1" t="s">
        <v>1219</v>
      </c>
      <c r="S61" s="1" t="s">
        <v>1222</v>
      </c>
    </row>
    <row r="62" spans="1:19" x14ac:dyDescent="0.25">
      <c r="A62" s="1">
        <v>63</v>
      </c>
      <c r="B62" s="9" t="s">
        <v>1231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1182</v>
      </c>
      <c r="P62" s="1" t="s">
        <v>333</v>
      </c>
      <c r="Q62" s="1" t="s">
        <v>1194</v>
      </c>
      <c r="R62" s="1" t="s">
        <v>1219</v>
      </c>
      <c r="S62" s="1" t="s">
        <v>1193</v>
      </c>
    </row>
    <row r="63" spans="1:19" x14ac:dyDescent="0.25">
      <c r="A63" s="1">
        <v>64</v>
      </c>
      <c r="B63" s="9" t="s">
        <v>1232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333</v>
      </c>
      <c r="P63" s="1" t="s">
        <v>333</v>
      </c>
      <c r="Q63" s="1" t="s">
        <v>1194</v>
      </c>
      <c r="R63" s="1" t="s">
        <v>1219</v>
      </c>
      <c r="S63" s="1" t="s">
        <v>1193</v>
      </c>
    </row>
    <row r="64" spans="1:19" x14ac:dyDescent="0.25">
      <c r="A64" s="1">
        <v>65</v>
      </c>
      <c r="B64" s="9" t="s">
        <v>225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1233</v>
      </c>
      <c r="P64" s="1" t="s">
        <v>333</v>
      </c>
      <c r="Q64" s="1" t="s">
        <v>1194</v>
      </c>
      <c r="R64" s="1" t="s">
        <v>1219</v>
      </c>
      <c r="S64" s="1" t="s">
        <v>1222</v>
      </c>
    </row>
    <row r="65" spans="1:19" x14ac:dyDescent="0.25">
      <c r="A65" s="1">
        <v>66</v>
      </c>
      <c r="B65" s="9" t="s">
        <v>1715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1234</v>
      </c>
      <c r="P65" s="1" t="s">
        <v>333</v>
      </c>
      <c r="Q65" s="1" t="s">
        <v>1194</v>
      </c>
      <c r="R65" s="1" t="s">
        <v>1219</v>
      </c>
      <c r="S65" s="1" t="s">
        <v>1193</v>
      </c>
    </row>
    <row r="66" spans="1:19" x14ac:dyDescent="0.25">
      <c r="A66" s="1">
        <v>68</v>
      </c>
      <c r="B66" s="9" t="s">
        <v>103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1182</v>
      </c>
      <c r="P66" s="1" t="s">
        <v>333</v>
      </c>
      <c r="Q66" s="1" t="s">
        <v>1194</v>
      </c>
      <c r="R66" s="1" t="s">
        <v>1219</v>
      </c>
      <c r="S66" s="1" t="s">
        <v>1193</v>
      </c>
    </row>
    <row r="67" spans="1:19" x14ac:dyDescent="0.25">
      <c r="A67" s="1">
        <v>69</v>
      </c>
      <c r="B67" s="9" t="s">
        <v>719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1234</v>
      </c>
      <c r="P67" s="1" t="s">
        <v>333</v>
      </c>
      <c r="Q67" s="1" t="s">
        <v>1194</v>
      </c>
      <c r="R67" s="1" t="s">
        <v>1219</v>
      </c>
      <c r="S67" s="1" t="s">
        <v>1193</v>
      </c>
    </row>
    <row r="68" spans="1:19" x14ac:dyDescent="0.25">
      <c r="A68" s="1">
        <v>70</v>
      </c>
      <c r="B68" s="9" t="s">
        <v>1235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1188</v>
      </c>
      <c r="P68" s="1" t="s">
        <v>333</v>
      </c>
      <c r="Q68" s="1" t="s">
        <v>1194</v>
      </c>
      <c r="R68" s="1" t="s">
        <v>1219</v>
      </c>
      <c r="S68" s="1" t="s">
        <v>1193</v>
      </c>
    </row>
    <row r="69" spans="1:19" x14ac:dyDescent="0.25">
      <c r="A69" s="1">
        <v>71</v>
      </c>
      <c r="B69" s="9" t="s">
        <v>852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1188</v>
      </c>
      <c r="P69" s="1" t="s">
        <v>333</v>
      </c>
      <c r="Q69" s="1" t="s">
        <v>1194</v>
      </c>
      <c r="R69" s="1" t="s">
        <v>1219</v>
      </c>
      <c r="S69" s="1" t="s">
        <v>1222</v>
      </c>
    </row>
    <row r="70" spans="1:19" x14ac:dyDescent="0.25">
      <c r="A70" s="1">
        <v>72</v>
      </c>
      <c r="B70" s="9" t="s">
        <v>748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333</v>
      </c>
      <c r="P70" s="1" t="s">
        <v>333</v>
      </c>
      <c r="Q70" s="1" t="s">
        <v>1194</v>
      </c>
      <c r="R70" s="1" t="s">
        <v>1219</v>
      </c>
      <c r="S70" s="1" t="s">
        <v>1222</v>
      </c>
    </row>
    <row r="71" spans="1:19" x14ac:dyDescent="0.25">
      <c r="A71" s="1">
        <v>73</v>
      </c>
      <c r="B71" s="9" t="s">
        <v>104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1236</v>
      </c>
      <c r="P71" s="1" t="s">
        <v>333</v>
      </c>
      <c r="Q71" s="1" t="s">
        <v>1194</v>
      </c>
      <c r="R71" s="1" t="s">
        <v>1219</v>
      </c>
      <c r="S71" s="1" t="s">
        <v>1193</v>
      </c>
    </row>
    <row r="72" spans="1:19" x14ac:dyDescent="0.25">
      <c r="A72" s="1">
        <v>74</v>
      </c>
      <c r="B72" s="9" t="s">
        <v>754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1188</v>
      </c>
      <c r="P72" s="1" t="s">
        <v>333</v>
      </c>
      <c r="Q72" s="1" t="s">
        <v>1194</v>
      </c>
      <c r="R72" s="1" t="s">
        <v>1219</v>
      </c>
      <c r="S72" s="1" t="s">
        <v>1193</v>
      </c>
    </row>
    <row r="73" spans="1:19" x14ac:dyDescent="0.25">
      <c r="A73" s="1">
        <v>75</v>
      </c>
      <c r="B73" s="9" t="s">
        <v>105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1237</v>
      </c>
      <c r="P73" s="1" t="s">
        <v>333</v>
      </c>
      <c r="Q73" s="1" t="s">
        <v>1238</v>
      </c>
      <c r="R73" s="1" t="s">
        <v>1239</v>
      </c>
      <c r="S73" s="1" t="s">
        <v>1240</v>
      </c>
    </row>
    <row r="74" spans="1:19" x14ac:dyDescent="0.25">
      <c r="A74" s="1">
        <v>77</v>
      </c>
      <c r="B74" s="9" t="s">
        <v>802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1241</v>
      </c>
      <c r="P74" s="1" t="s">
        <v>333</v>
      </c>
      <c r="Q74" s="1" t="s">
        <v>1238</v>
      </c>
      <c r="R74" s="1" t="s">
        <v>1239</v>
      </c>
      <c r="S74" s="1" t="s">
        <v>1240</v>
      </c>
    </row>
    <row r="75" spans="1:19" x14ac:dyDescent="0.25">
      <c r="A75" s="1">
        <v>78</v>
      </c>
      <c r="B75" s="9" t="s">
        <v>106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1237</v>
      </c>
      <c r="P75" s="1" t="s">
        <v>333</v>
      </c>
      <c r="Q75" s="1" t="s">
        <v>1238</v>
      </c>
      <c r="R75" s="1" t="s">
        <v>1239</v>
      </c>
      <c r="S75" s="1" t="s">
        <v>1240</v>
      </c>
    </row>
    <row r="76" spans="1:19" x14ac:dyDescent="0.25">
      <c r="A76" s="1">
        <v>79</v>
      </c>
      <c r="B76" s="9" t="s">
        <v>1242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1241</v>
      </c>
      <c r="P76" s="1" t="s">
        <v>333</v>
      </c>
      <c r="Q76" s="1" t="s">
        <v>1238</v>
      </c>
      <c r="R76" s="1" t="s">
        <v>1239</v>
      </c>
      <c r="S76" s="1" t="s">
        <v>1240</v>
      </c>
    </row>
    <row r="77" spans="1:19" x14ac:dyDescent="0.25">
      <c r="A77" s="1">
        <v>80</v>
      </c>
      <c r="B77" s="9" t="s">
        <v>107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1241</v>
      </c>
      <c r="P77" s="1" t="s">
        <v>333</v>
      </c>
      <c r="Q77" s="1" t="s">
        <v>1238</v>
      </c>
      <c r="R77" s="1" t="s">
        <v>1239</v>
      </c>
      <c r="S77" s="1" t="s">
        <v>1240</v>
      </c>
    </row>
    <row r="78" spans="1:19" x14ac:dyDescent="0.25">
      <c r="A78" s="1">
        <v>81</v>
      </c>
      <c r="B78" s="9" t="s">
        <v>108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1243</v>
      </c>
      <c r="P78" s="1" t="s">
        <v>333</v>
      </c>
      <c r="Q78" s="1" t="s">
        <v>1238</v>
      </c>
      <c r="R78" s="1" t="s">
        <v>1239</v>
      </c>
      <c r="S78" s="1" t="s">
        <v>1240</v>
      </c>
    </row>
    <row r="79" spans="1:19" x14ac:dyDescent="0.25">
      <c r="A79" s="1">
        <v>82</v>
      </c>
      <c r="B79" s="9" t="s">
        <v>109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1241</v>
      </c>
      <c r="P79" s="1" t="s">
        <v>333</v>
      </c>
      <c r="Q79" s="1" t="s">
        <v>1238</v>
      </c>
      <c r="R79" s="1" t="s">
        <v>1239</v>
      </c>
      <c r="S79" s="1" t="s">
        <v>1240</v>
      </c>
    </row>
    <row r="80" spans="1:19" x14ac:dyDescent="0.25">
      <c r="A80" s="1">
        <v>84</v>
      </c>
      <c r="B80" s="9" t="s">
        <v>110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1241</v>
      </c>
      <c r="P80" s="1" t="s">
        <v>333</v>
      </c>
      <c r="Q80" s="1" t="s">
        <v>1238</v>
      </c>
      <c r="R80" s="1" t="s">
        <v>1239</v>
      </c>
      <c r="S80" s="1" t="s">
        <v>1244</v>
      </c>
    </row>
    <row r="81" spans="1:19" x14ac:dyDescent="0.25">
      <c r="A81" s="1">
        <v>85</v>
      </c>
      <c r="B81" s="9" t="s">
        <v>111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1237</v>
      </c>
      <c r="P81" s="1" t="s">
        <v>333</v>
      </c>
      <c r="Q81" s="1" t="s">
        <v>1238</v>
      </c>
      <c r="R81" s="1" t="s">
        <v>1239</v>
      </c>
      <c r="S81" s="1" t="s">
        <v>1240</v>
      </c>
    </row>
    <row r="82" spans="1:19" x14ac:dyDescent="0.25">
      <c r="A82" s="1">
        <v>86</v>
      </c>
      <c r="B82" s="9" t="s">
        <v>112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1241</v>
      </c>
      <c r="P82" s="1" t="s">
        <v>333</v>
      </c>
      <c r="Q82" s="1" t="s">
        <v>1238</v>
      </c>
      <c r="R82" s="1" t="s">
        <v>1239</v>
      </c>
      <c r="S82" s="1" t="s">
        <v>1240</v>
      </c>
    </row>
    <row r="83" spans="1:19" x14ac:dyDescent="0.25">
      <c r="A83" s="1">
        <v>87</v>
      </c>
      <c r="B83" s="9" t="s">
        <v>113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1241</v>
      </c>
      <c r="P83" s="1" t="s">
        <v>333</v>
      </c>
      <c r="Q83" s="1" t="s">
        <v>1238</v>
      </c>
      <c r="R83" s="1" t="s">
        <v>1239</v>
      </c>
      <c r="S83" s="1" t="s">
        <v>1240</v>
      </c>
    </row>
    <row r="84" spans="1:19" x14ac:dyDescent="0.25">
      <c r="A84" s="1">
        <v>88</v>
      </c>
      <c r="B84" s="9" t="s">
        <v>114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1237</v>
      </c>
      <c r="P84" s="1" t="s">
        <v>333</v>
      </c>
      <c r="Q84" s="1" t="s">
        <v>1238</v>
      </c>
      <c r="R84" s="1" t="s">
        <v>1239</v>
      </c>
      <c r="S84" s="1" t="s">
        <v>1240</v>
      </c>
    </row>
    <row r="85" spans="1:19" x14ac:dyDescent="0.25">
      <c r="A85" s="1">
        <v>89</v>
      </c>
      <c r="B85" s="9" t="s">
        <v>115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1241</v>
      </c>
      <c r="P85" s="1" t="s">
        <v>333</v>
      </c>
      <c r="Q85" s="1" t="s">
        <v>1238</v>
      </c>
      <c r="R85" s="1" t="s">
        <v>1239</v>
      </c>
      <c r="S85" s="1" t="s">
        <v>1240</v>
      </c>
    </row>
    <row r="86" spans="1:19" x14ac:dyDescent="0.25">
      <c r="A86" s="1">
        <v>90</v>
      </c>
      <c r="B86" s="9" t="s">
        <v>1245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1188</v>
      </c>
      <c r="P86" s="1" t="s">
        <v>333</v>
      </c>
      <c r="Q86" s="1" t="s">
        <v>1179</v>
      </c>
      <c r="R86" s="1" t="s">
        <v>1180</v>
      </c>
      <c r="S86" s="1" t="s">
        <v>1181</v>
      </c>
    </row>
    <row r="87" spans="1:19" x14ac:dyDescent="0.25">
      <c r="A87" s="1">
        <v>91</v>
      </c>
      <c r="B87" s="9" t="s">
        <v>1716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1246</v>
      </c>
      <c r="P87" s="1" t="s">
        <v>333</v>
      </c>
      <c r="Q87" s="1" t="s">
        <v>1179</v>
      </c>
      <c r="R87" s="1" t="s">
        <v>1180</v>
      </c>
      <c r="S87" s="1" t="s">
        <v>1181</v>
      </c>
    </row>
    <row r="88" spans="1:19" x14ac:dyDescent="0.25">
      <c r="A88" s="1">
        <v>92</v>
      </c>
      <c r="B88" s="9" t="s">
        <v>116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1188</v>
      </c>
      <c r="P88" s="1" t="s">
        <v>333</v>
      </c>
      <c r="Q88" s="1" t="s">
        <v>1193</v>
      </c>
      <c r="R88" s="1" t="s">
        <v>1180</v>
      </c>
      <c r="S88" s="1" t="s">
        <v>1194</v>
      </c>
    </row>
    <row r="89" spans="1:19" x14ac:dyDescent="0.25">
      <c r="A89" s="1">
        <v>93</v>
      </c>
      <c r="B89" s="9" t="s">
        <v>117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1247</v>
      </c>
      <c r="P89" s="1" t="s">
        <v>333</v>
      </c>
      <c r="Q89" s="1" t="s">
        <v>1193</v>
      </c>
      <c r="R89" s="1" t="s">
        <v>1180</v>
      </c>
      <c r="S89" s="1" t="s">
        <v>1194</v>
      </c>
    </row>
    <row r="90" spans="1:19" x14ac:dyDescent="0.25">
      <c r="A90" s="1">
        <v>94</v>
      </c>
      <c r="B90" s="9" t="s">
        <v>118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1182</v>
      </c>
      <c r="P90" s="1" t="s">
        <v>333</v>
      </c>
      <c r="Q90" s="1" t="s">
        <v>1193</v>
      </c>
      <c r="R90" s="1" t="s">
        <v>1180</v>
      </c>
      <c r="S90" s="1" t="s">
        <v>1194</v>
      </c>
    </row>
    <row r="91" spans="1:19" x14ac:dyDescent="0.25">
      <c r="A91" s="1">
        <v>95</v>
      </c>
      <c r="B91" s="9" t="s">
        <v>119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1248</v>
      </c>
      <c r="P91" s="1" t="s">
        <v>333</v>
      </c>
      <c r="Q91" s="1" t="s">
        <v>1205</v>
      </c>
      <c r="R91" s="1" t="s">
        <v>1206</v>
      </c>
      <c r="S91" s="1" t="s">
        <v>1207</v>
      </c>
    </row>
    <row r="92" spans="1:19" x14ac:dyDescent="0.25">
      <c r="A92" s="1">
        <v>96</v>
      </c>
      <c r="B92" s="9" t="s">
        <v>120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333</v>
      </c>
      <c r="P92" s="1" t="s">
        <v>1249</v>
      </c>
      <c r="Q92" s="1" t="s">
        <v>1179</v>
      </c>
      <c r="R92" s="1" t="s">
        <v>1180</v>
      </c>
      <c r="S92" s="1" t="s">
        <v>1181</v>
      </c>
    </row>
    <row r="93" spans="1:19" x14ac:dyDescent="0.25">
      <c r="A93" s="1">
        <v>97</v>
      </c>
      <c r="B93" s="9" t="s">
        <v>121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333</v>
      </c>
      <c r="P93" s="1" t="s">
        <v>333</v>
      </c>
      <c r="Q93" s="1" t="s">
        <v>1179</v>
      </c>
      <c r="R93" s="1" t="s">
        <v>1180</v>
      </c>
      <c r="S93" s="1" t="s">
        <v>1181</v>
      </c>
    </row>
    <row r="94" spans="1:19" x14ac:dyDescent="0.25">
      <c r="A94" s="1">
        <v>98</v>
      </c>
      <c r="B94" s="9" t="s">
        <v>1717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333</v>
      </c>
      <c r="P94" s="1" t="s">
        <v>333</v>
      </c>
      <c r="Q94" s="1" t="s">
        <v>1179</v>
      </c>
      <c r="R94" s="1" t="s">
        <v>1180</v>
      </c>
      <c r="S94" s="1" t="s">
        <v>1181</v>
      </c>
    </row>
    <row r="95" spans="1:19" x14ac:dyDescent="0.25">
      <c r="A95" s="1">
        <v>99</v>
      </c>
      <c r="B95" s="9" t="s">
        <v>1250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333</v>
      </c>
      <c r="P95" s="1" t="s">
        <v>333</v>
      </c>
      <c r="Q95" s="1" t="s">
        <v>1179</v>
      </c>
      <c r="R95" s="1" t="s">
        <v>1180</v>
      </c>
      <c r="S95" s="1" t="s">
        <v>1181</v>
      </c>
    </row>
    <row r="96" spans="1:19" x14ac:dyDescent="0.25">
      <c r="A96" s="1">
        <v>100</v>
      </c>
      <c r="B96" s="9" t="s">
        <v>122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333</v>
      </c>
      <c r="P96" s="1" t="s">
        <v>333</v>
      </c>
      <c r="Q96" s="1" t="s">
        <v>1179</v>
      </c>
      <c r="R96" s="1" t="s">
        <v>1180</v>
      </c>
      <c r="S96" s="1" t="s">
        <v>1181</v>
      </c>
    </row>
    <row r="97" spans="1:19" x14ac:dyDescent="0.25">
      <c r="A97" s="1">
        <v>101</v>
      </c>
      <c r="B97" s="9" t="s">
        <v>123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1251</v>
      </c>
      <c r="P97" s="1" t="s">
        <v>333</v>
      </c>
      <c r="Q97" s="1" t="s">
        <v>1193</v>
      </c>
      <c r="R97" s="1" t="s">
        <v>1180</v>
      </c>
      <c r="S97" s="1" t="s">
        <v>1194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1252</v>
      </c>
      <c r="P98" s="1" t="s">
        <v>333</v>
      </c>
      <c r="Q98" s="1" t="s">
        <v>1193</v>
      </c>
      <c r="R98" s="1" t="s">
        <v>1180</v>
      </c>
      <c r="S98" s="1" t="s">
        <v>1194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1253</v>
      </c>
      <c r="P99" s="1" t="s">
        <v>333</v>
      </c>
      <c r="Q99" s="1" t="s">
        <v>1193</v>
      </c>
      <c r="R99" s="1" t="s">
        <v>1180</v>
      </c>
      <c r="S99" s="1" t="s">
        <v>1194</v>
      </c>
    </row>
    <row r="100" spans="1:19" x14ac:dyDescent="0.25">
      <c r="A100" s="1">
        <v>104</v>
      </c>
      <c r="B100" s="9" t="s">
        <v>1699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333</v>
      </c>
      <c r="P100" s="1" t="s">
        <v>333</v>
      </c>
      <c r="Q100" s="1" t="s">
        <v>1193</v>
      </c>
      <c r="R100" s="1" t="s">
        <v>1180</v>
      </c>
      <c r="S100" s="1" t="s">
        <v>1194</v>
      </c>
    </row>
    <row r="101" spans="1:19" x14ac:dyDescent="0.25">
      <c r="A101" s="1">
        <v>105</v>
      </c>
      <c r="B101" s="9" t="s">
        <v>736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1188</v>
      </c>
      <c r="P101" s="1" t="s">
        <v>333</v>
      </c>
      <c r="Q101" s="1" t="s">
        <v>1194</v>
      </c>
      <c r="R101" s="1" t="s">
        <v>1219</v>
      </c>
      <c r="S101" s="1" t="s">
        <v>1193</v>
      </c>
    </row>
    <row r="102" spans="1:19" x14ac:dyDescent="0.25">
      <c r="A102" s="1">
        <v>106</v>
      </c>
      <c r="B102" s="9" t="s">
        <v>124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1234</v>
      </c>
      <c r="P102" s="1" t="s">
        <v>1254</v>
      </c>
      <c r="Q102" s="1" t="s">
        <v>1194</v>
      </c>
      <c r="R102" s="1" t="s">
        <v>1219</v>
      </c>
      <c r="S102" s="1" t="s">
        <v>1193</v>
      </c>
    </row>
    <row r="103" spans="1:19" x14ac:dyDescent="0.25">
      <c r="A103" s="1">
        <v>107</v>
      </c>
      <c r="B103" s="9" t="s">
        <v>1255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1188</v>
      </c>
      <c r="P103" s="1" t="s">
        <v>333</v>
      </c>
      <c r="Q103" s="1" t="s">
        <v>1194</v>
      </c>
      <c r="R103" s="1" t="s">
        <v>1219</v>
      </c>
      <c r="S103" s="1" t="s">
        <v>1193</v>
      </c>
    </row>
    <row r="104" spans="1:19" x14ac:dyDescent="0.25">
      <c r="A104" s="1">
        <v>108</v>
      </c>
      <c r="B104" s="9" t="s">
        <v>1718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1182</v>
      </c>
      <c r="P104" s="1" t="s">
        <v>333</v>
      </c>
      <c r="Q104" s="1" t="s">
        <v>1194</v>
      </c>
      <c r="R104" s="1" t="s">
        <v>1219</v>
      </c>
      <c r="S104" s="1" t="s">
        <v>1193</v>
      </c>
    </row>
    <row r="105" spans="1:19" x14ac:dyDescent="0.25">
      <c r="A105" s="1">
        <v>109</v>
      </c>
      <c r="B105" s="9" t="s">
        <v>305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1237</v>
      </c>
      <c r="P105" s="1" t="s">
        <v>333</v>
      </c>
      <c r="Q105" s="1" t="s">
        <v>1238</v>
      </c>
      <c r="R105" s="1" t="s">
        <v>1239</v>
      </c>
      <c r="S105" s="1" t="s">
        <v>1240</v>
      </c>
    </row>
    <row r="106" spans="1:19" x14ac:dyDescent="0.25">
      <c r="A106" s="1">
        <v>110</v>
      </c>
      <c r="B106" s="9" t="s">
        <v>125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1241</v>
      </c>
      <c r="P106" s="1" t="s">
        <v>333</v>
      </c>
      <c r="Q106" s="1" t="s">
        <v>1238</v>
      </c>
      <c r="R106" s="1" t="s">
        <v>1239</v>
      </c>
      <c r="S106" s="1" t="s">
        <v>1240</v>
      </c>
    </row>
    <row r="107" spans="1:19" x14ac:dyDescent="0.25">
      <c r="A107" s="1">
        <v>111</v>
      </c>
      <c r="B107" s="9" t="s">
        <v>1719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1241</v>
      </c>
      <c r="P107" s="1" t="s">
        <v>333</v>
      </c>
      <c r="Q107" s="1" t="s">
        <v>1238</v>
      </c>
      <c r="R107" s="1" t="s">
        <v>1239</v>
      </c>
      <c r="S107" s="1" t="s">
        <v>1240</v>
      </c>
    </row>
    <row r="108" spans="1:19" x14ac:dyDescent="0.25">
      <c r="A108" s="1">
        <v>112</v>
      </c>
      <c r="B108" s="9" t="s">
        <v>126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1256</v>
      </c>
      <c r="P108" s="1" t="s">
        <v>333</v>
      </c>
      <c r="Q108" s="1" t="s">
        <v>1238</v>
      </c>
      <c r="R108" s="1" t="s">
        <v>1239</v>
      </c>
      <c r="S108" s="1" t="s">
        <v>1240</v>
      </c>
    </row>
    <row r="109" spans="1:19" x14ac:dyDescent="0.25">
      <c r="A109" s="1">
        <v>113</v>
      </c>
      <c r="B109" s="9" t="s">
        <v>759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1188</v>
      </c>
      <c r="P109" s="1" t="s">
        <v>333</v>
      </c>
      <c r="Q109" s="1" t="s">
        <v>1179</v>
      </c>
      <c r="R109" s="1" t="s">
        <v>1180</v>
      </c>
      <c r="S109" s="1" t="s">
        <v>1181</v>
      </c>
    </row>
    <row r="110" spans="1:19" x14ac:dyDescent="0.25">
      <c r="A110" s="1">
        <v>114</v>
      </c>
      <c r="B110" s="9" t="s">
        <v>848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333</v>
      </c>
      <c r="P110" s="1" t="s">
        <v>333</v>
      </c>
      <c r="Q110" s="1" t="s">
        <v>1179</v>
      </c>
      <c r="R110" s="1" t="s">
        <v>1180</v>
      </c>
      <c r="S110" s="1" t="s">
        <v>1181</v>
      </c>
    </row>
    <row r="111" spans="1:19" x14ac:dyDescent="0.25">
      <c r="A111" s="1">
        <v>115</v>
      </c>
      <c r="B111" s="9" t="s">
        <v>127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1257</v>
      </c>
      <c r="P111" s="1" t="s">
        <v>333</v>
      </c>
      <c r="Q111" s="1" t="s">
        <v>1193</v>
      </c>
      <c r="R111" s="1" t="s">
        <v>1180</v>
      </c>
      <c r="S111" s="1" t="s">
        <v>1194</v>
      </c>
    </row>
    <row r="112" spans="1:19" x14ac:dyDescent="0.25">
      <c r="A112" s="1">
        <v>116</v>
      </c>
      <c r="B112" s="9" t="s">
        <v>1720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1182</v>
      </c>
      <c r="P112" s="1" t="s">
        <v>333</v>
      </c>
      <c r="Q112" s="1" t="s">
        <v>1193</v>
      </c>
      <c r="R112" s="1" t="s">
        <v>1180</v>
      </c>
      <c r="S112" s="1" t="s">
        <v>1194</v>
      </c>
    </row>
    <row r="113" spans="1:19" x14ac:dyDescent="0.25">
      <c r="A113" s="1">
        <v>117</v>
      </c>
      <c r="B113" s="9" t="s">
        <v>1721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1208</v>
      </c>
      <c r="P113" s="1" t="s">
        <v>333</v>
      </c>
      <c r="Q113" s="1" t="s">
        <v>1205</v>
      </c>
      <c r="R113" s="1" t="s">
        <v>1206</v>
      </c>
      <c r="S113" s="1" t="s">
        <v>1207</v>
      </c>
    </row>
    <row r="114" spans="1:19" x14ac:dyDescent="0.25">
      <c r="A114" s="1">
        <v>118</v>
      </c>
      <c r="B114" s="9" t="s">
        <v>726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1258</v>
      </c>
      <c r="P114" s="1" t="s">
        <v>333</v>
      </c>
      <c r="Q114" s="1" t="s">
        <v>1194</v>
      </c>
      <c r="R114" s="1" t="s">
        <v>1219</v>
      </c>
      <c r="S114" s="1" t="s">
        <v>1193</v>
      </c>
    </row>
    <row r="115" spans="1:19" x14ac:dyDescent="0.25">
      <c r="A115" s="1">
        <v>119</v>
      </c>
      <c r="B115" s="9" t="s">
        <v>1722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333</v>
      </c>
      <c r="P115" s="1" t="s">
        <v>333</v>
      </c>
      <c r="Q115" s="1" t="s">
        <v>1194</v>
      </c>
      <c r="R115" s="1" t="s">
        <v>1219</v>
      </c>
      <c r="S115" s="1" t="s">
        <v>1193</v>
      </c>
    </row>
    <row r="116" spans="1:19" x14ac:dyDescent="0.25">
      <c r="A116" s="1">
        <v>120</v>
      </c>
      <c r="B116" s="9" t="s">
        <v>1723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1182</v>
      </c>
      <c r="P116" s="1" t="s">
        <v>333</v>
      </c>
      <c r="Q116" s="1" t="s">
        <v>1194</v>
      </c>
      <c r="R116" s="1" t="s">
        <v>1219</v>
      </c>
      <c r="S116" s="1" t="s">
        <v>1193</v>
      </c>
    </row>
    <row r="117" spans="1:19" x14ac:dyDescent="0.25">
      <c r="A117" s="1">
        <v>121</v>
      </c>
      <c r="B117" s="9" t="s">
        <v>128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1237</v>
      </c>
      <c r="P117" s="1" t="s">
        <v>333</v>
      </c>
      <c r="Q117" s="1" t="s">
        <v>1238</v>
      </c>
      <c r="R117" s="1" t="s">
        <v>1239</v>
      </c>
      <c r="S117" s="1" t="s">
        <v>1240</v>
      </c>
    </row>
    <row r="118" spans="1:19" x14ac:dyDescent="0.25">
      <c r="A118" s="1">
        <v>122</v>
      </c>
      <c r="B118" s="9" t="s">
        <v>1259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1260</v>
      </c>
      <c r="P118" s="1" t="s">
        <v>333</v>
      </c>
      <c r="Q118" s="1" t="s">
        <v>1194</v>
      </c>
      <c r="R118" s="1" t="s">
        <v>1219</v>
      </c>
      <c r="S118" s="1" t="s">
        <v>1222</v>
      </c>
    </row>
    <row r="119" spans="1:19" x14ac:dyDescent="0.25">
      <c r="A119" s="1">
        <v>123</v>
      </c>
      <c r="B119" s="9" t="s">
        <v>129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1188</v>
      </c>
      <c r="P119" s="1" t="s">
        <v>333</v>
      </c>
      <c r="Q119" s="1" t="s">
        <v>1179</v>
      </c>
      <c r="R119" s="1" t="s">
        <v>1180</v>
      </c>
      <c r="S119" s="1" t="s">
        <v>1181</v>
      </c>
    </row>
    <row r="120" spans="1:19" x14ac:dyDescent="0.25">
      <c r="A120" s="1">
        <v>124</v>
      </c>
      <c r="B120" s="9" t="s">
        <v>130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1261</v>
      </c>
      <c r="P120" s="1" t="s">
        <v>333</v>
      </c>
      <c r="Q120" s="1" t="s">
        <v>1205</v>
      </c>
      <c r="R120" s="1" t="s">
        <v>1206</v>
      </c>
      <c r="S120" s="1" t="s">
        <v>1207</v>
      </c>
    </row>
    <row r="121" spans="1:19" x14ac:dyDescent="0.25">
      <c r="A121" s="1">
        <v>125</v>
      </c>
      <c r="B121" s="9" t="s">
        <v>304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1262</v>
      </c>
      <c r="P121" s="1" t="s">
        <v>333</v>
      </c>
      <c r="Q121" s="1" t="s">
        <v>1238</v>
      </c>
      <c r="R121" s="1" t="s">
        <v>1239</v>
      </c>
      <c r="S121" s="1" t="s">
        <v>1240</v>
      </c>
    </row>
    <row r="122" spans="1:19" x14ac:dyDescent="0.25">
      <c r="A122" s="1">
        <v>126</v>
      </c>
      <c r="B122" s="9" t="s">
        <v>131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333</v>
      </c>
      <c r="P122" s="1" t="s">
        <v>333</v>
      </c>
      <c r="Q122" s="1" t="s">
        <v>1179</v>
      </c>
      <c r="R122" s="1" t="s">
        <v>1180</v>
      </c>
      <c r="S122" s="1" t="s">
        <v>1181</v>
      </c>
    </row>
    <row r="123" spans="1:19" x14ac:dyDescent="0.25">
      <c r="A123" s="1">
        <v>127</v>
      </c>
      <c r="B123" s="9" t="s">
        <v>226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1263</v>
      </c>
      <c r="P123" s="1" t="s">
        <v>333</v>
      </c>
      <c r="Q123" s="1" t="s">
        <v>1193</v>
      </c>
      <c r="R123" s="1" t="s">
        <v>1180</v>
      </c>
      <c r="S123" s="1" t="s">
        <v>1194</v>
      </c>
    </row>
    <row r="124" spans="1:19" x14ac:dyDescent="0.25">
      <c r="A124" s="1">
        <v>128</v>
      </c>
      <c r="B124" s="9" t="s">
        <v>132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1211</v>
      </c>
      <c r="P124" s="1" t="s">
        <v>333</v>
      </c>
      <c r="Q124" s="1" t="s">
        <v>1205</v>
      </c>
      <c r="R124" s="1" t="s">
        <v>1206</v>
      </c>
      <c r="S124" s="1" t="s">
        <v>1207</v>
      </c>
    </row>
    <row r="125" spans="1:19" x14ac:dyDescent="0.25">
      <c r="A125" s="1">
        <v>129</v>
      </c>
      <c r="B125" s="9" t="s">
        <v>133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1264</v>
      </c>
      <c r="P125" s="1" t="s">
        <v>333</v>
      </c>
      <c r="Q125" s="1" t="s">
        <v>1194</v>
      </c>
      <c r="R125" s="1" t="s">
        <v>1219</v>
      </c>
      <c r="S125" s="1" t="s">
        <v>1193</v>
      </c>
    </row>
    <row r="126" spans="1:19" x14ac:dyDescent="0.25">
      <c r="A126" s="1">
        <v>130</v>
      </c>
      <c r="B126" s="9" t="s">
        <v>134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1264</v>
      </c>
      <c r="P126" s="1" t="s">
        <v>333</v>
      </c>
      <c r="Q126" s="1" t="s">
        <v>1194</v>
      </c>
      <c r="R126" s="1" t="s">
        <v>1219</v>
      </c>
      <c r="S126" s="1" t="s">
        <v>1193</v>
      </c>
    </row>
    <row r="127" spans="1:19" x14ac:dyDescent="0.25">
      <c r="A127" s="1">
        <v>131</v>
      </c>
      <c r="B127" s="9" t="s">
        <v>135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1182</v>
      </c>
      <c r="P127" s="1" t="s">
        <v>333</v>
      </c>
      <c r="Q127" s="1" t="s">
        <v>1193</v>
      </c>
      <c r="R127" s="1" t="s">
        <v>1180</v>
      </c>
      <c r="S127" s="1" t="s">
        <v>1194</v>
      </c>
    </row>
    <row r="128" spans="1:19" x14ac:dyDescent="0.25">
      <c r="A128" s="1">
        <v>132</v>
      </c>
      <c r="B128" s="9" t="s">
        <v>227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1188</v>
      </c>
      <c r="P128" s="1" t="s">
        <v>333</v>
      </c>
      <c r="Q128" s="1" t="s">
        <v>1179</v>
      </c>
      <c r="R128" s="1" t="s">
        <v>1180</v>
      </c>
      <c r="S128" s="1" t="s">
        <v>1181</v>
      </c>
    </row>
    <row r="129" spans="1:19" x14ac:dyDescent="0.25">
      <c r="A129" s="1">
        <v>133</v>
      </c>
      <c r="B129" s="9" t="s">
        <v>136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1188</v>
      </c>
      <c r="P129" s="1" t="s">
        <v>333</v>
      </c>
      <c r="Q129" s="1" t="s">
        <v>1194</v>
      </c>
      <c r="R129" s="1" t="s">
        <v>1219</v>
      </c>
      <c r="S129" s="1" t="s">
        <v>1193</v>
      </c>
    </row>
    <row r="130" spans="1:19" x14ac:dyDescent="0.25">
      <c r="A130" s="1">
        <v>134</v>
      </c>
      <c r="B130" s="9" t="s">
        <v>137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1182</v>
      </c>
      <c r="P130" s="1" t="s">
        <v>333</v>
      </c>
      <c r="Q130" s="1" t="s">
        <v>1194</v>
      </c>
      <c r="R130" s="1" t="s">
        <v>1219</v>
      </c>
      <c r="S130" s="1" t="s">
        <v>1193</v>
      </c>
    </row>
    <row r="131" spans="1:19" x14ac:dyDescent="0.25">
      <c r="A131" s="1">
        <v>135</v>
      </c>
      <c r="B131" s="9" t="s">
        <v>1724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333</v>
      </c>
      <c r="P131" s="1" t="s">
        <v>333</v>
      </c>
      <c r="Q131" s="1" t="s">
        <v>1193</v>
      </c>
      <c r="R131" s="1" t="s">
        <v>1180</v>
      </c>
      <c r="S131" s="1" t="s">
        <v>1194</v>
      </c>
    </row>
    <row r="132" spans="1:19" x14ac:dyDescent="0.25">
      <c r="A132" s="1">
        <v>136</v>
      </c>
      <c r="B132" s="9" t="s">
        <v>1725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1234</v>
      </c>
      <c r="P132" s="1" t="s">
        <v>333</v>
      </c>
      <c r="Q132" s="1" t="s">
        <v>1193</v>
      </c>
      <c r="R132" s="1" t="s">
        <v>1180</v>
      </c>
      <c r="S132" s="1" t="s">
        <v>1194</v>
      </c>
    </row>
    <row r="133" spans="1:19" x14ac:dyDescent="0.25">
      <c r="A133" s="1">
        <v>137</v>
      </c>
      <c r="B133" s="9" t="s">
        <v>228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333</v>
      </c>
      <c r="P133" s="1" t="s">
        <v>333</v>
      </c>
      <c r="Q133" s="1" t="s">
        <v>1193</v>
      </c>
      <c r="R133" s="1" t="s">
        <v>1180</v>
      </c>
      <c r="S133" s="1" t="s">
        <v>1194</v>
      </c>
    </row>
    <row r="134" spans="1:19" x14ac:dyDescent="0.25">
      <c r="A134" s="1">
        <v>138</v>
      </c>
      <c r="B134" s="9" t="s">
        <v>138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1188</v>
      </c>
      <c r="P134" s="1" t="s">
        <v>333</v>
      </c>
      <c r="Q134" s="1" t="s">
        <v>1194</v>
      </c>
      <c r="R134" s="1" t="s">
        <v>1265</v>
      </c>
      <c r="S134" s="1" t="s">
        <v>1193</v>
      </c>
    </row>
    <row r="135" spans="1:19" x14ac:dyDescent="0.25">
      <c r="A135" s="1">
        <v>139</v>
      </c>
      <c r="B135" s="9" t="s">
        <v>139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1188</v>
      </c>
      <c r="P135" s="1" t="s">
        <v>333</v>
      </c>
      <c r="Q135" s="1" t="s">
        <v>1179</v>
      </c>
      <c r="R135" s="1" t="s">
        <v>1180</v>
      </c>
      <c r="S135" s="1" t="s">
        <v>1181</v>
      </c>
    </row>
    <row r="136" spans="1:19" x14ac:dyDescent="0.25">
      <c r="A136" s="1">
        <v>140</v>
      </c>
      <c r="B136" s="9" t="s">
        <v>140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1188</v>
      </c>
      <c r="P136" s="1" t="s">
        <v>333</v>
      </c>
      <c r="Q136" s="1" t="s">
        <v>1179</v>
      </c>
      <c r="R136" s="1" t="s">
        <v>1180</v>
      </c>
      <c r="S136" s="1" t="s">
        <v>1181</v>
      </c>
    </row>
    <row r="137" spans="1:19" x14ac:dyDescent="0.25">
      <c r="A137" s="1">
        <v>141</v>
      </c>
      <c r="B137" s="9" t="s">
        <v>1266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1188</v>
      </c>
      <c r="P137" s="1" t="s">
        <v>333</v>
      </c>
      <c r="Q137" s="1" t="s">
        <v>1179</v>
      </c>
      <c r="R137" s="1" t="s">
        <v>1180</v>
      </c>
      <c r="S137" s="1" t="s">
        <v>1181</v>
      </c>
    </row>
    <row r="138" spans="1:19" x14ac:dyDescent="0.25">
      <c r="A138" s="1">
        <v>142</v>
      </c>
      <c r="B138" s="9" t="s">
        <v>1726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333</v>
      </c>
      <c r="P138" s="1" t="s">
        <v>333</v>
      </c>
      <c r="Q138" s="1" t="s">
        <v>1179</v>
      </c>
      <c r="R138" s="1" t="s">
        <v>1180</v>
      </c>
      <c r="S138" s="1" t="s">
        <v>1181</v>
      </c>
    </row>
    <row r="139" spans="1:19" x14ac:dyDescent="0.25">
      <c r="A139" s="1">
        <v>143</v>
      </c>
      <c r="B139" s="9" t="s">
        <v>141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1267</v>
      </c>
      <c r="P139" s="1" t="s">
        <v>333</v>
      </c>
      <c r="Q139" s="1" t="s">
        <v>1222</v>
      </c>
      <c r="R139" s="1" t="s">
        <v>1180</v>
      </c>
      <c r="S139" s="1" t="s">
        <v>1194</v>
      </c>
    </row>
    <row r="140" spans="1:19" x14ac:dyDescent="0.25">
      <c r="A140" s="1">
        <v>144</v>
      </c>
      <c r="B140" s="9" t="s">
        <v>1727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1182</v>
      </c>
      <c r="P140" s="1" t="s">
        <v>333</v>
      </c>
      <c r="Q140" s="1" t="s">
        <v>1193</v>
      </c>
      <c r="R140" s="1" t="s">
        <v>1180</v>
      </c>
      <c r="S140" s="1" t="s">
        <v>1194</v>
      </c>
    </row>
    <row r="141" spans="1:19" x14ac:dyDescent="0.25">
      <c r="A141" s="1">
        <v>145</v>
      </c>
      <c r="B141" s="9" t="s">
        <v>1728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1268</v>
      </c>
      <c r="P141" s="1" t="s">
        <v>333</v>
      </c>
      <c r="Q141" s="1" t="s">
        <v>1205</v>
      </c>
      <c r="R141" s="1" t="s">
        <v>1206</v>
      </c>
      <c r="S141" s="1" t="s">
        <v>1207</v>
      </c>
    </row>
    <row r="142" spans="1:19" x14ac:dyDescent="0.25">
      <c r="A142" s="1">
        <v>146</v>
      </c>
      <c r="B142" s="9" t="s">
        <v>229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1269</v>
      </c>
      <c r="P142" s="1" t="s">
        <v>333</v>
      </c>
      <c r="Q142" s="1" t="s">
        <v>1205</v>
      </c>
      <c r="R142" s="1" t="s">
        <v>1206</v>
      </c>
      <c r="S142" s="1" t="s">
        <v>1207</v>
      </c>
    </row>
    <row r="143" spans="1:19" x14ac:dyDescent="0.25">
      <c r="A143" s="1">
        <v>147</v>
      </c>
      <c r="B143" s="9" t="s">
        <v>142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1188</v>
      </c>
      <c r="P143" s="1" t="s">
        <v>333</v>
      </c>
      <c r="Q143" s="1" t="s">
        <v>1205</v>
      </c>
      <c r="R143" s="1" t="s">
        <v>1206</v>
      </c>
      <c r="S143" s="1" t="s">
        <v>1207</v>
      </c>
    </row>
    <row r="144" spans="1:19" x14ac:dyDescent="0.25">
      <c r="A144" s="1">
        <v>148</v>
      </c>
      <c r="B144" s="9" t="s">
        <v>143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1270</v>
      </c>
      <c r="P144" s="1" t="s">
        <v>333</v>
      </c>
      <c r="Q144" s="1" t="s">
        <v>1205</v>
      </c>
      <c r="R144" s="1" t="s">
        <v>1206</v>
      </c>
      <c r="S144" s="1" t="s">
        <v>1207</v>
      </c>
    </row>
    <row r="145" spans="1:19" x14ac:dyDescent="0.25">
      <c r="A145" s="1">
        <v>149</v>
      </c>
      <c r="B145" s="9" t="s">
        <v>1729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1237</v>
      </c>
      <c r="P145" s="1" t="s">
        <v>333</v>
      </c>
      <c r="Q145" s="1" t="s">
        <v>1238</v>
      </c>
      <c r="R145" s="1" t="s">
        <v>1239</v>
      </c>
      <c r="S145" s="1" t="s">
        <v>1240</v>
      </c>
    </row>
    <row r="146" spans="1:19" x14ac:dyDescent="0.25">
      <c r="A146" s="1">
        <v>150</v>
      </c>
      <c r="B146" s="9" t="s">
        <v>144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1271</v>
      </c>
      <c r="P146" s="1" t="s">
        <v>333</v>
      </c>
      <c r="Q146" s="1" t="s">
        <v>1193</v>
      </c>
      <c r="R146" s="1" t="s">
        <v>1180</v>
      </c>
      <c r="S146" s="1" t="s">
        <v>1194</v>
      </c>
    </row>
    <row r="147" spans="1:19" x14ac:dyDescent="0.25">
      <c r="A147" s="1">
        <v>151</v>
      </c>
      <c r="B147" s="9" t="s">
        <v>145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1272</v>
      </c>
      <c r="P147" s="1" t="s">
        <v>333</v>
      </c>
      <c r="Q147" s="1" t="s">
        <v>1273</v>
      </c>
      <c r="R147" s="1" t="s">
        <v>1274</v>
      </c>
      <c r="S147" s="1" t="s">
        <v>1275</v>
      </c>
    </row>
    <row r="148" spans="1:19" x14ac:dyDescent="0.25">
      <c r="A148" s="1">
        <v>152</v>
      </c>
      <c r="B148" s="9" t="s">
        <v>146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1276</v>
      </c>
      <c r="P148" s="1" t="s">
        <v>333</v>
      </c>
      <c r="Q148" s="1" t="s">
        <v>1273</v>
      </c>
      <c r="R148" s="1" t="s">
        <v>1274</v>
      </c>
      <c r="S148" s="1" t="s">
        <v>1275</v>
      </c>
    </row>
    <row r="149" spans="1:19" x14ac:dyDescent="0.25">
      <c r="A149" s="1">
        <v>153</v>
      </c>
      <c r="B149" s="9" t="s">
        <v>147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1272</v>
      </c>
      <c r="P149" s="1" t="s">
        <v>333</v>
      </c>
      <c r="Q149" s="1" t="s">
        <v>1273</v>
      </c>
      <c r="R149" s="1" t="s">
        <v>1274</v>
      </c>
      <c r="S149" s="1" t="s">
        <v>1275</v>
      </c>
    </row>
    <row r="150" spans="1:19" x14ac:dyDescent="0.25">
      <c r="A150" s="1">
        <v>154</v>
      </c>
      <c r="B150" s="9" t="s">
        <v>148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1276</v>
      </c>
      <c r="P150" s="1" t="s">
        <v>333</v>
      </c>
      <c r="Q150" s="1" t="s">
        <v>1273</v>
      </c>
      <c r="R150" s="1" t="s">
        <v>1274</v>
      </c>
      <c r="S150" s="1" t="s">
        <v>1275</v>
      </c>
    </row>
    <row r="151" spans="1:19" x14ac:dyDescent="0.25">
      <c r="A151" s="1">
        <v>155</v>
      </c>
      <c r="B151" s="9" t="s">
        <v>149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1272</v>
      </c>
      <c r="P151" s="1" t="s">
        <v>333</v>
      </c>
      <c r="Q151" s="1" t="s">
        <v>1273</v>
      </c>
      <c r="R151" s="1" t="s">
        <v>1274</v>
      </c>
      <c r="S151" s="1" t="s">
        <v>1275</v>
      </c>
    </row>
    <row r="152" spans="1:19" x14ac:dyDescent="0.25">
      <c r="A152" s="1">
        <v>156</v>
      </c>
      <c r="B152" s="9" t="s">
        <v>1730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1277</v>
      </c>
      <c r="P152" s="1" t="s">
        <v>333</v>
      </c>
      <c r="Q152" s="1" t="s">
        <v>1273</v>
      </c>
      <c r="R152" s="1" t="s">
        <v>1274</v>
      </c>
      <c r="S152" s="1" t="s">
        <v>1275</v>
      </c>
    </row>
    <row r="153" spans="1:19" x14ac:dyDescent="0.25">
      <c r="A153" s="1">
        <v>157</v>
      </c>
      <c r="B153" s="9" t="s">
        <v>1278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1272</v>
      </c>
      <c r="P153" s="1" t="s">
        <v>333</v>
      </c>
      <c r="Q153" s="1" t="s">
        <v>1273</v>
      </c>
      <c r="R153" s="1" t="s">
        <v>1274</v>
      </c>
      <c r="S153" s="1" t="s">
        <v>1275</v>
      </c>
    </row>
    <row r="154" spans="1:19" x14ac:dyDescent="0.25">
      <c r="A154" s="1">
        <v>158</v>
      </c>
      <c r="B154" s="9" t="s">
        <v>732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1279</v>
      </c>
      <c r="P154" s="1" t="s">
        <v>333</v>
      </c>
      <c r="Q154" s="1" t="s">
        <v>1273</v>
      </c>
      <c r="R154" s="1" t="s">
        <v>1274</v>
      </c>
      <c r="S154" s="1" t="s">
        <v>1275</v>
      </c>
    </row>
    <row r="155" spans="1:19" x14ac:dyDescent="0.25">
      <c r="A155" s="1">
        <v>159</v>
      </c>
      <c r="B155" s="9" t="s">
        <v>1731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1276</v>
      </c>
      <c r="P155" s="1" t="s">
        <v>333</v>
      </c>
      <c r="Q155" s="1" t="s">
        <v>1273</v>
      </c>
      <c r="R155" s="1" t="s">
        <v>1274</v>
      </c>
      <c r="S155" s="1" t="s">
        <v>1275</v>
      </c>
    </row>
    <row r="156" spans="1:19" x14ac:dyDescent="0.25">
      <c r="A156" s="1">
        <v>160</v>
      </c>
      <c r="B156" s="9" t="s">
        <v>1732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1272</v>
      </c>
      <c r="P156" s="1" t="s">
        <v>333</v>
      </c>
      <c r="Q156" s="1" t="s">
        <v>1273</v>
      </c>
      <c r="R156" s="1" t="s">
        <v>1274</v>
      </c>
      <c r="S156" s="1" t="s">
        <v>1275</v>
      </c>
    </row>
    <row r="157" spans="1:19" x14ac:dyDescent="0.25">
      <c r="A157" s="1">
        <v>161</v>
      </c>
      <c r="B157" s="9" t="s">
        <v>150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1280</v>
      </c>
      <c r="P157" s="1" t="s">
        <v>333</v>
      </c>
      <c r="Q157" s="1" t="s">
        <v>1273</v>
      </c>
      <c r="R157" s="1" t="s">
        <v>1274</v>
      </c>
      <c r="S157" s="1" t="s">
        <v>1275</v>
      </c>
    </row>
    <row r="158" spans="1:19" x14ac:dyDescent="0.25">
      <c r="A158" s="1">
        <v>162</v>
      </c>
      <c r="B158" s="9" t="s">
        <v>1733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1280</v>
      </c>
      <c r="P158" s="1" t="s">
        <v>333</v>
      </c>
      <c r="Q158" s="1" t="s">
        <v>1273</v>
      </c>
      <c r="R158" s="1" t="s">
        <v>1274</v>
      </c>
      <c r="S158" s="1" t="s">
        <v>1275</v>
      </c>
    </row>
    <row r="159" spans="1:19" x14ac:dyDescent="0.25">
      <c r="A159" s="1">
        <v>163</v>
      </c>
      <c r="B159" s="9" t="s">
        <v>733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1281</v>
      </c>
      <c r="P159" s="1" t="s">
        <v>1282</v>
      </c>
      <c r="Q159" s="1" t="s">
        <v>1273</v>
      </c>
      <c r="R159" s="1" t="s">
        <v>1274</v>
      </c>
      <c r="S159" s="1" t="s">
        <v>1275</v>
      </c>
    </row>
    <row r="160" spans="1:19" x14ac:dyDescent="0.25">
      <c r="A160" s="1">
        <v>164</v>
      </c>
      <c r="B160" s="9" t="s">
        <v>1734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1283</v>
      </c>
      <c r="P160" s="1" t="s">
        <v>1284</v>
      </c>
      <c r="Q160" s="1" t="s">
        <v>1273</v>
      </c>
      <c r="R160" s="1" t="s">
        <v>1274</v>
      </c>
      <c r="S160" s="1" t="s">
        <v>1275</v>
      </c>
    </row>
    <row r="161" spans="1:19" x14ac:dyDescent="0.25">
      <c r="A161" s="1">
        <v>165</v>
      </c>
      <c r="B161" s="9" t="s">
        <v>151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1272</v>
      </c>
      <c r="P161" s="1" t="s">
        <v>333</v>
      </c>
      <c r="Q161" s="1" t="s">
        <v>1273</v>
      </c>
      <c r="R161" s="1" t="s">
        <v>1274</v>
      </c>
      <c r="S161" s="1" t="s">
        <v>1275</v>
      </c>
    </row>
    <row r="162" spans="1:19" x14ac:dyDescent="0.25">
      <c r="A162" s="1">
        <v>166</v>
      </c>
      <c r="B162" s="9" t="s">
        <v>152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333</v>
      </c>
      <c r="P162" s="1" t="s">
        <v>333</v>
      </c>
      <c r="Q162" s="1" t="s">
        <v>1179</v>
      </c>
      <c r="R162" s="1" t="s">
        <v>1180</v>
      </c>
      <c r="S162" s="1" t="s">
        <v>1181</v>
      </c>
    </row>
    <row r="163" spans="1:19" x14ac:dyDescent="0.25">
      <c r="A163" s="1">
        <v>167</v>
      </c>
      <c r="B163" s="9" t="s">
        <v>230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1188</v>
      </c>
      <c r="P163" s="1" t="s">
        <v>333</v>
      </c>
      <c r="Q163" s="1" t="s">
        <v>1179</v>
      </c>
      <c r="R163" s="1" t="s">
        <v>1180</v>
      </c>
      <c r="S163" s="1" t="s">
        <v>1181</v>
      </c>
    </row>
    <row r="164" spans="1:19" x14ac:dyDescent="0.25">
      <c r="A164" s="1">
        <v>168</v>
      </c>
      <c r="B164" s="9" t="s">
        <v>153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333</v>
      </c>
      <c r="P164" s="1" t="s">
        <v>333</v>
      </c>
      <c r="Q164" s="1" t="s">
        <v>1179</v>
      </c>
      <c r="R164" s="1" t="s">
        <v>1180</v>
      </c>
      <c r="S164" s="1" t="s">
        <v>1181</v>
      </c>
    </row>
    <row r="165" spans="1:19" x14ac:dyDescent="0.25">
      <c r="A165" s="1">
        <v>169</v>
      </c>
      <c r="B165" s="9" t="s">
        <v>760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1188</v>
      </c>
      <c r="P165" s="1" t="s">
        <v>333</v>
      </c>
      <c r="Q165" s="1" t="s">
        <v>1193</v>
      </c>
      <c r="R165" s="1" t="s">
        <v>1180</v>
      </c>
      <c r="S165" s="1" t="s">
        <v>1194</v>
      </c>
    </row>
    <row r="166" spans="1:19" x14ac:dyDescent="0.25">
      <c r="A166" s="1">
        <v>170</v>
      </c>
      <c r="B166" s="9" t="s">
        <v>1735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1188</v>
      </c>
      <c r="P166" s="1" t="s">
        <v>333</v>
      </c>
      <c r="Q166" s="1" t="s">
        <v>1194</v>
      </c>
      <c r="R166" s="1" t="s">
        <v>1219</v>
      </c>
      <c r="S166" s="1" t="s">
        <v>1193</v>
      </c>
    </row>
    <row r="167" spans="1:19" x14ac:dyDescent="0.25">
      <c r="A167" s="1">
        <v>171</v>
      </c>
      <c r="B167" s="9" t="s">
        <v>231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1285</v>
      </c>
      <c r="P167" s="1" t="s">
        <v>333</v>
      </c>
      <c r="Q167" s="1" t="s">
        <v>1194</v>
      </c>
      <c r="R167" s="1" t="s">
        <v>1219</v>
      </c>
      <c r="S167" s="1" t="s">
        <v>1193</v>
      </c>
    </row>
    <row r="168" spans="1:19" x14ac:dyDescent="0.25">
      <c r="A168" s="1">
        <v>172</v>
      </c>
      <c r="B168" s="9" t="s">
        <v>232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1286</v>
      </c>
      <c r="P168" s="1" t="s">
        <v>333</v>
      </c>
      <c r="Q168" s="1" t="s">
        <v>1194</v>
      </c>
      <c r="R168" s="1" t="s">
        <v>1219</v>
      </c>
      <c r="S168" s="1" t="s">
        <v>1193</v>
      </c>
    </row>
    <row r="169" spans="1:19" x14ac:dyDescent="0.25">
      <c r="A169" s="1">
        <v>173</v>
      </c>
      <c r="B169" s="9" t="s">
        <v>154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1287</v>
      </c>
      <c r="P169" s="1" t="s">
        <v>333</v>
      </c>
      <c r="Q169" s="1" t="s">
        <v>1238</v>
      </c>
      <c r="R169" s="1" t="s">
        <v>1239</v>
      </c>
      <c r="S169" s="1" t="s">
        <v>1240</v>
      </c>
    </row>
    <row r="170" spans="1:19" x14ac:dyDescent="0.25">
      <c r="A170" s="1">
        <v>174</v>
      </c>
      <c r="B170" s="9" t="s">
        <v>1700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1188</v>
      </c>
      <c r="P170" s="1" t="s">
        <v>333</v>
      </c>
      <c r="Q170" s="1" t="s">
        <v>1205</v>
      </c>
      <c r="R170" s="1" t="s">
        <v>1206</v>
      </c>
      <c r="S170" s="1" t="s">
        <v>1207</v>
      </c>
    </row>
    <row r="171" spans="1:19" x14ac:dyDescent="0.25">
      <c r="A171" s="1">
        <v>175</v>
      </c>
      <c r="B171" s="9" t="s">
        <v>155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333</v>
      </c>
      <c r="P171" s="1" t="s">
        <v>333</v>
      </c>
      <c r="Q171" s="1" t="s">
        <v>1194</v>
      </c>
      <c r="R171" s="1" t="s">
        <v>1219</v>
      </c>
      <c r="S171" s="1" t="s">
        <v>1193</v>
      </c>
    </row>
    <row r="172" spans="1:19" x14ac:dyDescent="0.25">
      <c r="A172" s="1">
        <v>176</v>
      </c>
      <c r="B172" s="9" t="s">
        <v>156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1188</v>
      </c>
      <c r="P172" s="1" t="s">
        <v>333</v>
      </c>
      <c r="Q172" s="1" t="s">
        <v>1193</v>
      </c>
      <c r="R172" s="1" t="s">
        <v>1180</v>
      </c>
      <c r="S172" s="1" t="s">
        <v>1194</v>
      </c>
    </row>
    <row r="173" spans="1:19" x14ac:dyDescent="0.25">
      <c r="A173" s="1">
        <v>177</v>
      </c>
      <c r="B173" s="9" t="s">
        <v>157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1234</v>
      </c>
      <c r="P173" s="1" t="s">
        <v>333</v>
      </c>
      <c r="Q173" s="1" t="s">
        <v>1193</v>
      </c>
      <c r="R173" s="1" t="s">
        <v>1180</v>
      </c>
      <c r="S173" s="1" t="s">
        <v>1194</v>
      </c>
    </row>
    <row r="174" spans="1:19" x14ac:dyDescent="0.25">
      <c r="A174" s="1">
        <v>178</v>
      </c>
      <c r="B174" s="9" t="s">
        <v>158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1188</v>
      </c>
      <c r="P174" s="1" t="s">
        <v>333</v>
      </c>
      <c r="Q174" s="1" t="s">
        <v>1193</v>
      </c>
      <c r="R174" s="1" t="s">
        <v>1180</v>
      </c>
      <c r="S174" s="1" t="s">
        <v>1194</v>
      </c>
    </row>
    <row r="175" spans="1:19" x14ac:dyDescent="0.25">
      <c r="A175" s="1">
        <v>179</v>
      </c>
      <c r="B175" s="9" t="s">
        <v>1736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1211</v>
      </c>
      <c r="P175" s="1" t="s">
        <v>333</v>
      </c>
      <c r="Q175" s="1" t="s">
        <v>1205</v>
      </c>
      <c r="R175" s="1" t="s">
        <v>1206</v>
      </c>
      <c r="S175" s="1" t="s">
        <v>1207</v>
      </c>
    </row>
    <row r="176" spans="1:19" x14ac:dyDescent="0.25">
      <c r="A176" s="1">
        <v>180</v>
      </c>
      <c r="B176" s="9" t="s">
        <v>159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1288</v>
      </c>
      <c r="P176" s="1" t="s">
        <v>333</v>
      </c>
      <c r="Q176" s="1" t="s">
        <v>1205</v>
      </c>
      <c r="R176" s="1" t="s">
        <v>1206</v>
      </c>
      <c r="S176" s="1" t="s">
        <v>1207</v>
      </c>
    </row>
    <row r="177" spans="1:19" x14ac:dyDescent="0.25">
      <c r="A177" s="1">
        <v>181</v>
      </c>
      <c r="B177" s="9" t="s">
        <v>160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333</v>
      </c>
      <c r="P177" s="1" t="s">
        <v>333</v>
      </c>
      <c r="Q177" s="1" t="s">
        <v>1194</v>
      </c>
      <c r="R177" s="1" t="s">
        <v>1219</v>
      </c>
      <c r="S177" s="1" t="s">
        <v>1193</v>
      </c>
    </row>
    <row r="178" spans="1:19" x14ac:dyDescent="0.25">
      <c r="A178" s="1">
        <v>182</v>
      </c>
      <c r="B178" s="9" t="s">
        <v>161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1188</v>
      </c>
      <c r="P178" s="1" t="s">
        <v>333</v>
      </c>
      <c r="Q178" s="1" t="s">
        <v>1205</v>
      </c>
      <c r="R178" s="1" t="s">
        <v>1206</v>
      </c>
      <c r="S178" s="1" t="s">
        <v>1207</v>
      </c>
    </row>
    <row r="179" spans="1:19" x14ac:dyDescent="0.25">
      <c r="A179" s="1">
        <v>183</v>
      </c>
      <c r="B179" s="9" t="s">
        <v>162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1289</v>
      </c>
      <c r="P179" s="1" t="s">
        <v>1290</v>
      </c>
      <c r="Q179" s="1" t="s">
        <v>1179</v>
      </c>
      <c r="R179" s="1" t="s">
        <v>1291</v>
      </c>
      <c r="S179" s="1" t="s">
        <v>1181</v>
      </c>
    </row>
    <row r="180" spans="1:19" x14ac:dyDescent="0.25">
      <c r="A180" s="1">
        <v>184</v>
      </c>
      <c r="B180" s="9" t="s">
        <v>1737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333</v>
      </c>
      <c r="P180" s="1" t="s">
        <v>333</v>
      </c>
      <c r="Q180" s="1" t="s">
        <v>1205</v>
      </c>
      <c r="R180" s="1" t="s">
        <v>1206</v>
      </c>
      <c r="S180" s="1" t="s">
        <v>1207</v>
      </c>
    </row>
    <row r="181" spans="1:19" x14ac:dyDescent="0.25">
      <c r="A181" s="1">
        <v>185</v>
      </c>
      <c r="B181" s="9" t="s">
        <v>163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1292</v>
      </c>
      <c r="P181" s="1" t="s">
        <v>333</v>
      </c>
      <c r="Q181" s="1" t="s">
        <v>1238</v>
      </c>
      <c r="R181" s="1" t="s">
        <v>1239</v>
      </c>
      <c r="S181" s="1" t="s">
        <v>1240</v>
      </c>
    </row>
    <row r="182" spans="1:19" x14ac:dyDescent="0.25">
      <c r="A182" s="1">
        <v>186</v>
      </c>
      <c r="B182" s="9" t="s">
        <v>164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1188</v>
      </c>
      <c r="P182" s="1" t="s">
        <v>333</v>
      </c>
      <c r="Q182" s="1" t="s">
        <v>1179</v>
      </c>
      <c r="R182" s="1" t="s">
        <v>1180</v>
      </c>
      <c r="S182" s="1" t="s">
        <v>1181</v>
      </c>
    </row>
    <row r="183" spans="1:19" x14ac:dyDescent="0.25">
      <c r="A183" s="1">
        <v>187</v>
      </c>
      <c r="B183" s="9" t="s">
        <v>233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333</v>
      </c>
      <c r="P183" s="1" t="s">
        <v>333</v>
      </c>
      <c r="Q183" s="1" t="s">
        <v>1194</v>
      </c>
      <c r="R183" s="1" t="s">
        <v>1219</v>
      </c>
      <c r="S183" s="1" t="s">
        <v>1193</v>
      </c>
    </row>
    <row r="184" spans="1:19" x14ac:dyDescent="0.25">
      <c r="A184" s="1">
        <v>188</v>
      </c>
      <c r="B184" s="9" t="s">
        <v>165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1272</v>
      </c>
      <c r="P184" s="1" t="s">
        <v>333</v>
      </c>
      <c r="Q184" s="1" t="s">
        <v>1273</v>
      </c>
      <c r="R184" s="1" t="s">
        <v>1274</v>
      </c>
      <c r="S184" s="1" t="s">
        <v>1275</v>
      </c>
    </row>
    <row r="185" spans="1:19" x14ac:dyDescent="0.25">
      <c r="A185" s="1">
        <v>189</v>
      </c>
      <c r="B185" s="9" t="s">
        <v>1738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1293</v>
      </c>
      <c r="P185" s="1" t="s">
        <v>333</v>
      </c>
      <c r="Q185" s="1" t="s">
        <v>1273</v>
      </c>
      <c r="R185" s="1" t="s">
        <v>1274</v>
      </c>
      <c r="S185" s="1" t="s">
        <v>1275</v>
      </c>
    </row>
    <row r="186" spans="1:19" x14ac:dyDescent="0.25">
      <c r="A186" s="1">
        <v>190</v>
      </c>
      <c r="B186" s="9" t="s">
        <v>166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1279</v>
      </c>
      <c r="P186" s="1" t="s">
        <v>333</v>
      </c>
      <c r="Q186" s="1" t="s">
        <v>1273</v>
      </c>
      <c r="R186" s="1" t="s">
        <v>1274</v>
      </c>
      <c r="S186" s="1" t="s">
        <v>1275</v>
      </c>
    </row>
    <row r="187" spans="1:19" x14ac:dyDescent="0.25">
      <c r="A187" s="1">
        <v>191</v>
      </c>
      <c r="B187" s="9" t="s">
        <v>167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1182</v>
      </c>
      <c r="P187" s="1" t="s">
        <v>333</v>
      </c>
      <c r="Q187" s="1" t="s">
        <v>1193</v>
      </c>
      <c r="R187" s="1" t="s">
        <v>1180</v>
      </c>
      <c r="S187" s="1" t="s">
        <v>1194</v>
      </c>
    </row>
    <row r="188" spans="1:19" x14ac:dyDescent="0.25">
      <c r="A188" s="1">
        <v>192</v>
      </c>
      <c r="B188" s="9" t="s">
        <v>168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1288</v>
      </c>
      <c r="P188" s="1" t="s">
        <v>333</v>
      </c>
      <c r="Q188" s="1" t="s">
        <v>1205</v>
      </c>
      <c r="R188" s="1" t="s">
        <v>1206</v>
      </c>
      <c r="S188" s="1" t="s">
        <v>1207</v>
      </c>
    </row>
    <row r="189" spans="1:19" x14ac:dyDescent="0.25">
      <c r="A189" s="1">
        <v>193</v>
      </c>
      <c r="B189" s="9" t="s">
        <v>169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1188</v>
      </c>
      <c r="P189" s="1" t="s">
        <v>333</v>
      </c>
      <c r="Q189" s="1" t="s">
        <v>1194</v>
      </c>
      <c r="R189" s="1" t="s">
        <v>1219</v>
      </c>
      <c r="S189" s="1" t="s">
        <v>1193</v>
      </c>
    </row>
    <row r="190" spans="1:19" x14ac:dyDescent="0.25">
      <c r="A190" s="1">
        <v>194</v>
      </c>
      <c r="B190" s="9" t="s">
        <v>170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1294</v>
      </c>
      <c r="P190" s="1" t="s">
        <v>1295</v>
      </c>
      <c r="Q190" s="1" t="s">
        <v>1194</v>
      </c>
      <c r="R190" s="1" t="s">
        <v>1219</v>
      </c>
      <c r="S190" s="1" t="s">
        <v>1193</v>
      </c>
    </row>
    <row r="191" spans="1:19" x14ac:dyDescent="0.25">
      <c r="A191" s="1">
        <v>195</v>
      </c>
      <c r="B191" s="9" t="s">
        <v>234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1241</v>
      </c>
      <c r="P191" s="1" t="s">
        <v>333</v>
      </c>
      <c r="Q191" s="1" t="s">
        <v>1238</v>
      </c>
      <c r="R191" s="1" t="s">
        <v>1239</v>
      </c>
      <c r="S191" s="1" t="s">
        <v>1240</v>
      </c>
    </row>
    <row r="192" spans="1:19" x14ac:dyDescent="0.25">
      <c r="A192" s="1">
        <v>196</v>
      </c>
      <c r="B192" s="9" t="s">
        <v>171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1296</v>
      </c>
      <c r="P192" s="1" t="s">
        <v>1297</v>
      </c>
      <c r="Q192" s="1" t="s">
        <v>1194</v>
      </c>
      <c r="R192" s="1" t="s">
        <v>1219</v>
      </c>
      <c r="S192" s="1" t="s">
        <v>1193</v>
      </c>
    </row>
    <row r="193" spans="1:19" x14ac:dyDescent="0.25">
      <c r="A193" s="1">
        <v>197</v>
      </c>
      <c r="B193" s="9" t="s">
        <v>172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1298</v>
      </c>
      <c r="P193" s="1" t="s">
        <v>1299</v>
      </c>
      <c r="Q193" s="1" t="s">
        <v>1205</v>
      </c>
      <c r="R193" s="1" t="s">
        <v>1206</v>
      </c>
      <c r="S193" s="1" t="s">
        <v>1207</v>
      </c>
    </row>
    <row r="194" spans="1:19" x14ac:dyDescent="0.25">
      <c r="A194" s="1">
        <v>198</v>
      </c>
      <c r="B194" s="9" t="s">
        <v>173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1300</v>
      </c>
      <c r="P194" s="1" t="s">
        <v>1301</v>
      </c>
      <c r="Q194" s="1" t="s">
        <v>1205</v>
      </c>
      <c r="R194" s="1" t="s">
        <v>1206</v>
      </c>
      <c r="S194" s="1" t="s">
        <v>1207</v>
      </c>
    </row>
    <row r="195" spans="1:19" x14ac:dyDescent="0.25">
      <c r="A195" s="1">
        <v>199</v>
      </c>
      <c r="B195" s="9" t="s">
        <v>799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1237</v>
      </c>
      <c r="P195" s="1" t="s">
        <v>1302</v>
      </c>
      <c r="Q195" s="1" t="s">
        <v>1238</v>
      </c>
      <c r="R195" s="1" t="s">
        <v>1239</v>
      </c>
      <c r="S195" s="1" t="s">
        <v>1240</v>
      </c>
    </row>
    <row r="196" spans="1:19" x14ac:dyDescent="0.25">
      <c r="A196" s="1">
        <v>200</v>
      </c>
      <c r="B196" s="9" t="s">
        <v>174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1303</v>
      </c>
      <c r="P196" s="1" t="s">
        <v>333</v>
      </c>
      <c r="Q196" s="1" t="s">
        <v>1205</v>
      </c>
      <c r="R196" s="1" t="s">
        <v>1206</v>
      </c>
      <c r="S196" s="1" t="s">
        <v>1207</v>
      </c>
    </row>
    <row r="197" spans="1:19" x14ac:dyDescent="0.25">
      <c r="A197" s="1">
        <v>201</v>
      </c>
      <c r="B197" s="9" t="s">
        <v>175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1268</v>
      </c>
      <c r="P197" s="1" t="s">
        <v>333</v>
      </c>
      <c r="Q197" s="1" t="s">
        <v>1205</v>
      </c>
      <c r="R197" s="1" t="s">
        <v>1206</v>
      </c>
      <c r="S197" s="1" t="s">
        <v>1207</v>
      </c>
    </row>
    <row r="198" spans="1:19" x14ac:dyDescent="0.25">
      <c r="A198" s="1">
        <v>202</v>
      </c>
      <c r="B198" s="9" t="s">
        <v>235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333</v>
      </c>
      <c r="P198" s="1" t="s">
        <v>333</v>
      </c>
      <c r="Q198" s="1" t="s">
        <v>1179</v>
      </c>
      <c r="R198" s="1" t="s">
        <v>1180</v>
      </c>
      <c r="S198" s="1" t="s">
        <v>1181</v>
      </c>
    </row>
    <row r="199" spans="1:19" x14ac:dyDescent="0.25">
      <c r="A199" s="1">
        <v>203</v>
      </c>
      <c r="B199" s="9" t="s">
        <v>1818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333</v>
      </c>
      <c r="P199" s="1" t="s">
        <v>333</v>
      </c>
      <c r="Q199" s="1" t="s">
        <v>1193</v>
      </c>
      <c r="R199" s="1" t="s">
        <v>1180</v>
      </c>
      <c r="S199" s="1" t="s">
        <v>1194</v>
      </c>
    </row>
    <row r="200" spans="1:19" x14ac:dyDescent="0.25">
      <c r="A200" s="1">
        <v>204</v>
      </c>
      <c r="B200" s="9" t="s">
        <v>176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1304</v>
      </c>
      <c r="P200" s="1" t="s">
        <v>1305</v>
      </c>
      <c r="Q200" s="1" t="s">
        <v>1205</v>
      </c>
      <c r="R200" s="1" t="s">
        <v>1206</v>
      </c>
      <c r="S200" s="1" t="s">
        <v>1207</v>
      </c>
    </row>
    <row r="201" spans="1:19" x14ac:dyDescent="0.25">
      <c r="A201" s="1">
        <v>205</v>
      </c>
      <c r="B201" s="9" t="s">
        <v>236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1306</v>
      </c>
      <c r="P201" s="1" t="s">
        <v>333</v>
      </c>
      <c r="Q201" s="1" t="s">
        <v>1194</v>
      </c>
      <c r="R201" s="1" t="s">
        <v>1219</v>
      </c>
      <c r="S201" s="1" t="s">
        <v>1193</v>
      </c>
    </row>
    <row r="202" spans="1:19" x14ac:dyDescent="0.25">
      <c r="A202" s="1">
        <v>206</v>
      </c>
      <c r="B202" s="9" t="s">
        <v>237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1307</v>
      </c>
      <c r="P202" s="1" t="s">
        <v>333</v>
      </c>
      <c r="Q202" s="1" t="s">
        <v>1194</v>
      </c>
      <c r="R202" s="1" t="s">
        <v>1219</v>
      </c>
      <c r="S202" s="1" t="s">
        <v>1193</v>
      </c>
    </row>
    <row r="203" spans="1:19" x14ac:dyDescent="0.25">
      <c r="A203" s="1">
        <v>207</v>
      </c>
      <c r="B203" s="9" t="s">
        <v>177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333</v>
      </c>
      <c r="P203" s="1" t="s">
        <v>333</v>
      </c>
      <c r="Q203" s="1" t="s">
        <v>1194</v>
      </c>
      <c r="R203" s="1" t="s">
        <v>1219</v>
      </c>
      <c r="S203" s="1" t="s">
        <v>1193</v>
      </c>
    </row>
    <row r="204" spans="1:19" x14ac:dyDescent="0.25">
      <c r="A204" s="1">
        <v>208</v>
      </c>
      <c r="B204" s="9" t="s">
        <v>178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1308</v>
      </c>
      <c r="P204" s="1" t="s">
        <v>333</v>
      </c>
      <c r="Q204" s="1" t="s">
        <v>1238</v>
      </c>
      <c r="R204" s="1" t="s">
        <v>1239</v>
      </c>
      <c r="S204" s="1" t="s">
        <v>1240</v>
      </c>
    </row>
    <row r="205" spans="1:19" x14ac:dyDescent="0.25">
      <c r="A205" s="1">
        <v>209</v>
      </c>
      <c r="B205" s="9" t="s">
        <v>1739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1182</v>
      </c>
      <c r="P205" s="1" t="s">
        <v>333</v>
      </c>
      <c r="Q205" s="1" t="s">
        <v>1193</v>
      </c>
      <c r="R205" s="1" t="s">
        <v>1180</v>
      </c>
      <c r="S205" s="1" t="s">
        <v>1194</v>
      </c>
    </row>
    <row r="206" spans="1:19" x14ac:dyDescent="0.25">
      <c r="A206" s="1">
        <v>210</v>
      </c>
      <c r="B206" s="9" t="s">
        <v>179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1188</v>
      </c>
      <c r="P206" s="1" t="s">
        <v>333</v>
      </c>
      <c r="Q206" s="1" t="s">
        <v>1179</v>
      </c>
      <c r="R206" s="1" t="s">
        <v>1180</v>
      </c>
      <c r="S206" s="1" t="s">
        <v>1181</v>
      </c>
    </row>
    <row r="207" spans="1:19" x14ac:dyDescent="0.25">
      <c r="A207" s="1">
        <v>211</v>
      </c>
      <c r="B207" s="9" t="s">
        <v>238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333</v>
      </c>
      <c r="P207" s="1" t="s">
        <v>333</v>
      </c>
      <c r="Q207" s="1" t="s">
        <v>1205</v>
      </c>
      <c r="R207" s="1" t="s">
        <v>1206</v>
      </c>
      <c r="S207" s="1" t="s">
        <v>1207</v>
      </c>
    </row>
    <row r="208" spans="1:19" x14ac:dyDescent="0.25">
      <c r="A208" s="1">
        <v>212</v>
      </c>
      <c r="B208" s="9" t="s">
        <v>180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333</v>
      </c>
      <c r="P208" s="1" t="s">
        <v>333</v>
      </c>
      <c r="Q208" s="1" t="s">
        <v>1179</v>
      </c>
      <c r="R208" s="1" t="s">
        <v>1180</v>
      </c>
      <c r="S208" s="1" t="s">
        <v>1181</v>
      </c>
    </row>
    <row r="209" spans="1:19" x14ac:dyDescent="0.25">
      <c r="A209" s="1">
        <v>213</v>
      </c>
      <c r="B209" s="9" t="s">
        <v>1740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333</v>
      </c>
      <c r="P209" s="1" t="s">
        <v>1309</v>
      </c>
      <c r="Q209" s="1" t="s">
        <v>1193</v>
      </c>
      <c r="R209" s="1" t="s">
        <v>1291</v>
      </c>
      <c r="S209" s="1" t="s">
        <v>1194</v>
      </c>
    </row>
    <row r="210" spans="1:19" x14ac:dyDescent="0.25">
      <c r="A210" s="1">
        <v>214</v>
      </c>
      <c r="B210" s="9" t="s">
        <v>212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1310</v>
      </c>
      <c r="P210" s="1" t="s">
        <v>1311</v>
      </c>
      <c r="Q210" s="1" t="s">
        <v>1194</v>
      </c>
      <c r="R210" s="1" t="s">
        <v>1219</v>
      </c>
      <c r="S210" s="1" t="s">
        <v>1193</v>
      </c>
    </row>
    <row r="211" spans="1:19" x14ac:dyDescent="0.25">
      <c r="A211" s="1">
        <v>215</v>
      </c>
      <c r="B211" s="9" t="s">
        <v>181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333</v>
      </c>
      <c r="P211" s="1" t="s">
        <v>1312</v>
      </c>
      <c r="Q211" s="1" t="s">
        <v>1194</v>
      </c>
      <c r="R211" s="1" t="s">
        <v>1219</v>
      </c>
      <c r="S211" s="1" t="s">
        <v>1193</v>
      </c>
    </row>
    <row r="212" spans="1:19" x14ac:dyDescent="0.25">
      <c r="A212" s="1">
        <v>216</v>
      </c>
      <c r="B212" s="9" t="s">
        <v>182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1234</v>
      </c>
      <c r="P212" s="1" t="s">
        <v>333</v>
      </c>
      <c r="Q212" s="1" t="s">
        <v>1194</v>
      </c>
      <c r="R212" s="1" t="s">
        <v>1219</v>
      </c>
      <c r="S212" s="1" t="s">
        <v>1193</v>
      </c>
    </row>
    <row r="213" spans="1:19" x14ac:dyDescent="0.25">
      <c r="A213" s="1">
        <v>217</v>
      </c>
      <c r="B213" s="9" t="s">
        <v>1741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1188</v>
      </c>
      <c r="P213" s="1" t="s">
        <v>333</v>
      </c>
      <c r="Q213" s="1" t="s">
        <v>1205</v>
      </c>
      <c r="R213" s="1" t="s">
        <v>1206</v>
      </c>
      <c r="S213" s="1" t="s">
        <v>1207</v>
      </c>
    </row>
    <row r="214" spans="1:19" x14ac:dyDescent="0.25">
      <c r="A214" s="1">
        <v>218</v>
      </c>
      <c r="B214" s="9" t="s">
        <v>183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1188</v>
      </c>
      <c r="P214" s="1" t="s">
        <v>333</v>
      </c>
      <c r="Q214" s="1" t="s">
        <v>1193</v>
      </c>
      <c r="R214" s="1" t="s">
        <v>1180</v>
      </c>
      <c r="S214" s="1" t="s">
        <v>1194</v>
      </c>
    </row>
    <row r="215" spans="1:19" x14ac:dyDescent="0.25">
      <c r="A215" s="1">
        <v>220</v>
      </c>
      <c r="B215" s="9" t="s">
        <v>1742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1188</v>
      </c>
      <c r="P215" s="1" t="s">
        <v>333</v>
      </c>
      <c r="Q215" s="1" t="s">
        <v>1179</v>
      </c>
      <c r="R215" s="1" t="s">
        <v>1180</v>
      </c>
      <c r="S215" s="1" t="s">
        <v>1181</v>
      </c>
    </row>
    <row r="216" spans="1:19" x14ac:dyDescent="0.25">
      <c r="A216" s="1">
        <v>221</v>
      </c>
      <c r="B216" s="9" t="s">
        <v>1743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1313</v>
      </c>
      <c r="P216" s="1" t="s">
        <v>333</v>
      </c>
      <c r="Q216" s="1" t="s">
        <v>1179</v>
      </c>
      <c r="R216" s="1" t="s">
        <v>1180</v>
      </c>
      <c r="S216" s="1" t="s">
        <v>1181</v>
      </c>
    </row>
    <row r="217" spans="1:19" x14ac:dyDescent="0.25">
      <c r="A217" s="1">
        <v>222</v>
      </c>
      <c r="B217" s="9" t="s">
        <v>1314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1315</v>
      </c>
      <c r="P217" s="1" t="s">
        <v>333</v>
      </c>
      <c r="Q217" s="1" t="s">
        <v>1205</v>
      </c>
      <c r="R217" s="1" t="s">
        <v>1206</v>
      </c>
      <c r="S217" s="1" t="s">
        <v>1207</v>
      </c>
    </row>
    <row r="218" spans="1:19" x14ac:dyDescent="0.25">
      <c r="A218" s="1">
        <v>223</v>
      </c>
      <c r="B218" s="9" t="s">
        <v>184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1188</v>
      </c>
      <c r="P218" s="1" t="s">
        <v>333</v>
      </c>
      <c r="Q218" s="1" t="s">
        <v>1194</v>
      </c>
      <c r="R218" s="1" t="s">
        <v>1219</v>
      </c>
      <c r="S218" s="1" t="s">
        <v>1193</v>
      </c>
    </row>
    <row r="219" spans="1:19" x14ac:dyDescent="0.25">
      <c r="A219" s="1">
        <v>224</v>
      </c>
      <c r="B219" s="9" t="s">
        <v>1744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333</v>
      </c>
      <c r="P219" s="1" t="s">
        <v>333</v>
      </c>
      <c r="Q219" s="1" t="s">
        <v>1193</v>
      </c>
      <c r="R219" s="1" t="s">
        <v>1180</v>
      </c>
      <c r="S219" s="1" t="s">
        <v>1194</v>
      </c>
    </row>
    <row r="220" spans="1:19" x14ac:dyDescent="0.25">
      <c r="A220" s="1">
        <v>225</v>
      </c>
      <c r="B220" s="9" t="s">
        <v>185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1316</v>
      </c>
      <c r="P220" s="1" t="s">
        <v>333</v>
      </c>
      <c r="Q220" s="1" t="s">
        <v>1193</v>
      </c>
      <c r="R220" s="1" t="s">
        <v>1180</v>
      </c>
      <c r="S220" s="1" t="s">
        <v>1194</v>
      </c>
    </row>
    <row r="221" spans="1:19" x14ac:dyDescent="0.25">
      <c r="A221" s="1">
        <v>226</v>
      </c>
      <c r="B221" s="9" t="s">
        <v>800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1317</v>
      </c>
      <c r="P221" s="1" t="s">
        <v>333</v>
      </c>
      <c r="Q221" s="1" t="s">
        <v>1205</v>
      </c>
      <c r="R221" s="1" t="s">
        <v>1206</v>
      </c>
      <c r="S221" s="1" t="s">
        <v>1207</v>
      </c>
    </row>
    <row r="222" spans="1:19" x14ac:dyDescent="0.25">
      <c r="A222" s="1">
        <v>227</v>
      </c>
      <c r="B222" s="9" t="s">
        <v>1745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1317</v>
      </c>
      <c r="P222" s="1" t="s">
        <v>333</v>
      </c>
      <c r="Q222" s="1" t="s">
        <v>1194</v>
      </c>
      <c r="R222" s="1" t="s">
        <v>1219</v>
      </c>
      <c r="S222" s="1" t="s">
        <v>1193</v>
      </c>
    </row>
    <row r="223" spans="1:19" x14ac:dyDescent="0.25">
      <c r="A223" s="1">
        <v>228</v>
      </c>
      <c r="B223" s="9" t="s">
        <v>761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1318</v>
      </c>
      <c r="P223" s="1" t="s">
        <v>1319</v>
      </c>
      <c r="Q223" s="1" t="s">
        <v>1193</v>
      </c>
      <c r="R223" s="1" t="s">
        <v>1180</v>
      </c>
      <c r="S223" s="1" t="s">
        <v>1194</v>
      </c>
    </row>
    <row r="224" spans="1:19" x14ac:dyDescent="0.25">
      <c r="A224" s="1">
        <v>229</v>
      </c>
      <c r="B224" s="9" t="s">
        <v>240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1320</v>
      </c>
      <c r="P224" s="1" t="s">
        <v>1321</v>
      </c>
      <c r="Q224" s="1" t="s">
        <v>1273</v>
      </c>
      <c r="R224" s="1" t="s">
        <v>1274</v>
      </c>
      <c r="S224" s="1" t="s">
        <v>1275</v>
      </c>
    </row>
    <row r="225" spans="1:19" x14ac:dyDescent="0.25">
      <c r="A225" s="1">
        <v>230</v>
      </c>
      <c r="B225" s="9" t="s">
        <v>186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1188</v>
      </c>
      <c r="P225" s="1" t="s">
        <v>333</v>
      </c>
      <c r="Q225" s="1" t="s">
        <v>1205</v>
      </c>
      <c r="R225" s="1" t="s">
        <v>1206</v>
      </c>
      <c r="S225" s="1" t="s">
        <v>1207</v>
      </c>
    </row>
    <row r="226" spans="1:19" x14ac:dyDescent="0.25">
      <c r="A226" s="1">
        <v>231</v>
      </c>
      <c r="B226" s="9" t="s">
        <v>187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1322</v>
      </c>
      <c r="P226" s="1" t="s">
        <v>1323</v>
      </c>
      <c r="Q226" s="1" t="s">
        <v>1205</v>
      </c>
      <c r="R226" s="1" t="s">
        <v>1206</v>
      </c>
      <c r="S226" s="1" t="s">
        <v>1207</v>
      </c>
    </row>
    <row r="227" spans="1:19" x14ac:dyDescent="0.25">
      <c r="A227" s="1">
        <v>232</v>
      </c>
      <c r="B227" s="9" t="s">
        <v>1746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1188</v>
      </c>
      <c r="P227" s="1" t="s">
        <v>333</v>
      </c>
      <c r="Q227" s="1" t="s">
        <v>1179</v>
      </c>
      <c r="R227" s="1" t="s">
        <v>1180</v>
      </c>
      <c r="S227" s="1" t="s">
        <v>1181</v>
      </c>
    </row>
    <row r="228" spans="1:19" x14ac:dyDescent="0.25">
      <c r="A228" s="1">
        <v>233</v>
      </c>
      <c r="B228" s="9" t="s">
        <v>188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333</v>
      </c>
      <c r="P228" s="1" t="s">
        <v>333</v>
      </c>
      <c r="Q228" s="1" t="s">
        <v>1179</v>
      </c>
      <c r="R228" s="1" t="s">
        <v>1180</v>
      </c>
      <c r="S228" s="1" t="s">
        <v>1181</v>
      </c>
    </row>
    <row r="229" spans="1:19" x14ac:dyDescent="0.25">
      <c r="A229" s="1">
        <v>234</v>
      </c>
      <c r="B229" s="9" t="s">
        <v>241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1324</v>
      </c>
      <c r="P229" s="1" t="s">
        <v>1325</v>
      </c>
      <c r="Q229" s="1" t="s">
        <v>1193</v>
      </c>
      <c r="R229" s="1" t="s">
        <v>1180</v>
      </c>
      <c r="S229" s="1" t="s">
        <v>1194</v>
      </c>
    </row>
    <row r="230" spans="1:19" x14ac:dyDescent="0.25">
      <c r="A230" s="1">
        <v>235</v>
      </c>
      <c r="B230" s="9" t="s">
        <v>189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1326</v>
      </c>
      <c r="P230" s="1" t="s">
        <v>1327</v>
      </c>
      <c r="Q230" s="1" t="s">
        <v>1205</v>
      </c>
      <c r="R230" s="1" t="s">
        <v>1206</v>
      </c>
      <c r="S230" s="1" t="s">
        <v>1207</v>
      </c>
    </row>
    <row r="231" spans="1:19" x14ac:dyDescent="0.25">
      <c r="A231" s="1">
        <v>236</v>
      </c>
      <c r="B231" s="9" t="s">
        <v>190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1328</v>
      </c>
      <c r="P231" s="1" t="s">
        <v>1329</v>
      </c>
      <c r="Q231" s="1" t="s">
        <v>1194</v>
      </c>
      <c r="R231" s="1" t="s">
        <v>1219</v>
      </c>
      <c r="S231" s="1" t="s">
        <v>1193</v>
      </c>
    </row>
    <row r="232" spans="1:19" x14ac:dyDescent="0.25">
      <c r="A232" s="1">
        <v>237</v>
      </c>
      <c r="B232" s="9" t="s">
        <v>1747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1330</v>
      </c>
      <c r="P232" s="1" t="s">
        <v>333</v>
      </c>
      <c r="Q232" s="1" t="s">
        <v>1194</v>
      </c>
      <c r="R232" s="1" t="s">
        <v>1219</v>
      </c>
      <c r="S232" s="1" t="s">
        <v>1193</v>
      </c>
    </row>
    <row r="233" spans="1:19" x14ac:dyDescent="0.25">
      <c r="A233" s="1">
        <v>238</v>
      </c>
      <c r="B233" s="9" t="s">
        <v>798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1331</v>
      </c>
      <c r="P233" s="1" t="s">
        <v>1332</v>
      </c>
      <c r="Q233" s="1" t="s">
        <v>1238</v>
      </c>
      <c r="R233" s="1" t="s">
        <v>1239</v>
      </c>
      <c r="S233" s="1" t="s">
        <v>1240</v>
      </c>
    </row>
    <row r="234" spans="1:19" x14ac:dyDescent="0.25">
      <c r="A234" s="1">
        <v>239</v>
      </c>
      <c r="B234" s="9" t="s">
        <v>242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1188</v>
      </c>
      <c r="P234" s="1" t="s">
        <v>333</v>
      </c>
      <c r="Q234" s="1" t="s">
        <v>1194</v>
      </c>
      <c r="R234" s="1" t="s">
        <v>1219</v>
      </c>
      <c r="S234" s="1" t="s">
        <v>1193</v>
      </c>
    </row>
    <row r="235" spans="1:19" x14ac:dyDescent="0.25">
      <c r="A235" s="1">
        <v>240</v>
      </c>
      <c r="B235" s="9" t="s">
        <v>191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1237</v>
      </c>
      <c r="P235" s="1" t="s">
        <v>333</v>
      </c>
      <c r="Q235" s="1" t="s">
        <v>1238</v>
      </c>
      <c r="R235" s="1" t="s">
        <v>1239</v>
      </c>
      <c r="S235" s="1" t="s">
        <v>1240</v>
      </c>
    </row>
    <row r="236" spans="1:19" x14ac:dyDescent="0.25">
      <c r="A236" s="1">
        <v>241</v>
      </c>
      <c r="B236" s="9" t="s">
        <v>1748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1268</v>
      </c>
      <c r="P236" s="1" t="s">
        <v>333</v>
      </c>
      <c r="Q236" s="1" t="s">
        <v>1205</v>
      </c>
      <c r="R236" s="1" t="s">
        <v>1206</v>
      </c>
      <c r="S236" s="1" t="s">
        <v>1207</v>
      </c>
    </row>
    <row r="237" spans="1:19" x14ac:dyDescent="0.25">
      <c r="A237" s="1">
        <v>242</v>
      </c>
      <c r="B237" s="9" t="s">
        <v>199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333</v>
      </c>
      <c r="P237" s="1" t="s">
        <v>333</v>
      </c>
      <c r="Q237" s="1" t="s">
        <v>1179</v>
      </c>
      <c r="R237" s="1" t="s">
        <v>1180</v>
      </c>
      <c r="S237" s="1" t="s">
        <v>1181</v>
      </c>
    </row>
    <row r="238" spans="1:19" x14ac:dyDescent="0.25">
      <c r="A238" s="1">
        <v>243</v>
      </c>
      <c r="B238" s="9" t="s">
        <v>850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1333</v>
      </c>
      <c r="P238" s="1" t="s">
        <v>1334</v>
      </c>
      <c r="Q238" s="1" t="s">
        <v>1194</v>
      </c>
      <c r="R238" s="1" t="s">
        <v>1219</v>
      </c>
      <c r="S238" s="1" t="s">
        <v>1193</v>
      </c>
    </row>
    <row r="239" spans="1:19" x14ac:dyDescent="0.25">
      <c r="A239" s="1">
        <v>244</v>
      </c>
      <c r="B239" s="9" t="s">
        <v>1749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1188</v>
      </c>
      <c r="P239" s="1" t="s">
        <v>333</v>
      </c>
      <c r="Q239" s="1" t="s">
        <v>1179</v>
      </c>
      <c r="R239" s="1" t="s">
        <v>1180</v>
      </c>
      <c r="S239" s="1" t="s">
        <v>1181</v>
      </c>
    </row>
    <row r="240" spans="1:19" x14ac:dyDescent="0.25">
      <c r="A240" s="1">
        <v>245</v>
      </c>
      <c r="B240" s="9" t="s">
        <v>192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1335</v>
      </c>
      <c r="P240" s="1" t="s">
        <v>1336</v>
      </c>
      <c r="Q240" s="1" t="s">
        <v>1193</v>
      </c>
      <c r="R240" s="1" t="s">
        <v>1180</v>
      </c>
      <c r="S240" s="1" t="s">
        <v>1194</v>
      </c>
    </row>
    <row r="241" spans="1:19" x14ac:dyDescent="0.25">
      <c r="A241" s="1">
        <v>247</v>
      </c>
      <c r="B241" s="9" t="s">
        <v>193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1337</v>
      </c>
      <c r="P241" s="1" t="s">
        <v>333</v>
      </c>
      <c r="Q241" s="1" t="s">
        <v>1205</v>
      </c>
      <c r="R241" s="1" t="s">
        <v>1206</v>
      </c>
      <c r="S241" s="1" t="s">
        <v>1207</v>
      </c>
    </row>
    <row r="242" spans="1:19" x14ac:dyDescent="0.25">
      <c r="A242" s="1">
        <v>248</v>
      </c>
      <c r="B242" s="9" t="s">
        <v>194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1338</v>
      </c>
      <c r="P242" s="1" t="s">
        <v>333</v>
      </c>
      <c r="Q242" s="1" t="s">
        <v>1179</v>
      </c>
      <c r="R242" s="1" t="s">
        <v>1180</v>
      </c>
      <c r="S242" s="1" t="s">
        <v>1181</v>
      </c>
    </row>
    <row r="243" spans="1:19" x14ac:dyDescent="0.25">
      <c r="A243" s="1">
        <v>249</v>
      </c>
      <c r="B243" s="9" t="s">
        <v>243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1241</v>
      </c>
      <c r="P243" s="1" t="s">
        <v>333</v>
      </c>
      <c r="Q243" s="1" t="s">
        <v>1238</v>
      </c>
      <c r="R243" s="1" t="s">
        <v>1239</v>
      </c>
      <c r="S243" s="1" t="s">
        <v>1240</v>
      </c>
    </row>
    <row r="244" spans="1:19" x14ac:dyDescent="0.25">
      <c r="A244" s="1">
        <v>250</v>
      </c>
      <c r="B244" s="9" t="s">
        <v>202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333</v>
      </c>
      <c r="P244" s="1" t="s">
        <v>333</v>
      </c>
      <c r="Q244" s="1" t="s">
        <v>1179</v>
      </c>
      <c r="R244" s="1" t="s">
        <v>1180</v>
      </c>
      <c r="S244" s="1" t="s">
        <v>1181</v>
      </c>
    </row>
    <row r="245" spans="1:19" x14ac:dyDescent="0.25">
      <c r="A245" s="1">
        <v>251</v>
      </c>
      <c r="B245" s="9" t="s">
        <v>200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333</v>
      </c>
      <c r="P245" s="1" t="s">
        <v>1339</v>
      </c>
      <c r="Q245" s="1" t="s">
        <v>1193</v>
      </c>
      <c r="R245" s="1" t="s">
        <v>1180</v>
      </c>
      <c r="S245" s="1" t="s">
        <v>1194</v>
      </c>
    </row>
    <row r="246" spans="1:19" x14ac:dyDescent="0.25">
      <c r="A246" s="1">
        <v>252</v>
      </c>
      <c r="B246" s="9" t="s">
        <v>201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1340</v>
      </c>
      <c r="P246" s="1" t="s">
        <v>333</v>
      </c>
      <c r="Q246" s="1" t="s">
        <v>1205</v>
      </c>
      <c r="R246" s="1" t="s">
        <v>1206</v>
      </c>
      <c r="S246" s="1" t="s">
        <v>1207</v>
      </c>
    </row>
    <row r="247" spans="1:19" x14ac:dyDescent="0.25">
      <c r="A247" s="1">
        <v>253</v>
      </c>
      <c r="B247" s="9" t="s">
        <v>244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1341</v>
      </c>
      <c r="P247" s="1" t="s">
        <v>333</v>
      </c>
      <c r="Q247" s="1" t="s">
        <v>1238</v>
      </c>
      <c r="R247" s="1" t="s">
        <v>1239</v>
      </c>
      <c r="S247" s="1" t="s">
        <v>1240</v>
      </c>
    </row>
    <row r="248" spans="1:19" x14ac:dyDescent="0.25">
      <c r="A248" s="1">
        <v>254</v>
      </c>
      <c r="B248" s="9" t="s">
        <v>1750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1342</v>
      </c>
      <c r="P248" s="1" t="s">
        <v>1343</v>
      </c>
      <c r="Q248" s="1" t="s">
        <v>1238</v>
      </c>
      <c r="R248" s="1" t="s">
        <v>1239</v>
      </c>
      <c r="S248" s="1" t="s">
        <v>1240</v>
      </c>
    </row>
    <row r="249" spans="1:19" x14ac:dyDescent="0.25">
      <c r="A249" s="1">
        <v>255</v>
      </c>
      <c r="B249" s="9" t="s">
        <v>245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1188</v>
      </c>
      <c r="P249" s="1" t="s">
        <v>333</v>
      </c>
      <c r="Q249" s="1" t="s">
        <v>1205</v>
      </c>
      <c r="R249" s="1" t="s">
        <v>1206</v>
      </c>
      <c r="S249" s="1" t="s">
        <v>1207</v>
      </c>
    </row>
    <row r="250" spans="1:19" x14ac:dyDescent="0.25">
      <c r="A250" s="1">
        <v>256</v>
      </c>
      <c r="B250" s="9" t="s">
        <v>204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1344</v>
      </c>
      <c r="P250" s="1" t="s">
        <v>1345</v>
      </c>
      <c r="Q250" s="1" t="s">
        <v>1205</v>
      </c>
      <c r="R250" s="1" t="s">
        <v>1206</v>
      </c>
      <c r="S250" s="1" t="s">
        <v>1207</v>
      </c>
    </row>
    <row r="251" spans="1:19" x14ac:dyDescent="0.25">
      <c r="A251" s="1">
        <v>257</v>
      </c>
      <c r="B251" s="9" t="s">
        <v>203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1346</v>
      </c>
      <c r="P251" s="1" t="s">
        <v>1347</v>
      </c>
      <c r="Q251" s="1" t="s">
        <v>1205</v>
      </c>
      <c r="R251" s="1" t="s">
        <v>1206</v>
      </c>
      <c r="S251" s="1" t="s">
        <v>1207</v>
      </c>
    </row>
    <row r="252" spans="1:19" x14ac:dyDescent="0.25">
      <c r="A252" s="1">
        <v>258</v>
      </c>
      <c r="B252" s="9" t="s">
        <v>205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1188</v>
      </c>
      <c r="P252" s="1" t="s">
        <v>333</v>
      </c>
      <c r="Q252" s="1" t="s">
        <v>1194</v>
      </c>
      <c r="R252" s="1" t="s">
        <v>1219</v>
      </c>
      <c r="S252" s="1" t="s">
        <v>1193</v>
      </c>
    </row>
    <row r="253" spans="1:19" x14ac:dyDescent="0.25">
      <c r="A253" s="1">
        <v>259</v>
      </c>
      <c r="B253" s="9" t="s">
        <v>1751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1348</v>
      </c>
      <c r="P253" s="1" t="s">
        <v>333</v>
      </c>
      <c r="Q253" s="1" t="s">
        <v>1193</v>
      </c>
      <c r="R253" s="1" t="s">
        <v>1180</v>
      </c>
      <c r="S253" s="1" t="s">
        <v>1194</v>
      </c>
    </row>
    <row r="254" spans="1:19" x14ac:dyDescent="0.25">
      <c r="A254" s="1">
        <v>260</v>
      </c>
      <c r="B254" s="9" t="s">
        <v>1752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1349</v>
      </c>
      <c r="P254" s="1" t="s">
        <v>333</v>
      </c>
      <c r="Q254" s="1" t="s">
        <v>1179</v>
      </c>
      <c r="R254" s="1" t="s">
        <v>1180</v>
      </c>
      <c r="S254" s="1" t="s">
        <v>1181</v>
      </c>
    </row>
    <row r="255" spans="1:19" x14ac:dyDescent="0.25">
      <c r="A255" s="1">
        <v>261</v>
      </c>
      <c r="B255" s="9" t="s">
        <v>1753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1350</v>
      </c>
      <c r="P255" s="1" t="s">
        <v>1351</v>
      </c>
      <c r="Q255" s="1" t="s">
        <v>1205</v>
      </c>
      <c r="R255" s="1" t="s">
        <v>1206</v>
      </c>
      <c r="S255" s="1" t="s">
        <v>1207</v>
      </c>
    </row>
    <row r="256" spans="1:19" x14ac:dyDescent="0.25">
      <c r="A256" s="1">
        <v>262</v>
      </c>
      <c r="B256" s="9" t="s">
        <v>1754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333</v>
      </c>
      <c r="P256" s="1" t="s">
        <v>1352</v>
      </c>
      <c r="Q256" s="1" t="s">
        <v>1194</v>
      </c>
      <c r="R256" s="1" t="s">
        <v>1219</v>
      </c>
      <c r="S256" s="1" t="s">
        <v>1193</v>
      </c>
    </row>
    <row r="257" spans="1:19" x14ac:dyDescent="0.25">
      <c r="A257" s="1">
        <v>263</v>
      </c>
      <c r="B257" s="9" t="s">
        <v>207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1353</v>
      </c>
      <c r="P257" s="1" t="s">
        <v>1354</v>
      </c>
      <c r="Q257" s="1" t="s">
        <v>1238</v>
      </c>
      <c r="R257" s="1" t="s">
        <v>1239</v>
      </c>
      <c r="S257" s="1" t="s">
        <v>1240</v>
      </c>
    </row>
    <row r="258" spans="1:19" x14ac:dyDescent="0.25">
      <c r="A258" s="1">
        <v>264</v>
      </c>
      <c r="B258" s="9" t="s">
        <v>206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1355</v>
      </c>
      <c r="P258" s="1" t="s">
        <v>1356</v>
      </c>
      <c r="Q258" s="1" t="s">
        <v>1238</v>
      </c>
      <c r="R258" s="1" t="s">
        <v>1239</v>
      </c>
      <c r="S258" s="1" t="s">
        <v>1240</v>
      </c>
    </row>
    <row r="259" spans="1:19" x14ac:dyDescent="0.25">
      <c r="A259" s="1">
        <v>265</v>
      </c>
      <c r="B259" s="9" t="s">
        <v>208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1188</v>
      </c>
      <c r="P259" s="1" t="s">
        <v>333</v>
      </c>
      <c r="Q259" s="1" t="s">
        <v>1194</v>
      </c>
      <c r="R259" s="1" t="s">
        <v>1219</v>
      </c>
      <c r="S259" s="1" t="s">
        <v>1193</v>
      </c>
    </row>
    <row r="260" spans="1:19" x14ac:dyDescent="0.25">
      <c r="A260" s="1">
        <v>266</v>
      </c>
      <c r="B260" s="9" t="s">
        <v>209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1357</v>
      </c>
      <c r="P260" s="1" t="s">
        <v>1358</v>
      </c>
      <c r="Q260" s="1" t="s">
        <v>1205</v>
      </c>
      <c r="R260" s="1" t="s">
        <v>1206</v>
      </c>
      <c r="S260" s="1" t="s">
        <v>1207</v>
      </c>
    </row>
    <row r="261" spans="1:19" x14ac:dyDescent="0.25">
      <c r="A261" s="1">
        <v>267</v>
      </c>
      <c r="B261" s="9" t="s">
        <v>210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1188</v>
      </c>
      <c r="P261" s="1" t="s">
        <v>333</v>
      </c>
      <c r="Q261" s="1" t="s">
        <v>1193</v>
      </c>
      <c r="R261" s="1" t="s">
        <v>1180</v>
      </c>
      <c r="S261" s="1" t="s">
        <v>1194</v>
      </c>
    </row>
    <row r="262" spans="1:19" x14ac:dyDescent="0.25">
      <c r="A262" s="1">
        <v>268</v>
      </c>
      <c r="B262" s="9" t="s">
        <v>1755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1188</v>
      </c>
      <c r="P262" s="1" t="s">
        <v>333</v>
      </c>
      <c r="Q262" s="1" t="s">
        <v>1205</v>
      </c>
      <c r="R262" s="1" t="s">
        <v>1206</v>
      </c>
      <c r="S262" s="1" t="s">
        <v>1207</v>
      </c>
    </row>
    <row r="263" spans="1:19" x14ac:dyDescent="0.25">
      <c r="A263" s="1">
        <v>269</v>
      </c>
      <c r="B263" s="9" t="s">
        <v>211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1359</v>
      </c>
      <c r="P263" s="1" t="s">
        <v>1360</v>
      </c>
      <c r="Q263" s="1" t="s">
        <v>1179</v>
      </c>
      <c r="R263" s="1" t="s">
        <v>1180</v>
      </c>
      <c r="S263" s="1" t="s">
        <v>1181</v>
      </c>
    </row>
    <row r="264" spans="1:19" x14ac:dyDescent="0.25">
      <c r="A264" s="1">
        <v>270</v>
      </c>
      <c r="B264" s="9" t="s">
        <v>246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1361</v>
      </c>
      <c r="P264" s="1" t="s">
        <v>1362</v>
      </c>
      <c r="Q264" s="1" t="s">
        <v>1205</v>
      </c>
      <c r="R264" s="1" t="s">
        <v>1206</v>
      </c>
      <c r="S264" s="1" t="s">
        <v>1207</v>
      </c>
    </row>
    <row r="265" spans="1:19" x14ac:dyDescent="0.25">
      <c r="A265" s="1">
        <v>271</v>
      </c>
      <c r="B265" s="9" t="s">
        <v>213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1241</v>
      </c>
      <c r="P265" s="1" t="s">
        <v>333</v>
      </c>
      <c r="Q265" s="1" t="s">
        <v>1238</v>
      </c>
      <c r="R265" s="1" t="s">
        <v>1239</v>
      </c>
      <c r="S265" s="1" t="s">
        <v>1240</v>
      </c>
    </row>
    <row r="266" spans="1:19" x14ac:dyDescent="0.25">
      <c r="A266" s="1">
        <v>272</v>
      </c>
      <c r="B266" s="9" t="s">
        <v>1785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1363</v>
      </c>
      <c r="P266" s="1" t="s">
        <v>1364</v>
      </c>
      <c r="Q266" s="1" t="s">
        <v>1179</v>
      </c>
      <c r="R266" s="1" t="s">
        <v>1180</v>
      </c>
      <c r="S266" s="1" t="s">
        <v>1181</v>
      </c>
    </row>
    <row r="267" spans="1:19" x14ac:dyDescent="0.25">
      <c r="A267" s="1">
        <v>273</v>
      </c>
      <c r="B267" s="9" t="s">
        <v>247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1365</v>
      </c>
      <c r="P267" s="1" t="s">
        <v>1366</v>
      </c>
      <c r="Q267" s="1" t="s">
        <v>1205</v>
      </c>
      <c r="R267" s="1" t="s">
        <v>1206</v>
      </c>
      <c r="S267" s="1" t="s">
        <v>1207</v>
      </c>
    </row>
    <row r="268" spans="1:19" x14ac:dyDescent="0.25">
      <c r="A268" s="1">
        <v>274</v>
      </c>
      <c r="B268" s="9" t="s">
        <v>215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1367</v>
      </c>
      <c r="P268" s="1" t="s">
        <v>1368</v>
      </c>
      <c r="Q268" s="1" t="s">
        <v>1194</v>
      </c>
      <c r="R268" s="1" t="s">
        <v>1219</v>
      </c>
      <c r="S268" s="1" t="s">
        <v>1193</v>
      </c>
    </row>
    <row r="269" spans="1:19" x14ac:dyDescent="0.25">
      <c r="A269" s="1">
        <v>275</v>
      </c>
      <c r="B269" s="9" t="s">
        <v>849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1369</v>
      </c>
      <c r="P269" s="1" t="s">
        <v>1370</v>
      </c>
      <c r="Q269" s="1" t="s">
        <v>1238</v>
      </c>
      <c r="R269" s="1" t="s">
        <v>1239</v>
      </c>
      <c r="S269" s="1" t="s">
        <v>1240</v>
      </c>
    </row>
    <row r="270" spans="1:19" x14ac:dyDescent="0.25">
      <c r="A270" s="1">
        <v>276</v>
      </c>
      <c r="B270" s="9" t="s">
        <v>214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1371</v>
      </c>
      <c r="P270" s="1" t="s">
        <v>1372</v>
      </c>
      <c r="Q270" s="1" t="s">
        <v>1238</v>
      </c>
      <c r="R270" s="1" t="s">
        <v>1239</v>
      </c>
      <c r="S270" s="1" t="s">
        <v>1240</v>
      </c>
    </row>
    <row r="271" spans="1:19" x14ac:dyDescent="0.25">
      <c r="A271" s="1">
        <v>277</v>
      </c>
      <c r="B271" s="9" t="s">
        <v>216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1188</v>
      </c>
      <c r="P271" s="1" t="s">
        <v>333</v>
      </c>
      <c r="Q271" s="1" t="s">
        <v>1179</v>
      </c>
      <c r="R271" s="1" t="s">
        <v>1180</v>
      </c>
      <c r="S271" s="1" t="s">
        <v>1181</v>
      </c>
    </row>
    <row r="272" spans="1:19" x14ac:dyDescent="0.25">
      <c r="A272" s="1">
        <v>278</v>
      </c>
      <c r="B272" s="9" t="s">
        <v>217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1279</v>
      </c>
      <c r="P272" s="1" t="s">
        <v>333</v>
      </c>
      <c r="Q272" s="1" t="s">
        <v>1273</v>
      </c>
      <c r="R272" s="1" t="s">
        <v>1274</v>
      </c>
      <c r="S272" s="1" t="s">
        <v>1275</v>
      </c>
    </row>
    <row r="273" spans="1:19" x14ac:dyDescent="0.25">
      <c r="A273" s="1">
        <v>279</v>
      </c>
      <c r="B273" s="9" t="s">
        <v>218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1188</v>
      </c>
      <c r="P273" s="1" t="s">
        <v>333</v>
      </c>
      <c r="Q273" s="1" t="s">
        <v>1194</v>
      </c>
      <c r="R273" s="1" t="s">
        <v>1219</v>
      </c>
      <c r="S273" s="1" t="s">
        <v>1193</v>
      </c>
    </row>
    <row r="274" spans="1:19" x14ac:dyDescent="0.25">
      <c r="A274" s="1">
        <v>280</v>
      </c>
      <c r="B274" s="9" t="s">
        <v>1756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1373</v>
      </c>
      <c r="P274" s="1" t="s">
        <v>1374</v>
      </c>
      <c r="Q274" s="1" t="s">
        <v>1193</v>
      </c>
      <c r="R274" s="1" t="s">
        <v>1180</v>
      </c>
      <c r="S274" s="1" t="s">
        <v>1194</v>
      </c>
    </row>
    <row r="275" spans="1:19" x14ac:dyDescent="0.25">
      <c r="A275" s="1">
        <v>281</v>
      </c>
      <c r="B275" s="9" t="s">
        <v>248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1375</v>
      </c>
      <c r="P275" s="1" t="s">
        <v>1376</v>
      </c>
      <c r="Q275" s="1" t="s">
        <v>1273</v>
      </c>
      <c r="R275" s="1" t="s">
        <v>1274</v>
      </c>
      <c r="S275" s="1" t="s">
        <v>1275</v>
      </c>
    </row>
    <row r="276" spans="1:19" x14ac:dyDescent="0.25">
      <c r="A276" s="1">
        <v>282</v>
      </c>
      <c r="B276" s="9" t="s">
        <v>1757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1377</v>
      </c>
      <c r="P276" s="1" t="s">
        <v>1378</v>
      </c>
      <c r="Q276" s="1" t="s">
        <v>1273</v>
      </c>
      <c r="R276" s="1" t="s">
        <v>1274</v>
      </c>
      <c r="S276" s="1" t="s">
        <v>1275</v>
      </c>
    </row>
    <row r="277" spans="1:19" x14ac:dyDescent="0.25">
      <c r="A277" s="1">
        <v>283</v>
      </c>
      <c r="B277" s="9" t="s">
        <v>219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1272</v>
      </c>
      <c r="P277" s="1" t="s">
        <v>1379</v>
      </c>
      <c r="Q277" s="1" t="s">
        <v>1273</v>
      </c>
      <c r="R277" s="1" t="s">
        <v>1274</v>
      </c>
      <c r="S277" s="1" t="s">
        <v>1275</v>
      </c>
    </row>
    <row r="278" spans="1:19" x14ac:dyDescent="0.25">
      <c r="A278" s="1">
        <v>284</v>
      </c>
      <c r="B278" s="9" t="s">
        <v>220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1188</v>
      </c>
      <c r="P278" s="1" t="s">
        <v>333</v>
      </c>
      <c r="Q278" s="1" t="s">
        <v>1205</v>
      </c>
      <c r="R278" s="1" t="s">
        <v>1206</v>
      </c>
      <c r="S278" s="1" t="s">
        <v>1207</v>
      </c>
    </row>
    <row r="279" spans="1:19" x14ac:dyDescent="0.25">
      <c r="A279" s="1">
        <v>285</v>
      </c>
      <c r="B279" s="9" t="s">
        <v>1758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1380</v>
      </c>
      <c r="P279" s="1" t="s">
        <v>1381</v>
      </c>
      <c r="Q279" s="1" t="s">
        <v>1179</v>
      </c>
      <c r="R279" s="1" t="s">
        <v>1180</v>
      </c>
      <c r="S279" s="1" t="s">
        <v>1181</v>
      </c>
    </row>
    <row r="280" spans="1:19" x14ac:dyDescent="0.25">
      <c r="A280" s="1">
        <v>286</v>
      </c>
      <c r="B280" s="9" t="s">
        <v>1759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1382</v>
      </c>
      <c r="P280" s="1" t="s">
        <v>333</v>
      </c>
      <c r="Q280" s="1" t="s">
        <v>1193</v>
      </c>
      <c r="R280" s="1" t="s">
        <v>1180</v>
      </c>
      <c r="S280" s="1" t="s">
        <v>1194</v>
      </c>
    </row>
    <row r="281" spans="1:19" x14ac:dyDescent="0.25">
      <c r="A281" s="1">
        <v>287</v>
      </c>
      <c r="B281" s="9" t="s">
        <v>249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1383</v>
      </c>
      <c r="P281" s="1" t="s">
        <v>1384</v>
      </c>
      <c r="Q281" s="1" t="s">
        <v>1194</v>
      </c>
      <c r="R281" s="1" t="s">
        <v>1219</v>
      </c>
      <c r="S281" s="1" t="s">
        <v>1193</v>
      </c>
    </row>
    <row r="282" spans="1:19" x14ac:dyDescent="0.25">
      <c r="A282" s="1">
        <v>288</v>
      </c>
      <c r="B282" s="9" t="s">
        <v>1760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1385</v>
      </c>
      <c r="P282" s="1" t="s">
        <v>333</v>
      </c>
      <c r="Q282" s="1" t="s">
        <v>1194</v>
      </c>
      <c r="R282" s="1" t="s">
        <v>1219</v>
      </c>
      <c r="S282" s="1" t="s">
        <v>1193</v>
      </c>
    </row>
    <row r="283" spans="1:19" x14ac:dyDescent="0.25">
      <c r="A283" s="1">
        <v>289</v>
      </c>
      <c r="B283" s="9" t="s">
        <v>803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333</v>
      </c>
      <c r="P283" s="1" t="s">
        <v>1312</v>
      </c>
      <c r="Q283" s="1" t="s">
        <v>1194</v>
      </c>
      <c r="R283" s="1" t="s">
        <v>1219</v>
      </c>
      <c r="S283" s="1" t="s">
        <v>1193</v>
      </c>
    </row>
    <row r="284" spans="1:19" x14ac:dyDescent="0.25">
      <c r="A284" s="1">
        <v>290</v>
      </c>
      <c r="B284" s="9" t="s">
        <v>804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1386</v>
      </c>
      <c r="P284" s="1" t="s">
        <v>1387</v>
      </c>
      <c r="Q284" s="1" t="s">
        <v>1194</v>
      </c>
      <c r="R284" s="1" t="s">
        <v>1219</v>
      </c>
      <c r="S284" s="1" t="s">
        <v>1193</v>
      </c>
    </row>
    <row r="285" spans="1:19" x14ac:dyDescent="0.25">
      <c r="A285" s="1">
        <v>291</v>
      </c>
      <c r="B285" s="9" t="s">
        <v>1786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1188</v>
      </c>
      <c r="P285" s="1" t="s">
        <v>333</v>
      </c>
      <c r="Q285" s="1" t="s">
        <v>1193</v>
      </c>
      <c r="R285" s="1" t="s">
        <v>1180</v>
      </c>
      <c r="S285" s="1" t="s">
        <v>1194</v>
      </c>
    </row>
    <row r="286" spans="1:19" x14ac:dyDescent="0.25">
      <c r="A286" s="1">
        <v>292</v>
      </c>
      <c r="B286" s="9" t="s">
        <v>1761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1388</v>
      </c>
      <c r="P286" s="1" t="s">
        <v>1389</v>
      </c>
      <c r="Q286" s="1" t="s">
        <v>1238</v>
      </c>
      <c r="R286" s="1" t="s">
        <v>1239</v>
      </c>
      <c r="S286" s="1" t="s">
        <v>1240</v>
      </c>
    </row>
    <row r="287" spans="1:19" x14ac:dyDescent="0.25">
      <c r="A287" s="1">
        <v>293</v>
      </c>
      <c r="B287" s="9" t="s">
        <v>1762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1390</v>
      </c>
      <c r="P287" s="1" t="s">
        <v>1391</v>
      </c>
      <c r="Q287" s="1" t="s">
        <v>1194</v>
      </c>
      <c r="R287" s="1" t="s">
        <v>1219</v>
      </c>
      <c r="S287" s="1" t="s">
        <v>1193</v>
      </c>
    </row>
    <row r="288" spans="1:19" x14ac:dyDescent="0.25">
      <c r="A288" s="1">
        <v>294</v>
      </c>
      <c r="B288" s="9" t="s">
        <v>805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1392</v>
      </c>
      <c r="P288" s="1" t="s">
        <v>1393</v>
      </c>
      <c r="Q288" s="1" t="s">
        <v>1179</v>
      </c>
      <c r="R288" s="1" t="s">
        <v>1180</v>
      </c>
      <c r="S288" s="1" t="s">
        <v>1181</v>
      </c>
    </row>
    <row r="289" spans="1:19" x14ac:dyDescent="0.25">
      <c r="A289" s="1">
        <v>295</v>
      </c>
      <c r="B289" s="9" t="s">
        <v>806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1394</v>
      </c>
      <c r="P289" s="1" t="s">
        <v>333</v>
      </c>
      <c r="Q289" s="1" t="s">
        <v>1193</v>
      </c>
      <c r="R289" s="1" t="s">
        <v>1180</v>
      </c>
      <c r="S289" s="1" t="s">
        <v>1194</v>
      </c>
    </row>
    <row r="290" spans="1:19" x14ac:dyDescent="0.25">
      <c r="A290" s="1">
        <v>296</v>
      </c>
      <c r="B290" s="9" t="s">
        <v>807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1395</v>
      </c>
      <c r="P290" s="1" t="s">
        <v>1396</v>
      </c>
      <c r="Q290" s="1" t="s">
        <v>1205</v>
      </c>
      <c r="R290" s="1" t="s">
        <v>1206</v>
      </c>
      <c r="S290" s="1" t="s">
        <v>1207</v>
      </c>
    </row>
    <row r="291" spans="1:19" x14ac:dyDescent="0.25">
      <c r="A291" s="1">
        <v>297</v>
      </c>
      <c r="B291" s="9" t="s">
        <v>808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1230</v>
      </c>
      <c r="P291" s="1" t="s">
        <v>333</v>
      </c>
      <c r="Q291" s="1" t="s">
        <v>1194</v>
      </c>
      <c r="R291" s="1" t="s">
        <v>1219</v>
      </c>
      <c r="S291" s="1" t="s">
        <v>1193</v>
      </c>
    </row>
    <row r="292" spans="1:19" x14ac:dyDescent="0.25">
      <c r="A292" s="1">
        <v>298</v>
      </c>
      <c r="B292" s="9" t="s">
        <v>809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1188</v>
      </c>
      <c r="P292" s="1" t="s">
        <v>333</v>
      </c>
      <c r="Q292" s="1" t="s">
        <v>1194</v>
      </c>
      <c r="R292" s="1" t="s">
        <v>1219</v>
      </c>
      <c r="S292" s="1" t="s">
        <v>1193</v>
      </c>
    </row>
    <row r="293" spans="1:19" x14ac:dyDescent="0.25">
      <c r="A293" s="1">
        <v>299</v>
      </c>
      <c r="B293" s="9" t="s">
        <v>250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1276</v>
      </c>
      <c r="P293" s="1" t="s">
        <v>333</v>
      </c>
      <c r="Q293" s="1" t="s">
        <v>1273</v>
      </c>
      <c r="R293" s="1" t="s">
        <v>1274</v>
      </c>
      <c r="S293" s="1" t="s">
        <v>1275</v>
      </c>
    </row>
    <row r="294" spans="1:19" x14ac:dyDescent="0.25">
      <c r="A294" s="1">
        <v>300</v>
      </c>
      <c r="B294" s="9" t="s">
        <v>810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1241</v>
      </c>
      <c r="P294" s="1" t="s">
        <v>333</v>
      </c>
      <c r="Q294" s="1" t="s">
        <v>1238</v>
      </c>
      <c r="R294" s="1" t="s">
        <v>1239</v>
      </c>
      <c r="S294" s="1" t="s">
        <v>1240</v>
      </c>
    </row>
    <row r="295" spans="1:19" x14ac:dyDescent="0.25">
      <c r="A295" s="1">
        <v>301</v>
      </c>
      <c r="B295" s="9" t="s">
        <v>1763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1188</v>
      </c>
      <c r="P295" s="1" t="s">
        <v>333</v>
      </c>
      <c r="Q295" s="1" t="s">
        <v>1193</v>
      </c>
      <c r="R295" s="1" t="s">
        <v>1180</v>
      </c>
      <c r="S295" s="1" t="s">
        <v>1194</v>
      </c>
    </row>
    <row r="296" spans="1:19" x14ac:dyDescent="0.25">
      <c r="A296" s="1">
        <v>302</v>
      </c>
      <c r="B296" s="9" t="s">
        <v>1701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1397</v>
      </c>
      <c r="P296" s="1" t="s">
        <v>1398</v>
      </c>
      <c r="Q296" s="1" t="s">
        <v>1273</v>
      </c>
      <c r="R296" s="1" t="s">
        <v>1274</v>
      </c>
      <c r="S296" s="1" t="s">
        <v>1275</v>
      </c>
    </row>
    <row r="297" spans="1:19" x14ac:dyDescent="0.25">
      <c r="A297" s="1">
        <v>303</v>
      </c>
      <c r="B297" s="9" t="s">
        <v>1764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333</v>
      </c>
      <c r="P297" s="1" t="s">
        <v>1399</v>
      </c>
      <c r="Q297" s="1" t="s">
        <v>1179</v>
      </c>
      <c r="R297" s="1" t="s">
        <v>1180</v>
      </c>
      <c r="S297" s="1" t="s">
        <v>1181</v>
      </c>
    </row>
    <row r="298" spans="1:19" x14ac:dyDescent="0.25">
      <c r="A298" s="1">
        <v>304</v>
      </c>
      <c r="B298" s="9" t="s">
        <v>811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1400</v>
      </c>
      <c r="P298" s="1" t="s">
        <v>1401</v>
      </c>
      <c r="Q298" s="1" t="s">
        <v>1193</v>
      </c>
      <c r="R298" s="1" t="s">
        <v>1180</v>
      </c>
      <c r="S298" s="1" t="s">
        <v>1194</v>
      </c>
    </row>
    <row r="299" spans="1:19" x14ac:dyDescent="0.25">
      <c r="A299" s="1">
        <v>305</v>
      </c>
      <c r="B299" s="9" t="s">
        <v>812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333</v>
      </c>
      <c r="P299" s="1" t="s">
        <v>333</v>
      </c>
      <c r="Q299" s="1" t="s">
        <v>1205</v>
      </c>
      <c r="R299" s="1" t="s">
        <v>1206</v>
      </c>
      <c r="S299" s="1" t="s">
        <v>1207</v>
      </c>
    </row>
    <row r="300" spans="1:19" x14ac:dyDescent="0.25">
      <c r="A300" s="1">
        <v>306</v>
      </c>
      <c r="B300" s="9" t="s">
        <v>1765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1402</v>
      </c>
      <c r="P300" s="1" t="s">
        <v>1403</v>
      </c>
      <c r="Q300" s="1" t="s">
        <v>1194</v>
      </c>
      <c r="R300" s="1" t="s">
        <v>1219</v>
      </c>
      <c r="S300" s="1" t="s">
        <v>1193</v>
      </c>
    </row>
    <row r="301" spans="1:19" x14ac:dyDescent="0.25">
      <c r="A301" s="1">
        <v>307</v>
      </c>
      <c r="B301" s="9" t="s">
        <v>1766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1404</v>
      </c>
      <c r="P301" s="1" t="s">
        <v>1405</v>
      </c>
      <c r="Q301" s="1" t="s">
        <v>1238</v>
      </c>
      <c r="R301" s="1" t="s">
        <v>1239</v>
      </c>
      <c r="S301" s="1" t="s">
        <v>1240</v>
      </c>
    </row>
    <row r="302" spans="1:19" x14ac:dyDescent="0.25">
      <c r="A302" s="1">
        <v>308</v>
      </c>
      <c r="B302" s="9" t="s">
        <v>813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1188</v>
      </c>
      <c r="P302" s="1" t="s">
        <v>333</v>
      </c>
      <c r="Q302" s="1" t="s">
        <v>1205</v>
      </c>
      <c r="R302" s="1" t="s">
        <v>1206</v>
      </c>
      <c r="S302" s="1" t="s">
        <v>1207</v>
      </c>
    </row>
    <row r="303" spans="1:19" x14ac:dyDescent="0.25">
      <c r="A303" s="1">
        <v>309</v>
      </c>
      <c r="B303" s="9" t="s">
        <v>814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1406</v>
      </c>
      <c r="P303" s="1" t="s">
        <v>1407</v>
      </c>
      <c r="Q303" s="1" t="s">
        <v>1179</v>
      </c>
      <c r="R303" s="1" t="s">
        <v>1180</v>
      </c>
      <c r="S303" s="1" t="s">
        <v>1181</v>
      </c>
    </row>
    <row r="304" spans="1:19" x14ac:dyDescent="0.25">
      <c r="A304" s="1">
        <v>310</v>
      </c>
      <c r="B304" s="9" t="s">
        <v>815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333</v>
      </c>
      <c r="P304" s="1" t="s">
        <v>333</v>
      </c>
      <c r="Q304" s="1" t="s">
        <v>1179</v>
      </c>
      <c r="R304" s="1" t="s">
        <v>1180</v>
      </c>
      <c r="S304" s="1" t="s">
        <v>1181</v>
      </c>
    </row>
    <row r="305" spans="1:19" x14ac:dyDescent="0.25">
      <c r="A305" s="1">
        <v>311</v>
      </c>
      <c r="B305" s="9" t="s">
        <v>816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1408</v>
      </c>
      <c r="P305" s="1" t="s">
        <v>1409</v>
      </c>
      <c r="Q305" s="1" t="s">
        <v>1193</v>
      </c>
      <c r="R305" s="1" t="s">
        <v>1180</v>
      </c>
      <c r="S305" s="1" t="s">
        <v>1194</v>
      </c>
    </row>
    <row r="306" spans="1:19" x14ac:dyDescent="0.25">
      <c r="A306" s="1">
        <v>312</v>
      </c>
      <c r="B306" s="9" t="s">
        <v>1767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1410</v>
      </c>
      <c r="P306" s="1" t="s">
        <v>333</v>
      </c>
      <c r="Q306" s="1" t="s">
        <v>1205</v>
      </c>
      <c r="R306" s="1" t="s">
        <v>1206</v>
      </c>
      <c r="S306" s="1" t="s">
        <v>1207</v>
      </c>
    </row>
    <row r="307" spans="1:19" x14ac:dyDescent="0.25">
      <c r="A307" s="1">
        <v>313</v>
      </c>
      <c r="B307" s="9" t="s">
        <v>1768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1411</v>
      </c>
      <c r="P307" s="1" t="s">
        <v>1412</v>
      </c>
      <c r="Q307" s="1" t="s">
        <v>1194</v>
      </c>
      <c r="R307" s="1" t="s">
        <v>1219</v>
      </c>
      <c r="S307" s="1" t="s">
        <v>1193</v>
      </c>
    </row>
    <row r="308" spans="1:19" x14ac:dyDescent="0.25">
      <c r="A308" s="1">
        <v>314</v>
      </c>
      <c r="B308" s="9" t="s">
        <v>1769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1188</v>
      </c>
      <c r="P308" s="1" t="s">
        <v>333</v>
      </c>
      <c r="Q308" s="1" t="s">
        <v>1194</v>
      </c>
      <c r="R308" s="1" t="s">
        <v>1219</v>
      </c>
      <c r="S308" s="1" t="s">
        <v>1193</v>
      </c>
    </row>
    <row r="309" spans="1:19" x14ac:dyDescent="0.25">
      <c r="A309" s="1">
        <v>315</v>
      </c>
      <c r="B309" s="9" t="s">
        <v>853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1413</v>
      </c>
      <c r="P309" s="1" t="s">
        <v>1414</v>
      </c>
      <c r="Q309" s="1" t="s">
        <v>1193</v>
      </c>
      <c r="R309" s="1" t="s">
        <v>1180</v>
      </c>
      <c r="S309" s="1" t="s">
        <v>1194</v>
      </c>
    </row>
    <row r="310" spans="1:19" x14ac:dyDescent="0.25">
      <c r="A310" s="1">
        <v>316</v>
      </c>
      <c r="B310" s="9" t="s">
        <v>817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1415</v>
      </c>
      <c r="P310" s="1" t="s">
        <v>1416</v>
      </c>
      <c r="Q310" s="1" t="s">
        <v>1205</v>
      </c>
      <c r="R310" s="1" t="s">
        <v>1206</v>
      </c>
      <c r="S310" s="1" t="s">
        <v>1207</v>
      </c>
    </row>
    <row r="311" spans="1:19" x14ac:dyDescent="0.25">
      <c r="A311" s="1">
        <v>317</v>
      </c>
      <c r="B311" s="9" t="s">
        <v>818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1417</v>
      </c>
      <c r="P311" s="1" t="s">
        <v>1418</v>
      </c>
      <c r="Q311" s="1" t="s">
        <v>1205</v>
      </c>
      <c r="R311" s="1" t="s">
        <v>1206</v>
      </c>
      <c r="S311" s="1" t="s">
        <v>1207</v>
      </c>
    </row>
    <row r="312" spans="1:19" x14ac:dyDescent="0.25">
      <c r="A312" s="1">
        <v>318</v>
      </c>
      <c r="B312" s="9" t="s">
        <v>819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1419</v>
      </c>
      <c r="P312" s="1" t="s">
        <v>1420</v>
      </c>
      <c r="Q312" s="1" t="s">
        <v>1194</v>
      </c>
      <c r="R312" s="1" t="s">
        <v>1219</v>
      </c>
      <c r="S312" s="1" t="s">
        <v>1193</v>
      </c>
    </row>
    <row r="313" spans="1:19" x14ac:dyDescent="0.25">
      <c r="A313" s="1">
        <v>319</v>
      </c>
      <c r="B313" s="9" t="s">
        <v>820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1421</v>
      </c>
      <c r="P313" s="1" t="s">
        <v>1422</v>
      </c>
      <c r="Q313" s="1" t="s">
        <v>1238</v>
      </c>
      <c r="R313" s="1" t="s">
        <v>1239</v>
      </c>
      <c r="S313" s="1" t="s">
        <v>1240</v>
      </c>
    </row>
    <row r="314" spans="1:19" x14ac:dyDescent="0.25">
      <c r="A314" s="1">
        <v>320</v>
      </c>
      <c r="B314" s="9" t="s">
        <v>821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1423</v>
      </c>
      <c r="P314" s="1" t="s">
        <v>333</v>
      </c>
      <c r="Q314" s="1" t="s">
        <v>1205</v>
      </c>
      <c r="R314" s="1" t="s">
        <v>1206</v>
      </c>
      <c r="S314" s="1" t="s">
        <v>1207</v>
      </c>
    </row>
    <row r="315" spans="1:19" x14ac:dyDescent="0.25">
      <c r="A315" s="1">
        <v>321</v>
      </c>
      <c r="B315" s="9" t="s">
        <v>822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1424</v>
      </c>
      <c r="P315" s="1" t="s">
        <v>1425</v>
      </c>
      <c r="Q315" s="1" t="s">
        <v>1273</v>
      </c>
      <c r="R315" s="1" t="s">
        <v>1274</v>
      </c>
      <c r="S315" s="1" t="s">
        <v>1275</v>
      </c>
    </row>
    <row r="316" spans="1:19" x14ac:dyDescent="0.25">
      <c r="A316" s="1">
        <v>322</v>
      </c>
      <c r="B316" s="9" t="s">
        <v>1770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1426</v>
      </c>
      <c r="P316" s="1" t="s">
        <v>1427</v>
      </c>
      <c r="Q316" s="1" t="s">
        <v>1179</v>
      </c>
      <c r="R316" s="1" t="s">
        <v>1180</v>
      </c>
      <c r="S316" s="1" t="s">
        <v>1181</v>
      </c>
    </row>
    <row r="317" spans="1:19" x14ac:dyDescent="0.25">
      <c r="A317" s="1">
        <v>323</v>
      </c>
      <c r="B317" s="9" t="s">
        <v>823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1272</v>
      </c>
      <c r="P317" s="1" t="s">
        <v>1428</v>
      </c>
      <c r="Q317" s="1" t="s">
        <v>1273</v>
      </c>
      <c r="R317" s="1" t="s">
        <v>1274</v>
      </c>
      <c r="S317" s="1" t="s">
        <v>1275</v>
      </c>
    </row>
    <row r="318" spans="1:19" x14ac:dyDescent="0.25">
      <c r="A318" s="1">
        <v>324</v>
      </c>
      <c r="B318" s="9" t="s">
        <v>824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1429</v>
      </c>
      <c r="P318" s="1" t="s">
        <v>1430</v>
      </c>
      <c r="Q318" s="1" t="s">
        <v>1273</v>
      </c>
      <c r="R318" s="1" t="s">
        <v>1274</v>
      </c>
      <c r="S318" s="1" t="s">
        <v>1275</v>
      </c>
    </row>
    <row r="319" spans="1:19" x14ac:dyDescent="0.25">
      <c r="A319" s="1">
        <v>325</v>
      </c>
      <c r="B319" s="9" t="s">
        <v>1771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1431</v>
      </c>
      <c r="P319" s="1" t="s">
        <v>333</v>
      </c>
      <c r="Q319" s="1" t="s">
        <v>1273</v>
      </c>
      <c r="R319" s="1" t="s">
        <v>1274</v>
      </c>
      <c r="S319" s="1" t="s">
        <v>1275</v>
      </c>
    </row>
    <row r="320" spans="1:19" x14ac:dyDescent="0.25">
      <c r="A320" s="1">
        <v>326</v>
      </c>
      <c r="B320" s="9" t="s">
        <v>825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1432</v>
      </c>
      <c r="P320" s="1" t="s">
        <v>1433</v>
      </c>
      <c r="Q320" s="1" t="s">
        <v>1273</v>
      </c>
      <c r="R320" s="1" t="s">
        <v>1274</v>
      </c>
      <c r="S320" s="1" t="s">
        <v>1275</v>
      </c>
    </row>
    <row r="321" spans="1:19" x14ac:dyDescent="0.25">
      <c r="A321" s="1">
        <v>327</v>
      </c>
      <c r="B321" s="9" t="s">
        <v>1772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1188</v>
      </c>
      <c r="P321" s="1" t="s">
        <v>333</v>
      </c>
      <c r="Q321" s="1" t="s">
        <v>1193</v>
      </c>
      <c r="R321" s="1" t="s">
        <v>1180</v>
      </c>
      <c r="S321" s="1" t="s">
        <v>1194</v>
      </c>
    </row>
    <row r="322" spans="1:19" x14ac:dyDescent="0.25">
      <c r="A322" s="1">
        <v>328</v>
      </c>
      <c r="B322" s="9" t="s">
        <v>1773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1434</v>
      </c>
      <c r="P322" s="1" t="s">
        <v>1435</v>
      </c>
      <c r="Q322" s="1" t="s">
        <v>1193</v>
      </c>
      <c r="R322" s="1" t="s">
        <v>1180</v>
      </c>
      <c r="S322" s="1" t="s">
        <v>1194</v>
      </c>
    </row>
    <row r="323" spans="1:19" x14ac:dyDescent="0.25">
      <c r="A323" s="1">
        <v>329</v>
      </c>
      <c r="B323" s="9" t="s">
        <v>826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333</v>
      </c>
      <c r="P323" s="1" t="s">
        <v>1436</v>
      </c>
      <c r="Q323" s="1" t="s">
        <v>1205</v>
      </c>
      <c r="R323" s="1" t="s">
        <v>1206</v>
      </c>
      <c r="S323" s="1" t="s">
        <v>1207</v>
      </c>
    </row>
    <row r="324" spans="1:19" x14ac:dyDescent="0.25">
      <c r="A324" s="1">
        <v>330</v>
      </c>
      <c r="B324" s="9" t="s">
        <v>1774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1437</v>
      </c>
      <c r="P324" s="1" t="s">
        <v>1438</v>
      </c>
      <c r="Q324" s="1" t="s">
        <v>1194</v>
      </c>
      <c r="R324" s="1" t="s">
        <v>1219</v>
      </c>
      <c r="S324" s="1" t="s">
        <v>1193</v>
      </c>
    </row>
    <row r="325" spans="1:19" x14ac:dyDescent="0.25">
      <c r="A325" s="1">
        <v>331</v>
      </c>
      <c r="B325" s="9" t="s">
        <v>827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1439</v>
      </c>
      <c r="P325" s="1" t="s">
        <v>333</v>
      </c>
      <c r="Q325" s="1" t="s">
        <v>1179</v>
      </c>
      <c r="R325" s="1" t="s">
        <v>1180</v>
      </c>
      <c r="S325" s="1" t="s">
        <v>1181</v>
      </c>
    </row>
    <row r="326" spans="1:19" x14ac:dyDescent="0.25">
      <c r="A326" s="1">
        <v>332</v>
      </c>
      <c r="B326" s="9" t="s">
        <v>828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333</v>
      </c>
      <c r="P326" s="1" t="s">
        <v>1440</v>
      </c>
      <c r="Q326" s="1" t="s">
        <v>1179</v>
      </c>
      <c r="R326" s="1" t="s">
        <v>1180</v>
      </c>
      <c r="S326" s="1" t="s">
        <v>1181</v>
      </c>
    </row>
    <row r="327" spans="1:19" x14ac:dyDescent="0.25">
      <c r="A327" s="1">
        <v>333</v>
      </c>
      <c r="B327" s="9" t="s">
        <v>829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1441</v>
      </c>
      <c r="P327" s="1" t="s">
        <v>1442</v>
      </c>
      <c r="Q327" s="1" t="s">
        <v>1193</v>
      </c>
      <c r="R327" s="1" t="s">
        <v>1180</v>
      </c>
      <c r="S327" s="1" t="s">
        <v>1194</v>
      </c>
    </row>
    <row r="328" spans="1:19" x14ac:dyDescent="0.25">
      <c r="A328" s="1">
        <v>334</v>
      </c>
      <c r="B328" s="9" t="s">
        <v>830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1443</v>
      </c>
      <c r="P328" s="1" t="s">
        <v>1444</v>
      </c>
      <c r="Q328" s="1" t="s">
        <v>1205</v>
      </c>
      <c r="R328" s="1" t="s">
        <v>1206</v>
      </c>
      <c r="S328" s="1" t="s">
        <v>1207</v>
      </c>
    </row>
    <row r="329" spans="1:19" x14ac:dyDescent="0.25">
      <c r="A329" s="1">
        <v>335</v>
      </c>
      <c r="B329" s="9" t="s">
        <v>831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1445</v>
      </c>
      <c r="P329" s="1" t="s">
        <v>1446</v>
      </c>
      <c r="Q329" s="1" t="s">
        <v>1194</v>
      </c>
      <c r="R329" s="1" t="s">
        <v>1219</v>
      </c>
      <c r="S329" s="1" t="s">
        <v>1193</v>
      </c>
    </row>
    <row r="330" spans="1:19" x14ac:dyDescent="0.25">
      <c r="A330" s="1">
        <v>336</v>
      </c>
      <c r="B330" s="9" t="s">
        <v>1775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1447</v>
      </c>
      <c r="P330" s="1" t="s">
        <v>1448</v>
      </c>
      <c r="Q330" s="1" t="s">
        <v>1193</v>
      </c>
      <c r="R330" s="1" t="s">
        <v>1180</v>
      </c>
      <c r="S330" s="1" t="s">
        <v>1194</v>
      </c>
    </row>
    <row r="331" spans="1:19" x14ac:dyDescent="0.25">
      <c r="A331" s="1">
        <v>337</v>
      </c>
      <c r="B331" s="9" t="s">
        <v>912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333</v>
      </c>
      <c r="P331" s="1" t="s">
        <v>1449</v>
      </c>
      <c r="Q331" s="1" t="s">
        <v>1205</v>
      </c>
      <c r="R331" s="1" t="s">
        <v>1206</v>
      </c>
      <c r="S331" s="1" t="s">
        <v>1207</v>
      </c>
    </row>
    <row r="332" spans="1:19" x14ac:dyDescent="0.25">
      <c r="A332" s="1">
        <v>338</v>
      </c>
      <c r="B332" s="9" t="s">
        <v>911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1450</v>
      </c>
      <c r="P332" s="1" t="s">
        <v>1451</v>
      </c>
      <c r="Q332" s="1" t="s">
        <v>1194</v>
      </c>
      <c r="R332" s="1" t="s">
        <v>1219</v>
      </c>
      <c r="S332" s="1" t="s">
        <v>1193</v>
      </c>
    </row>
    <row r="333" spans="1:19" x14ac:dyDescent="0.25">
      <c r="A333" s="1">
        <v>339</v>
      </c>
      <c r="B333" s="9" t="s">
        <v>1776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1452</v>
      </c>
      <c r="P333" s="1" t="s">
        <v>1453</v>
      </c>
      <c r="Q333" s="1" t="s">
        <v>1238</v>
      </c>
      <c r="R333" s="1" t="s">
        <v>1239</v>
      </c>
      <c r="S333" s="1" t="s">
        <v>1240</v>
      </c>
    </row>
    <row r="334" spans="1:19" x14ac:dyDescent="0.25">
      <c r="A334" s="1">
        <v>340</v>
      </c>
      <c r="B334" s="9" t="s">
        <v>1777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1454</v>
      </c>
      <c r="P334" s="1" t="s">
        <v>1455</v>
      </c>
      <c r="Q334" s="1" t="s">
        <v>1194</v>
      </c>
      <c r="R334" s="1" t="s">
        <v>1219</v>
      </c>
      <c r="S334" s="1" t="s">
        <v>1193</v>
      </c>
    </row>
    <row r="335" spans="1:19" x14ac:dyDescent="0.25">
      <c r="A335" s="1">
        <v>341</v>
      </c>
      <c r="B335" s="9" t="s">
        <v>1801</v>
      </c>
      <c r="C335" s="1">
        <v>2</v>
      </c>
      <c r="D335" s="1">
        <v>5</v>
      </c>
      <c r="E335" s="1">
        <v>125</v>
      </c>
      <c r="F335" s="1">
        <v>95</v>
      </c>
      <c r="G335" s="1">
        <v>108</v>
      </c>
      <c r="H335" s="1">
        <v>96</v>
      </c>
      <c r="I335" s="1">
        <v>100</v>
      </c>
      <c r="J335" s="1">
        <v>0</v>
      </c>
      <c r="K335" s="1">
        <v>126</v>
      </c>
      <c r="L335" s="1">
        <v>117301</v>
      </c>
      <c r="M335" s="1">
        <v>0</v>
      </c>
      <c r="N335" s="1">
        <v>300102</v>
      </c>
      <c r="O335" s="1" t="s">
        <v>1802</v>
      </c>
      <c r="P335" s="1" t="s">
        <v>1803</v>
      </c>
      <c r="Q335" s="1" t="s">
        <v>1193</v>
      </c>
      <c r="R335" s="1" t="s">
        <v>1180</v>
      </c>
      <c r="S335" s="1" t="s">
        <v>1194</v>
      </c>
    </row>
    <row r="336" spans="1:19" x14ac:dyDescent="0.25">
      <c r="A336" s="1">
        <v>342</v>
      </c>
      <c r="B336" s="9" t="s">
        <v>1804</v>
      </c>
      <c r="C336" s="1">
        <v>4</v>
      </c>
      <c r="D336" s="1">
        <v>5</v>
      </c>
      <c r="E336" s="1">
        <v>120</v>
      </c>
      <c r="F336" s="1">
        <v>118</v>
      </c>
      <c r="G336" s="1">
        <v>116</v>
      </c>
      <c r="H336" s="1">
        <v>122</v>
      </c>
      <c r="I336" s="1">
        <v>94</v>
      </c>
      <c r="J336" s="1">
        <v>0</v>
      </c>
      <c r="K336" s="1">
        <v>118</v>
      </c>
      <c r="L336" s="1">
        <v>750011</v>
      </c>
      <c r="M336" s="1">
        <v>0</v>
      </c>
      <c r="N336" s="1">
        <v>750025</v>
      </c>
      <c r="O336" s="1" t="s">
        <v>1805</v>
      </c>
      <c r="P336" s="1" t="s">
        <v>1806</v>
      </c>
      <c r="Q336" s="1" t="s">
        <v>1194</v>
      </c>
      <c r="R336" s="1" t="s">
        <v>1219</v>
      </c>
      <c r="S336" s="1" t="s">
        <v>1193</v>
      </c>
    </row>
    <row r="337" spans="1:19" x14ac:dyDescent="0.25">
      <c r="A337" s="1">
        <v>343</v>
      </c>
      <c r="B337" s="9" t="s">
        <v>1807</v>
      </c>
      <c r="C337" s="1">
        <v>4</v>
      </c>
      <c r="D337" s="1">
        <v>4</v>
      </c>
      <c r="E337" s="1">
        <v>102</v>
      </c>
      <c r="F337" s="1">
        <v>104</v>
      </c>
      <c r="G337" s="1">
        <v>112</v>
      </c>
      <c r="H337" s="1">
        <v>110</v>
      </c>
      <c r="I337" s="1">
        <v>102</v>
      </c>
      <c r="J337" s="1">
        <v>0</v>
      </c>
      <c r="K337" s="1">
        <v>125</v>
      </c>
      <c r="L337" s="1">
        <v>117501</v>
      </c>
      <c r="M337" s="1">
        <v>0</v>
      </c>
      <c r="N337" s="1">
        <v>300103</v>
      </c>
      <c r="O337" s="1" t="s">
        <v>1808</v>
      </c>
      <c r="P337" s="1" t="s">
        <v>1809</v>
      </c>
      <c r="Q337" s="1" t="s">
        <v>1194</v>
      </c>
      <c r="R337" s="1" t="s">
        <v>1219</v>
      </c>
      <c r="S337" s="1" t="s">
        <v>1193</v>
      </c>
    </row>
    <row r="338" spans="1:19" x14ac:dyDescent="0.25">
      <c r="A338" s="1">
        <v>344</v>
      </c>
      <c r="B338" s="9" t="s">
        <v>1810</v>
      </c>
      <c r="C338" s="1">
        <v>4</v>
      </c>
      <c r="D338" s="1">
        <v>4</v>
      </c>
      <c r="E338" s="1">
        <v>100</v>
      </c>
      <c r="F338" s="1">
        <v>106</v>
      </c>
      <c r="G338" s="1">
        <v>115</v>
      </c>
      <c r="H338" s="1">
        <v>133</v>
      </c>
      <c r="I338" s="1">
        <v>105</v>
      </c>
      <c r="J338" s="1">
        <v>0</v>
      </c>
      <c r="K338" s="1">
        <v>118</v>
      </c>
      <c r="L338" s="1">
        <v>117401</v>
      </c>
      <c r="M338" s="1">
        <v>0</v>
      </c>
      <c r="N338" s="1">
        <v>300103</v>
      </c>
      <c r="O338" s="1" t="s">
        <v>1811</v>
      </c>
      <c r="P338" s="1" t="s">
        <v>1812</v>
      </c>
      <c r="Q338" s="1" t="s">
        <v>1194</v>
      </c>
      <c r="R338" s="1" t="s">
        <v>1219</v>
      </c>
      <c r="S338" s="1" t="s">
        <v>1193</v>
      </c>
    </row>
    <row r="339" spans="1:19" x14ac:dyDescent="0.25">
      <c r="A339" s="1">
        <v>345</v>
      </c>
      <c r="B339" s="9" t="s">
        <v>1813</v>
      </c>
      <c r="C339" s="1">
        <v>5</v>
      </c>
      <c r="D339" s="1">
        <v>5</v>
      </c>
      <c r="E339" s="1">
        <v>105</v>
      </c>
      <c r="F339" s="1">
        <v>125</v>
      </c>
      <c r="G339" s="1">
        <v>115</v>
      </c>
      <c r="H339" s="1">
        <v>100</v>
      </c>
      <c r="I339" s="1">
        <v>100</v>
      </c>
      <c r="J339" s="1">
        <v>0</v>
      </c>
      <c r="K339" s="1">
        <v>125</v>
      </c>
      <c r="L339" s="1">
        <v>750027</v>
      </c>
      <c r="M339" s="1">
        <v>0</v>
      </c>
      <c r="N339" s="1">
        <v>750028</v>
      </c>
      <c r="O339" s="1" t="s">
        <v>1814</v>
      </c>
      <c r="P339" s="1" t="s">
        <v>333</v>
      </c>
      <c r="Q339" s="1" t="s">
        <v>1238</v>
      </c>
      <c r="R339" s="1" t="s">
        <v>1239</v>
      </c>
      <c r="S339" s="1" t="s">
        <v>1240</v>
      </c>
    </row>
    <row r="340" spans="1:19" x14ac:dyDescent="0.25">
      <c r="A340" s="1">
        <v>346</v>
      </c>
      <c r="B340" s="9" t="s">
        <v>1828</v>
      </c>
      <c r="C340" s="1">
        <v>1</v>
      </c>
      <c r="D340" s="1">
        <v>4</v>
      </c>
      <c r="E340" s="1">
        <v>110</v>
      </c>
      <c r="F340" s="1">
        <v>108</v>
      </c>
      <c r="G340" s="1">
        <v>110</v>
      </c>
      <c r="H340" s="1">
        <v>116</v>
      </c>
      <c r="I340" s="1">
        <v>115</v>
      </c>
      <c r="J340" s="1">
        <v>0</v>
      </c>
      <c r="K340" s="1">
        <v>112</v>
      </c>
      <c r="L340" s="1">
        <v>750068</v>
      </c>
      <c r="M340" s="1">
        <v>0</v>
      </c>
      <c r="N340" s="1">
        <v>300101</v>
      </c>
      <c r="O340" s="1" t="s">
        <v>333</v>
      </c>
      <c r="P340" s="1" t="s">
        <v>1829</v>
      </c>
      <c r="Q340" s="1" t="s">
        <v>1179</v>
      </c>
      <c r="R340" s="1" t="s">
        <v>1180</v>
      </c>
      <c r="S340" s="1" t="s">
        <v>1181</v>
      </c>
    </row>
    <row r="341" spans="1:19" x14ac:dyDescent="0.25">
      <c r="A341" s="1">
        <v>347</v>
      </c>
      <c r="B341" s="9" t="s">
        <v>1830</v>
      </c>
      <c r="C341" s="1">
        <v>2</v>
      </c>
      <c r="D341" s="1">
        <v>5</v>
      </c>
      <c r="E341" s="1">
        <v>118</v>
      </c>
      <c r="F341" s="1">
        <v>115</v>
      </c>
      <c r="G341" s="1">
        <v>118</v>
      </c>
      <c r="H341" s="1">
        <v>120</v>
      </c>
      <c r="I341" s="1">
        <v>105</v>
      </c>
      <c r="J341" s="1">
        <v>0</v>
      </c>
      <c r="K341" s="1">
        <v>110</v>
      </c>
      <c r="L341" s="1">
        <v>750075</v>
      </c>
      <c r="M341" s="1">
        <v>0</v>
      </c>
      <c r="N341" s="1">
        <v>750077</v>
      </c>
      <c r="O341" s="1" t="s">
        <v>1831</v>
      </c>
      <c r="P341" s="1" t="s">
        <v>1832</v>
      </c>
      <c r="Q341" s="1" t="s">
        <v>1193</v>
      </c>
      <c r="R341" s="1" t="s">
        <v>1291</v>
      </c>
      <c r="S341" s="1" t="s">
        <v>1194</v>
      </c>
    </row>
    <row r="342" spans="1:19" x14ac:dyDescent="0.25">
      <c r="A342" s="1">
        <v>348</v>
      </c>
      <c r="B342" s="9" t="s">
        <v>1834</v>
      </c>
      <c r="C342" s="1">
        <v>3</v>
      </c>
      <c r="D342" s="1">
        <v>5</v>
      </c>
      <c r="E342" s="1">
        <v>100</v>
      </c>
      <c r="F342" s="1">
        <v>140</v>
      </c>
      <c r="G342" s="1">
        <v>94</v>
      </c>
      <c r="H342" s="1">
        <v>118</v>
      </c>
      <c r="I342" s="1">
        <v>80</v>
      </c>
      <c r="J342" s="1">
        <v>0</v>
      </c>
      <c r="K342" s="1">
        <v>130</v>
      </c>
      <c r="L342" s="1">
        <v>117901</v>
      </c>
      <c r="M342" s="1">
        <v>0</v>
      </c>
      <c r="N342" s="1">
        <v>117904</v>
      </c>
      <c r="O342" s="1" t="s">
        <v>1835</v>
      </c>
      <c r="P342" s="1" t="s">
        <v>1836</v>
      </c>
      <c r="Q342" s="1" t="s">
        <v>1205</v>
      </c>
      <c r="R342" s="1" t="s">
        <v>1206</v>
      </c>
      <c r="S342" s="1" t="s">
        <v>1207</v>
      </c>
    </row>
    <row r="343" spans="1:19" x14ac:dyDescent="0.25">
      <c r="A343" s="1">
        <v>349</v>
      </c>
      <c r="B343" s="9" t="s">
        <v>1837</v>
      </c>
      <c r="C343" s="1">
        <v>4</v>
      </c>
      <c r="D343" s="1">
        <v>4</v>
      </c>
      <c r="E343" s="1">
        <v>100</v>
      </c>
      <c r="F343" s="1">
        <v>105</v>
      </c>
      <c r="G343" s="1">
        <v>105</v>
      </c>
      <c r="H343" s="1">
        <v>125</v>
      </c>
      <c r="I343" s="1">
        <v>100</v>
      </c>
      <c r="J343" s="1">
        <v>0</v>
      </c>
      <c r="K343" s="1">
        <v>132</v>
      </c>
      <c r="L343" s="1">
        <v>118001</v>
      </c>
      <c r="M343" s="1">
        <v>0</v>
      </c>
      <c r="N343" s="1">
        <v>300103</v>
      </c>
      <c r="O343" s="1" t="s">
        <v>1838</v>
      </c>
      <c r="P343" s="1" t="s">
        <v>333</v>
      </c>
      <c r="Q343" s="1" t="s">
        <v>1194</v>
      </c>
      <c r="R343" s="1" t="s">
        <v>1219</v>
      </c>
      <c r="S343" s="1" t="s">
        <v>1193</v>
      </c>
    </row>
    <row r="344" spans="1:19" x14ac:dyDescent="0.25">
      <c r="A344" s="1">
        <v>1001</v>
      </c>
      <c r="B344" s="9" t="s">
        <v>195</v>
      </c>
      <c r="C344" s="1">
        <v>1</v>
      </c>
      <c r="D344" s="1">
        <v>5</v>
      </c>
      <c r="E344" s="1">
        <v>90</v>
      </c>
      <c r="F344" s="1">
        <v>140</v>
      </c>
      <c r="G344" s="1">
        <v>120</v>
      </c>
      <c r="H344" s="1">
        <v>120</v>
      </c>
      <c r="I344" s="1">
        <v>110</v>
      </c>
      <c r="J344" s="1">
        <v>0</v>
      </c>
      <c r="K344" s="1">
        <v>120</v>
      </c>
      <c r="L344" s="1">
        <v>106406</v>
      </c>
      <c r="M344" s="1">
        <v>0</v>
      </c>
      <c r="N344" s="1">
        <v>300111</v>
      </c>
      <c r="O344" s="1" t="s">
        <v>333</v>
      </c>
      <c r="P344" s="1" t="s">
        <v>333</v>
      </c>
      <c r="Q344" s="1" t="s">
        <v>1179</v>
      </c>
      <c r="R344" s="1" t="s">
        <v>1180</v>
      </c>
      <c r="S344" s="1" t="s">
        <v>1181</v>
      </c>
    </row>
    <row r="345" spans="1:19" x14ac:dyDescent="0.25">
      <c r="A345" s="1">
        <v>1002</v>
      </c>
      <c r="B345" s="9" t="s">
        <v>196</v>
      </c>
      <c r="C345" s="1">
        <v>6</v>
      </c>
      <c r="D345" s="1">
        <v>5</v>
      </c>
      <c r="E345" s="1">
        <v>125</v>
      </c>
      <c r="F345" s="1">
        <v>130</v>
      </c>
      <c r="G345" s="1">
        <v>110</v>
      </c>
      <c r="H345" s="1">
        <v>120</v>
      </c>
      <c r="I345" s="1">
        <v>80</v>
      </c>
      <c r="J345" s="1">
        <v>125</v>
      </c>
      <c r="K345" s="1">
        <v>95</v>
      </c>
      <c r="L345" s="1">
        <v>106407</v>
      </c>
      <c r="M345" s="1">
        <v>0</v>
      </c>
      <c r="N345" s="1">
        <v>300110</v>
      </c>
      <c r="O345" s="1" t="s">
        <v>1272</v>
      </c>
      <c r="P345" s="1" t="s">
        <v>333</v>
      </c>
      <c r="Q345" s="1" t="s">
        <v>1273</v>
      </c>
      <c r="R345" s="1" t="s">
        <v>1274</v>
      </c>
      <c r="S345" s="1" t="s">
        <v>1275</v>
      </c>
    </row>
    <row r="346" spans="1:19" x14ac:dyDescent="0.25">
      <c r="A346" s="1">
        <v>1003</v>
      </c>
      <c r="B346" s="9" t="s">
        <v>832</v>
      </c>
      <c r="C346" s="1">
        <v>1</v>
      </c>
      <c r="D346" s="1">
        <v>5</v>
      </c>
      <c r="E346" s="1">
        <v>105</v>
      </c>
      <c r="F346" s="1">
        <v>125</v>
      </c>
      <c r="G346" s="1">
        <v>125</v>
      </c>
      <c r="H346" s="1">
        <v>118</v>
      </c>
      <c r="I346" s="1">
        <v>115</v>
      </c>
      <c r="J346" s="1">
        <v>0</v>
      </c>
      <c r="K346" s="1">
        <v>104</v>
      </c>
      <c r="L346" s="1">
        <v>107301</v>
      </c>
      <c r="M346" s="1">
        <v>0</v>
      </c>
      <c r="N346" s="1">
        <v>300101</v>
      </c>
      <c r="O346" s="1" t="s">
        <v>1456</v>
      </c>
      <c r="P346" s="1" t="s">
        <v>333</v>
      </c>
      <c r="Q346" s="1" t="s">
        <v>1179</v>
      </c>
      <c r="R346" s="1" t="s">
        <v>1180</v>
      </c>
      <c r="S346" s="1" t="s">
        <v>1181</v>
      </c>
    </row>
    <row r="347" spans="1:19" x14ac:dyDescent="0.25">
      <c r="A347" s="1">
        <v>1004</v>
      </c>
      <c r="B347" s="9" t="s">
        <v>833</v>
      </c>
      <c r="C347" s="1">
        <v>3</v>
      </c>
      <c r="D347" s="1">
        <v>5</v>
      </c>
      <c r="E347" s="1">
        <v>95</v>
      </c>
      <c r="F347" s="1">
        <v>135</v>
      </c>
      <c r="G347" s="1">
        <v>98</v>
      </c>
      <c r="H347" s="1">
        <v>105</v>
      </c>
      <c r="I347" s="1">
        <v>95</v>
      </c>
      <c r="J347" s="1">
        <v>0</v>
      </c>
      <c r="K347" s="1">
        <v>120</v>
      </c>
      <c r="L347" s="1">
        <v>107401</v>
      </c>
      <c r="M347" s="1">
        <v>0</v>
      </c>
      <c r="N347" s="1">
        <v>300104</v>
      </c>
      <c r="O347" s="1" t="s">
        <v>1456</v>
      </c>
      <c r="P347" s="1" t="s">
        <v>333</v>
      </c>
      <c r="Q347" s="1" t="s">
        <v>1205</v>
      </c>
      <c r="R347" s="1" t="s">
        <v>1206</v>
      </c>
      <c r="S347" s="1" t="s">
        <v>1207</v>
      </c>
    </row>
    <row r="348" spans="1:19" x14ac:dyDescent="0.25">
      <c r="A348" s="1">
        <v>1005</v>
      </c>
      <c r="B348" s="9" t="s">
        <v>834</v>
      </c>
      <c r="C348" s="1">
        <v>3</v>
      </c>
      <c r="D348" s="1">
        <v>5</v>
      </c>
      <c r="E348" s="1">
        <v>92</v>
      </c>
      <c r="F348" s="1">
        <v>122</v>
      </c>
      <c r="G348" s="1">
        <v>110</v>
      </c>
      <c r="H348" s="1">
        <v>115</v>
      </c>
      <c r="I348" s="1">
        <v>100</v>
      </c>
      <c r="J348" s="1">
        <v>0</v>
      </c>
      <c r="K348" s="1">
        <v>120</v>
      </c>
      <c r="L348" s="1">
        <v>107101</v>
      </c>
      <c r="M348" s="1">
        <v>0</v>
      </c>
      <c r="N348" s="1">
        <v>300104</v>
      </c>
      <c r="O348" s="1" t="s">
        <v>1456</v>
      </c>
      <c r="P348" s="1" t="s">
        <v>333</v>
      </c>
      <c r="Q348" s="1" t="s">
        <v>1205</v>
      </c>
      <c r="R348" s="1" t="s">
        <v>1206</v>
      </c>
      <c r="S348" s="1" t="s">
        <v>1207</v>
      </c>
    </row>
    <row r="349" spans="1:19" x14ac:dyDescent="0.25">
      <c r="A349" s="1">
        <v>1006</v>
      </c>
      <c r="B349" s="9" t="s">
        <v>835</v>
      </c>
      <c r="C349" s="1">
        <v>1</v>
      </c>
      <c r="D349" s="1">
        <v>5</v>
      </c>
      <c r="E349" s="1">
        <v>125</v>
      </c>
      <c r="F349" s="1">
        <v>120</v>
      </c>
      <c r="G349" s="1">
        <v>105</v>
      </c>
      <c r="H349" s="1">
        <v>105</v>
      </c>
      <c r="I349" s="1">
        <v>120</v>
      </c>
      <c r="J349" s="1">
        <v>0</v>
      </c>
      <c r="K349" s="1">
        <v>104</v>
      </c>
      <c r="L349" s="1">
        <v>107501</v>
      </c>
      <c r="M349" s="1">
        <v>0</v>
      </c>
      <c r="N349" s="1">
        <v>301901</v>
      </c>
      <c r="O349" s="1" t="s">
        <v>1196</v>
      </c>
      <c r="P349" s="1" t="s">
        <v>1457</v>
      </c>
      <c r="Q349" s="1" t="s">
        <v>1179</v>
      </c>
      <c r="R349" s="1" t="s">
        <v>1180</v>
      </c>
      <c r="S349" s="1" t="s">
        <v>1181</v>
      </c>
    </row>
    <row r="350" spans="1:19" x14ac:dyDescent="0.25">
      <c r="A350" s="1">
        <v>1007</v>
      </c>
      <c r="B350" s="9" t="s">
        <v>836</v>
      </c>
      <c r="C350" s="1">
        <v>4</v>
      </c>
      <c r="D350" s="1">
        <v>5</v>
      </c>
      <c r="E350" s="1">
        <v>110</v>
      </c>
      <c r="F350" s="1">
        <v>126</v>
      </c>
      <c r="G350" s="1">
        <v>95</v>
      </c>
      <c r="H350" s="1">
        <v>105</v>
      </c>
      <c r="I350" s="1">
        <v>100</v>
      </c>
      <c r="J350" s="1">
        <v>0</v>
      </c>
      <c r="K350" s="1">
        <v>122</v>
      </c>
      <c r="L350" s="1">
        <v>107601</v>
      </c>
      <c r="M350" s="1">
        <v>0</v>
      </c>
      <c r="N350" s="1">
        <v>302001</v>
      </c>
      <c r="O350" s="1" t="s">
        <v>1456</v>
      </c>
      <c r="P350" s="1" t="s">
        <v>1458</v>
      </c>
      <c r="Q350" s="1" t="s">
        <v>1194</v>
      </c>
      <c r="R350" s="1" t="s">
        <v>1219</v>
      </c>
      <c r="S350" s="1" t="s">
        <v>1193</v>
      </c>
    </row>
    <row r="351" spans="1:19" x14ac:dyDescent="0.25">
      <c r="A351" s="1">
        <v>1008</v>
      </c>
      <c r="B351" s="9" t="s">
        <v>837</v>
      </c>
      <c r="C351" s="1">
        <v>6</v>
      </c>
      <c r="D351" s="1">
        <v>5</v>
      </c>
      <c r="E351" s="1">
        <v>112</v>
      </c>
      <c r="F351" s="1">
        <v>128</v>
      </c>
      <c r="G351" s="1">
        <v>108</v>
      </c>
      <c r="H351" s="1">
        <v>110</v>
      </c>
      <c r="I351" s="1">
        <v>130</v>
      </c>
      <c r="J351" s="1">
        <v>120</v>
      </c>
      <c r="K351" s="1">
        <v>90</v>
      </c>
      <c r="L351" s="1">
        <v>107001</v>
      </c>
      <c r="M351" s="1">
        <v>0</v>
      </c>
      <c r="N351" s="1">
        <v>300110</v>
      </c>
      <c r="O351" s="1" t="s">
        <v>1459</v>
      </c>
      <c r="P351" s="1" t="s">
        <v>333</v>
      </c>
      <c r="Q351" s="1" t="s">
        <v>1273</v>
      </c>
      <c r="R351" s="1" t="s">
        <v>1274</v>
      </c>
      <c r="S351" s="1" t="s">
        <v>1275</v>
      </c>
    </row>
    <row r="352" spans="1:19" x14ac:dyDescent="0.25">
      <c r="A352" s="1">
        <v>1009</v>
      </c>
      <c r="B352" s="9" t="s">
        <v>197</v>
      </c>
      <c r="C352" s="1">
        <v>1</v>
      </c>
      <c r="D352" s="1">
        <v>5</v>
      </c>
      <c r="E352" s="1">
        <v>100</v>
      </c>
      <c r="F352" s="1">
        <v>100</v>
      </c>
      <c r="G352" s="1">
        <v>106</v>
      </c>
      <c r="H352" s="1">
        <v>108</v>
      </c>
      <c r="I352" s="1">
        <v>103</v>
      </c>
      <c r="J352" s="1">
        <v>0</v>
      </c>
      <c r="K352" s="1">
        <v>140</v>
      </c>
      <c r="L352" s="1">
        <v>109401</v>
      </c>
      <c r="M352" s="1">
        <v>0</v>
      </c>
      <c r="N352" s="1">
        <v>109403</v>
      </c>
      <c r="O352" s="1" t="s">
        <v>1460</v>
      </c>
      <c r="P352" s="1" t="s">
        <v>1461</v>
      </c>
      <c r="Q352" s="1" t="s">
        <v>1179</v>
      </c>
      <c r="R352" s="1" t="s">
        <v>1180</v>
      </c>
      <c r="S352" s="1" t="s">
        <v>1181</v>
      </c>
    </row>
    <row r="353" spans="1:19" x14ac:dyDescent="0.25">
      <c r="A353" s="1">
        <v>1010</v>
      </c>
      <c r="B353" s="9" t="s">
        <v>198</v>
      </c>
      <c r="C353" s="1">
        <v>1</v>
      </c>
      <c r="D353" s="1">
        <v>5</v>
      </c>
      <c r="E353" s="1">
        <v>100</v>
      </c>
      <c r="F353" s="1">
        <v>100</v>
      </c>
      <c r="G353" s="1">
        <v>106</v>
      </c>
      <c r="H353" s="1">
        <v>108</v>
      </c>
      <c r="I353" s="1">
        <v>103</v>
      </c>
      <c r="J353" s="1">
        <v>0</v>
      </c>
      <c r="K353" s="1">
        <v>140</v>
      </c>
      <c r="L353" s="1">
        <v>109501</v>
      </c>
      <c r="M353" s="1">
        <v>0</v>
      </c>
      <c r="N353" s="1">
        <v>109503</v>
      </c>
      <c r="O353" s="1" t="s">
        <v>333</v>
      </c>
      <c r="P353" s="1" t="s">
        <v>1462</v>
      </c>
      <c r="Q353" s="1" t="s">
        <v>1179</v>
      </c>
      <c r="R353" s="1" t="s">
        <v>1180</v>
      </c>
      <c r="S353" s="1" t="s">
        <v>1181</v>
      </c>
    </row>
    <row r="354" spans="1:19" x14ac:dyDescent="0.25">
      <c r="A354" s="1">
        <v>1017</v>
      </c>
      <c r="B354" s="9" t="s">
        <v>1791</v>
      </c>
      <c r="C354" s="1">
        <v>1</v>
      </c>
      <c r="D354" s="1">
        <v>5</v>
      </c>
      <c r="E354" s="1">
        <v>120</v>
      </c>
      <c r="F354" s="1">
        <v>102</v>
      </c>
      <c r="G354" s="1">
        <v>100</v>
      </c>
      <c r="H354" s="1">
        <v>100</v>
      </c>
      <c r="I354" s="1">
        <v>120</v>
      </c>
      <c r="J354" s="1">
        <v>0</v>
      </c>
      <c r="K354" s="1">
        <v>130</v>
      </c>
      <c r="L354" s="1">
        <v>710101</v>
      </c>
      <c r="M354" s="1">
        <v>0</v>
      </c>
      <c r="N354" s="1">
        <v>710119</v>
      </c>
      <c r="O354" s="1" t="s">
        <v>1463</v>
      </c>
      <c r="P354" s="1" t="s">
        <v>1464</v>
      </c>
      <c r="Q354" s="1" t="s">
        <v>1179</v>
      </c>
      <c r="R354" s="1" t="s">
        <v>1180</v>
      </c>
      <c r="S354" s="1" t="s">
        <v>1187</v>
      </c>
    </row>
    <row r="355" spans="1:19" x14ac:dyDescent="0.25">
      <c r="A355" s="1">
        <v>1018</v>
      </c>
      <c r="B355" s="9" t="s">
        <v>741</v>
      </c>
      <c r="C355" s="1">
        <v>1</v>
      </c>
      <c r="D355" s="1">
        <v>5</v>
      </c>
      <c r="E355" s="1">
        <v>128</v>
      </c>
      <c r="F355" s="1">
        <v>108</v>
      </c>
      <c r="G355" s="1">
        <v>100</v>
      </c>
      <c r="H355" s="1">
        <v>120</v>
      </c>
      <c r="I355" s="1">
        <v>105</v>
      </c>
      <c r="J355" s="1">
        <v>0</v>
      </c>
      <c r="K355" s="1">
        <v>118</v>
      </c>
      <c r="L355" s="1">
        <v>710401</v>
      </c>
      <c r="M355" s="1">
        <v>0</v>
      </c>
      <c r="N355" s="1">
        <v>710402</v>
      </c>
      <c r="O355" s="1" t="s">
        <v>1465</v>
      </c>
      <c r="P355" s="1" t="s">
        <v>1466</v>
      </c>
      <c r="Q355" s="1" t="s">
        <v>1179</v>
      </c>
      <c r="R355" s="1" t="s">
        <v>1180</v>
      </c>
      <c r="S355" s="1" t="s">
        <v>1181</v>
      </c>
    </row>
    <row r="356" spans="1:19" x14ac:dyDescent="0.25">
      <c r="A356" s="1">
        <v>1019</v>
      </c>
      <c r="B356" s="9" t="s">
        <v>731</v>
      </c>
      <c r="C356" s="1">
        <v>2</v>
      </c>
      <c r="D356" s="1">
        <v>5</v>
      </c>
      <c r="E356" s="1">
        <v>100</v>
      </c>
      <c r="F356" s="1">
        <v>95</v>
      </c>
      <c r="G356" s="1">
        <v>96</v>
      </c>
      <c r="H356" s="1">
        <v>105</v>
      </c>
      <c r="I356" s="1">
        <v>122</v>
      </c>
      <c r="J356" s="1">
        <v>0</v>
      </c>
      <c r="K356" s="1">
        <v>130</v>
      </c>
      <c r="L356" s="1">
        <v>710301</v>
      </c>
      <c r="M356" s="1">
        <v>0</v>
      </c>
      <c r="N356" s="1">
        <v>710307</v>
      </c>
      <c r="O356" s="1" t="s">
        <v>1468</v>
      </c>
      <c r="P356" s="1" t="s">
        <v>1469</v>
      </c>
      <c r="Q356" s="1" t="s">
        <v>1193</v>
      </c>
      <c r="R356" s="1" t="s">
        <v>1180</v>
      </c>
      <c r="S356" s="1" t="s">
        <v>1194</v>
      </c>
    </row>
    <row r="357" spans="1:19" x14ac:dyDescent="0.25">
      <c r="A357" s="1">
        <v>1020</v>
      </c>
      <c r="B357" s="9" t="s">
        <v>746</v>
      </c>
      <c r="C357" s="1">
        <v>3</v>
      </c>
      <c r="D357" s="1">
        <v>5</v>
      </c>
      <c r="E357" s="1">
        <v>102</v>
      </c>
      <c r="F357" s="1">
        <v>102</v>
      </c>
      <c r="G357" s="1">
        <v>102</v>
      </c>
      <c r="H357" s="1">
        <v>118</v>
      </c>
      <c r="I357" s="1">
        <v>100</v>
      </c>
      <c r="J357" s="1">
        <v>0</v>
      </c>
      <c r="K357" s="1">
        <v>130</v>
      </c>
      <c r="L357" s="1">
        <v>710501</v>
      </c>
      <c r="M357" s="1">
        <v>0</v>
      </c>
      <c r="N357" s="1">
        <v>710502</v>
      </c>
      <c r="O357" s="1" t="s">
        <v>1470</v>
      </c>
      <c r="P357" s="1" t="s">
        <v>1471</v>
      </c>
      <c r="Q357" s="1" t="s">
        <v>1205</v>
      </c>
      <c r="R357" s="1" t="s">
        <v>1206</v>
      </c>
      <c r="S357" s="1" t="s">
        <v>1472</v>
      </c>
    </row>
    <row r="358" spans="1:19" x14ac:dyDescent="0.25">
      <c r="A358" s="1">
        <v>1021</v>
      </c>
      <c r="B358" s="9" t="s">
        <v>747</v>
      </c>
      <c r="C358" s="1">
        <v>5</v>
      </c>
      <c r="D358" s="1">
        <v>5</v>
      </c>
      <c r="E358" s="1">
        <v>118</v>
      </c>
      <c r="F358" s="1">
        <v>108</v>
      </c>
      <c r="G358" s="1">
        <v>120</v>
      </c>
      <c r="H358" s="1">
        <v>120</v>
      </c>
      <c r="I358" s="1">
        <v>90</v>
      </c>
      <c r="J358" s="1">
        <v>0</v>
      </c>
      <c r="K358" s="1">
        <v>122</v>
      </c>
      <c r="L358" s="1">
        <v>710601</v>
      </c>
      <c r="M358" s="1">
        <v>0</v>
      </c>
      <c r="N358" s="1">
        <v>710608</v>
      </c>
      <c r="O358" s="1" t="s">
        <v>1473</v>
      </c>
      <c r="P358" s="1" t="s">
        <v>1474</v>
      </c>
      <c r="Q358" s="1" t="s">
        <v>1238</v>
      </c>
      <c r="R358" s="1" t="s">
        <v>1239</v>
      </c>
      <c r="S358" s="1" t="s">
        <v>1244</v>
      </c>
    </row>
    <row r="359" spans="1:19" x14ac:dyDescent="0.25">
      <c r="A359" s="1">
        <v>1022</v>
      </c>
      <c r="B359" s="9" t="s">
        <v>745</v>
      </c>
      <c r="C359" s="1">
        <v>6</v>
      </c>
      <c r="D359" s="1">
        <v>5</v>
      </c>
      <c r="E359" s="1">
        <v>122</v>
      </c>
      <c r="F359" s="1">
        <v>128</v>
      </c>
      <c r="G359" s="1">
        <v>95</v>
      </c>
      <c r="H359" s="1">
        <v>132</v>
      </c>
      <c r="I359" s="1">
        <v>110</v>
      </c>
      <c r="J359" s="1">
        <v>122</v>
      </c>
      <c r="K359" s="1">
        <v>105</v>
      </c>
      <c r="L359" s="1">
        <v>710201</v>
      </c>
      <c r="M359" s="1">
        <v>0</v>
      </c>
      <c r="N359" s="1">
        <v>710204</v>
      </c>
      <c r="O359" s="1" t="s">
        <v>1475</v>
      </c>
      <c r="P359" s="1" t="s">
        <v>1476</v>
      </c>
      <c r="Q359" s="1" t="s">
        <v>1477</v>
      </c>
      <c r="R359" s="1" t="s">
        <v>1274</v>
      </c>
      <c r="S359" s="1" t="s">
        <v>1275</v>
      </c>
    </row>
    <row r="360" spans="1:19" x14ac:dyDescent="0.25">
      <c r="A360" s="1">
        <v>1023</v>
      </c>
      <c r="B360" s="9" t="s">
        <v>252</v>
      </c>
      <c r="C360" s="1">
        <v>2</v>
      </c>
      <c r="D360" s="1">
        <v>5</v>
      </c>
      <c r="E360" s="1">
        <v>108</v>
      </c>
      <c r="F360" s="1">
        <v>112</v>
      </c>
      <c r="G360" s="1">
        <v>115</v>
      </c>
      <c r="H360" s="1">
        <v>120</v>
      </c>
      <c r="I360" s="1">
        <v>126</v>
      </c>
      <c r="J360" s="1">
        <v>0</v>
      </c>
      <c r="K360" s="1">
        <v>118</v>
      </c>
      <c r="L360" s="1">
        <v>900680</v>
      </c>
      <c r="M360" s="1">
        <v>0</v>
      </c>
      <c r="N360" s="1">
        <v>300102</v>
      </c>
      <c r="O360" s="1" t="s">
        <v>1478</v>
      </c>
      <c r="P360" s="1" t="s">
        <v>1479</v>
      </c>
      <c r="Q360" s="1" t="s">
        <v>1193</v>
      </c>
      <c r="R360" s="1" t="s">
        <v>1180</v>
      </c>
      <c r="S360" s="1" t="s">
        <v>1194</v>
      </c>
    </row>
    <row r="361" spans="1:19" x14ac:dyDescent="0.25">
      <c r="A361" s="1">
        <v>1024</v>
      </c>
      <c r="B361" s="9" t="s">
        <v>253</v>
      </c>
      <c r="C361" s="1">
        <v>3</v>
      </c>
      <c r="D361" s="1">
        <v>5</v>
      </c>
      <c r="E361" s="1">
        <v>90</v>
      </c>
      <c r="F361" s="1">
        <v>120</v>
      </c>
      <c r="G361" s="1">
        <v>110</v>
      </c>
      <c r="H361" s="1">
        <v>120</v>
      </c>
      <c r="I361" s="1">
        <v>100</v>
      </c>
      <c r="J361" s="1">
        <v>0</v>
      </c>
      <c r="K361" s="1">
        <v>120</v>
      </c>
      <c r="L361" s="1">
        <v>900692</v>
      </c>
      <c r="M361" s="1">
        <v>0</v>
      </c>
      <c r="N361" s="1">
        <v>900690</v>
      </c>
      <c r="O361" s="1" t="s">
        <v>333</v>
      </c>
      <c r="P361" s="1" t="s">
        <v>1480</v>
      </c>
      <c r="Q361" s="1" t="s">
        <v>1205</v>
      </c>
      <c r="R361" s="1" t="s">
        <v>1206</v>
      </c>
      <c r="S361" s="1" t="s">
        <v>1472</v>
      </c>
    </row>
    <row r="362" spans="1:19" x14ac:dyDescent="0.25">
      <c r="A362" s="1">
        <v>1025</v>
      </c>
      <c r="B362" s="9" t="s">
        <v>254</v>
      </c>
      <c r="C362" s="1">
        <v>6</v>
      </c>
      <c r="D362" s="1">
        <v>5</v>
      </c>
      <c r="E362" s="1">
        <v>115</v>
      </c>
      <c r="F362" s="1">
        <v>120</v>
      </c>
      <c r="G362" s="1">
        <v>100</v>
      </c>
      <c r="H362" s="1">
        <v>100</v>
      </c>
      <c r="I362" s="1">
        <v>95</v>
      </c>
      <c r="J362" s="1">
        <v>115</v>
      </c>
      <c r="K362" s="1">
        <v>110</v>
      </c>
      <c r="L362" s="1">
        <v>900704</v>
      </c>
      <c r="M362" s="1">
        <v>0</v>
      </c>
      <c r="N362" s="1">
        <v>900700</v>
      </c>
      <c r="O362" s="1" t="s">
        <v>1481</v>
      </c>
      <c r="P362" s="1" t="s">
        <v>1482</v>
      </c>
      <c r="Q362" s="1" t="s">
        <v>1273</v>
      </c>
      <c r="R362" s="1" t="s">
        <v>1274</v>
      </c>
      <c r="S362" s="1" t="s">
        <v>1275</v>
      </c>
    </row>
    <row r="363" spans="1:19" x14ac:dyDescent="0.25">
      <c r="A363" s="1">
        <v>1026</v>
      </c>
      <c r="B363" s="9" t="s">
        <v>255</v>
      </c>
      <c r="C363" s="1">
        <v>5</v>
      </c>
      <c r="D363" s="1">
        <v>5</v>
      </c>
      <c r="E363" s="1">
        <v>95</v>
      </c>
      <c r="F363" s="1">
        <v>90</v>
      </c>
      <c r="G363" s="1">
        <v>125</v>
      </c>
      <c r="H363" s="1">
        <v>125</v>
      </c>
      <c r="I363" s="1">
        <v>130</v>
      </c>
      <c r="J363" s="1">
        <v>0</v>
      </c>
      <c r="K363" s="1">
        <v>135</v>
      </c>
      <c r="L363" s="1">
        <v>900713</v>
      </c>
      <c r="M363" s="1">
        <v>0</v>
      </c>
      <c r="N363" s="1">
        <v>900710</v>
      </c>
      <c r="O363" s="1" t="s">
        <v>1483</v>
      </c>
      <c r="P363" s="1" t="s">
        <v>1484</v>
      </c>
      <c r="Q363" s="1" t="s">
        <v>1238</v>
      </c>
      <c r="R363" s="1" t="s">
        <v>1239</v>
      </c>
      <c r="S363" s="1" t="s">
        <v>1240</v>
      </c>
    </row>
    <row r="364" spans="1:19" x14ac:dyDescent="0.25">
      <c r="A364" s="1">
        <v>1027</v>
      </c>
      <c r="B364" s="9" t="s">
        <v>256</v>
      </c>
      <c r="C364" s="1">
        <v>4</v>
      </c>
      <c r="D364" s="1">
        <v>5</v>
      </c>
      <c r="E364" s="1">
        <v>110</v>
      </c>
      <c r="F364" s="1">
        <v>118</v>
      </c>
      <c r="G364" s="1">
        <v>110</v>
      </c>
      <c r="H364" s="1">
        <v>132</v>
      </c>
      <c r="I364" s="1">
        <v>105</v>
      </c>
      <c r="J364" s="1">
        <v>0</v>
      </c>
      <c r="K364" s="1">
        <v>125</v>
      </c>
      <c r="L364" s="1">
        <v>900721</v>
      </c>
      <c r="M364" s="1">
        <v>0</v>
      </c>
      <c r="N364" s="1">
        <v>900720</v>
      </c>
      <c r="O364" s="1" t="s">
        <v>1485</v>
      </c>
      <c r="P364" s="1" t="s">
        <v>1486</v>
      </c>
      <c r="Q364" s="1" t="s">
        <v>1194</v>
      </c>
      <c r="R364" s="1" t="s">
        <v>1219</v>
      </c>
      <c r="S364" s="1" t="s">
        <v>1222</v>
      </c>
    </row>
    <row r="365" spans="1:19" x14ac:dyDescent="0.25">
      <c r="A365" s="1">
        <v>1028</v>
      </c>
      <c r="B365" s="9" t="s">
        <v>1787</v>
      </c>
      <c r="C365" s="1">
        <v>2</v>
      </c>
      <c r="D365" s="1">
        <v>5</v>
      </c>
      <c r="E365" s="1">
        <v>105</v>
      </c>
      <c r="F365" s="1">
        <v>115</v>
      </c>
      <c r="G365" s="1">
        <v>130</v>
      </c>
      <c r="H365" s="1">
        <v>90</v>
      </c>
      <c r="I365" s="1">
        <v>120</v>
      </c>
      <c r="J365" s="1">
        <v>0</v>
      </c>
      <c r="K365" s="1">
        <v>105</v>
      </c>
      <c r="L365" s="1">
        <v>900991</v>
      </c>
      <c r="M365" s="1">
        <v>0</v>
      </c>
      <c r="N365" s="1">
        <v>300102</v>
      </c>
      <c r="O365" s="1" t="s">
        <v>333</v>
      </c>
      <c r="P365" s="1" t="s">
        <v>1487</v>
      </c>
      <c r="Q365" s="1" t="s">
        <v>1193</v>
      </c>
      <c r="R365" s="1" t="s">
        <v>1180</v>
      </c>
      <c r="S365" s="1" t="s">
        <v>1194</v>
      </c>
    </row>
    <row r="366" spans="1:19" x14ac:dyDescent="0.25">
      <c r="A366" s="1">
        <v>1029</v>
      </c>
      <c r="B366" s="9" t="s">
        <v>1788</v>
      </c>
      <c r="C366" s="1">
        <v>4</v>
      </c>
      <c r="D366" s="1">
        <v>5</v>
      </c>
      <c r="E366" s="1">
        <v>110</v>
      </c>
      <c r="F366" s="1">
        <v>115</v>
      </c>
      <c r="G366" s="1">
        <v>115</v>
      </c>
      <c r="H366" s="1">
        <v>115</v>
      </c>
      <c r="I366" s="1">
        <v>110</v>
      </c>
      <c r="J366" s="1">
        <v>0</v>
      </c>
      <c r="K366" s="1">
        <v>115</v>
      </c>
      <c r="L366" s="1">
        <v>901011</v>
      </c>
      <c r="M366" s="1">
        <v>0</v>
      </c>
      <c r="N366" s="1">
        <v>300103</v>
      </c>
      <c r="O366" s="1" t="s">
        <v>333</v>
      </c>
      <c r="P366" s="1" t="s">
        <v>1488</v>
      </c>
      <c r="Q366" s="1" t="s">
        <v>1194</v>
      </c>
      <c r="R366" s="1" t="s">
        <v>1219</v>
      </c>
      <c r="S366" s="1" t="s">
        <v>1222</v>
      </c>
    </row>
    <row r="367" spans="1:19" x14ac:dyDescent="0.25">
      <c r="A367" s="1">
        <v>1030</v>
      </c>
      <c r="B367" s="9" t="s">
        <v>1790</v>
      </c>
      <c r="C367" s="1">
        <v>2</v>
      </c>
      <c r="D367" s="1">
        <v>5</v>
      </c>
      <c r="E367" s="1">
        <v>115</v>
      </c>
      <c r="F367" s="1">
        <v>90</v>
      </c>
      <c r="G367" s="1">
        <v>100</v>
      </c>
      <c r="H367" s="1">
        <v>95</v>
      </c>
      <c r="I367" s="1">
        <v>110</v>
      </c>
      <c r="J367" s="1">
        <v>0</v>
      </c>
      <c r="K367" s="1">
        <v>125</v>
      </c>
      <c r="L367" s="1">
        <v>116401</v>
      </c>
      <c r="M367" s="1">
        <v>0</v>
      </c>
      <c r="N367" s="1">
        <v>116402</v>
      </c>
      <c r="O367" s="1" t="s">
        <v>1489</v>
      </c>
      <c r="P367" s="1" t="s">
        <v>333</v>
      </c>
      <c r="Q367" s="1" t="s">
        <v>1193</v>
      </c>
      <c r="R367" s="1" t="s">
        <v>1180</v>
      </c>
      <c r="S367" s="1" t="s">
        <v>1194</v>
      </c>
    </row>
    <row r="368" spans="1:19" x14ac:dyDescent="0.25">
      <c r="A368" s="1">
        <v>1031</v>
      </c>
      <c r="B368" s="9" t="s">
        <v>1490</v>
      </c>
      <c r="C368" s="1">
        <v>3</v>
      </c>
      <c r="D368" s="1">
        <v>5</v>
      </c>
      <c r="E368" s="1">
        <v>100</v>
      </c>
      <c r="F368" s="1">
        <v>100</v>
      </c>
      <c r="G368" s="1">
        <v>100</v>
      </c>
      <c r="H368" s="1">
        <v>100</v>
      </c>
      <c r="I368" s="1">
        <v>100</v>
      </c>
      <c r="J368" s="1">
        <v>0</v>
      </c>
      <c r="K368" s="1">
        <v>150</v>
      </c>
      <c r="L368" s="1">
        <v>116701</v>
      </c>
      <c r="M368" s="1">
        <v>0</v>
      </c>
      <c r="N368" s="1">
        <v>116705</v>
      </c>
      <c r="O368" s="1" t="s">
        <v>1491</v>
      </c>
      <c r="P368" s="1" t="s">
        <v>1492</v>
      </c>
      <c r="Q368" s="1" t="s">
        <v>1205</v>
      </c>
      <c r="R368" s="1" t="s">
        <v>1206</v>
      </c>
      <c r="S368" s="1" t="s">
        <v>1472</v>
      </c>
    </row>
    <row r="369" spans="1:19" x14ac:dyDescent="0.25">
      <c r="A369" s="1">
        <v>1032</v>
      </c>
      <c r="B369" s="9" t="s">
        <v>1493</v>
      </c>
      <c r="C369" s="1">
        <v>4</v>
      </c>
      <c r="D369" s="1">
        <v>5</v>
      </c>
      <c r="E369" s="1">
        <v>110</v>
      </c>
      <c r="F369" s="1">
        <v>122</v>
      </c>
      <c r="G369" s="1">
        <v>105</v>
      </c>
      <c r="H369" s="1">
        <v>128</v>
      </c>
      <c r="I369" s="1">
        <v>105</v>
      </c>
      <c r="J369" s="1">
        <v>0</v>
      </c>
      <c r="K369" s="1">
        <v>130</v>
      </c>
      <c r="L369" s="1">
        <v>116601</v>
      </c>
      <c r="M369" s="1">
        <v>0</v>
      </c>
      <c r="N369" s="1">
        <v>116603</v>
      </c>
      <c r="O369" s="1" t="s">
        <v>333</v>
      </c>
      <c r="P369" s="1" t="s">
        <v>1494</v>
      </c>
      <c r="Q369" s="1" t="s">
        <v>1194</v>
      </c>
      <c r="R369" s="1" t="s">
        <v>1219</v>
      </c>
      <c r="S369" s="1" t="s">
        <v>1222</v>
      </c>
    </row>
    <row r="370" spans="1:19" x14ac:dyDescent="0.25">
      <c r="A370" s="1">
        <v>1033</v>
      </c>
      <c r="B370" s="9" t="s">
        <v>1789</v>
      </c>
      <c r="C370" s="1">
        <v>5</v>
      </c>
      <c r="D370" s="1">
        <v>5</v>
      </c>
      <c r="E370" s="1">
        <v>110</v>
      </c>
      <c r="F370" s="1">
        <v>115</v>
      </c>
      <c r="G370" s="1">
        <v>120</v>
      </c>
      <c r="H370" s="1">
        <v>115</v>
      </c>
      <c r="I370" s="1">
        <v>95</v>
      </c>
      <c r="J370" s="1">
        <v>0</v>
      </c>
      <c r="K370" s="1">
        <v>118</v>
      </c>
      <c r="L370" s="1">
        <v>116501</v>
      </c>
      <c r="M370" s="1">
        <v>0</v>
      </c>
      <c r="N370" s="1">
        <v>116503</v>
      </c>
      <c r="O370" s="1" t="s">
        <v>1495</v>
      </c>
      <c r="P370" s="1" t="s">
        <v>1496</v>
      </c>
      <c r="Q370" s="1" t="s">
        <v>1238</v>
      </c>
      <c r="R370" s="1" t="s">
        <v>1239</v>
      </c>
      <c r="S370" s="1" t="s">
        <v>1244</v>
      </c>
    </row>
    <row r="371" spans="1:19" x14ac:dyDescent="0.25">
      <c r="A371" s="1">
        <v>1034</v>
      </c>
      <c r="B371" s="9" t="s">
        <v>1497</v>
      </c>
      <c r="C371" s="1">
        <v>6</v>
      </c>
      <c r="D371" s="1">
        <v>5</v>
      </c>
      <c r="E371" s="1">
        <v>130</v>
      </c>
      <c r="F371" s="1">
        <v>130</v>
      </c>
      <c r="G371" s="1">
        <v>90</v>
      </c>
      <c r="H371" s="1">
        <v>95</v>
      </c>
      <c r="I371" s="1">
        <v>90</v>
      </c>
      <c r="J371" s="1">
        <v>122</v>
      </c>
      <c r="K371" s="1">
        <v>108</v>
      </c>
      <c r="L371" s="1">
        <v>116801</v>
      </c>
      <c r="M371" s="1">
        <v>0</v>
      </c>
      <c r="N371" s="1">
        <v>116806</v>
      </c>
      <c r="O371" s="1" t="s">
        <v>1498</v>
      </c>
      <c r="P371" s="1" t="s">
        <v>1499</v>
      </c>
      <c r="Q371" s="1" t="s">
        <v>1477</v>
      </c>
      <c r="R371" s="1" t="s">
        <v>1274</v>
      </c>
      <c r="S371" s="1" t="s">
        <v>1275</v>
      </c>
    </row>
    <row r="372" spans="1:19" x14ac:dyDescent="0.25">
      <c r="A372" s="1">
        <v>20001</v>
      </c>
      <c r="B372" s="9" t="s">
        <v>271</v>
      </c>
      <c r="C372" s="1">
        <v>1</v>
      </c>
      <c r="D372" s="1">
        <v>5</v>
      </c>
      <c r="E372" s="1">
        <v>122</v>
      </c>
      <c r="F372" s="1">
        <v>125</v>
      </c>
      <c r="G372" s="1">
        <v>89</v>
      </c>
      <c r="H372" s="1">
        <v>90</v>
      </c>
      <c r="I372" s="1">
        <v>95</v>
      </c>
      <c r="J372" s="1">
        <v>0</v>
      </c>
      <c r="K372" s="1">
        <v>130</v>
      </c>
      <c r="L372" s="1">
        <v>801702</v>
      </c>
      <c r="M372" s="1">
        <v>801701</v>
      </c>
      <c r="N372" s="1">
        <v>300115</v>
      </c>
      <c r="O372" s="1" t="s">
        <v>333</v>
      </c>
      <c r="P372" s="1" t="s">
        <v>333</v>
      </c>
      <c r="Q372" s="1" t="s">
        <v>1179</v>
      </c>
      <c r="R372" s="1" t="s">
        <v>1180</v>
      </c>
      <c r="S372" s="1" t="s">
        <v>1181</v>
      </c>
    </row>
    <row r="373" spans="1:19" x14ac:dyDescent="0.25">
      <c r="A373" s="1">
        <v>20002</v>
      </c>
      <c r="B373" s="9" t="s">
        <v>257</v>
      </c>
      <c r="C373" s="1">
        <v>1</v>
      </c>
      <c r="D373" s="1">
        <v>4</v>
      </c>
      <c r="E373" s="1">
        <v>110</v>
      </c>
      <c r="F373" s="1">
        <v>100</v>
      </c>
      <c r="G373" s="1">
        <v>106</v>
      </c>
      <c r="H373" s="1">
        <v>100</v>
      </c>
      <c r="I373" s="1">
        <v>100</v>
      </c>
      <c r="J373" s="1">
        <v>0</v>
      </c>
      <c r="K373" s="1">
        <v>120</v>
      </c>
      <c r="L373" s="1">
        <v>800101</v>
      </c>
      <c r="M373" s="1">
        <v>800102</v>
      </c>
      <c r="N373" s="1">
        <v>300101</v>
      </c>
      <c r="O373" s="1" t="s">
        <v>1234</v>
      </c>
      <c r="P373" s="1" t="s">
        <v>1501</v>
      </c>
      <c r="Q373" s="1" t="s">
        <v>1179</v>
      </c>
      <c r="R373" s="1" t="s">
        <v>1180</v>
      </c>
      <c r="S373" s="1" t="s">
        <v>1181</v>
      </c>
    </row>
    <row r="374" spans="1:19" x14ac:dyDescent="0.25">
      <c r="A374" s="1">
        <v>20005</v>
      </c>
      <c r="B374" s="9" t="s">
        <v>797</v>
      </c>
      <c r="C374" s="1">
        <v>1</v>
      </c>
      <c r="D374" s="1">
        <v>4</v>
      </c>
      <c r="E374" s="1">
        <v>105</v>
      </c>
      <c r="F374" s="1">
        <v>115</v>
      </c>
      <c r="G374" s="1">
        <v>80</v>
      </c>
      <c r="H374" s="1">
        <v>85</v>
      </c>
      <c r="I374" s="1">
        <v>120</v>
      </c>
      <c r="J374" s="1">
        <v>0</v>
      </c>
      <c r="K374" s="1">
        <v>130</v>
      </c>
      <c r="L374" s="1">
        <v>800505</v>
      </c>
      <c r="M374" s="1">
        <v>800504</v>
      </c>
      <c r="N374" s="1">
        <v>800503</v>
      </c>
      <c r="O374" s="1" t="s">
        <v>1502</v>
      </c>
      <c r="P374" s="1" t="s">
        <v>333</v>
      </c>
      <c r="Q374" s="1" t="s">
        <v>1179</v>
      </c>
      <c r="R374" s="1" t="s">
        <v>1180</v>
      </c>
      <c r="S374" s="1" t="s">
        <v>1181</v>
      </c>
    </row>
    <row r="375" spans="1:19" x14ac:dyDescent="0.25">
      <c r="A375" s="1">
        <v>20007</v>
      </c>
      <c r="B375" s="9" t="s">
        <v>749</v>
      </c>
      <c r="C375" s="1">
        <v>1</v>
      </c>
      <c r="D375" s="1">
        <v>5</v>
      </c>
      <c r="E375" s="1">
        <v>125</v>
      </c>
      <c r="F375" s="1">
        <v>115</v>
      </c>
      <c r="G375" s="1">
        <v>125</v>
      </c>
      <c r="H375" s="1">
        <v>105</v>
      </c>
      <c r="I375" s="1">
        <v>95</v>
      </c>
      <c r="J375" s="1">
        <v>0</v>
      </c>
      <c r="K375" s="1">
        <v>110</v>
      </c>
      <c r="L375" s="1">
        <v>900270</v>
      </c>
      <c r="M375" s="1">
        <v>900274</v>
      </c>
      <c r="N375" s="1">
        <v>900271</v>
      </c>
      <c r="O375" s="1" t="s">
        <v>333</v>
      </c>
      <c r="P375" s="1" t="s">
        <v>1503</v>
      </c>
      <c r="Q375" s="1" t="s">
        <v>1179</v>
      </c>
      <c r="R375" s="1" t="s">
        <v>1180</v>
      </c>
      <c r="S375" s="1" t="s">
        <v>1187</v>
      </c>
    </row>
    <row r="376" spans="1:19" x14ac:dyDescent="0.25">
      <c r="A376" s="1">
        <v>20008</v>
      </c>
      <c r="B376" s="9" t="s">
        <v>962</v>
      </c>
      <c r="C376" s="1">
        <v>1</v>
      </c>
      <c r="D376" s="1">
        <v>4</v>
      </c>
      <c r="E376" s="1">
        <v>100</v>
      </c>
      <c r="F376" s="1">
        <v>97</v>
      </c>
      <c r="G376" s="1">
        <v>110</v>
      </c>
      <c r="H376" s="1">
        <v>115</v>
      </c>
      <c r="I376" s="1">
        <v>125</v>
      </c>
      <c r="J376" s="1">
        <v>0</v>
      </c>
      <c r="K376" s="1">
        <v>130</v>
      </c>
      <c r="L376" s="1">
        <v>803601</v>
      </c>
      <c r="M376" s="1">
        <v>803604</v>
      </c>
      <c r="N376" s="1">
        <v>300115</v>
      </c>
      <c r="O376" s="1" t="s">
        <v>1504</v>
      </c>
      <c r="P376" s="1" t="s">
        <v>1505</v>
      </c>
      <c r="Q376" s="1" t="s">
        <v>1179</v>
      </c>
      <c r="R376" s="1" t="s">
        <v>1180</v>
      </c>
      <c r="S376" s="1" t="s">
        <v>1181</v>
      </c>
    </row>
    <row r="377" spans="1:19" x14ac:dyDescent="0.25">
      <c r="A377" s="1">
        <v>20012</v>
      </c>
      <c r="B377" s="9" t="s">
        <v>755</v>
      </c>
      <c r="C377" s="1">
        <v>1</v>
      </c>
      <c r="D377" s="1">
        <v>4</v>
      </c>
      <c r="E377" s="1">
        <v>125</v>
      </c>
      <c r="F377" s="1">
        <v>118</v>
      </c>
      <c r="G377" s="1">
        <v>120</v>
      </c>
      <c r="H377" s="1">
        <v>108</v>
      </c>
      <c r="I377" s="1">
        <v>100</v>
      </c>
      <c r="J377" s="1">
        <v>0</v>
      </c>
      <c r="K377" s="1">
        <v>108</v>
      </c>
      <c r="L377" s="1">
        <v>900268</v>
      </c>
      <c r="M377" s="1">
        <v>900269</v>
      </c>
      <c r="N377" s="1">
        <v>300101</v>
      </c>
      <c r="O377" s="1" t="s">
        <v>333</v>
      </c>
      <c r="P377" s="1" t="s">
        <v>333</v>
      </c>
      <c r="Q377" s="1" t="s">
        <v>1179</v>
      </c>
      <c r="R377" s="1" t="s">
        <v>1180</v>
      </c>
      <c r="S377" s="1" t="s">
        <v>1181</v>
      </c>
    </row>
    <row r="378" spans="1:19" x14ac:dyDescent="0.25">
      <c r="A378" s="1">
        <v>20026</v>
      </c>
      <c r="B378" s="9" t="s">
        <v>1506</v>
      </c>
      <c r="C378" s="1">
        <v>2</v>
      </c>
      <c r="D378" s="1">
        <v>5</v>
      </c>
      <c r="E378" s="1">
        <v>100</v>
      </c>
      <c r="F378" s="1">
        <v>120</v>
      </c>
      <c r="G378" s="1">
        <v>115</v>
      </c>
      <c r="H378" s="1">
        <v>115</v>
      </c>
      <c r="I378" s="1">
        <v>115</v>
      </c>
      <c r="J378" s="1">
        <v>0</v>
      </c>
      <c r="K378" s="1">
        <v>105</v>
      </c>
      <c r="L378" s="1">
        <v>802301</v>
      </c>
      <c r="M378" s="1">
        <v>802303</v>
      </c>
      <c r="N378" s="1">
        <v>300102</v>
      </c>
      <c r="O378" s="1" t="s">
        <v>1507</v>
      </c>
      <c r="P378" s="1" t="s">
        <v>333</v>
      </c>
      <c r="Q378" s="1" t="s">
        <v>1193</v>
      </c>
      <c r="R378" s="1" t="s">
        <v>1180</v>
      </c>
      <c r="S378" s="1" t="s">
        <v>1194</v>
      </c>
    </row>
    <row r="379" spans="1:19" x14ac:dyDescent="0.25">
      <c r="A379" s="1">
        <v>20029</v>
      </c>
      <c r="B379" s="9" t="s">
        <v>841</v>
      </c>
      <c r="C379" s="1">
        <v>2</v>
      </c>
      <c r="D379" s="1">
        <v>4</v>
      </c>
      <c r="E379" s="1">
        <v>108</v>
      </c>
      <c r="F379" s="1">
        <v>100</v>
      </c>
      <c r="G379" s="1">
        <v>105</v>
      </c>
      <c r="H379" s="1">
        <v>120</v>
      </c>
      <c r="I379" s="1">
        <v>110</v>
      </c>
      <c r="J379" s="1">
        <v>0</v>
      </c>
      <c r="K379" s="1">
        <v>125</v>
      </c>
      <c r="L379" s="1">
        <v>802001</v>
      </c>
      <c r="M379" s="1">
        <v>802002</v>
      </c>
      <c r="N379" s="1">
        <v>300102</v>
      </c>
      <c r="O379" s="1" t="s">
        <v>1508</v>
      </c>
      <c r="P379" s="1" t="s">
        <v>333</v>
      </c>
      <c r="Q379" s="1" t="s">
        <v>1193</v>
      </c>
      <c r="R379" s="1" t="s">
        <v>1180</v>
      </c>
      <c r="S379" s="1" t="s">
        <v>1194</v>
      </c>
    </row>
    <row r="380" spans="1:19" x14ac:dyDescent="0.25">
      <c r="A380" s="1">
        <v>20031</v>
      </c>
      <c r="B380" s="9" t="s">
        <v>723</v>
      </c>
      <c r="C380" s="1">
        <v>2</v>
      </c>
      <c r="D380" s="1">
        <v>4</v>
      </c>
      <c r="E380" s="1">
        <v>120</v>
      </c>
      <c r="F380" s="1">
        <v>125</v>
      </c>
      <c r="G380" s="1">
        <v>100</v>
      </c>
      <c r="H380" s="1">
        <v>95</v>
      </c>
      <c r="I380" s="1">
        <v>94</v>
      </c>
      <c r="J380" s="1">
        <v>0</v>
      </c>
      <c r="K380" s="1">
        <v>110</v>
      </c>
      <c r="L380" s="1">
        <v>900266</v>
      </c>
      <c r="M380" s="1">
        <v>900267</v>
      </c>
      <c r="N380" s="1">
        <v>300102</v>
      </c>
      <c r="O380" s="1" t="s">
        <v>333</v>
      </c>
      <c r="P380" s="1" t="s">
        <v>1202</v>
      </c>
      <c r="Q380" s="1" t="s">
        <v>1193</v>
      </c>
      <c r="R380" s="1" t="s">
        <v>1180</v>
      </c>
      <c r="S380" s="1" t="s">
        <v>1194</v>
      </c>
    </row>
    <row r="381" spans="1:19" x14ac:dyDescent="0.25">
      <c r="A381" s="1">
        <v>20032</v>
      </c>
      <c r="B381" s="9" t="s">
        <v>258</v>
      </c>
      <c r="C381" s="1">
        <v>2</v>
      </c>
      <c r="D381" s="1">
        <v>4</v>
      </c>
      <c r="E381" s="1">
        <v>98</v>
      </c>
      <c r="F381" s="1">
        <v>93</v>
      </c>
      <c r="G381" s="1">
        <v>130</v>
      </c>
      <c r="H381" s="1">
        <v>95</v>
      </c>
      <c r="I381" s="1">
        <v>125</v>
      </c>
      <c r="J381" s="1">
        <v>0</v>
      </c>
      <c r="K381" s="1">
        <v>115</v>
      </c>
      <c r="L381" s="1">
        <v>802701</v>
      </c>
      <c r="M381" s="1">
        <v>802710</v>
      </c>
      <c r="N381" s="1">
        <v>300102</v>
      </c>
      <c r="O381" s="1" t="s">
        <v>1234</v>
      </c>
      <c r="P381" s="1" t="s">
        <v>1509</v>
      </c>
      <c r="Q381" s="1" t="s">
        <v>1193</v>
      </c>
      <c r="R381" s="1" t="s">
        <v>1180</v>
      </c>
      <c r="S381" s="1" t="s">
        <v>1194</v>
      </c>
    </row>
    <row r="382" spans="1:19" x14ac:dyDescent="0.25">
      <c r="A382" s="1">
        <v>20037</v>
      </c>
      <c r="B382" s="9" t="s">
        <v>259</v>
      </c>
      <c r="C382" s="1">
        <v>3</v>
      </c>
      <c r="D382" s="1">
        <v>4</v>
      </c>
      <c r="E382" s="1">
        <v>95</v>
      </c>
      <c r="F382" s="1">
        <v>105</v>
      </c>
      <c r="G382" s="1">
        <v>130</v>
      </c>
      <c r="H382" s="1">
        <v>115</v>
      </c>
      <c r="I382" s="1">
        <v>85</v>
      </c>
      <c r="J382" s="1">
        <v>0</v>
      </c>
      <c r="K382" s="1">
        <v>110</v>
      </c>
      <c r="L382" s="1">
        <v>801901</v>
      </c>
      <c r="M382" s="1">
        <v>801902</v>
      </c>
      <c r="N382" s="1">
        <v>300104</v>
      </c>
      <c r="O382" s="1" t="s">
        <v>333</v>
      </c>
      <c r="P382" s="1" t="s">
        <v>333</v>
      </c>
      <c r="Q382" s="1" t="s">
        <v>1205</v>
      </c>
      <c r="R382" s="1" t="s">
        <v>1206</v>
      </c>
      <c r="S382" s="1" t="s">
        <v>1207</v>
      </c>
    </row>
    <row r="383" spans="1:19" x14ac:dyDescent="0.25">
      <c r="A383" s="1">
        <v>20039</v>
      </c>
      <c r="B383" s="9" t="s">
        <v>1778</v>
      </c>
      <c r="C383" s="1">
        <v>3</v>
      </c>
      <c r="D383" s="1">
        <v>5</v>
      </c>
      <c r="E383" s="1">
        <v>100</v>
      </c>
      <c r="F383" s="1">
        <v>115</v>
      </c>
      <c r="G383" s="1">
        <v>85</v>
      </c>
      <c r="H383" s="1">
        <v>120</v>
      </c>
      <c r="I383" s="1">
        <v>105</v>
      </c>
      <c r="J383" s="1">
        <v>0</v>
      </c>
      <c r="K383" s="1">
        <v>130</v>
      </c>
      <c r="L383" s="1">
        <v>800605</v>
      </c>
      <c r="M383" s="1">
        <v>800602</v>
      </c>
      <c r="N383" s="1">
        <v>800601</v>
      </c>
      <c r="O383" s="1" t="s">
        <v>1210</v>
      </c>
      <c r="P383" s="1" t="s">
        <v>1510</v>
      </c>
      <c r="Q383" s="1" t="s">
        <v>1205</v>
      </c>
      <c r="R383" s="1" t="s">
        <v>1206</v>
      </c>
      <c r="S383" s="1" t="s">
        <v>1207</v>
      </c>
    </row>
    <row r="384" spans="1:19" x14ac:dyDescent="0.25">
      <c r="A384" s="1">
        <v>20044</v>
      </c>
      <c r="B384" s="9" t="s">
        <v>1779</v>
      </c>
      <c r="C384" s="1">
        <v>3</v>
      </c>
      <c r="D384" s="1">
        <v>4</v>
      </c>
      <c r="E384" s="1">
        <v>95</v>
      </c>
      <c r="F384" s="1">
        <v>118</v>
      </c>
      <c r="G384" s="1">
        <v>110</v>
      </c>
      <c r="H384" s="1">
        <v>122</v>
      </c>
      <c r="I384" s="1">
        <v>85</v>
      </c>
      <c r="J384" s="1">
        <v>0</v>
      </c>
      <c r="K384" s="1">
        <v>115</v>
      </c>
      <c r="L384" s="1">
        <v>801417</v>
      </c>
      <c r="M384" s="1">
        <v>801414</v>
      </c>
      <c r="N384" s="1">
        <v>300104</v>
      </c>
      <c r="O384" s="1" t="s">
        <v>1511</v>
      </c>
      <c r="P384" s="1" t="s">
        <v>1512</v>
      </c>
      <c r="Q384" s="1" t="s">
        <v>1205</v>
      </c>
      <c r="R384" s="1" t="s">
        <v>1206</v>
      </c>
      <c r="S384" s="1" t="s">
        <v>1207</v>
      </c>
    </row>
    <row r="385" spans="1:19" x14ac:dyDescent="0.25">
      <c r="A385" s="1">
        <v>20049</v>
      </c>
      <c r="B385" s="9" t="s">
        <v>842</v>
      </c>
      <c r="C385" s="1">
        <v>3</v>
      </c>
      <c r="D385" s="1">
        <v>4</v>
      </c>
      <c r="E385" s="1">
        <v>105</v>
      </c>
      <c r="F385" s="1">
        <v>105</v>
      </c>
      <c r="G385" s="1">
        <v>110</v>
      </c>
      <c r="H385" s="1">
        <v>110</v>
      </c>
      <c r="I385" s="1">
        <v>115</v>
      </c>
      <c r="J385" s="1">
        <v>0</v>
      </c>
      <c r="K385" s="1">
        <v>110</v>
      </c>
      <c r="L385" s="1">
        <v>992232</v>
      </c>
      <c r="M385" s="1">
        <v>902233</v>
      </c>
      <c r="N385" s="1">
        <v>902228</v>
      </c>
      <c r="O385" s="1" t="s">
        <v>1513</v>
      </c>
      <c r="P385" s="1" t="s">
        <v>333</v>
      </c>
      <c r="Q385" s="1" t="s">
        <v>1205</v>
      </c>
      <c r="R385" s="1" t="s">
        <v>1206</v>
      </c>
      <c r="S385" s="1" t="s">
        <v>1207</v>
      </c>
    </row>
    <row r="386" spans="1:19" x14ac:dyDescent="0.25">
      <c r="A386" s="1">
        <v>20051</v>
      </c>
      <c r="B386" s="9" t="s">
        <v>1514</v>
      </c>
      <c r="C386" s="1">
        <v>3</v>
      </c>
      <c r="D386" s="1">
        <v>4</v>
      </c>
      <c r="E386" s="1">
        <v>105</v>
      </c>
      <c r="F386" s="1">
        <v>110</v>
      </c>
      <c r="G386" s="1">
        <v>100</v>
      </c>
      <c r="H386" s="1">
        <v>95</v>
      </c>
      <c r="I386" s="1">
        <v>100</v>
      </c>
      <c r="J386" s="1">
        <v>0</v>
      </c>
      <c r="K386" s="1">
        <v>115</v>
      </c>
      <c r="L386" s="1">
        <v>800901</v>
      </c>
      <c r="M386" s="1">
        <v>800902</v>
      </c>
      <c r="N386" s="1">
        <v>300104</v>
      </c>
      <c r="O386" s="1" t="s">
        <v>333</v>
      </c>
      <c r="P386" s="1" t="s">
        <v>333</v>
      </c>
      <c r="Q386" s="1" t="s">
        <v>1205</v>
      </c>
      <c r="R386" s="1" t="s">
        <v>1206</v>
      </c>
      <c r="S386" s="1" t="s">
        <v>1207</v>
      </c>
    </row>
    <row r="387" spans="1:19" x14ac:dyDescent="0.25">
      <c r="A387" s="1">
        <v>20053</v>
      </c>
      <c r="B387" s="9" t="s">
        <v>1780</v>
      </c>
      <c r="C387" s="1">
        <v>3</v>
      </c>
      <c r="D387" s="1">
        <v>6</v>
      </c>
      <c r="E387" s="1">
        <v>105</v>
      </c>
      <c r="F387" s="1">
        <v>145</v>
      </c>
      <c r="G387" s="1">
        <v>90</v>
      </c>
      <c r="H387" s="1">
        <v>110</v>
      </c>
      <c r="I387" s="1">
        <v>80</v>
      </c>
      <c r="J387" s="1">
        <v>0</v>
      </c>
      <c r="K387" s="1">
        <v>130</v>
      </c>
      <c r="L387" s="1">
        <v>803101</v>
      </c>
      <c r="M387" s="1">
        <v>803105</v>
      </c>
      <c r="N387" s="1">
        <v>803106</v>
      </c>
      <c r="O387" s="1" t="s">
        <v>1515</v>
      </c>
      <c r="P387" s="1" t="s">
        <v>1516</v>
      </c>
      <c r="Q387" s="1" t="s">
        <v>1205</v>
      </c>
      <c r="R387" s="1" t="s">
        <v>1206</v>
      </c>
      <c r="S387" s="1" t="s">
        <v>1207</v>
      </c>
    </row>
    <row r="388" spans="1:19" x14ac:dyDescent="0.25">
      <c r="A388" s="1">
        <v>20055</v>
      </c>
      <c r="B388" s="9" t="s">
        <v>260</v>
      </c>
      <c r="C388" s="1">
        <v>4</v>
      </c>
      <c r="D388" s="1">
        <v>5</v>
      </c>
      <c r="E388" s="1">
        <v>100</v>
      </c>
      <c r="F388" s="1">
        <v>110</v>
      </c>
      <c r="G388" s="1">
        <v>120</v>
      </c>
      <c r="H388" s="1">
        <v>120</v>
      </c>
      <c r="I388" s="1">
        <v>120</v>
      </c>
      <c r="J388" s="1">
        <v>0</v>
      </c>
      <c r="K388" s="1">
        <v>115</v>
      </c>
      <c r="L388" s="1">
        <v>801101</v>
      </c>
      <c r="M388" s="1">
        <v>801108</v>
      </c>
      <c r="N388" s="1">
        <v>801102</v>
      </c>
      <c r="O388" s="1" t="s">
        <v>1517</v>
      </c>
      <c r="P388" s="1" t="s">
        <v>1500</v>
      </c>
      <c r="Q388" s="1" t="s">
        <v>1194</v>
      </c>
      <c r="R388" s="1" t="s">
        <v>1219</v>
      </c>
      <c r="S388" s="1" t="s">
        <v>1222</v>
      </c>
    </row>
    <row r="389" spans="1:19" x14ac:dyDescent="0.25">
      <c r="A389" s="1">
        <v>20056</v>
      </c>
      <c r="B389" s="9" t="s">
        <v>261</v>
      </c>
      <c r="C389" s="1">
        <v>4</v>
      </c>
      <c r="D389" s="1">
        <v>5</v>
      </c>
      <c r="E389" s="1">
        <v>100</v>
      </c>
      <c r="F389" s="1">
        <v>118</v>
      </c>
      <c r="G389" s="1">
        <v>120</v>
      </c>
      <c r="H389" s="1">
        <v>125</v>
      </c>
      <c r="I389" s="1">
        <v>115</v>
      </c>
      <c r="J389" s="1">
        <v>0</v>
      </c>
      <c r="K389" s="1">
        <v>110</v>
      </c>
      <c r="L389" s="1">
        <v>801601</v>
      </c>
      <c r="M389" s="1">
        <v>801602</v>
      </c>
      <c r="N389" s="1">
        <v>300103</v>
      </c>
      <c r="O389" s="1" t="s">
        <v>1518</v>
      </c>
      <c r="P389" s="1" t="s">
        <v>1519</v>
      </c>
      <c r="Q389" s="1" t="s">
        <v>1224</v>
      </c>
      <c r="R389" s="1" t="s">
        <v>1224</v>
      </c>
      <c r="S389" s="1" t="s">
        <v>1219</v>
      </c>
    </row>
    <row r="390" spans="1:19" x14ac:dyDescent="0.25">
      <c r="A390" s="1">
        <v>20057</v>
      </c>
      <c r="B390" s="9" t="s">
        <v>1781</v>
      </c>
      <c r="C390" s="1">
        <v>4</v>
      </c>
      <c r="D390" s="1">
        <v>5</v>
      </c>
      <c r="E390" s="1">
        <v>95</v>
      </c>
      <c r="F390" s="1">
        <v>106</v>
      </c>
      <c r="G390" s="1">
        <v>115</v>
      </c>
      <c r="H390" s="1">
        <v>125</v>
      </c>
      <c r="I390" s="1">
        <v>120</v>
      </c>
      <c r="J390" s="1">
        <v>0</v>
      </c>
      <c r="K390" s="1">
        <v>120</v>
      </c>
      <c r="L390" s="1">
        <v>801003</v>
      </c>
      <c r="M390" s="1">
        <v>801002</v>
      </c>
      <c r="N390" s="1">
        <v>801001</v>
      </c>
      <c r="O390" s="1" t="s">
        <v>1520</v>
      </c>
      <c r="P390" s="1" t="s">
        <v>1521</v>
      </c>
      <c r="Q390" s="1" t="s">
        <v>1224</v>
      </c>
      <c r="R390" s="1" t="s">
        <v>1224</v>
      </c>
      <c r="S390" s="1" t="s">
        <v>1219</v>
      </c>
    </row>
    <row r="391" spans="1:19" x14ac:dyDescent="0.25">
      <c r="A391" s="1">
        <v>20060</v>
      </c>
      <c r="B391" s="9" t="s">
        <v>262</v>
      </c>
      <c r="C391" s="1">
        <v>4</v>
      </c>
      <c r="D391" s="1">
        <v>5</v>
      </c>
      <c r="E391" s="1">
        <v>120</v>
      </c>
      <c r="F391" s="1">
        <v>94</v>
      </c>
      <c r="G391" s="1">
        <v>115</v>
      </c>
      <c r="H391" s="1">
        <v>125</v>
      </c>
      <c r="I391" s="1">
        <v>125</v>
      </c>
      <c r="J391" s="1">
        <v>0</v>
      </c>
      <c r="K391" s="1">
        <v>110</v>
      </c>
      <c r="L391" s="1">
        <v>802601</v>
      </c>
      <c r="M391" s="1">
        <v>802602</v>
      </c>
      <c r="N391" s="1">
        <v>802603</v>
      </c>
      <c r="O391" s="1" t="s">
        <v>333</v>
      </c>
      <c r="P391" s="1" t="s">
        <v>1522</v>
      </c>
      <c r="Q391" s="1" t="s">
        <v>1194</v>
      </c>
      <c r="R391" s="1" t="s">
        <v>1219</v>
      </c>
      <c r="S391" s="1" t="s">
        <v>1193</v>
      </c>
    </row>
    <row r="392" spans="1:19" x14ac:dyDescent="0.25">
      <c r="A392" s="1">
        <v>20061</v>
      </c>
      <c r="B392" s="9" t="s">
        <v>843</v>
      </c>
      <c r="C392" s="1">
        <v>4</v>
      </c>
      <c r="D392" s="1">
        <v>4</v>
      </c>
      <c r="E392" s="1">
        <v>115</v>
      </c>
      <c r="F392" s="1">
        <v>125</v>
      </c>
      <c r="G392" s="1">
        <v>96</v>
      </c>
      <c r="H392" s="1">
        <v>115</v>
      </c>
      <c r="I392" s="1">
        <v>85</v>
      </c>
      <c r="J392" s="1">
        <v>0</v>
      </c>
      <c r="K392" s="1">
        <v>120</v>
      </c>
      <c r="L392" s="1">
        <v>802502</v>
      </c>
      <c r="M392" s="1">
        <v>802504</v>
      </c>
      <c r="N392" s="1">
        <v>300103</v>
      </c>
      <c r="O392" s="1" t="s">
        <v>1234</v>
      </c>
      <c r="P392" s="1" t="s">
        <v>1523</v>
      </c>
      <c r="Q392" s="1" t="s">
        <v>1194</v>
      </c>
      <c r="R392" s="1" t="s">
        <v>1219</v>
      </c>
      <c r="S392" s="1" t="s">
        <v>1193</v>
      </c>
    </row>
    <row r="393" spans="1:19" x14ac:dyDescent="0.25">
      <c r="A393" s="1">
        <v>20063</v>
      </c>
      <c r="B393" s="9" t="s">
        <v>1524</v>
      </c>
      <c r="C393" s="1">
        <v>4</v>
      </c>
      <c r="D393" s="1">
        <v>4</v>
      </c>
      <c r="E393" s="1">
        <v>100</v>
      </c>
      <c r="F393" s="1">
        <v>125</v>
      </c>
      <c r="G393" s="1">
        <v>95</v>
      </c>
      <c r="H393" s="1">
        <v>125</v>
      </c>
      <c r="I393" s="1">
        <v>90</v>
      </c>
      <c r="J393" s="1">
        <v>0</v>
      </c>
      <c r="K393" s="1">
        <v>120</v>
      </c>
      <c r="L393" s="1">
        <v>801302</v>
      </c>
      <c r="M393" s="1">
        <v>801303</v>
      </c>
      <c r="N393" s="1">
        <v>300103</v>
      </c>
      <c r="O393" s="1" t="s">
        <v>1525</v>
      </c>
      <c r="P393" s="1" t="s">
        <v>333</v>
      </c>
      <c r="Q393" s="1" t="s">
        <v>1194</v>
      </c>
      <c r="R393" s="1" t="s">
        <v>1219</v>
      </c>
      <c r="S393" s="1" t="s">
        <v>1193</v>
      </c>
    </row>
    <row r="394" spans="1:19" x14ac:dyDescent="0.25">
      <c r="A394" s="1">
        <v>20064</v>
      </c>
      <c r="B394" s="9" t="s">
        <v>1526</v>
      </c>
      <c r="C394" s="1">
        <v>4</v>
      </c>
      <c r="D394" s="1">
        <v>5</v>
      </c>
      <c r="E394" s="1">
        <v>115</v>
      </c>
      <c r="F394" s="1">
        <v>114</v>
      </c>
      <c r="G394" s="1">
        <v>114</v>
      </c>
      <c r="H394" s="1">
        <v>120</v>
      </c>
      <c r="I394" s="1">
        <v>110</v>
      </c>
      <c r="J394" s="1">
        <v>0</v>
      </c>
      <c r="K394" s="1">
        <v>110</v>
      </c>
      <c r="L394" s="1">
        <v>802101</v>
      </c>
      <c r="M394" s="1">
        <v>802102</v>
      </c>
      <c r="N394" s="1">
        <v>300103</v>
      </c>
      <c r="O394" s="1" t="s">
        <v>333</v>
      </c>
      <c r="P394" s="1" t="s">
        <v>1527</v>
      </c>
      <c r="Q394" s="1" t="s">
        <v>1194</v>
      </c>
      <c r="R394" s="1" t="s">
        <v>1219</v>
      </c>
      <c r="S394" s="1" t="s">
        <v>1193</v>
      </c>
    </row>
    <row r="395" spans="1:19" x14ac:dyDescent="0.25">
      <c r="A395" s="1">
        <v>20065</v>
      </c>
      <c r="B395" s="9" t="s">
        <v>263</v>
      </c>
      <c r="C395" s="1">
        <v>4</v>
      </c>
      <c r="D395" s="1">
        <v>6</v>
      </c>
      <c r="E395" s="1">
        <v>110</v>
      </c>
      <c r="F395" s="1">
        <v>118</v>
      </c>
      <c r="G395" s="1">
        <v>116</v>
      </c>
      <c r="H395" s="1">
        <v>120</v>
      </c>
      <c r="I395" s="1">
        <v>110</v>
      </c>
      <c r="J395" s="1">
        <v>0</v>
      </c>
      <c r="K395" s="1">
        <v>118</v>
      </c>
      <c r="L395" s="1">
        <v>802901</v>
      </c>
      <c r="M395" s="1">
        <v>802902</v>
      </c>
      <c r="N395" s="1">
        <v>300103</v>
      </c>
      <c r="O395" s="1" t="s">
        <v>1528</v>
      </c>
      <c r="P395" s="1" t="s">
        <v>333</v>
      </c>
      <c r="Q395" s="1" t="s">
        <v>1194</v>
      </c>
      <c r="R395" s="1" t="s">
        <v>1219</v>
      </c>
      <c r="S395" s="1" t="s">
        <v>1222</v>
      </c>
    </row>
    <row r="396" spans="1:19" x14ac:dyDescent="0.25">
      <c r="A396" s="1">
        <v>20071</v>
      </c>
      <c r="B396" s="9" t="s">
        <v>844</v>
      </c>
      <c r="C396" s="1">
        <v>4</v>
      </c>
      <c r="D396" s="1">
        <v>4</v>
      </c>
      <c r="E396" s="1">
        <v>112</v>
      </c>
      <c r="F396" s="1">
        <v>108</v>
      </c>
      <c r="G396" s="1">
        <v>95</v>
      </c>
      <c r="H396" s="1">
        <v>105</v>
      </c>
      <c r="I396" s="1">
        <v>95</v>
      </c>
      <c r="J396" s="1">
        <v>0</v>
      </c>
      <c r="K396" s="1">
        <v>130</v>
      </c>
      <c r="L396" s="1">
        <v>902130</v>
      </c>
      <c r="M396" s="1">
        <v>902132</v>
      </c>
      <c r="N396" s="1">
        <v>902131</v>
      </c>
      <c r="O396" s="1" t="s">
        <v>333</v>
      </c>
      <c r="P396" s="1" t="s">
        <v>1529</v>
      </c>
      <c r="Q396" s="1" t="s">
        <v>1194</v>
      </c>
      <c r="R396" s="1" t="s">
        <v>1219</v>
      </c>
      <c r="S396" s="1" t="s">
        <v>1222</v>
      </c>
    </row>
    <row r="397" spans="1:19" x14ac:dyDescent="0.25">
      <c r="A397" s="1">
        <v>20075</v>
      </c>
      <c r="B397" s="9" t="s">
        <v>264</v>
      </c>
      <c r="C397" s="1">
        <v>5</v>
      </c>
      <c r="D397" s="1">
        <v>5</v>
      </c>
      <c r="E397" s="1">
        <v>95</v>
      </c>
      <c r="F397" s="1">
        <v>118</v>
      </c>
      <c r="G397" s="1">
        <v>105</v>
      </c>
      <c r="H397" s="1">
        <v>125</v>
      </c>
      <c r="I397" s="1">
        <v>125</v>
      </c>
      <c r="J397" s="1">
        <v>0</v>
      </c>
      <c r="K397" s="1">
        <v>125</v>
      </c>
      <c r="L397" s="1">
        <v>800303</v>
      </c>
      <c r="M397" s="1">
        <v>800304</v>
      </c>
      <c r="N397" s="1">
        <v>300105</v>
      </c>
      <c r="O397" s="1" t="s">
        <v>1530</v>
      </c>
      <c r="P397" s="1" t="s">
        <v>1531</v>
      </c>
      <c r="Q397" s="1" t="s">
        <v>1238</v>
      </c>
      <c r="R397" s="1" t="s">
        <v>1239</v>
      </c>
      <c r="S397" s="1" t="s">
        <v>1240</v>
      </c>
    </row>
    <row r="398" spans="1:19" x14ac:dyDescent="0.25">
      <c r="A398" s="1">
        <v>20081</v>
      </c>
      <c r="B398" s="9" t="s">
        <v>265</v>
      </c>
      <c r="C398" s="1">
        <v>5</v>
      </c>
      <c r="D398" s="1">
        <v>4</v>
      </c>
      <c r="E398" s="1">
        <v>105</v>
      </c>
      <c r="F398" s="1">
        <v>138</v>
      </c>
      <c r="G398" s="1">
        <v>90</v>
      </c>
      <c r="H398" s="1">
        <v>120</v>
      </c>
      <c r="I398" s="1">
        <v>105</v>
      </c>
      <c r="J398" s="1">
        <v>0</v>
      </c>
      <c r="K398" s="1">
        <v>100</v>
      </c>
      <c r="L398" s="1">
        <v>802201</v>
      </c>
      <c r="M398" s="1">
        <v>802203</v>
      </c>
      <c r="N398" s="1">
        <v>802202</v>
      </c>
      <c r="O398" s="1" t="s">
        <v>1532</v>
      </c>
      <c r="P398" s="1" t="s">
        <v>1533</v>
      </c>
      <c r="Q398" s="1" t="s">
        <v>1238</v>
      </c>
      <c r="R398" s="1" t="s">
        <v>1239</v>
      </c>
      <c r="S398" s="1" t="s">
        <v>1240</v>
      </c>
    </row>
    <row r="399" spans="1:19" x14ac:dyDescent="0.25">
      <c r="A399" s="1">
        <v>20089</v>
      </c>
      <c r="B399" s="9" t="s">
        <v>753</v>
      </c>
      <c r="C399" s="1">
        <v>5</v>
      </c>
      <c r="D399" s="1">
        <v>4</v>
      </c>
      <c r="E399" s="1">
        <v>105</v>
      </c>
      <c r="F399" s="1">
        <v>115</v>
      </c>
      <c r="G399" s="1">
        <v>95</v>
      </c>
      <c r="H399" s="1">
        <v>130</v>
      </c>
      <c r="I399" s="1">
        <v>110</v>
      </c>
      <c r="J399" s="1">
        <v>0</v>
      </c>
      <c r="K399" s="1">
        <v>120</v>
      </c>
      <c r="L399" s="1">
        <v>801501</v>
      </c>
      <c r="M399" s="1">
        <v>801502</v>
      </c>
      <c r="N399" s="1">
        <v>300105</v>
      </c>
      <c r="O399" s="1" t="s">
        <v>1377</v>
      </c>
      <c r="P399" s="1" t="s">
        <v>333</v>
      </c>
      <c r="Q399" s="1" t="s">
        <v>1238</v>
      </c>
      <c r="R399" s="1" t="s">
        <v>1239</v>
      </c>
      <c r="S399" s="1" t="s">
        <v>1240</v>
      </c>
    </row>
    <row r="400" spans="1:19" x14ac:dyDescent="0.25">
      <c r="A400" s="1">
        <v>20091</v>
      </c>
      <c r="B400" s="9" t="s">
        <v>1782</v>
      </c>
      <c r="C400" s="1">
        <v>1</v>
      </c>
      <c r="D400" s="1">
        <v>4</v>
      </c>
      <c r="E400" s="1">
        <v>100</v>
      </c>
      <c r="F400" s="1">
        <v>105</v>
      </c>
      <c r="G400" s="1">
        <v>110</v>
      </c>
      <c r="H400" s="1">
        <v>110</v>
      </c>
      <c r="I400" s="1">
        <v>102</v>
      </c>
      <c r="J400" s="1">
        <v>0</v>
      </c>
      <c r="K400" s="1">
        <v>120</v>
      </c>
      <c r="L400" s="1">
        <v>800401</v>
      </c>
      <c r="M400" s="1">
        <v>800402</v>
      </c>
      <c r="N400" s="1">
        <v>300101</v>
      </c>
      <c r="O400" s="1" t="s">
        <v>1534</v>
      </c>
      <c r="P400" s="1" t="s">
        <v>333</v>
      </c>
      <c r="Q400" s="1" t="s">
        <v>1179</v>
      </c>
      <c r="R400" s="1" t="s">
        <v>1180</v>
      </c>
      <c r="S400" s="1" t="s">
        <v>1181</v>
      </c>
    </row>
    <row r="401" spans="1:19" x14ac:dyDescent="0.25">
      <c r="A401" s="1">
        <v>20093</v>
      </c>
      <c r="B401" s="9" t="s">
        <v>266</v>
      </c>
      <c r="C401" s="1">
        <v>2</v>
      </c>
      <c r="D401" s="1">
        <v>4</v>
      </c>
      <c r="E401" s="1">
        <v>85</v>
      </c>
      <c r="F401" s="1">
        <v>90</v>
      </c>
      <c r="G401" s="1">
        <v>90</v>
      </c>
      <c r="H401" s="1">
        <v>110</v>
      </c>
      <c r="I401" s="1">
        <v>125</v>
      </c>
      <c r="J401" s="1">
        <v>0</v>
      </c>
      <c r="K401" s="1">
        <v>130</v>
      </c>
      <c r="L401" s="1">
        <v>800702</v>
      </c>
      <c r="M401" s="1">
        <v>800703</v>
      </c>
      <c r="N401" s="1">
        <v>300102</v>
      </c>
      <c r="O401" s="1" t="s">
        <v>1535</v>
      </c>
      <c r="P401" s="1" t="s">
        <v>1536</v>
      </c>
      <c r="Q401" s="1" t="s">
        <v>1193</v>
      </c>
      <c r="R401" s="1" t="s">
        <v>1180</v>
      </c>
      <c r="S401" s="1" t="s">
        <v>1194</v>
      </c>
    </row>
    <row r="402" spans="1:19" x14ac:dyDescent="0.25">
      <c r="A402" s="1">
        <v>20094</v>
      </c>
      <c r="B402" s="9" t="s">
        <v>750</v>
      </c>
      <c r="C402" s="1">
        <v>2</v>
      </c>
      <c r="D402" s="1">
        <v>4</v>
      </c>
      <c r="E402" s="1">
        <v>100</v>
      </c>
      <c r="F402" s="1">
        <v>105</v>
      </c>
      <c r="G402" s="1">
        <v>120</v>
      </c>
      <c r="H402" s="1">
        <v>95</v>
      </c>
      <c r="I402" s="1">
        <v>113</v>
      </c>
      <c r="J402" s="1">
        <v>0</v>
      </c>
      <c r="K402" s="1">
        <v>105</v>
      </c>
      <c r="L402" s="1">
        <v>800801</v>
      </c>
      <c r="M402" s="1">
        <v>800802</v>
      </c>
      <c r="N402" s="1">
        <v>300102</v>
      </c>
      <c r="O402" s="1" t="s">
        <v>1234</v>
      </c>
      <c r="P402" s="1" t="s">
        <v>333</v>
      </c>
      <c r="Q402" s="1" t="s">
        <v>1193</v>
      </c>
      <c r="R402" s="1" t="s">
        <v>1180</v>
      </c>
      <c r="S402" s="1" t="s">
        <v>1194</v>
      </c>
    </row>
    <row r="403" spans="1:19" x14ac:dyDescent="0.25">
      <c r="A403" s="1">
        <v>20095</v>
      </c>
      <c r="B403" s="9" t="s">
        <v>851</v>
      </c>
      <c r="C403" s="1">
        <v>3</v>
      </c>
      <c r="D403" s="1">
        <v>4</v>
      </c>
      <c r="E403" s="1">
        <v>115</v>
      </c>
      <c r="F403" s="1">
        <v>105</v>
      </c>
      <c r="G403" s="1">
        <v>108</v>
      </c>
      <c r="H403" s="1">
        <v>100</v>
      </c>
      <c r="I403" s="1">
        <v>110</v>
      </c>
      <c r="J403" s="1">
        <v>0</v>
      </c>
      <c r="K403" s="1">
        <v>120</v>
      </c>
      <c r="L403" s="1">
        <v>803001</v>
      </c>
      <c r="M403" s="1">
        <v>803003</v>
      </c>
      <c r="N403" s="1">
        <v>803002</v>
      </c>
      <c r="O403" s="1" t="s">
        <v>1537</v>
      </c>
      <c r="P403" s="1" t="s">
        <v>1538</v>
      </c>
      <c r="Q403" s="1" t="s">
        <v>1205</v>
      </c>
      <c r="R403" s="1" t="s">
        <v>1206</v>
      </c>
      <c r="S403" s="1" t="s">
        <v>1207</v>
      </c>
    </row>
    <row r="404" spans="1:19" x14ac:dyDescent="0.25">
      <c r="A404" s="1">
        <v>20097</v>
      </c>
      <c r="B404" s="9" t="s">
        <v>267</v>
      </c>
      <c r="C404" s="1">
        <v>1</v>
      </c>
      <c r="D404" s="1">
        <v>6</v>
      </c>
      <c r="E404" s="1">
        <v>118</v>
      </c>
      <c r="F404" s="1">
        <v>116</v>
      </c>
      <c r="G404" s="1">
        <v>135</v>
      </c>
      <c r="H404" s="1">
        <v>115</v>
      </c>
      <c r="I404" s="1">
        <v>102</v>
      </c>
      <c r="J404" s="1">
        <v>0</v>
      </c>
      <c r="K404" s="1">
        <v>115</v>
      </c>
      <c r="L404" s="1">
        <v>803412</v>
      </c>
      <c r="M404" s="1">
        <v>803413</v>
      </c>
      <c r="N404" s="1">
        <v>300101</v>
      </c>
      <c r="O404" s="1" t="s">
        <v>333</v>
      </c>
      <c r="P404" s="1" t="s">
        <v>1539</v>
      </c>
      <c r="Q404" s="1" t="s">
        <v>1179</v>
      </c>
      <c r="R404" s="1" t="s">
        <v>1180</v>
      </c>
      <c r="S404" s="1" t="s">
        <v>1181</v>
      </c>
    </row>
    <row r="405" spans="1:19" x14ac:dyDescent="0.25">
      <c r="A405" s="1">
        <v>20101</v>
      </c>
      <c r="B405" s="9" t="s">
        <v>268</v>
      </c>
      <c r="C405" s="1">
        <v>2</v>
      </c>
      <c r="D405" s="1">
        <v>5</v>
      </c>
      <c r="E405" s="1">
        <v>100</v>
      </c>
      <c r="F405" s="1">
        <v>105</v>
      </c>
      <c r="G405" s="1">
        <v>110</v>
      </c>
      <c r="H405" s="1">
        <v>135</v>
      </c>
      <c r="I405" s="1">
        <v>130</v>
      </c>
      <c r="J405" s="1">
        <v>0</v>
      </c>
      <c r="K405" s="1">
        <v>110</v>
      </c>
      <c r="L405" s="1">
        <v>802801</v>
      </c>
      <c r="M405" s="1">
        <v>802802</v>
      </c>
      <c r="N405" s="1">
        <v>300102</v>
      </c>
      <c r="O405" s="1" t="s">
        <v>1540</v>
      </c>
      <c r="P405" s="1" t="s">
        <v>1541</v>
      </c>
      <c r="Q405" s="1" t="s">
        <v>1193</v>
      </c>
      <c r="R405" s="1" t="s">
        <v>1180</v>
      </c>
      <c r="S405" s="1" t="s">
        <v>1194</v>
      </c>
    </row>
    <row r="406" spans="1:19" x14ac:dyDescent="0.25">
      <c r="A406" s="1">
        <v>20103</v>
      </c>
      <c r="B406" s="9" t="s">
        <v>269</v>
      </c>
      <c r="C406" s="1">
        <v>2</v>
      </c>
      <c r="D406" s="1">
        <v>5</v>
      </c>
      <c r="E406" s="1">
        <v>108</v>
      </c>
      <c r="F406" s="1">
        <v>105</v>
      </c>
      <c r="G406" s="1">
        <v>105</v>
      </c>
      <c r="H406" s="1">
        <v>110</v>
      </c>
      <c r="I406" s="1">
        <v>120</v>
      </c>
      <c r="J406" s="1">
        <v>0</v>
      </c>
      <c r="K406" s="1">
        <v>110</v>
      </c>
      <c r="L406" s="1">
        <v>801801</v>
      </c>
      <c r="M406" s="1">
        <v>801804</v>
      </c>
      <c r="N406" s="1">
        <v>801803</v>
      </c>
      <c r="O406" s="1" t="s">
        <v>1542</v>
      </c>
      <c r="P406" s="1" t="s">
        <v>333</v>
      </c>
      <c r="Q406" s="1" t="s">
        <v>1193</v>
      </c>
      <c r="R406" s="1" t="s">
        <v>1180</v>
      </c>
      <c r="S406" s="1" t="s">
        <v>1194</v>
      </c>
    </row>
    <row r="407" spans="1:19" x14ac:dyDescent="0.25">
      <c r="A407" s="1">
        <v>20114</v>
      </c>
      <c r="B407" s="9" t="s">
        <v>847</v>
      </c>
      <c r="C407" s="1">
        <v>1</v>
      </c>
      <c r="D407" s="1">
        <v>6</v>
      </c>
      <c r="E407" s="1">
        <v>120</v>
      </c>
      <c r="F407" s="1">
        <v>96</v>
      </c>
      <c r="G407" s="1">
        <v>90</v>
      </c>
      <c r="H407" s="1">
        <v>125</v>
      </c>
      <c r="I407" s="1">
        <v>110</v>
      </c>
      <c r="J407" s="1">
        <v>0</v>
      </c>
      <c r="K407" s="1">
        <v>140</v>
      </c>
      <c r="L407" s="1">
        <v>902241</v>
      </c>
      <c r="M407" s="1">
        <v>902243</v>
      </c>
      <c r="N407" s="1">
        <v>300101</v>
      </c>
      <c r="O407" s="1" t="s">
        <v>1543</v>
      </c>
      <c r="P407" s="1" t="s">
        <v>333</v>
      </c>
      <c r="Q407" s="1" t="s">
        <v>1179</v>
      </c>
      <c r="R407" s="1" t="s">
        <v>1180</v>
      </c>
      <c r="S407" s="1" t="s">
        <v>1181</v>
      </c>
    </row>
    <row r="408" spans="1:19" x14ac:dyDescent="0.25">
      <c r="A408" s="1">
        <v>20122</v>
      </c>
      <c r="B408" s="9" t="s">
        <v>1544</v>
      </c>
      <c r="C408" s="1">
        <v>4</v>
      </c>
      <c r="D408" s="1">
        <v>6</v>
      </c>
      <c r="E408" s="1">
        <v>110</v>
      </c>
      <c r="F408" s="1">
        <v>105</v>
      </c>
      <c r="G408" s="1">
        <v>145</v>
      </c>
      <c r="H408" s="1">
        <v>115</v>
      </c>
      <c r="I408" s="1">
        <v>105</v>
      </c>
      <c r="J408" s="1">
        <v>0</v>
      </c>
      <c r="K408" s="1">
        <v>114</v>
      </c>
      <c r="L408" s="1">
        <v>900893</v>
      </c>
      <c r="M408" s="1">
        <v>900894</v>
      </c>
      <c r="N408" s="1">
        <v>900890</v>
      </c>
      <c r="O408" s="1" t="s">
        <v>1545</v>
      </c>
      <c r="P408" s="1" t="s">
        <v>333</v>
      </c>
      <c r="Q408" s="1" t="s">
        <v>1194</v>
      </c>
      <c r="R408" s="1" t="s">
        <v>1219</v>
      </c>
      <c r="S408" s="1" t="s">
        <v>1222</v>
      </c>
    </row>
    <row r="409" spans="1:19" x14ac:dyDescent="0.25">
      <c r="A409" s="1">
        <v>20124</v>
      </c>
      <c r="B409" s="9" t="s">
        <v>845</v>
      </c>
      <c r="C409" s="1">
        <v>3</v>
      </c>
      <c r="D409" s="1">
        <v>4</v>
      </c>
      <c r="E409" s="1">
        <v>100</v>
      </c>
      <c r="F409" s="1">
        <v>115</v>
      </c>
      <c r="G409" s="1">
        <v>120</v>
      </c>
      <c r="H409" s="1">
        <v>110</v>
      </c>
      <c r="I409" s="1">
        <v>90</v>
      </c>
      <c r="J409" s="1">
        <v>0</v>
      </c>
      <c r="K409" s="1">
        <v>115</v>
      </c>
      <c r="L409" s="1">
        <v>900880</v>
      </c>
      <c r="M409" s="1">
        <v>900882</v>
      </c>
      <c r="N409" s="1">
        <v>900883</v>
      </c>
      <c r="O409" s="1" t="s">
        <v>1546</v>
      </c>
      <c r="P409" s="1" t="s">
        <v>1547</v>
      </c>
      <c r="Q409" s="1" t="s">
        <v>1205</v>
      </c>
      <c r="R409" s="1" t="s">
        <v>1206</v>
      </c>
      <c r="S409" s="1" t="s">
        <v>1207</v>
      </c>
    </row>
    <row r="410" spans="1:19" x14ac:dyDescent="0.25">
      <c r="A410" s="1">
        <v>20125</v>
      </c>
      <c r="B410" s="9" t="s">
        <v>951</v>
      </c>
      <c r="C410" s="1">
        <v>5</v>
      </c>
      <c r="D410" s="1">
        <v>6</v>
      </c>
      <c r="E410" s="1">
        <v>110</v>
      </c>
      <c r="F410" s="1">
        <v>102</v>
      </c>
      <c r="G410" s="1">
        <v>125</v>
      </c>
      <c r="H410" s="1">
        <v>130</v>
      </c>
      <c r="I410" s="1">
        <v>120</v>
      </c>
      <c r="J410" s="1">
        <v>0</v>
      </c>
      <c r="K410" s="1">
        <v>135</v>
      </c>
      <c r="L410" s="1">
        <v>803901</v>
      </c>
      <c r="M410" s="1">
        <v>803904</v>
      </c>
      <c r="N410" s="1">
        <v>803925</v>
      </c>
      <c r="O410" s="1" t="s">
        <v>1237</v>
      </c>
      <c r="P410" s="1" t="s">
        <v>1548</v>
      </c>
      <c r="Q410" s="1" t="s">
        <v>1238</v>
      </c>
      <c r="R410" s="1" t="s">
        <v>1239</v>
      </c>
      <c r="S410" s="1" t="s">
        <v>1240</v>
      </c>
    </row>
    <row r="411" spans="1:19" x14ac:dyDescent="0.25">
      <c r="A411" s="1">
        <v>20136</v>
      </c>
      <c r="B411" s="9" t="s">
        <v>1783</v>
      </c>
      <c r="C411" s="1">
        <v>2</v>
      </c>
      <c r="D411" s="1">
        <v>5</v>
      </c>
      <c r="E411" s="1">
        <v>105</v>
      </c>
      <c r="F411" s="1">
        <v>103</v>
      </c>
      <c r="G411" s="1">
        <v>115</v>
      </c>
      <c r="H411" s="1">
        <v>115</v>
      </c>
      <c r="I411" s="1">
        <v>125</v>
      </c>
      <c r="J411" s="1">
        <v>0</v>
      </c>
      <c r="K411" s="1">
        <v>110</v>
      </c>
      <c r="L411" s="1">
        <v>902137</v>
      </c>
      <c r="M411" s="1">
        <v>902148</v>
      </c>
      <c r="N411" s="1">
        <v>300102</v>
      </c>
      <c r="O411" s="1" t="s">
        <v>1549</v>
      </c>
      <c r="P411" s="1" t="s">
        <v>1550</v>
      </c>
      <c r="Q411" s="1" t="s">
        <v>1193</v>
      </c>
      <c r="R411" s="1" t="s">
        <v>1180</v>
      </c>
      <c r="S411" s="1" t="s">
        <v>1194</v>
      </c>
    </row>
    <row r="412" spans="1:19" x14ac:dyDescent="0.25">
      <c r="A412" s="1">
        <v>20143</v>
      </c>
      <c r="B412" s="9" t="s">
        <v>838</v>
      </c>
      <c r="C412" s="1">
        <v>2</v>
      </c>
      <c r="D412" s="1">
        <v>6</v>
      </c>
      <c r="E412" s="1">
        <v>115</v>
      </c>
      <c r="F412" s="1">
        <v>110</v>
      </c>
      <c r="G412" s="1">
        <v>125</v>
      </c>
      <c r="H412" s="1">
        <v>130</v>
      </c>
      <c r="I412" s="1">
        <v>125</v>
      </c>
      <c r="J412" s="1">
        <v>0</v>
      </c>
      <c r="K412" s="1">
        <v>105</v>
      </c>
      <c r="L412" s="1">
        <v>803501</v>
      </c>
      <c r="M412" s="1">
        <v>803502</v>
      </c>
      <c r="N412" s="1">
        <v>803504</v>
      </c>
      <c r="O412" s="1" t="s">
        <v>1551</v>
      </c>
      <c r="P412" s="1" t="s">
        <v>1552</v>
      </c>
      <c r="Q412" s="1" t="s">
        <v>1222</v>
      </c>
      <c r="R412" s="1" t="s">
        <v>1180</v>
      </c>
      <c r="S412" s="1" t="s">
        <v>1194</v>
      </c>
    </row>
    <row r="413" spans="1:19" x14ac:dyDescent="0.25">
      <c r="A413" s="1">
        <v>20152</v>
      </c>
      <c r="B413" s="9" t="s">
        <v>734</v>
      </c>
      <c r="C413" s="1">
        <v>6</v>
      </c>
      <c r="D413" s="1">
        <v>4</v>
      </c>
      <c r="E413" s="1">
        <v>120</v>
      </c>
      <c r="F413" s="1">
        <v>125</v>
      </c>
      <c r="G413" s="1">
        <v>100</v>
      </c>
      <c r="H413" s="1">
        <v>108</v>
      </c>
      <c r="I413" s="1">
        <v>95</v>
      </c>
      <c r="J413" s="1">
        <v>115</v>
      </c>
      <c r="K413" s="1">
        <v>100</v>
      </c>
      <c r="L413" s="1">
        <v>103203</v>
      </c>
      <c r="M413" s="1">
        <v>902142</v>
      </c>
      <c r="N413" s="1">
        <v>902140</v>
      </c>
      <c r="O413" s="1" t="s">
        <v>1553</v>
      </c>
      <c r="P413" s="1" t="s">
        <v>333</v>
      </c>
      <c r="Q413" s="1" t="s">
        <v>1273</v>
      </c>
      <c r="R413" s="1" t="s">
        <v>1274</v>
      </c>
      <c r="S413" s="1" t="s">
        <v>1275</v>
      </c>
    </row>
    <row r="414" spans="1:19" x14ac:dyDescent="0.25">
      <c r="A414" s="1">
        <v>20154</v>
      </c>
      <c r="B414" s="9" t="s">
        <v>725</v>
      </c>
      <c r="C414" s="1">
        <v>6</v>
      </c>
      <c r="D414" s="1">
        <v>4</v>
      </c>
      <c r="E414" s="1">
        <v>120</v>
      </c>
      <c r="F414" s="1">
        <v>115</v>
      </c>
      <c r="G414" s="1">
        <v>115</v>
      </c>
      <c r="H414" s="1">
        <v>110</v>
      </c>
      <c r="I414" s="1">
        <v>90</v>
      </c>
      <c r="J414" s="1">
        <v>115</v>
      </c>
      <c r="K414" s="1">
        <v>95</v>
      </c>
      <c r="L414" s="1">
        <v>803301</v>
      </c>
      <c r="M414" s="1">
        <v>803302</v>
      </c>
      <c r="N414" s="1">
        <v>300106</v>
      </c>
      <c r="O414" s="1" t="s">
        <v>1554</v>
      </c>
      <c r="P414" s="1" t="s">
        <v>1555</v>
      </c>
      <c r="Q414" s="1" t="s">
        <v>1273</v>
      </c>
      <c r="R414" s="1" t="s">
        <v>1274</v>
      </c>
      <c r="S414" s="1" t="s">
        <v>1275</v>
      </c>
    </row>
    <row r="415" spans="1:19" x14ac:dyDescent="0.25">
      <c r="A415" s="1">
        <v>20159</v>
      </c>
      <c r="B415" s="9" t="s">
        <v>952</v>
      </c>
      <c r="C415" s="1">
        <v>6</v>
      </c>
      <c r="D415" s="1">
        <v>4</v>
      </c>
      <c r="E415" s="1">
        <v>110</v>
      </c>
      <c r="F415" s="1">
        <v>112</v>
      </c>
      <c r="G415" s="1">
        <v>110</v>
      </c>
      <c r="H415" s="1">
        <v>106</v>
      </c>
      <c r="I415" s="1">
        <v>120</v>
      </c>
      <c r="J415" s="1">
        <v>120</v>
      </c>
      <c r="K415" s="1">
        <v>100</v>
      </c>
      <c r="L415" s="1">
        <v>803701</v>
      </c>
      <c r="M415" s="1">
        <v>803702</v>
      </c>
      <c r="N415" s="1">
        <v>300106</v>
      </c>
      <c r="O415" s="1" t="s">
        <v>1556</v>
      </c>
      <c r="P415" s="1" t="s">
        <v>1557</v>
      </c>
      <c r="Q415" s="1" t="s">
        <v>1273</v>
      </c>
      <c r="R415" s="1" t="s">
        <v>1274</v>
      </c>
      <c r="S415" s="1" t="s">
        <v>1275</v>
      </c>
    </row>
    <row r="416" spans="1:19" x14ac:dyDescent="0.25">
      <c r="A416" s="1">
        <v>20161</v>
      </c>
      <c r="B416" s="9" t="s">
        <v>743</v>
      </c>
      <c r="C416" s="1">
        <v>6</v>
      </c>
      <c r="D416" s="1">
        <v>5</v>
      </c>
      <c r="E416" s="1">
        <v>120</v>
      </c>
      <c r="F416" s="1">
        <v>120</v>
      </c>
      <c r="G416" s="1">
        <v>105</v>
      </c>
      <c r="H416" s="1">
        <v>110</v>
      </c>
      <c r="I416" s="1">
        <v>115</v>
      </c>
      <c r="J416" s="1">
        <v>115</v>
      </c>
      <c r="K416" s="1">
        <v>105</v>
      </c>
      <c r="L416" s="1">
        <v>900886</v>
      </c>
      <c r="M416" s="1">
        <v>900887</v>
      </c>
      <c r="N416" s="1">
        <v>900888</v>
      </c>
      <c r="O416" s="1" t="s">
        <v>1558</v>
      </c>
      <c r="P416" s="1" t="s">
        <v>333</v>
      </c>
      <c r="Q416" s="1" t="s">
        <v>1273</v>
      </c>
      <c r="R416" s="1" t="s">
        <v>1274</v>
      </c>
      <c r="S416" s="1" t="s">
        <v>1275</v>
      </c>
    </row>
    <row r="417" spans="1:25" x14ac:dyDescent="0.25">
      <c r="A417" s="1">
        <v>20178</v>
      </c>
      <c r="B417" s="9" t="s">
        <v>839</v>
      </c>
      <c r="C417" s="1">
        <v>2</v>
      </c>
      <c r="D417" s="1">
        <v>4</v>
      </c>
      <c r="E417" s="1">
        <v>120</v>
      </c>
      <c r="F417" s="1">
        <v>102</v>
      </c>
      <c r="G417" s="1">
        <v>100</v>
      </c>
      <c r="H417" s="1">
        <v>110</v>
      </c>
      <c r="I417" s="1">
        <v>98</v>
      </c>
      <c r="J417" s="1">
        <v>0</v>
      </c>
      <c r="K417" s="1">
        <v>112</v>
      </c>
      <c r="L417" s="1">
        <v>902234</v>
      </c>
      <c r="M417" s="1">
        <v>902235</v>
      </c>
      <c r="N417" s="1">
        <v>300102</v>
      </c>
      <c r="O417" s="1" t="s">
        <v>333</v>
      </c>
      <c r="P417" s="1" t="s">
        <v>333</v>
      </c>
      <c r="Q417" s="1" t="s">
        <v>1193</v>
      </c>
      <c r="R417" s="1" t="s">
        <v>1180</v>
      </c>
      <c r="S417" s="1" t="s">
        <v>1194</v>
      </c>
    </row>
    <row r="418" spans="1:25" x14ac:dyDescent="0.25">
      <c r="A418" s="1">
        <v>20199</v>
      </c>
      <c r="B418" s="9" t="s">
        <v>846</v>
      </c>
      <c r="C418" s="1">
        <v>5</v>
      </c>
      <c r="D418" s="1">
        <v>5</v>
      </c>
      <c r="E418" s="1">
        <v>108</v>
      </c>
      <c r="F418" s="1">
        <v>128</v>
      </c>
      <c r="G418" s="1">
        <v>115</v>
      </c>
      <c r="H418" s="1">
        <v>122</v>
      </c>
      <c r="I418" s="1">
        <v>105</v>
      </c>
      <c r="J418" s="1">
        <v>0</v>
      </c>
      <c r="K418" s="1">
        <v>105</v>
      </c>
      <c r="L418" s="1">
        <v>902236</v>
      </c>
      <c r="M418" s="1">
        <v>902237</v>
      </c>
      <c r="N418" s="1">
        <v>902238</v>
      </c>
      <c r="O418" s="1" t="s">
        <v>1559</v>
      </c>
      <c r="P418" s="1" t="s">
        <v>1302</v>
      </c>
      <c r="Q418" s="1" t="s">
        <v>1238</v>
      </c>
      <c r="R418" s="1" t="s">
        <v>1239</v>
      </c>
      <c r="S418" s="1" t="s">
        <v>1240</v>
      </c>
      <c r="U418" t="s">
        <v>1824</v>
      </c>
      <c r="V418">
        <v>0</v>
      </c>
      <c r="W418" t="s">
        <v>1179</v>
      </c>
      <c r="X418" t="s">
        <v>1180</v>
      </c>
      <c r="Y418" t="s">
        <v>1181</v>
      </c>
    </row>
    <row r="419" spans="1:25" x14ac:dyDescent="0.25">
      <c r="A419" s="1">
        <v>20200</v>
      </c>
      <c r="B419" s="9" t="s">
        <v>953</v>
      </c>
      <c r="C419" s="1">
        <v>3</v>
      </c>
      <c r="D419" s="1">
        <v>5</v>
      </c>
      <c r="E419" s="1">
        <v>95</v>
      </c>
      <c r="F419" s="1">
        <v>120</v>
      </c>
      <c r="G419" s="1">
        <v>105</v>
      </c>
      <c r="H419" s="1">
        <v>128</v>
      </c>
      <c r="I419" s="1">
        <v>88</v>
      </c>
      <c r="J419" s="1">
        <v>0</v>
      </c>
      <c r="K419" s="1">
        <v>128</v>
      </c>
      <c r="L419" s="1">
        <v>803801</v>
      </c>
      <c r="M419" s="1">
        <v>803802</v>
      </c>
      <c r="N419" s="1">
        <v>803803</v>
      </c>
      <c r="O419" s="1" t="s">
        <v>1560</v>
      </c>
      <c r="P419" s="1" t="s">
        <v>333</v>
      </c>
      <c r="Q419" s="1" t="s">
        <v>1205</v>
      </c>
      <c r="R419" s="1" t="s">
        <v>1206</v>
      </c>
      <c r="S419" s="1" t="s">
        <v>1207</v>
      </c>
      <c r="U419" t="s">
        <v>1833</v>
      </c>
      <c r="V419">
        <v>0</v>
      </c>
      <c r="W419" t="s">
        <v>1193</v>
      </c>
      <c r="X419" t="s">
        <v>1291</v>
      </c>
      <c r="Y419" t="s">
        <v>1194</v>
      </c>
    </row>
    <row r="420" spans="1:25" x14ac:dyDescent="0.25">
      <c r="A420" s="1">
        <v>20221</v>
      </c>
      <c r="B420" s="9" t="s">
        <v>1784</v>
      </c>
      <c r="C420" s="1">
        <v>1</v>
      </c>
      <c r="D420" s="1">
        <v>4</v>
      </c>
      <c r="E420" s="1">
        <v>108</v>
      </c>
      <c r="F420" s="1">
        <v>130</v>
      </c>
      <c r="G420" s="1">
        <v>111</v>
      </c>
      <c r="H420" s="1">
        <v>115</v>
      </c>
      <c r="I420" s="1">
        <v>130</v>
      </c>
      <c r="J420" s="1">
        <v>0</v>
      </c>
      <c r="K420" s="1">
        <v>105</v>
      </c>
      <c r="L420" s="1">
        <v>803201</v>
      </c>
      <c r="M420" s="1">
        <v>803205</v>
      </c>
      <c r="N420" s="1">
        <v>803203</v>
      </c>
      <c r="O420" s="1" t="s">
        <v>1230</v>
      </c>
      <c r="P420" s="1" t="s">
        <v>1561</v>
      </c>
      <c r="Q420" s="1" t="s">
        <v>1179</v>
      </c>
      <c r="R420" s="1" t="s">
        <v>1180</v>
      </c>
      <c r="S420" s="1" t="s">
        <v>1181</v>
      </c>
      <c r="U420" t="s">
        <v>1825</v>
      </c>
      <c r="V420">
        <v>0</v>
      </c>
      <c r="W420" t="s">
        <v>1205</v>
      </c>
      <c r="X420" t="s">
        <v>1206</v>
      </c>
      <c r="Y420" t="s">
        <v>1207</v>
      </c>
    </row>
    <row r="421" spans="1:25" x14ac:dyDescent="0.25">
      <c r="A421" s="1">
        <v>20252</v>
      </c>
      <c r="B421" s="9" t="s">
        <v>270</v>
      </c>
      <c r="C421" s="1">
        <v>3</v>
      </c>
      <c r="D421" s="1">
        <v>5</v>
      </c>
      <c r="E421" s="1">
        <v>100</v>
      </c>
      <c r="F421" s="1">
        <v>142</v>
      </c>
      <c r="G421" s="1">
        <v>92</v>
      </c>
      <c r="H421" s="1">
        <v>118</v>
      </c>
      <c r="I421" s="1">
        <v>82</v>
      </c>
      <c r="J421" s="1">
        <v>0</v>
      </c>
      <c r="K421" s="1">
        <v>128</v>
      </c>
      <c r="L421" s="1">
        <v>900623</v>
      </c>
      <c r="M421" s="1">
        <v>900622</v>
      </c>
      <c r="N421" s="1">
        <v>900621</v>
      </c>
      <c r="O421" s="1" t="s">
        <v>1562</v>
      </c>
      <c r="P421" s="1" t="s">
        <v>333</v>
      </c>
      <c r="Q421" s="1" t="s">
        <v>1205</v>
      </c>
      <c r="R421" s="1" t="s">
        <v>1206</v>
      </c>
      <c r="S421" s="1" t="s">
        <v>1207</v>
      </c>
      <c r="U421" t="s">
        <v>1827</v>
      </c>
      <c r="V421">
        <v>0</v>
      </c>
      <c r="W421" t="s">
        <v>1194</v>
      </c>
      <c r="X421" t="s">
        <v>1219</v>
      </c>
      <c r="Y421" t="s">
        <v>1193</v>
      </c>
    </row>
    <row r="422" spans="1:25" x14ac:dyDescent="0.25">
      <c r="A422" s="1">
        <v>20104</v>
      </c>
      <c r="B422" s="9" t="s">
        <v>1851</v>
      </c>
      <c r="C422" s="1">
        <v>2</v>
      </c>
      <c r="D422" s="1">
        <v>6</v>
      </c>
      <c r="E422" s="1">
        <v>120</v>
      </c>
      <c r="F422" s="1">
        <v>135</v>
      </c>
      <c r="G422" s="1">
        <v>110</v>
      </c>
      <c r="H422" s="1">
        <v>125</v>
      </c>
      <c r="I422" s="1">
        <v>120</v>
      </c>
      <c r="J422" s="1">
        <v>0</v>
      </c>
      <c r="K422" s="1">
        <v>100</v>
      </c>
      <c r="L422" s="1">
        <v>740003</v>
      </c>
      <c r="M422" s="1">
        <v>740004</v>
      </c>
      <c r="N422" s="1">
        <v>300102</v>
      </c>
      <c r="O422" s="1" t="s">
        <v>1852</v>
      </c>
      <c r="P422" s="1" t="s">
        <v>1853</v>
      </c>
      <c r="Q422" s="1" t="s">
        <v>1847</v>
      </c>
      <c r="R422" s="1" t="s">
        <v>1180</v>
      </c>
      <c r="S422" s="1" t="s">
        <v>1194</v>
      </c>
    </row>
    <row r="423" spans="1:25" x14ac:dyDescent="0.25">
      <c r="A423" s="1">
        <v>20171</v>
      </c>
      <c r="B423" s="9" t="s">
        <v>1857</v>
      </c>
      <c r="C423" s="1">
        <v>4</v>
      </c>
      <c r="D423" s="1">
        <v>5</v>
      </c>
      <c r="E423" s="1">
        <v>105</v>
      </c>
      <c r="F423" s="1">
        <v>130</v>
      </c>
      <c r="G423" s="1">
        <v>96</v>
      </c>
      <c r="H423" s="1">
        <v>100</v>
      </c>
      <c r="I423" s="1">
        <v>85</v>
      </c>
      <c r="J423" s="1">
        <v>0</v>
      </c>
      <c r="K423" s="1">
        <v>135</v>
      </c>
      <c r="L423" s="1">
        <v>804001</v>
      </c>
      <c r="M423" s="1">
        <v>804002</v>
      </c>
      <c r="N423" s="1">
        <v>300103</v>
      </c>
      <c r="O423" s="1" t="s">
        <v>1850</v>
      </c>
      <c r="P423" s="1" t="s">
        <v>333</v>
      </c>
      <c r="Q423" s="1" t="s">
        <v>1848</v>
      </c>
      <c r="R423" s="1" t="s">
        <v>1219</v>
      </c>
      <c r="S423" s="1" t="s">
        <v>1193</v>
      </c>
    </row>
    <row r="424" spans="1:25" x14ac:dyDescent="0.25">
      <c r="A424" s="1">
        <v>20201</v>
      </c>
      <c r="B424" s="9" t="s">
        <v>1858</v>
      </c>
      <c r="C424" s="1">
        <v>3</v>
      </c>
      <c r="D424" s="1">
        <v>4</v>
      </c>
      <c r="E424" s="1">
        <v>100</v>
      </c>
      <c r="F424" s="1">
        <v>140</v>
      </c>
      <c r="G424" s="1">
        <v>85</v>
      </c>
      <c r="H424" s="1">
        <v>120</v>
      </c>
      <c r="I424" s="1">
        <v>82</v>
      </c>
      <c r="J424" s="1">
        <v>0</v>
      </c>
      <c r="K424" s="1">
        <v>120</v>
      </c>
      <c r="L424" s="1">
        <v>740008</v>
      </c>
      <c r="M424" s="1">
        <v>740009</v>
      </c>
      <c r="N424" s="1">
        <v>740012</v>
      </c>
      <c r="O424" s="1" t="s">
        <v>1854</v>
      </c>
      <c r="P424" s="1" t="s">
        <v>1855</v>
      </c>
      <c r="Q424" s="1" t="s">
        <v>1849</v>
      </c>
      <c r="R424" s="1" t="s">
        <v>1206</v>
      </c>
      <c r="S424" s="1" t="s">
        <v>1207</v>
      </c>
    </row>
    <row r="425" spans="1:25" x14ac:dyDescent="0.25">
      <c r="A425" s="1">
        <v>20220</v>
      </c>
      <c r="B425" s="9" t="s">
        <v>1856</v>
      </c>
      <c r="C425" s="1">
        <v>1</v>
      </c>
      <c r="D425" s="1">
        <v>4</v>
      </c>
      <c r="E425" s="1">
        <v>115</v>
      </c>
      <c r="F425" s="1">
        <v>120</v>
      </c>
      <c r="G425" s="1">
        <v>110</v>
      </c>
      <c r="H425" s="1">
        <v>105</v>
      </c>
      <c r="I425" s="1">
        <v>105</v>
      </c>
      <c r="J425" s="1">
        <v>0</v>
      </c>
      <c r="K425" s="1">
        <v>122</v>
      </c>
      <c r="L425" s="1">
        <v>740001</v>
      </c>
      <c r="M425" s="1">
        <v>740002</v>
      </c>
      <c r="N425" s="1">
        <v>300101</v>
      </c>
      <c r="O425" s="1" t="s">
        <v>333</v>
      </c>
      <c r="P425" s="1" t="s">
        <v>333</v>
      </c>
      <c r="Q425" s="1" t="s">
        <v>1179</v>
      </c>
      <c r="R425" s="1" t="s">
        <v>1846</v>
      </c>
      <c r="S425" s="1" t="s">
        <v>1181</v>
      </c>
    </row>
  </sheetData>
  <autoFilter ref="A1:S413" xr:uid="{6D3E758E-EB79-4B99-A4F9-2FE0CA28EA3F}">
    <sortState ref="A2:S421">
      <sortCondition ref="A1:A413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40"/>
  <sheetViews>
    <sheetView workbookViewId="0">
      <pane ySplit="1" topLeftCell="A2" activePane="bottomLeft" state="frozen"/>
      <selection activeCell="A10" sqref="A10"/>
      <selection pane="bottomLeft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221</v>
      </c>
      <c r="C1" s="43" t="s">
        <v>61</v>
      </c>
      <c r="D1" s="43" t="s">
        <v>1012</v>
      </c>
      <c r="E1" s="43" t="s">
        <v>1013</v>
      </c>
      <c r="F1" s="43" t="s">
        <v>1014</v>
      </c>
      <c r="G1" s="43" t="s">
        <v>1015</v>
      </c>
      <c r="H1" s="43" t="s">
        <v>1016</v>
      </c>
      <c r="I1" s="43" t="s">
        <v>222</v>
      </c>
      <c r="J1" s="43" t="s">
        <v>1795</v>
      </c>
      <c r="K1" s="43" t="s">
        <v>1168</v>
      </c>
      <c r="L1" s="43" t="s">
        <v>1169</v>
      </c>
      <c r="M1" s="43" t="s">
        <v>1170</v>
      </c>
      <c r="N1" s="43" t="s">
        <v>1171</v>
      </c>
      <c r="O1" s="43" t="s">
        <v>1172</v>
      </c>
      <c r="P1" s="43" t="s">
        <v>1173</v>
      </c>
    </row>
    <row r="2" spans="1:16" x14ac:dyDescent="0.25">
      <c r="A2">
        <v>1012</v>
      </c>
      <c r="B2" t="s">
        <v>1032</v>
      </c>
      <c r="C2">
        <v>1</v>
      </c>
      <c r="D2" t="s">
        <v>1019</v>
      </c>
      <c r="E2">
        <v>1</v>
      </c>
      <c r="F2">
        <v>112</v>
      </c>
      <c r="G2" t="s">
        <v>1020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1027</v>
      </c>
      <c r="C3">
        <v>1</v>
      </c>
      <c r="D3" t="s">
        <v>1022</v>
      </c>
      <c r="E3">
        <v>1</v>
      </c>
      <c r="F3">
        <v>108</v>
      </c>
      <c r="G3" t="s">
        <v>1020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1794</v>
      </c>
      <c r="C4">
        <v>1</v>
      </c>
      <c r="D4" t="s">
        <v>1019</v>
      </c>
      <c r="E4">
        <v>1</v>
      </c>
      <c r="F4">
        <v>106</v>
      </c>
      <c r="G4" t="s">
        <v>1020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1015</v>
      </c>
      <c r="B5" t="s">
        <v>1796</v>
      </c>
      <c r="C5">
        <v>1</v>
      </c>
      <c r="D5" t="s">
        <v>1019</v>
      </c>
      <c r="E5">
        <v>1</v>
      </c>
      <c r="F5">
        <v>115</v>
      </c>
      <c r="G5" t="s">
        <v>1020</v>
      </c>
      <c r="H5">
        <v>10</v>
      </c>
      <c r="I5">
        <v>5</v>
      </c>
      <c r="J5">
        <v>120</v>
      </c>
      <c r="K5">
        <v>140</v>
      </c>
      <c r="L5">
        <v>85</v>
      </c>
      <c r="M5">
        <v>135</v>
      </c>
      <c r="N5">
        <v>60</v>
      </c>
      <c r="O5">
        <v>0</v>
      </c>
      <c r="P5">
        <v>100</v>
      </c>
    </row>
    <row r="6" spans="1:16" x14ac:dyDescent="0.25">
      <c r="A6">
        <v>1005</v>
      </c>
      <c r="B6" t="s">
        <v>1025</v>
      </c>
      <c r="C6">
        <v>1</v>
      </c>
      <c r="D6" t="s">
        <v>1019</v>
      </c>
      <c r="E6">
        <v>1</v>
      </c>
      <c r="F6">
        <v>105</v>
      </c>
      <c r="G6" t="s">
        <v>1020</v>
      </c>
      <c r="H6">
        <v>10</v>
      </c>
      <c r="I6">
        <v>5</v>
      </c>
      <c r="J6">
        <v>110</v>
      </c>
      <c r="K6">
        <v>135</v>
      </c>
      <c r="L6">
        <v>70</v>
      </c>
      <c r="M6">
        <v>100</v>
      </c>
      <c r="N6">
        <v>95</v>
      </c>
      <c r="O6">
        <v>0</v>
      </c>
      <c r="P6">
        <v>100</v>
      </c>
    </row>
    <row r="7" spans="1:16" x14ac:dyDescent="0.25">
      <c r="A7">
        <v>1009</v>
      </c>
      <c r="B7" t="s">
        <v>1028</v>
      </c>
      <c r="C7">
        <v>1</v>
      </c>
      <c r="D7" t="s">
        <v>1019</v>
      </c>
      <c r="E7">
        <v>1</v>
      </c>
      <c r="F7">
        <v>109</v>
      </c>
      <c r="G7" t="s">
        <v>1020</v>
      </c>
      <c r="H7">
        <v>10</v>
      </c>
      <c r="I7">
        <v>5</v>
      </c>
      <c r="J7">
        <v>95</v>
      </c>
      <c r="K7">
        <v>125</v>
      </c>
      <c r="L7">
        <v>100</v>
      </c>
      <c r="M7">
        <v>110</v>
      </c>
      <c r="N7">
        <v>100</v>
      </c>
      <c r="O7">
        <v>0</v>
      </c>
      <c r="P7">
        <v>100</v>
      </c>
    </row>
    <row r="8" spans="1:16" x14ac:dyDescent="0.25">
      <c r="A8">
        <v>1002</v>
      </c>
      <c r="B8" t="s">
        <v>1021</v>
      </c>
      <c r="C8">
        <v>1</v>
      </c>
      <c r="D8" t="s">
        <v>1022</v>
      </c>
      <c r="E8">
        <v>1</v>
      </c>
      <c r="F8">
        <v>102</v>
      </c>
      <c r="G8" t="s">
        <v>1020</v>
      </c>
      <c r="H8">
        <v>10</v>
      </c>
      <c r="I8">
        <v>5</v>
      </c>
      <c r="J8">
        <v>125</v>
      </c>
      <c r="K8">
        <v>105</v>
      </c>
      <c r="L8">
        <v>88</v>
      </c>
      <c r="M8">
        <v>95</v>
      </c>
      <c r="N8">
        <v>95</v>
      </c>
      <c r="O8">
        <v>0</v>
      </c>
      <c r="P8">
        <v>100</v>
      </c>
    </row>
    <row r="9" spans="1:16" x14ac:dyDescent="0.25">
      <c r="A9">
        <v>1010</v>
      </c>
      <c r="B9" t="s">
        <v>1029</v>
      </c>
      <c r="C9">
        <v>1</v>
      </c>
      <c r="D9" t="s">
        <v>1019</v>
      </c>
      <c r="E9">
        <v>1</v>
      </c>
      <c r="F9">
        <v>110</v>
      </c>
      <c r="G9" t="s">
        <v>1020</v>
      </c>
      <c r="H9">
        <v>10</v>
      </c>
      <c r="I9">
        <v>5</v>
      </c>
      <c r="J9">
        <v>105</v>
      </c>
      <c r="K9">
        <v>100</v>
      </c>
      <c r="L9">
        <v>120</v>
      </c>
      <c r="M9">
        <v>125</v>
      </c>
      <c r="N9">
        <v>95</v>
      </c>
      <c r="O9">
        <v>0</v>
      </c>
      <c r="P9">
        <v>100</v>
      </c>
    </row>
    <row r="10" spans="1:16" x14ac:dyDescent="0.25">
      <c r="A10">
        <v>1003</v>
      </c>
      <c r="B10" t="s">
        <v>1023</v>
      </c>
      <c r="C10">
        <v>1</v>
      </c>
      <c r="D10" t="s">
        <v>1019</v>
      </c>
      <c r="E10">
        <v>1</v>
      </c>
      <c r="F10">
        <v>103</v>
      </c>
      <c r="G10" t="s">
        <v>1020</v>
      </c>
      <c r="H10">
        <v>10</v>
      </c>
      <c r="I10">
        <v>5</v>
      </c>
      <c r="J10">
        <v>100</v>
      </c>
      <c r="K10">
        <v>100</v>
      </c>
      <c r="L10">
        <v>110</v>
      </c>
      <c r="M10">
        <v>105</v>
      </c>
      <c r="N10">
        <v>105</v>
      </c>
      <c r="O10">
        <v>0</v>
      </c>
      <c r="P10">
        <v>100</v>
      </c>
    </row>
    <row r="11" spans="1:16" x14ac:dyDescent="0.25">
      <c r="A11">
        <v>1004</v>
      </c>
      <c r="B11" t="s">
        <v>1024</v>
      </c>
      <c r="C11">
        <v>1</v>
      </c>
      <c r="D11" t="s">
        <v>1019</v>
      </c>
      <c r="E11">
        <v>1</v>
      </c>
      <c r="F11">
        <v>104</v>
      </c>
      <c r="G11" t="s">
        <v>1020</v>
      </c>
      <c r="H11">
        <v>10</v>
      </c>
      <c r="I11">
        <v>5</v>
      </c>
      <c r="J11">
        <v>120</v>
      </c>
      <c r="K11">
        <v>105</v>
      </c>
      <c r="L11">
        <v>95</v>
      </c>
      <c r="M11">
        <v>95</v>
      </c>
      <c r="N11">
        <v>95</v>
      </c>
      <c r="O11">
        <v>0</v>
      </c>
      <c r="P11">
        <v>100</v>
      </c>
    </row>
    <row r="12" spans="1:16" x14ac:dyDescent="0.25">
      <c r="A12">
        <v>1011</v>
      </c>
      <c r="B12" t="s">
        <v>1030</v>
      </c>
      <c r="C12">
        <v>1</v>
      </c>
      <c r="D12" t="s">
        <v>1031</v>
      </c>
      <c r="E12">
        <v>1</v>
      </c>
      <c r="F12">
        <v>111</v>
      </c>
      <c r="G12" t="s">
        <v>1020</v>
      </c>
      <c r="H12">
        <v>10</v>
      </c>
      <c r="I12">
        <v>5</v>
      </c>
      <c r="J12">
        <v>130</v>
      </c>
      <c r="K12">
        <v>95</v>
      </c>
      <c r="L12">
        <v>110</v>
      </c>
      <c r="M12">
        <v>110</v>
      </c>
      <c r="N12">
        <v>80</v>
      </c>
      <c r="O12">
        <v>48</v>
      </c>
      <c r="P12">
        <v>100</v>
      </c>
    </row>
    <row r="13" spans="1:16" x14ac:dyDescent="0.25">
      <c r="A13">
        <v>1013</v>
      </c>
      <c r="B13" t="s">
        <v>1033</v>
      </c>
      <c r="C13">
        <v>1</v>
      </c>
      <c r="D13" t="s">
        <v>1019</v>
      </c>
      <c r="E13">
        <v>1</v>
      </c>
      <c r="F13">
        <v>113</v>
      </c>
      <c r="G13" t="s">
        <v>1020</v>
      </c>
      <c r="H13">
        <v>8</v>
      </c>
      <c r="I13">
        <v>5</v>
      </c>
      <c r="J13">
        <v>90</v>
      </c>
      <c r="K13">
        <v>132</v>
      </c>
      <c r="L13">
        <v>72</v>
      </c>
      <c r="M13">
        <v>128</v>
      </c>
      <c r="N13">
        <v>55</v>
      </c>
      <c r="O13">
        <v>0</v>
      </c>
      <c r="P13">
        <v>100</v>
      </c>
    </row>
    <row r="14" spans="1:16" x14ac:dyDescent="0.25">
      <c r="A14">
        <v>1014</v>
      </c>
      <c r="B14" t="s">
        <v>1034</v>
      </c>
      <c r="C14">
        <v>1</v>
      </c>
      <c r="D14" t="s">
        <v>1022</v>
      </c>
      <c r="E14">
        <v>1</v>
      </c>
      <c r="F14">
        <v>114</v>
      </c>
      <c r="G14" t="s">
        <v>1020</v>
      </c>
      <c r="H14">
        <v>8</v>
      </c>
      <c r="I14">
        <v>5</v>
      </c>
      <c r="J14">
        <v>105</v>
      </c>
      <c r="K14">
        <v>135</v>
      </c>
      <c r="L14">
        <v>55</v>
      </c>
      <c r="M14">
        <v>110</v>
      </c>
      <c r="N14">
        <v>90</v>
      </c>
      <c r="O14">
        <v>0</v>
      </c>
      <c r="P14">
        <v>100</v>
      </c>
    </row>
    <row r="15" spans="1:16" x14ac:dyDescent="0.25">
      <c r="A15">
        <v>1001</v>
      </c>
      <c r="B15" t="s">
        <v>1018</v>
      </c>
      <c r="C15">
        <v>1</v>
      </c>
      <c r="D15" t="s">
        <v>1019</v>
      </c>
      <c r="E15">
        <v>1</v>
      </c>
      <c r="F15">
        <v>101</v>
      </c>
      <c r="G15" t="s">
        <v>1020</v>
      </c>
      <c r="H15">
        <v>10</v>
      </c>
      <c r="I15">
        <v>5</v>
      </c>
      <c r="J15">
        <v>95</v>
      </c>
      <c r="K15">
        <v>95</v>
      </c>
      <c r="L15">
        <v>116</v>
      </c>
      <c r="M15">
        <v>90</v>
      </c>
      <c r="N15">
        <v>120</v>
      </c>
      <c r="O15">
        <v>0</v>
      </c>
      <c r="P15">
        <v>100</v>
      </c>
    </row>
    <row r="16" spans="1:16" x14ac:dyDescent="0.25">
      <c r="A16">
        <v>1007</v>
      </c>
      <c r="B16" t="s">
        <v>1026</v>
      </c>
      <c r="C16">
        <v>1</v>
      </c>
      <c r="D16" t="s">
        <v>1019</v>
      </c>
      <c r="E16">
        <v>1</v>
      </c>
      <c r="F16">
        <v>107</v>
      </c>
      <c r="G16" t="s">
        <v>1020</v>
      </c>
      <c r="H16">
        <v>10</v>
      </c>
      <c r="I16">
        <v>5</v>
      </c>
      <c r="J16">
        <v>105</v>
      </c>
      <c r="K16">
        <v>105</v>
      </c>
      <c r="L16">
        <v>105</v>
      </c>
      <c r="M16">
        <v>105</v>
      </c>
      <c r="N16">
        <v>105</v>
      </c>
      <c r="O16">
        <v>0</v>
      </c>
      <c r="P16">
        <v>100</v>
      </c>
    </row>
    <row r="17" spans="1:16" x14ac:dyDescent="0.25">
      <c r="A17">
        <v>9001</v>
      </c>
      <c r="B17" t="s">
        <v>1026</v>
      </c>
      <c r="C17">
        <v>1</v>
      </c>
      <c r="D17" t="s">
        <v>1019</v>
      </c>
      <c r="E17">
        <v>1</v>
      </c>
      <c r="F17">
        <v>107</v>
      </c>
      <c r="G17" t="s">
        <v>1020</v>
      </c>
      <c r="H17">
        <v>10</v>
      </c>
      <c r="I17">
        <v>5</v>
      </c>
      <c r="J17">
        <v>1200</v>
      </c>
      <c r="K17">
        <v>250</v>
      </c>
      <c r="L17">
        <v>150</v>
      </c>
      <c r="M17">
        <v>150</v>
      </c>
      <c r="N17">
        <v>105</v>
      </c>
      <c r="O17">
        <v>0</v>
      </c>
      <c r="P17">
        <v>100</v>
      </c>
    </row>
    <row r="18" spans="1:16" x14ac:dyDescent="0.25">
      <c r="A18">
        <v>2003</v>
      </c>
      <c r="B18" t="s">
        <v>1037</v>
      </c>
      <c r="C18">
        <v>2</v>
      </c>
      <c r="D18" t="s">
        <v>1038</v>
      </c>
      <c r="E18">
        <v>5</v>
      </c>
      <c r="F18">
        <v>203</v>
      </c>
      <c r="G18" t="s">
        <v>1020</v>
      </c>
      <c r="H18">
        <v>6</v>
      </c>
      <c r="I18">
        <v>4</v>
      </c>
      <c r="J18">
        <v>140</v>
      </c>
      <c r="K18">
        <v>90</v>
      </c>
      <c r="L18">
        <v>75</v>
      </c>
      <c r="M18">
        <v>110</v>
      </c>
      <c r="N18">
        <v>40</v>
      </c>
      <c r="O18">
        <v>100</v>
      </c>
      <c r="P18">
        <v>95</v>
      </c>
    </row>
    <row r="19" spans="1:16" x14ac:dyDescent="0.25">
      <c r="A19">
        <v>2014</v>
      </c>
      <c r="B19" t="s">
        <v>1051</v>
      </c>
      <c r="C19">
        <v>2</v>
      </c>
      <c r="D19" t="s">
        <v>1038</v>
      </c>
      <c r="E19">
        <v>5</v>
      </c>
      <c r="F19">
        <v>214</v>
      </c>
      <c r="G19" t="s">
        <v>1020</v>
      </c>
      <c r="H19">
        <v>6</v>
      </c>
      <c r="I19">
        <v>4</v>
      </c>
      <c r="J19">
        <v>180</v>
      </c>
      <c r="K19">
        <v>75</v>
      </c>
      <c r="L19">
        <v>50</v>
      </c>
      <c r="M19">
        <v>110</v>
      </c>
      <c r="N19">
        <v>50</v>
      </c>
      <c r="O19">
        <v>105</v>
      </c>
      <c r="P19">
        <v>95</v>
      </c>
    </row>
    <row r="20" spans="1:16" x14ac:dyDescent="0.25">
      <c r="A20">
        <v>2001</v>
      </c>
      <c r="B20" t="s">
        <v>1035</v>
      </c>
      <c r="C20">
        <v>2</v>
      </c>
      <c r="D20" t="s">
        <v>1022</v>
      </c>
      <c r="E20">
        <v>5</v>
      </c>
      <c r="F20">
        <v>201</v>
      </c>
      <c r="G20" t="s">
        <v>1020</v>
      </c>
      <c r="H20">
        <v>4</v>
      </c>
      <c r="I20">
        <v>4</v>
      </c>
      <c r="J20">
        <v>75</v>
      </c>
      <c r="K20">
        <v>62</v>
      </c>
      <c r="L20">
        <v>80</v>
      </c>
      <c r="M20">
        <v>100</v>
      </c>
      <c r="N20">
        <v>90</v>
      </c>
      <c r="O20">
        <v>0</v>
      </c>
      <c r="P20">
        <v>95</v>
      </c>
    </row>
    <row r="21" spans="1:16" x14ac:dyDescent="0.25">
      <c r="A21">
        <v>2002</v>
      </c>
      <c r="B21" t="s">
        <v>1036</v>
      </c>
      <c r="C21">
        <v>2</v>
      </c>
      <c r="D21" t="s">
        <v>1022</v>
      </c>
      <c r="E21">
        <v>5</v>
      </c>
      <c r="F21">
        <v>202</v>
      </c>
      <c r="G21" t="s">
        <v>1020</v>
      </c>
      <c r="H21">
        <v>6</v>
      </c>
      <c r="I21">
        <v>4</v>
      </c>
      <c r="J21">
        <v>132</v>
      </c>
      <c r="K21">
        <v>105</v>
      </c>
      <c r="L21">
        <v>65</v>
      </c>
      <c r="M21">
        <v>105</v>
      </c>
      <c r="N21">
        <v>75</v>
      </c>
      <c r="O21">
        <v>0</v>
      </c>
      <c r="P21">
        <v>95</v>
      </c>
    </row>
    <row r="22" spans="1:16" x14ac:dyDescent="0.25">
      <c r="A22">
        <v>2012</v>
      </c>
      <c r="B22" t="s">
        <v>1049</v>
      </c>
      <c r="C22">
        <v>2</v>
      </c>
      <c r="D22" t="s">
        <v>1022</v>
      </c>
      <c r="E22">
        <v>5</v>
      </c>
      <c r="F22">
        <v>212</v>
      </c>
      <c r="G22" t="s">
        <v>1020</v>
      </c>
      <c r="H22">
        <v>6</v>
      </c>
      <c r="I22">
        <v>4</v>
      </c>
      <c r="J22">
        <v>135</v>
      </c>
      <c r="K22">
        <v>122</v>
      </c>
      <c r="L22">
        <v>65</v>
      </c>
      <c r="M22">
        <v>115</v>
      </c>
      <c r="N22">
        <v>80</v>
      </c>
      <c r="O22">
        <v>0</v>
      </c>
      <c r="P22">
        <v>95</v>
      </c>
    </row>
    <row r="23" spans="1:16" x14ac:dyDescent="0.25">
      <c r="A23">
        <v>2008</v>
      </c>
      <c r="B23" t="s">
        <v>1044</v>
      </c>
      <c r="C23">
        <v>2</v>
      </c>
      <c r="D23" t="s">
        <v>1022</v>
      </c>
      <c r="E23">
        <v>5</v>
      </c>
      <c r="F23">
        <v>208</v>
      </c>
      <c r="G23" t="s">
        <v>1020</v>
      </c>
      <c r="H23">
        <v>6</v>
      </c>
      <c r="I23">
        <v>4</v>
      </c>
      <c r="J23">
        <v>140</v>
      </c>
      <c r="K23">
        <v>100</v>
      </c>
      <c r="L23">
        <v>75</v>
      </c>
      <c r="M23">
        <v>130</v>
      </c>
      <c r="N23">
        <v>80</v>
      </c>
      <c r="O23">
        <v>0</v>
      </c>
      <c r="P23">
        <v>95</v>
      </c>
    </row>
    <row r="24" spans="1:16" x14ac:dyDescent="0.25">
      <c r="A24">
        <v>2006</v>
      </c>
      <c r="B24" t="s">
        <v>1043</v>
      </c>
      <c r="C24">
        <v>2</v>
      </c>
      <c r="D24" t="s">
        <v>1040</v>
      </c>
      <c r="E24">
        <v>1</v>
      </c>
      <c r="F24">
        <v>206</v>
      </c>
      <c r="G24" t="s">
        <v>1020</v>
      </c>
      <c r="H24">
        <v>10</v>
      </c>
      <c r="I24">
        <v>4</v>
      </c>
      <c r="J24">
        <v>165</v>
      </c>
      <c r="K24">
        <v>130</v>
      </c>
      <c r="L24">
        <v>85</v>
      </c>
      <c r="M24">
        <v>110</v>
      </c>
      <c r="N24">
        <v>50</v>
      </c>
      <c r="O24">
        <v>120</v>
      </c>
      <c r="P24">
        <v>75</v>
      </c>
    </row>
    <row r="25" spans="1:16" x14ac:dyDescent="0.25">
      <c r="A25">
        <v>2004</v>
      </c>
      <c r="B25" t="s">
        <v>1039</v>
      </c>
      <c r="C25">
        <v>2</v>
      </c>
      <c r="D25" t="s">
        <v>1040</v>
      </c>
      <c r="E25">
        <v>5</v>
      </c>
      <c r="F25">
        <v>204</v>
      </c>
      <c r="G25" t="s">
        <v>1020</v>
      </c>
      <c r="H25">
        <v>6</v>
      </c>
      <c r="I25">
        <v>4</v>
      </c>
      <c r="J25">
        <v>98</v>
      </c>
      <c r="K25">
        <v>165</v>
      </c>
      <c r="L25">
        <v>60</v>
      </c>
      <c r="M25">
        <v>110</v>
      </c>
      <c r="N25">
        <v>30</v>
      </c>
      <c r="O25">
        <v>50</v>
      </c>
      <c r="P25">
        <v>95</v>
      </c>
    </row>
    <row r="26" spans="1:16" x14ac:dyDescent="0.25">
      <c r="A26">
        <v>2011</v>
      </c>
      <c r="B26" t="s">
        <v>1047</v>
      </c>
      <c r="C26">
        <v>2</v>
      </c>
      <c r="D26" t="s">
        <v>1048</v>
      </c>
      <c r="E26">
        <v>5</v>
      </c>
      <c r="F26">
        <v>211</v>
      </c>
      <c r="G26" t="s">
        <v>1020</v>
      </c>
      <c r="H26">
        <v>4</v>
      </c>
      <c r="I26">
        <v>4</v>
      </c>
      <c r="J26">
        <v>95</v>
      </c>
      <c r="K26">
        <v>75</v>
      </c>
      <c r="L26">
        <v>120</v>
      </c>
      <c r="M26">
        <v>110</v>
      </c>
      <c r="N26">
        <v>95</v>
      </c>
      <c r="O26">
        <v>0</v>
      </c>
      <c r="P26">
        <v>95</v>
      </c>
    </row>
    <row r="27" spans="1:16" x14ac:dyDescent="0.25">
      <c r="A27">
        <v>2009</v>
      </c>
      <c r="B27" t="s">
        <v>1045</v>
      </c>
      <c r="C27">
        <v>2</v>
      </c>
      <c r="D27" t="s">
        <v>1019</v>
      </c>
      <c r="E27">
        <v>5</v>
      </c>
      <c r="F27">
        <v>209</v>
      </c>
      <c r="G27" t="s">
        <v>1020</v>
      </c>
      <c r="H27">
        <v>6</v>
      </c>
      <c r="I27">
        <v>4</v>
      </c>
      <c r="J27">
        <v>115</v>
      </c>
      <c r="K27">
        <v>72</v>
      </c>
      <c r="L27">
        <v>100</v>
      </c>
      <c r="M27">
        <v>85</v>
      </c>
      <c r="N27">
        <v>140</v>
      </c>
      <c r="O27">
        <v>0</v>
      </c>
      <c r="P27">
        <v>95</v>
      </c>
    </row>
    <row r="28" spans="1:16" x14ac:dyDescent="0.25">
      <c r="A28">
        <v>2013</v>
      </c>
      <c r="B28" t="s">
        <v>1050</v>
      </c>
      <c r="C28">
        <v>2</v>
      </c>
      <c r="D28" t="s">
        <v>1019</v>
      </c>
      <c r="E28">
        <v>5</v>
      </c>
      <c r="F28">
        <v>213</v>
      </c>
      <c r="G28" t="s">
        <v>1020</v>
      </c>
      <c r="H28">
        <v>6</v>
      </c>
      <c r="I28">
        <v>4</v>
      </c>
      <c r="J28">
        <v>100</v>
      </c>
      <c r="K28">
        <v>100</v>
      </c>
      <c r="L28">
        <v>115</v>
      </c>
      <c r="M28">
        <v>80</v>
      </c>
      <c r="N28">
        <v>45</v>
      </c>
      <c r="O28">
        <v>0</v>
      </c>
      <c r="P28">
        <v>95</v>
      </c>
    </row>
    <row r="29" spans="1:16" x14ac:dyDescent="0.25">
      <c r="A29">
        <v>2005</v>
      </c>
      <c r="B29" t="s">
        <v>1041</v>
      </c>
      <c r="C29">
        <v>2</v>
      </c>
      <c r="D29" t="s">
        <v>1042</v>
      </c>
      <c r="E29">
        <v>5</v>
      </c>
      <c r="F29">
        <v>205</v>
      </c>
      <c r="G29" t="s">
        <v>1020</v>
      </c>
      <c r="H29">
        <v>3</v>
      </c>
      <c r="I29">
        <v>4</v>
      </c>
      <c r="J29">
        <v>36</v>
      </c>
      <c r="K29">
        <v>100</v>
      </c>
      <c r="L29">
        <v>105</v>
      </c>
      <c r="M29">
        <v>105</v>
      </c>
      <c r="N29">
        <v>50</v>
      </c>
      <c r="O29">
        <v>60</v>
      </c>
      <c r="P29">
        <v>95</v>
      </c>
    </row>
    <row r="30" spans="1:16" x14ac:dyDescent="0.25">
      <c r="A30">
        <v>2010</v>
      </c>
      <c r="B30" t="s">
        <v>1046</v>
      </c>
      <c r="C30">
        <v>2</v>
      </c>
      <c r="D30" t="s">
        <v>1019</v>
      </c>
      <c r="E30">
        <v>5</v>
      </c>
      <c r="F30">
        <v>210</v>
      </c>
      <c r="G30" t="s">
        <v>1020</v>
      </c>
      <c r="H30">
        <v>6</v>
      </c>
      <c r="I30">
        <v>4</v>
      </c>
      <c r="J30">
        <v>95</v>
      </c>
      <c r="K30">
        <v>95</v>
      </c>
      <c r="L30">
        <v>105</v>
      </c>
      <c r="M30">
        <v>115</v>
      </c>
      <c r="N30">
        <v>95</v>
      </c>
      <c r="O30">
        <v>0</v>
      </c>
      <c r="P30">
        <v>95</v>
      </c>
    </row>
    <row r="31" spans="1:16" x14ac:dyDescent="0.25">
      <c r="A31">
        <v>3006</v>
      </c>
      <c r="B31" t="s">
        <v>1057</v>
      </c>
      <c r="C31">
        <v>3</v>
      </c>
      <c r="D31" t="s">
        <v>1048</v>
      </c>
      <c r="E31">
        <v>5</v>
      </c>
      <c r="F31">
        <v>306</v>
      </c>
      <c r="G31" t="s">
        <v>1020</v>
      </c>
      <c r="H31">
        <v>2</v>
      </c>
      <c r="I31">
        <v>3</v>
      </c>
      <c r="J31">
        <v>36</v>
      </c>
      <c r="K31">
        <v>90</v>
      </c>
      <c r="L31">
        <v>100</v>
      </c>
      <c r="M31">
        <v>100</v>
      </c>
      <c r="N31">
        <v>100</v>
      </c>
      <c r="O31">
        <v>0</v>
      </c>
      <c r="P31">
        <v>95</v>
      </c>
    </row>
    <row r="32" spans="1:16" x14ac:dyDescent="0.25">
      <c r="A32">
        <v>3010</v>
      </c>
      <c r="B32" t="s">
        <v>1062</v>
      </c>
      <c r="C32">
        <v>3</v>
      </c>
      <c r="D32" t="s">
        <v>1040</v>
      </c>
      <c r="E32">
        <v>1</v>
      </c>
      <c r="F32">
        <v>310</v>
      </c>
      <c r="G32" t="s">
        <v>1020</v>
      </c>
      <c r="H32">
        <v>8</v>
      </c>
      <c r="I32">
        <v>3</v>
      </c>
      <c r="J32">
        <v>160</v>
      </c>
      <c r="K32">
        <v>320</v>
      </c>
      <c r="L32">
        <v>90</v>
      </c>
      <c r="M32">
        <v>350</v>
      </c>
      <c r="N32">
        <v>0</v>
      </c>
      <c r="O32">
        <v>90</v>
      </c>
      <c r="P32">
        <v>75</v>
      </c>
    </row>
    <row r="33" spans="1:16" x14ac:dyDescent="0.25">
      <c r="A33">
        <v>3003</v>
      </c>
      <c r="B33" t="s">
        <v>1054</v>
      </c>
      <c r="C33">
        <v>3</v>
      </c>
      <c r="D33" t="s">
        <v>1022</v>
      </c>
      <c r="E33">
        <v>5</v>
      </c>
      <c r="F33">
        <v>303</v>
      </c>
      <c r="G33" t="s">
        <v>1020</v>
      </c>
      <c r="H33">
        <v>4</v>
      </c>
      <c r="I33">
        <v>3</v>
      </c>
      <c r="J33">
        <v>135</v>
      </c>
      <c r="K33">
        <v>80</v>
      </c>
      <c r="L33">
        <v>75</v>
      </c>
      <c r="M33">
        <v>120</v>
      </c>
      <c r="N33">
        <v>80</v>
      </c>
      <c r="O33">
        <v>0</v>
      </c>
      <c r="P33">
        <v>95</v>
      </c>
    </row>
    <row r="34" spans="1:16" x14ac:dyDescent="0.25">
      <c r="A34">
        <v>3004</v>
      </c>
      <c r="B34" t="s">
        <v>1055</v>
      </c>
      <c r="C34">
        <v>3</v>
      </c>
      <c r="D34" t="s">
        <v>1019</v>
      </c>
      <c r="E34">
        <v>5</v>
      </c>
      <c r="F34">
        <v>304</v>
      </c>
      <c r="G34" t="s">
        <v>1020</v>
      </c>
      <c r="H34">
        <v>4</v>
      </c>
      <c r="I34">
        <v>3</v>
      </c>
      <c r="J34">
        <v>65</v>
      </c>
      <c r="K34">
        <v>105</v>
      </c>
      <c r="L34">
        <v>65</v>
      </c>
      <c r="M34">
        <v>125</v>
      </c>
      <c r="N34">
        <v>55</v>
      </c>
      <c r="O34">
        <v>0</v>
      </c>
      <c r="P34">
        <v>95</v>
      </c>
    </row>
    <row r="35" spans="1:16" x14ac:dyDescent="0.25">
      <c r="A35">
        <v>3009</v>
      </c>
      <c r="B35" t="s">
        <v>1060</v>
      </c>
      <c r="C35">
        <v>3</v>
      </c>
      <c r="D35" t="s">
        <v>1061</v>
      </c>
      <c r="E35">
        <v>5</v>
      </c>
      <c r="F35">
        <v>309</v>
      </c>
      <c r="G35" t="s">
        <v>1020</v>
      </c>
      <c r="H35">
        <v>4</v>
      </c>
      <c r="I35">
        <v>3</v>
      </c>
      <c r="J35">
        <v>55</v>
      </c>
      <c r="K35">
        <v>72</v>
      </c>
      <c r="L35">
        <v>50</v>
      </c>
      <c r="M35">
        <v>130</v>
      </c>
      <c r="N35">
        <v>90</v>
      </c>
      <c r="O35">
        <v>0</v>
      </c>
      <c r="P35">
        <v>95</v>
      </c>
    </row>
    <row r="36" spans="1:16" x14ac:dyDescent="0.25">
      <c r="A36">
        <v>3008</v>
      </c>
      <c r="B36" t="s">
        <v>1059</v>
      </c>
      <c r="C36">
        <v>3</v>
      </c>
      <c r="D36" t="s">
        <v>1048</v>
      </c>
      <c r="E36">
        <v>5</v>
      </c>
      <c r="F36">
        <v>308</v>
      </c>
      <c r="G36" t="s">
        <v>1020</v>
      </c>
      <c r="H36">
        <v>4</v>
      </c>
      <c r="I36">
        <v>3</v>
      </c>
      <c r="J36">
        <v>90</v>
      </c>
      <c r="K36">
        <v>68</v>
      </c>
      <c r="L36">
        <v>120</v>
      </c>
      <c r="M36">
        <v>110</v>
      </c>
      <c r="N36">
        <v>95</v>
      </c>
      <c r="O36">
        <v>0</v>
      </c>
      <c r="P36">
        <v>95</v>
      </c>
    </row>
    <row r="37" spans="1:16" x14ac:dyDescent="0.25">
      <c r="A37">
        <v>3001</v>
      </c>
      <c r="B37" t="s">
        <v>1052</v>
      </c>
      <c r="C37">
        <v>3</v>
      </c>
      <c r="D37" t="s">
        <v>1019</v>
      </c>
      <c r="E37">
        <v>5</v>
      </c>
      <c r="F37">
        <v>301</v>
      </c>
      <c r="G37" t="s">
        <v>1020</v>
      </c>
      <c r="H37">
        <v>4</v>
      </c>
      <c r="I37">
        <v>3</v>
      </c>
      <c r="J37">
        <v>100</v>
      </c>
      <c r="K37">
        <v>62</v>
      </c>
      <c r="L37">
        <v>100</v>
      </c>
      <c r="M37">
        <v>65</v>
      </c>
      <c r="N37">
        <v>130</v>
      </c>
      <c r="O37">
        <v>0</v>
      </c>
      <c r="P37">
        <v>95</v>
      </c>
    </row>
    <row r="38" spans="1:16" x14ac:dyDescent="0.25">
      <c r="A38">
        <v>3007</v>
      </c>
      <c r="B38" t="s">
        <v>1058</v>
      </c>
      <c r="C38">
        <v>3</v>
      </c>
      <c r="D38" t="s">
        <v>1048</v>
      </c>
      <c r="E38">
        <v>5</v>
      </c>
      <c r="F38">
        <v>307</v>
      </c>
      <c r="G38" t="s">
        <v>1020</v>
      </c>
      <c r="H38">
        <v>4</v>
      </c>
      <c r="I38">
        <v>3</v>
      </c>
      <c r="J38">
        <v>75</v>
      </c>
      <c r="K38">
        <v>72</v>
      </c>
      <c r="L38">
        <v>100</v>
      </c>
      <c r="M38">
        <v>100</v>
      </c>
      <c r="N38">
        <v>140</v>
      </c>
      <c r="O38">
        <v>0</v>
      </c>
      <c r="P38">
        <v>95</v>
      </c>
    </row>
    <row r="39" spans="1:16" x14ac:dyDescent="0.25">
      <c r="A39">
        <v>3005</v>
      </c>
      <c r="B39" t="s">
        <v>1056</v>
      </c>
      <c r="C39">
        <v>3</v>
      </c>
      <c r="D39" t="s">
        <v>1019</v>
      </c>
      <c r="E39">
        <v>5</v>
      </c>
      <c r="F39">
        <v>305</v>
      </c>
      <c r="G39" t="s">
        <v>1020</v>
      </c>
      <c r="H39">
        <v>4</v>
      </c>
      <c r="I39">
        <v>3</v>
      </c>
      <c r="J39">
        <v>80</v>
      </c>
      <c r="K39">
        <v>80</v>
      </c>
      <c r="L39">
        <v>115</v>
      </c>
      <c r="M39">
        <v>50</v>
      </c>
      <c r="N39">
        <v>45</v>
      </c>
      <c r="O39">
        <v>0</v>
      </c>
      <c r="P39">
        <v>95</v>
      </c>
    </row>
    <row r="40" spans="1:16" x14ac:dyDescent="0.25">
      <c r="A40">
        <v>3002</v>
      </c>
      <c r="B40" t="s">
        <v>1053</v>
      </c>
      <c r="C40">
        <v>3</v>
      </c>
      <c r="D40" t="s">
        <v>1019</v>
      </c>
      <c r="E40">
        <v>5</v>
      </c>
      <c r="F40">
        <v>302</v>
      </c>
      <c r="G40" t="s">
        <v>1020</v>
      </c>
      <c r="H40">
        <v>4</v>
      </c>
      <c r="I40">
        <v>3</v>
      </c>
      <c r="J40">
        <v>92</v>
      </c>
      <c r="K40">
        <v>85</v>
      </c>
      <c r="L40">
        <v>100</v>
      </c>
      <c r="M40">
        <v>110</v>
      </c>
      <c r="N40">
        <v>90</v>
      </c>
      <c r="O40">
        <v>0</v>
      </c>
      <c r="P40">
        <v>95</v>
      </c>
    </row>
  </sheetData>
  <autoFilter ref="A1:P39" xr:uid="{AB209710-2DD3-4889-ACDD-991CE41A91A1}">
    <sortState ref="A2:P39">
      <sortCondition ref="C2:C39"/>
      <sortCondition ref="B2:B39"/>
    </sortState>
  </autoFilter>
  <sortState ref="A2:P40">
    <sortCondition ref="C2:C40"/>
    <sortCondition ref="B2:B40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326</v>
      </c>
      <c r="C1" s="43" t="s">
        <v>1128</v>
      </c>
    </row>
    <row r="2" spans="1:3" x14ac:dyDescent="0.25">
      <c r="A2" s="1">
        <v>1001</v>
      </c>
      <c r="B2" t="s">
        <v>1131</v>
      </c>
      <c r="C2" t="s">
        <v>1129</v>
      </c>
    </row>
    <row r="3" spans="1:3" x14ac:dyDescent="0.25">
      <c r="A3" s="1">
        <v>1002</v>
      </c>
      <c r="B3" t="s">
        <v>1126</v>
      </c>
      <c r="C3" t="s">
        <v>1130</v>
      </c>
    </row>
    <row r="4" spans="1:3" x14ac:dyDescent="0.25">
      <c r="A4" s="1">
        <v>1003</v>
      </c>
      <c r="B4" t="s">
        <v>1127</v>
      </c>
      <c r="C4" t="s">
        <v>1138</v>
      </c>
    </row>
    <row r="5" spans="1:3" x14ac:dyDescent="0.25">
      <c r="A5" s="1">
        <v>1004</v>
      </c>
      <c r="B5" t="s">
        <v>1064</v>
      </c>
      <c r="C5" t="s">
        <v>1139</v>
      </c>
    </row>
    <row r="6" spans="1:3" x14ac:dyDescent="0.25">
      <c r="A6" s="1">
        <v>1005</v>
      </c>
      <c r="B6" t="s">
        <v>1065</v>
      </c>
      <c r="C6" t="s">
        <v>1140</v>
      </c>
    </row>
    <row r="8" spans="1:3" x14ac:dyDescent="0.25">
      <c r="A8" s="1">
        <v>2003</v>
      </c>
      <c r="B8" t="s">
        <v>1132</v>
      </c>
      <c r="C8" t="s">
        <v>1141</v>
      </c>
    </row>
    <row r="9" spans="1:3" x14ac:dyDescent="0.25">
      <c r="A9" s="1">
        <v>2004</v>
      </c>
      <c r="B9" t="s">
        <v>1133</v>
      </c>
      <c r="C9" t="s">
        <v>1142</v>
      </c>
    </row>
    <row r="11" spans="1:3" x14ac:dyDescent="0.25">
      <c r="A11" s="1">
        <v>3001</v>
      </c>
      <c r="B11" t="s">
        <v>1134</v>
      </c>
      <c r="C11" t="s">
        <v>1143</v>
      </c>
    </row>
    <row r="12" spans="1:3" x14ac:dyDescent="0.25">
      <c r="A12" s="1">
        <v>3002</v>
      </c>
      <c r="B12" t="s">
        <v>1136</v>
      </c>
      <c r="C12" t="s">
        <v>1144</v>
      </c>
    </row>
    <row r="13" spans="1:3" x14ac:dyDescent="0.25">
      <c r="A13" s="1">
        <v>3003</v>
      </c>
      <c r="B13" t="s">
        <v>1137</v>
      </c>
      <c r="C13" t="s">
        <v>1145</v>
      </c>
    </row>
    <row r="14" spans="1:3" x14ac:dyDescent="0.25">
      <c r="A14" s="1">
        <v>3004</v>
      </c>
      <c r="B14" t="s">
        <v>1135</v>
      </c>
      <c r="C14" t="s">
        <v>1146</v>
      </c>
    </row>
    <row r="15" spans="1:3" x14ac:dyDescent="0.25">
      <c r="A15" s="1">
        <v>3005</v>
      </c>
      <c r="B15" t="s">
        <v>1066</v>
      </c>
      <c r="C15" t="s">
        <v>1147</v>
      </c>
    </row>
    <row r="16" spans="1:3" x14ac:dyDescent="0.25">
      <c r="A16" s="1">
        <v>3006</v>
      </c>
      <c r="B16" t="s">
        <v>1067</v>
      </c>
      <c r="C16" t="s">
        <v>1148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6"/>
  <sheetViews>
    <sheetView workbookViewId="0">
      <pane ySplit="1" topLeftCell="A224" activePane="bottomLeft" state="frozen"/>
      <selection pane="bottomLeft" activeCell="A232" sqref="A232:P236"/>
    </sheetView>
  </sheetViews>
  <sheetFormatPr defaultRowHeight="15" x14ac:dyDescent="0.25"/>
  <sheetData>
    <row r="1" spans="1:16" x14ac:dyDescent="0.25">
      <c r="A1" s="43" t="s">
        <v>25</v>
      </c>
      <c r="B1" s="43" t="s">
        <v>1079</v>
      </c>
      <c r="C1" s="43" t="s">
        <v>1086</v>
      </c>
      <c r="D1" s="43" t="s">
        <v>1101</v>
      </c>
      <c r="E1" s="43" t="s">
        <v>1102</v>
      </c>
      <c r="F1" s="43" t="s">
        <v>1103</v>
      </c>
      <c r="G1" s="43" t="s">
        <v>1104</v>
      </c>
      <c r="H1" s="43" t="s">
        <v>1105</v>
      </c>
      <c r="I1" s="43" t="s">
        <v>1106</v>
      </c>
      <c r="J1" s="43" t="s">
        <v>1107</v>
      </c>
      <c r="K1" s="43" t="s">
        <v>1108</v>
      </c>
      <c r="L1" s="43" t="s">
        <v>1109</v>
      </c>
      <c r="M1" s="43" t="s">
        <v>1110</v>
      </c>
      <c r="N1" s="43" t="s">
        <v>1111</v>
      </c>
      <c r="O1" s="43" t="s">
        <v>1112</v>
      </c>
      <c r="P1" s="43" t="s">
        <v>1113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  <row r="232" spans="1:16" x14ac:dyDescent="0.25">
      <c r="A232" s="1">
        <v>11500</v>
      </c>
      <c r="B232" s="1">
        <v>115</v>
      </c>
      <c r="C232" s="1">
        <v>0</v>
      </c>
      <c r="D232" s="1">
        <v>0</v>
      </c>
      <c r="E232" s="1">
        <v>1</v>
      </c>
      <c r="F232" s="1">
        <v>419</v>
      </c>
      <c r="G232" s="1">
        <v>57</v>
      </c>
      <c r="H232" s="1">
        <v>31</v>
      </c>
      <c r="I232" s="1">
        <v>18</v>
      </c>
      <c r="J232" s="1">
        <v>21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</row>
    <row r="233" spans="1:16" x14ac:dyDescent="0.25">
      <c r="A233" s="1">
        <v>11501</v>
      </c>
      <c r="B233" s="1">
        <v>115</v>
      </c>
      <c r="C233" s="1">
        <v>1</v>
      </c>
      <c r="D233" s="1">
        <v>0</v>
      </c>
      <c r="E233" s="1">
        <v>1</v>
      </c>
      <c r="F233" s="1">
        <v>419</v>
      </c>
      <c r="G233" s="1">
        <v>57</v>
      </c>
      <c r="H233" s="1">
        <v>31</v>
      </c>
      <c r="I233" s="1">
        <v>18</v>
      </c>
      <c r="J233" s="1">
        <v>21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200</v>
      </c>
    </row>
    <row r="234" spans="1:16" x14ac:dyDescent="0.25">
      <c r="A234" s="1">
        <v>11502</v>
      </c>
      <c r="B234" s="1">
        <v>115</v>
      </c>
      <c r="C234" s="1">
        <v>2</v>
      </c>
      <c r="D234" s="1">
        <v>0</v>
      </c>
      <c r="E234" s="1">
        <v>1</v>
      </c>
      <c r="F234" s="1">
        <v>419</v>
      </c>
      <c r="G234" s="1">
        <v>77</v>
      </c>
      <c r="H234" s="1">
        <v>31</v>
      </c>
      <c r="I234" s="1">
        <v>18</v>
      </c>
      <c r="J234" s="1">
        <v>36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200</v>
      </c>
    </row>
    <row r="235" spans="1:16" x14ac:dyDescent="0.25">
      <c r="A235" s="1">
        <v>11503</v>
      </c>
      <c r="B235" s="1">
        <v>115</v>
      </c>
      <c r="C235" s="1">
        <v>3</v>
      </c>
      <c r="D235" s="1">
        <v>0</v>
      </c>
      <c r="E235" s="1">
        <v>1</v>
      </c>
      <c r="F235" s="1">
        <v>419</v>
      </c>
      <c r="G235" s="1">
        <v>107</v>
      </c>
      <c r="H235" s="1">
        <v>31</v>
      </c>
      <c r="I235" s="1">
        <v>43</v>
      </c>
      <c r="J235" s="1">
        <v>36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200</v>
      </c>
    </row>
    <row r="236" spans="1:16" x14ac:dyDescent="0.25">
      <c r="A236" s="1">
        <v>11504</v>
      </c>
      <c r="B236" s="1">
        <v>115</v>
      </c>
      <c r="C236" s="1">
        <v>4</v>
      </c>
      <c r="D236" s="1">
        <v>1</v>
      </c>
      <c r="E236" s="1">
        <v>1</v>
      </c>
      <c r="F236" s="1">
        <v>419</v>
      </c>
      <c r="G236" s="1">
        <v>107</v>
      </c>
      <c r="H236" s="1">
        <v>31</v>
      </c>
      <c r="I236" s="1">
        <v>43</v>
      </c>
      <c r="J236" s="1">
        <v>36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50" t="s">
        <v>774</v>
      </c>
      <c r="B1" s="250"/>
      <c r="C1" s="250"/>
      <c r="E1" s="250" t="s">
        <v>775</v>
      </c>
      <c r="F1" s="250"/>
      <c r="G1" s="250"/>
      <c r="I1" s="250" t="s">
        <v>882</v>
      </c>
      <c r="J1" s="250"/>
      <c r="K1" s="250"/>
      <c r="M1" s="250" t="s">
        <v>1087</v>
      </c>
      <c r="N1" s="250"/>
      <c r="O1" s="250"/>
      <c r="Q1" s="251" t="s">
        <v>776</v>
      </c>
      <c r="R1" s="251"/>
      <c r="S1" s="251"/>
      <c r="T1" s="251"/>
      <c r="U1" s="251"/>
      <c r="V1" s="251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39" t="s">
        <v>20</v>
      </c>
      <c r="O2" s="139" t="s">
        <v>21</v>
      </c>
      <c r="Q2" s="48" t="s">
        <v>771</v>
      </c>
      <c r="R2" s="51">
        <v>2</v>
      </c>
      <c r="S2" s="51">
        <v>3</v>
      </c>
      <c r="T2" s="51">
        <v>4</v>
      </c>
      <c r="U2" s="51">
        <v>5</v>
      </c>
      <c r="V2" s="51" t="s">
        <v>710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783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2"/>
  <sheetViews>
    <sheetView workbookViewId="0">
      <selection activeCell="C42" sqref="C42"/>
    </sheetView>
  </sheetViews>
  <sheetFormatPr defaultRowHeight="15" x14ac:dyDescent="0.25"/>
  <cols>
    <col min="1" max="1" width="9.140625" style="163"/>
    <col min="2" max="2" width="12.140625" customWidth="1"/>
  </cols>
  <sheetData>
    <row r="1" spans="2:11" customFormat="1" x14ac:dyDescent="0.25"/>
    <row r="2" spans="2:11" customFormat="1" x14ac:dyDescent="0.25">
      <c r="B2" s="10" t="s">
        <v>792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793</v>
      </c>
    </row>
    <row r="8" spans="2:11" customFormat="1" x14ac:dyDescent="0.25">
      <c r="B8" s="16" t="s">
        <v>984</v>
      </c>
      <c r="C8" t="s">
        <v>986</v>
      </c>
      <c r="G8" s="141" t="s">
        <v>963</v>
      </c>
      <c r="H8" s="142" t="s">
        <v>964</v>
      </c>
    </row>
    <row r="9" spans="2:11" customFormat="1" x14ac:dyDescent="0.25">
      <c r="B9" t="s">
        <v>979</v>
      </c>
      <c r="C9" t="s">
        <v>969</v>
      </c>
      <c r="G9" s="143" t="str">
        <f>IFERROR(INDEX('Strat Buff Data'!B:B,MATCH(Main!$B74,'Strat Buff Data'!$A:$A,0)),"N/A")</f>
        <v>N/A</v>
      </c>
      <c r="H9" s="144" t="str">
        <f>IFERROR(INDEX('Strat Buff Data'!C:C,MATCH(Main!$B74,'Strat Buff Data'!$A:$A,0)),"N/A")</f>
        <v>N/A</v>
      </c>
      <c r="K9" s="1"/>
    </row>
    <row r="10" spans="2:11" customFormat="1" x14ac:dyDescent="0.25">
      <c r="B10" t="s">
        <v>980</v>
      </c>
      <c r="C10" t="s">
        <v>970</v>
      </c>
      <c r="G10" s="143" t="str">
        <f>IFERROR(INDEX('Strat Buff Data'!B:B,MATCH(Main!$B75,'Strat Buff Data'!$A:$A,0)),"N/A")</f>
        <v>N/A</v>
      </c>
      <c r="H10" s="144" t="str">
        <f>IFERROR(INDEX('Strat Buff Data'!C:C,MATCH(Main!$B75,'Strat Buff Data'!$A:$A,0)),"N/A")</f>
        <v>N/A</v>
      </c>
      <c r="K10" s="1"/>
    </row>
    <row r="11" spans="2:11" customFormat="1" x14ac:dyDescent="0.25">
      <c r="B11" t="s">
        <v>981</v>
      </c>
      <c r="C11" t="s">
        <v>971</v>
      </c>
      <c r="G11" s="145" t="str">
        <f>IFERROR(INDEX('Strat Buff Data'!B:B,MATCH(Main!$B76,'Strat Buff Data'!$A:$A,0)),"N/A")</f>
        <v>N/A</v>
      </c>
      <c r="H11" s="146" t="str">
        <f>IFERROR(INDEX('Strat Buff Data'!C:C,MATCH(Main!$B76,'Strat Buff Data'!$A:$A,0)),"N/A")</f>
        <v>N/A</v>
      </c>
    </row>
    <row r="12" spans="2:11" customFormat="1" x14ac:dyDescent="0.25"/>
    <row r="13" spans="2:11" customFormat="1" x14ac:dyDescent="0.25">
      <c r="B13" t="s">
        <v>982</v>
      </c>
      <c r="C13" t="str">
        <f>INDEX($C$8:$C$11,COUNTA(Main!$B$74:$B$76)+1)</f>
        <v>"fairy_skill_on_team": "[]",</v>
      </c>
      <c r="K13" s="1"/>
    </row>
    <row r="14" spans="2:11" customFormat="1" x14ac:dyDescent="0.25">
      <c r="B14" t="s">
        <v>968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983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795</v>
      </c>
    </row>
    <row r="20" spans="1:3" x14ac:dyDescent="0.25">
      <c r="A20"/>
      <c r="B20" t="s">
        <v>984</v>
      </c>
      <c r="C20" t="s">
        <v>985</v>
      </c>
    </row>
    <row r="21" spans="1:3" x14ac:dyDescent="0.25">
      <c r="A21"/>
      <c r="B21" t="s">
        <v>872</v>
      </c>
      <c r="C21" t="s">
        <v>873</v>
      </c>
    </row>
    <row r="22" spans="1:3" x14ac:dyDescent="0.25">
      <c r="A22"/>
      <c r="B22" t="s">
        <v>987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988</v>
      </c>
    </row>
    <row r="25" spans="1:3" x14ac:dyDescent="0.25">
      <c r="A25"/>
      <c r="B25" t="s">
        <v>984</v>
      </c>
      <c r="C25" t="s">
        <v>985</v>
      </c>
    </row>
    <row r="26" spans="1:3" x14ac:dyDescent="0.25">
      <c r="A26"/>
      <c r="B26" t="s">
        <v>872</v>
      </c>
      <c r="C26" t="s">
        <v>989</v>
      </c>
    </row>
    <row r="27" spans="1:3" x14ac:dyDescent="0.25">
      <c r="A27"/>
      <c r="B27" t="s">
        <v>987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991</v>
      </c>
      <c r="C28" t="str">
        <f>SUBSTITUTE(C27,1801,18&amp;TEXT(Main!C81,"00"))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63" customFormat="1" x14ac:dyDescent="0.25">
      <c r="B30" s="161" t="s">
        <v>871</v>
      </c>
      <c r="C30" s="162"/>
    </row>
    <row r="31" spans="1:3" s="163" customFormat="1" x14ac:dyDescent="0.25">
      <c r="B31" s="159" t="s">
        <v>780</v>
      </c>
      <c r="C31" s="16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63" customFormat="1" x14ac:dyDescent="0.25">
      <c r="B32" s="159" t="s">
        <v>781</v>
      </c>
      <c r="C32" s="16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63" customFormat="1" x14ac:dyDescent="0.25">
      <c r="B33" s="159" t="s">
        <v>902</v>
      </c>
      <c r="C33" s="16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63" customFormat="1" x14ac:dyDescent="0.25">
      <c r="B34" s="159" t="s">
        <v>903</v>
      </c>
      <c r="C34" s="16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63" customFormat="1" x14ac:dyDescent="0.25">
      <c r="B35" s="40" t="s">
        <v>782</v>
      </c>
      <c r="C35" s="16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63" customFormat="1" x14ac:dyDescent="0.25">
      <c r="B36" s="40" t="s">
        <v>785</v>
      </c>
      <c r="C36" s="16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63" customFormat="1" x14ac:dyDescent="0.25">
      <c r="B37" s="40" t="s">
        <v>1154</v>
      </c>
      <c r="C37" s="16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63" customFormat="1" x14ac:dyDescent="0.25">
      <c r="B38" s="40" t="s">
        <v>1155</v>
      </c>
      <c r="C38" s="16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63" customFormat="1" x14ac:dyDescent="0.25">
      <c r="B39" s="40" t="s">
        <v>1156</v>
      </c>
      <c r="C39" s="16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63" customFormat="1" x14ac:dyDescent="0.25">
      <c r="B40" s="40" t="s">
        <v>796</v>
      </c>
      <c r="C40" s="16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1910</v>
      </c>
      <c r="C41" s="16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1911</v>
      </c>
      <c r="C42" s="16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59"/>
  <sheetViews>
    <sheetView topLeftCell="N1" workbookViewId="0">
      <pane ySplit="1" topLeftCell="A2" activePane="bottomLeft" state="frozen"/>
      <selection activeCell="AV3" sqref="AV3"/>
      <selection pane="bottomLeft" activeCell="AV3" sqref="AV3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286</v>
      </c>
      <c r="B1" s="10" t="s">
        <v>272</v>
      </c>
      <c r="C1" s="43" t="s">
        <v>287</v>
      </c>
      <c r="D1" s="43" t="s">
        <v>288</v>
      </c>
      <c r="E1" s="43" t="s">
        <v>289</v>
      </c>
      <c r="F1" s="43" t="s">
        <v>290</v>
      </c>
      <c r="G1" s="43" t="s">
        <v>310</v>
      </c>
      <c r="H1" s="43" t="s">
        <v>291</v>
      </c>
      <c r="I1" s="43" t="s">
        <v>292</v>
      </c>
      <c r="J1" s="43" t="s">
        <v>293</v>
      </c>
      <c r="K1" s="43" t="s">
        <v>294</v>
      </c>
      <c r="L1" s="43" t="s">
        <v>311</v>
      </c>
      <c r="M1" s="43" t="s">
        <v>295</v>
      </c>
      <c r="N1" s="43" t="s">
        <v>296</v>
      </c>
      <c r="O1" s="43" t="s">
        <v>297</v>
      </c>
      <c r="P1" s="43" t="s">
        <v>298</v>
      </c>
      <c r="Q1" s="43" t="s">
        <v>312</v>
      </c>
      <c r="R1" s="43" t="s">
        <v>299</v>
      </c>
      <c r="S1" s="43" t="s">
        <v>300</v>
      </c>
      <c r="T1" s="43" t="s">
        <v>301</v>
      </c>
      <c r="U1" s="43" t="s">
        <v>302</v>
      </c>
      <c r="V1" s="43" t="s">
        <v>313</v>
      </c>
      <c r="W1" s="43" t="s">
        <v>303</v>
      </c>
      <c r="X1" s="43" t="s">
        <v>114</v>
      </c>
      <c r="Y1" s="43" t="s">
        <v>304</v>
      </c>
      <c r="Z1" s="43" t="s">
        <v>305</v>
      </c>
      <c r="AA1" s="43" t="s">
        <v>314</v>
      </c>
      <c r="AB1" s="43" t="s">
        <v>306</v>
      </c>
      <c r="AC1" s="43" t="s">
        <v>307</v>
      </c>
      <c r="AD1" s="43" t="s">
        <v>308</v>
      </c>
      <c r="AE1" s="43" t="s">
        <v>309</v>
      </c>
      <c r="AF1" s="43" t="s">
        <v>315</v>
      </c>
      <c r="AG1" s="104"/>
      <c r="AH1" s="43" t="s">
        <v>721</v>
      </c>
      <c r="AI1" s="43" t="s">
        <v>722</v>
      </c>
      <c r="AJ1" s="43" t="s">
        <v>724</v>
      </c>
      <c r="AK1" s="43" t="s">
        <v>763</v>
      </c>
      <c r="AL1" s="43" t="s">
        <v>729</v>
      </c>
      <c r="AM1" s="43" t="s">
        <v>730</v>
      </c>
      <c r="AN1" s="43" t="s">
        <v>9</v>
      </c>
      <c r="AO1" s="43" t="s">
        <v>737</v>
      </c>
      <c r="AP1" s="43" t="s">
        <v>762</v>
      </c>
      <c r="AQ1" s="43" t="s">
        <v>742</v>
      </c>
      <c r="AR1" s="43" t="s">
        <v>646</v>
      </c>
      <c r="AS1" s="43" t="s">
        <v>751</v>
      </c>
      <c r="AT1" s="43" t="s">
        <v>752</v>
      </c>
      <c r="AU1" s="43" t="s">
        <v>937</v>
      </c>
      <c r="AV1" s="43" t="s">
        <v>710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755</v>
      </c>
      <c r="F2" s="9" t="s">
        <v>1758</v>
      </c>
      <c r="G2" s="9" t="s">
        <v>267</v>
      </c>
      <c r="H2" s="9" t="s">
        <v>117</v>
      </c>
      <c r="I2" s="9" t="s">
        <v>760</v>
      </c>
      <c r="J2" s="9" t="s">
        <v>1773</v>
      </c>
      <c r="K2" s="9" t="s">
        <v>761</v>
      </c>
      <c r="L2" t="s">
        <v>1851</v>
      </c>
      <c r="M2" s="9" t="s">
        <v>1217</v>
      </c>
      <c r="N2" s="9" t="s">
        <v>813</v>
      </c>
      <c r="O2" s="9" t="s">
        <v>1514</v>
      </c>
      <c r="P2" s="9" t="s">
        <v>176</v>
      </c>
      <c r="Q2" s="9" t="s">
        <v>1780</v>
      </c>
      <c r="R2" s="9" t="s">
        <v>1255</v>
      </c>
      <c r="S2" s="9" t="s">
        <v>138</v>
      </c>
      <c r="T2" s="9" t="s">
        <v>726</v>
      </c>
      <c r="U2" s="9" t="s">
        <v>850</v>
      </c>
      <c r="V2" s="9" t="s">
        <v>1544</v>
      </c>
      <c r="W2" s="9" t="s">
        <v>1719</v>
      </c>
      <c r="X2" s="9" t="s">
        <v>115</v>
      </c>
      <c r="Y2" s="9" t="s">
        <v>1729</v>
      </c>
      <c r="Z2" s="9" t="s">
        <v>747</v>
      </c>
      <c r="AA2" s="9" t="s">
        <v>951</v>
      </c>
      <c r="AC2" s="9" t="s">
        <v>250</v>
      </c>
      <c r="AD2" s="9" t="s">
        <v>1701</v>
      </c>
      <c r="AE2" s="9" t="s">
        <v>733</v>
      </c>
      <c r="AH2" t="s">
        <v>524</v>
      </c>
      <c r="AI2" t="s">
        <v>528</v>
      </c>
      <c r="AJ2" t="s">
        <v>532</v>
      </c>
      <c r="AK2" t="s">
        <v>559</v>
      </c>
      <c r="AL2" t="s">
        <v>536</v>
      </c>
      <c r="AM2" t="s">
        <v>540</v>
      </c>
      <c r="AN2" t="s">
        <v>565</v>
      </c>
      <c r="AO2" t="s">
        <v>544</v>
      </c>
      <c r="AP2" t="s">
        <v>569</v>
      </c>
      <c r="AQ2" t="s">
        <v>548</v>
      </c>
      <c r="AR2" t="s">
        <v>552</v>
      </c>
      <c r="AS2" t="s">
        <v>563</v>
      </c>
      <c r="AT2" t="s">
        <v>577</v>
      </c>
      <c r="AU2" t="s">
        <v>931</v>
      </c>
      <c r="AV2" t="s">
        <v>761</v>
      </c>
    </row>
    <row r="3" spans="1:50" x14ac:dyDescent="0.25">
      <c r="A3" s="9">
        <v>3</v>
      </c>
      <c r="B3" t="s">
        <v>7</v>
      </c>
      <c r="C3" s="9" t="s">
        <v>1245</v>
      </c>
      <c r="D3" s="9" t="s">
        <v>72</v>
      </c>
      <c r="E3" s="9" t="s">
        <v>1828</v>
      </c>
      <c r="F3" s="9" t="s">
        <v>197</v>
      </c>
      <c r="G3" s="9" t="s">
        <v>847</v>
      </c>
      <c r="H3" s="9" t="s">
        <v>77</v>
      </c>
      <c r="I3" s="9" t="s">
        <v>1786</v>
      </c>
      <c r="J3" s="9" t="s">
        <v>806</v>
      </c>
      <c r="K3" s="9" t="s">
        <v>1787</v>
      </c>
      <c r="L3" s="9" t="s">
        <v>838</v>
      </c>
      <c r="M3" s="9" t="s">
        <v>94</v>
      </c>
      <c r="N3" s="9" t="s">
        <v>204</v>
      </c>
      <c r="O3" s="9" t="s">
        <v>229</v>
      </c>
      <c r="P3" s="9" t="s">
        <v>834</v>
      </c>
      <c r="R3" s="9" t="s">
        <v>1231</v>
      </c>
      <c r="S3" s="9" t="s">
        <v>1713</v>
      </c>
      <c r="T3" s="9" t="s">
        <v>1745</v>
      </c>
      <c r="U3" s="9" t="s">
        <v>215</v>
      </c>
      <c r="V3" s="9" t="s">
        <v>263</v>
      </c>
      <c r="W3" s="9" t="s">
        <v>109</v>
      </c>
      <c r="X3" s="9" t="s">
        <v>810</v>
      </c>
      <c r="Y3" s="9" t="s">
        <v>163</v>
      </c>
      <c r="Z3" s="9" t="s">
        <v>255</v>
      </c>
      <c r="AC3" s="9" t="s">
        <v>732</v>
      </c>
      <c r="AD3" s="9" t="s">
        <v>825</v>
      </c>
      <c r="AE3" s="9" t="s">
        <v>248</v>
      </c>
      <c r="AH3" t="s">
        <v>525</v>
      </c>
      <c r="AI3" t="s">
        <v>529</v>
      </c>
      <c r="AJ3" t="s">
        <v>533</v>
      </c>
      <c r="AK3" t="s">
        <v>560</v>
      </c>
      <c r="AL3" t="s">
        <v>537</v>
      </c>
      <c r="AM3" t="s">
        <v>541</v>
      </c>
      <c r="AN3" t="s">
        <v>566</v>
      </c>
      <c r="AO3" t="s">
        <v>545</v>
      </c>
      <c r="AP3" t="s">
        <v>570</v>
      </c>
      <c r="AQ3" t="s">
        <v>549</v>
      </c>
      <c r="AR3" t="s">
        <v>553</v>
      </c>
      <c r="AS3" t="s">
        <v>564</v>
      </c>
      <c r="AT3" t="s">
        <v>578</v>
      </c>
      <c r="AU3" t="s">
        <v>930</v>
      </c>
      <c r="AV3" t="s">
        <v>726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828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1714</v>
      </c>
      <c r="L4" s="9"/>
      <c r="M4" s="9" t="s">
        <v>90</v>
      </c>
      <c r="N4" s="9" t="s">
        <v>175</v>
      </c>
      <c r="O4" t="s">
        <v>1858</v>
      </c>
      <c r="P4" s="9" t="s">
        <v>172</v>
      </c>
      <c r="R4" s="9" t="s">
        <v>852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234</v>
      </c>
      <c r="Y4" s="9" t="s">
        <v>753</v>
      </c>
      <c r="Z4" s="9" t="s">
        <v>178</v>
      </c>
      <c r="AC4" s="9" t="s">
        <v>146</v>
      </c>
      <c r="AD4" s="9" t="s">
        <v>219</v>
      </c>
      <c r="AE4" s="9" t="s">
        <v>251</v>
      </c>
      <c r="AH4" t="s">
        <v>526</v>
      </c>
      <c r="AI4" t="s">
        <v>530</v>
      </c>
      <c r="AJ4" t="s">
        <v>534</v>
      </c>
      <c r="AK4" t="s">
        <v>561</v>
      </c>
      <c r="AL4" t="s">
        <v>538</v>
      </c>
      <c r="AM4" t="s">
        <v>542</v>
      </c>
      <c r="AN4" t="s">
        <v>567</v>
      </c>
      <c r="AO4" t="s">
        <v>546</v>
      </c>
      <c r="AP4" t="s">
        <v>571</v>
      </c>
      <c r="AQ4" t="s">
        <v>550</v>
      </c>
      <c r="AR4" t="s">
        <v>554</v>
      </c>
      <c r="AT4" t="s">
        <v>579</v>
      </c>
      <c r="AU4" t="s">
        <v>929</v>
      </c>
      <c r="AV4" t="s">
        <v>1705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1784</v>
      </c>
      <c r="F5" s="9" t="s">
        <v>152</v>
      </c>
      <c r="H5" s="9" t="s">
        <v>85</v>
      </c>
      <c r="I5" s="9" t="s">
        <v>158</v>
      </c>
      <c r="J5" s="9" t="s">
        <v>839</v>
      </c>
      <c r="K5" s="9" t="s">
        <v>853</v>
      </c>
      <c r="M5" s="9" t="s">
        <v>1709</v>
      </c>
      <c r="N5" s="9" t="s">
        <v>821</v>
      </c>
      <c r="O5" s="9" t="s">
        <v>193</v>
      </c>
      <c r="P5" s="9" t="s">
        <v>173</v>
      </c>
      <c r="R5" s="9" t="s">
        <v>103</v>
      </c>
      <c r="S5" s="9" t="s">
        <v>1723</v>
      </c>
      <c r="T5" s="9" t="s">
        <v>1837</v>
      </c>
      <c r="U5" s="9" t="s">
        <v>1788</v>
      </c>
      <c r="W5" s="9" t="s">
        <v>108</v>
      </c>
      <c r="X5" s="9" t="s">
        <v>213</v>
      </c>
      <c r="Y5" s="9" t="s">
        <v>206</v>
      </c>
      <c r="Z5" s="9" t="s">
        <v>214</v>
      </c>
      <c r="AC5" s="9" t="s">
        <v>148</v>
      </c>
      <c r="AD5" s="9" t="s">
        <v>151</v>
      </c>
      <c r="AE5" s="9" t="s">
        <v>1757</v>
      </c>
      <c r="AH5" t="s">
        <v>527</v>
      </c>
      <c r="AI5" t="s">
        <v>531</v>
      </c>
      <c r="AJ5" t="s">
        <v>535</v>
      </c>
      <c r="AK5" t="s">
        <v>562</v>
      </c>
      <c r="AL5" t="s">
        <v>539</v>
      </c>
      <c r="AM5" t="s">
        <v>543</v>
      </c>
      <c r="AN5" t="s">
        <v>568</v>
      </c>
      <c r="AO5" t="s">
        <v>547</v>
      </c>
      <c r="AP5" t="s">
        <v>572</v>
      </c>
      <c r="AQ5" t="s">
        <v>551</v>
      </c>
      <c r="AT5" t="s">
        <v>580</v>
      </c>
      <c r="AU5" t="s">
        <v>928</v>
      </c>
      <c r="AV5" t="s">
        <v>733</v>
      </c>
    </row>
    <row r="6" spans="1:50" x14ac:dyDescent="0.25">
      <c r="A6" s="9">
        <v>6</v>
      </c>
      <c r="B6" t="s">
        <v>4</v>
      </c>
      <c r="C6" s="9" t="s">
        <v>1716</v>
      </c>
      <c r="D6" s="9" t="s">
        <v>1743</v>
      </c>
      <c r="E6" s="9" t="s">
        <v>194</v>
      </c>
      <c r="F6" s="9" t="s">
        <v>1785</v>
      </c>
      <c r="H6" s="9" t="s">
        <v>80</v>
      </c>
      <c r="I6" s="9" t="s">
        <v>1706</v>
      </c>
      <c r="J6" s="9" t="s">
        <v>1818</v>
      </c>
      <c r="K6" s="9" t="s">
        <v>1740</v>
      </c>
      <c r="M6" s="9" t="s">
        <v>97</v>
      </c>
      <c r="N6" s="9" t="s">
        <v>86</v>
      </c>
      <c r="O6" s="9" t="s">
        <v>201</v>
      </c>
      <c r="P6" s="9" t="s">
        <v>912</v>
      </c>
      <c r="R6" s="9" t="s">
        <v>754</v>
      </c>
      <c r="S6" s="9" t="s">
        <v>1735</v>
      </c>
      <c r="T6" s="9" t="s">
        <v>1807</v>
      </c>
      <c r="U6" s="9" t="s">
        <v>237</v>
      </c>
      <c r="W6" s="9" t="s">
        <v>113</v>
      </c>
      <c r="X6" s="9" t="s">
        <v>107</v>
      </c>
      <c r="Y6" s="9" t="s">
        <v>265</v>
      </c>
      <c r="Z6" s="9" t="s">
        <v>244</v>
      </c>
      <c r="AC6" s="9" t="s">
        <v>166</v>
      </c>
      <c r="AD6" s="9" t="s">
        <v>734</v>
      </c>
      <c r="AE6" s="9" t="s">
        <v>196</v>
      </c>
      <c r="AP6" t="s">
        <v>573</v>
      </c>
      <c r="AQ6" t="s">
        <v>555</v>
      </c>
      <c r="AU6" t="s">
        <v>927</v>
      </c>
      <c r="AV6" t="s">
        <v>942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180</v>
      </c>
      <c r="F7" s="9" t="s">
        <v>198</v>
      </c>
      <c r="H7" s="9" t="s">
        <v>1197</v>
      </c>
      <c r="I7" s="9" t="s">
        <v>78</v>
      </c>
      <c r="J7" s="9" t="s">
        <v>266</v>
      </c>
      <c r="K7" s="9" t="s">
        <v>731</v>
      </c>
      <c r="N7" s="9" t="s">
        <v>88</v>
      </c>
      <c r="O7" s="9" t="s">
        <v>259</v>
      </c>
      <c r="P7" s="9" t="s">
        <v>1736</v>
      </c>
      <c r="R7" s="9" t="s">
        <v>136</v>
      </c>
      <c r="S7" s="9" t="s">
        <v>1718</v>
      </c>
      <c r="T7" s="9" t="s">
        <v>101</v>
      </c>
      <c r="U7" s="9" t="s">
        <v>1762</v>
      </c>
      <c r="X7" s="9" t="s">
        <v>1242</v>
      </c>
      <c r="Y7" s="9" t="s">
        <v>849</v>
      </c>
      <c r="Z7" s="9" t="s">
        <v>264</v>
      </c>
      <c r="AC7" s="9" t="s">
        <v>1731</v>
      </c>
      <c r="AD7" s="9" t="s">
        <v>147</v>
      </c>
      <c r="AE7" s="9" t="s">
        <v>1734</v>
      </c>
      <c r="AP7" t="s">
        <v>574</v>
      </c>
      <c r="AQ7" t="s">
        <v>556</v>
      </c>
      <c r="AU7" t="s">
        <v>936</v>
      </c>
      <c r="AV7" t="s">
        <v>941</v>
      </c>
    </row>
    <row r="8" spans="1:50" x14ac:dyDescent="0.25">
      <c r="A8" s="9"/>
      <c r="C8" s="9" t="s">
        <v>70</v>
      </c>
      <c r="D8" s="9" t="s">
        <v>63</v>
      </c>
      <c r="E8" s="9" t="s">
        <v>797</v>
      </c>
      <c r="F8" s="9" t="s">
        <v>1726</v>
      </c>
      <c r="G8" s="9"/>
      <c r="H8" s="9" t="s">
        <v>925</v>
      </c>
      <c r="I8" s="9" t="s">
        <v>167</v>
      </c>
      <c r="J8" s="9" t="s">
        <v>157</v>
      </c>
      <c r="K8" s="9" t="s">
        <v>1699</v>
      </c>
      <c r="N8" s="9" t="s">
        <v>801</v>
      </c>
      <c r="O8" s="9" t="s">
        <v>800</v>
      </c>
      <c r="P8" s="9" t="s">
        <v>238</v>
      </c>
      <c r="S8" s="9" t="s">
        <v>1235</v>
      </c>
      <c r="T8" s="9" t="s">
        <v>1760</v>
      </c>
      <c r="U8" s="9" t="s">
        <v>1765</v>
      </c>
      <c r="X8" s="9" t="s">
        <v>802</v>
      </c>
      <c r="Y8" s="9" t="s">
        <v>105</v>
      </c>
      <c r="Z8" s="9" t="s">
        <v>1813</v>
      </c>
      <c r="AC8" s="9" t="s">
        <v>217</v>
      </c>
      <c r="AD8" s="9" t="s">
        <v>725</v>
      </c>
      <c r="AE8" s="9" t="s">
        <v>1278</v>
      </c>
      <c r="AP8" t="s">
        <v>575</v>
      </c>
      <c r="AQ8" t="s">
        <v>557</v>
      </c>
      <c r="AU8" t="s">
        <v>926</v>
      </c>
      <c r="AV8" t="s">
        <v>943</v>
      </c>
    </row>
    <row r="9" spans="1:50" x14ac:dyDescent="0.25">
      <c r="A9" s="9"/>
      <c r="C9" s="9" t="s">
        <v>1266</v>
      </c>
      <c r="D9" s="9" t="s">
        <v>68</v>
      </c>
      <c r="E9" s="9" t="s">
        <v>257</v>
      </c>
      <c r="F9" s="9" t="s">
        <v>120</v>
      </c>
      <c r="G9" s="9"/>
      <c r="H9" s="9" t="s">
        <v>116</v>
      </c>
      <c r="I9" s="9" t="s">
        <v>1763</v>
      </c>
      <c r="J9" s="9" t="s">
        <v>1759</v>
      </c>
      <c r="K9" s="9" t="s">
        <v>252</v>
      </c>
      <c r="N9" s="9" t="s">
        <v>89</v>
      </c>
      <c r="O9" s="9" t="s">
        <v>818</v>
      </c>
      <c r="P9" s="9" t="s">
        <v>817</v>
      </c>
      <c r="S9" s="9" t="s">
        <v>208</v>
      </c>
      <c r="T9" s="9" t="s">
        <v>177</v>
      </c>
      <c r="U9" s="9" t="s">
        <v>236</v>
      </c>
      <c r="X9" s="9" t="s">
        <v>112</v>
      </c>
      <c r="Y9" s="9" t="s">
        <v>106</v>
      </c>
      <c r="Z9" s="9" t="s">
        <v>207</v>
      </c>
      <c r="AC9" s="9" t="s">
        <v>822</v>
      </c>
      <c r="AD9" s="9" t="s">
        <v>149</v>
      </c>
      <c r="AE9" s="9" t="s">
        <v>823</v>
      </c>
      <c r="AP9" t="s">
        <v>576</v>
      </c>
      <c r="AQ9" t="s">
        <v>558</v>
      </c>
      <c r="AU9" t="s">
        <v>944</v>
      </c>
      <c r="AV9" t="s">
        <v>938</v>
      </c>
    </row>
    <row r="10" spans="1:50" x14ac:dyDescent="0.25">
      <c r="A10" s="9"/>
      <c r="C10" s="9"/>
      <c r="D10" s="9" t="s">
        <v>1742</v>
      </c>
      <c r="E10" s="9" t="s">
        <v>962</v>
      </c>
      <c r="F10" s="9" t="s">
        <v>1764</v>
      </c>
      <c r="G10" s="9"/>
      <c r="H10" s="9" t="s">
        <v>118</v>
      </c>
      <c r="I10" s="9" t="s">
        <v>84</v>
      </c>
      <c r="J10" s="9" t="s">
        <v>723</v>
      </c>
      <c r="K10" t="s">
        <v>1790</v>
      </c>
      <c r="N10" s="9" t="s">
        <v>186</v>
      </c>
      <c r="O10" s="9" t="s">
        <v>738</v>
      </c>
      <c r="P10" s="9" t="s">
        <v>1834</v>
      </c>
      <c r="S10" s="9" t="s">
        <v>218</v>
      </c>
      <c r="T10" s="9" t="s">
        <v>1754</v>
      </c>
      <c r="U10" s="9" t="s">
        <v>256</v>
      </c>
      <c r="X10" s="9" t="s">
        <v>110</v>
      </c>
      <c r="Y10" s="9" t="s">
        <v>114</v>
      </c>
      <c r="Z10" s="9" t="s">
        <v>304</v>
      </c>
      <c r="AD10" s="9" t="s">
        <v>952</v>
      </c>
      <c r="AE10" s="9" t="s">
        <v>145</v>
      </c>
      <c r="AU10" t="s">
        <v>945</v>
      </c>
      <c r="AV10" t="s">
        <v>940</v>
      </c>
    </row>
    <row r="11" spans="1:50" x14ac:dyDescent="0.25">
      <c r="A11" s="9"/>
      <c r="C11" s="9"/>
      <c r="D11" s="9" t="s">
        <v>1746</v>
      </c>
      <c r="E11" s="9" t="s">
        <v>1250</v>
      </c>
      <c r="F11" s="9" t="s">
        <v>202</v>
      </c>
      <c r="G11" s="9"/>
      <c r="I11" s="9" t="s">
        <v>210</v>
      </c>
      <c r="J11" s="9" t="s">
        <v>1756</v>
      </c>
      <c r="K11" s="9" t="s">
        <v>241</v>
      </c>
      <c r="N11" s="9" t="s">
        <v>1728</v>
      </c>
      <c r="O11" s="9" t="s">
        <v>1721</v>
      </c>
      <c r="P11" s="9" t="s">
        <v>143</v>
      </c>
      <c r="S11" s="9" t="s">
        <v>205</v>
      </c>
      <c r="T11" s="9" t="s">
        <v>719</v>
      </c>
      <c r="U11" s="9" t="s">
        <v>155</v>
      </c>
      <c r="X11" s="9" t="s">
        <v>243</v>
      </c>
      <c r="Y11" s="9" t="s">
        <v>191</v>
      </c>
      <c r="Z11" s="9" t="s">
        <v>305</v>
      </c>
      <c r="AD11" s="9" t="s">
        <v>1733</v>
      </c>
      <c r="AE11" s="9" t="s">
        <v>824</v>
      </c>
      <c r="AL11" s="40"/>
      <c r="AU11" t="s">
        <v>946</v>
      </c>
      <c r="AV11" t="s">
        <v>939</v>
      </c>
    </row>
    <row r="12" spans="1:50" x14ac:dyDescent="0.25">
      <c r="A12" s="9"/>
      <c r="C12" s="9"/>
      <c r="D12" s="9" t="s">
        <v>71</v>
      </c>
      <c r="E12" t="s">
        <v>1856</v>
      </c>
      <c r="F12" s="9" t="s">
        <v>1791</v>
      </c>
      <c r="G12" s="9"/>
      <c r="I12" s="9" t="s">
        <v>1727</v>
      </c>
      <c r="J12" s="9" t="s">
        <v>258</v>
      </c>
      <c r="K12" s="9" t="s">
        <v>816</v>
      </c>
      <c r="N12" s="9" t="s">
        <v>1748</v>
      </c>
      <c r="O12" s="9" t="s">
        <v>91</v>
      </c>
      <c r="P12" s="9" t="s">
        <v>168</v>
      </c>
      <c r="S12" s="9" t="s">
        <v>184</v>
      </c>
      <c r="T12" s="9" t="s">
        <v>1815</v>
      </c>
      <c r="U12" s="9" t="s">
        <v>262</v>
      </c>
      <c r="Y12" s="9" t="s">
        <v>128</v>
      </c>
      <c r="Z12" s="9" t="s">
        <v>126</v>
      </c>
      <c r="AD12" s="9" t="s">
        <v>1730</v>
      </c>
      <c r="AE12" s="9" t="s">
        <v>240</v>
      </c>
      <c r="AL12" s="40"/>
      <c r="AU12" t="s">
        <v>933</v>
      </c>
      <c r="AV12" t="s">
        <v>716</v>
      </c>
    </row>
    <row r="13" spans="1:50" x14ac:dyDescent="0.25">
      <c r="A13" s="9"/>
      <c r="C13" s="9"/>
      <c r="D13" s="9" t="s">
        <v>164</v>
      </c>
      <c r="E13" s="9" t="s">
        <v>1782</v>
      </c>
      <c r="F13" s="9" t="s">
        <v>832</v>
      </c>
      <c r="G13" s="9"/>
      <c r="I13" s="9" t="s">
        <v>1739</v>
      </c>
      <c r="J13" s="9" t="s">
        <v>739</v>
      </c>
      <c r="K13" s="9" t="s">
        <v>1506</v>
      </c>
      <c r="N13" s="9" t="s">
        <v>245</v>
      </c>
      <c r="O13" s="9" t="s">
        <v>159</v>
      </c>
      <c r="P13" s="9" t="s">
        <v>93</v>
      </c>
      <c r="S13" s="9" t="s">
        <v>736</v>
      </c>
      <c r="T13" s="9" t="s">
        <v>831</v>
      </c>
      <c r="U13" s="9" t="s">
        <v>104</v>
      </c>
      <c r="Y13" s="9" t="s">
        <v>111</v>
      </c>
      <c r="Z13" s="9" t="s">
        <v>154</v>
      </c>
      <c r="AD13" s="9" t="s">
        <v>150</v>
      </c>
      <c r="AE13" s="228" t="s">
        <v>1497</v>
      </c>
      <c r="AL13" s="40"/>
      <c r="AU13" t="s">
        <v>932</v>
      </c>
      <c r="AV13" t="s">
        <v>717</v>
      </c>
    </row>
    <row r="14" spans="1:50" x14ac:dyDescent="0.25">
      <c r="A14" s="9"/>
      <c r="C14" s="9"/>
      <c r="D14" s="9" t="s">
        <v>129</v>
      </c>
      <c r="E14" s="9" t="s">
        <v>211</v>
      </c>
      <c r="F14" s="9" t="s">
        <v>827</v>
      </c>
      <c r="G14" s="9"/>
      <c r="I14" s="9" t="s">
        <v>1707</v>
      </c>
      <c r="J14" s="9" t="s">
        <v>1725</v>
      </c>
      <c r="K14" s="9" t="s">
        <v>82</v>
      </c>
      <c r="N14" s="9" t="s">
        <v>1741</v>
      </c>
      <c r="O14" s="9" t="s">
        <v>189</v>
      </c>
      <c r="P14" s="9" t="s">
        <v>270</v>
      </c>
      <c r="S14" s="9" t="s">
        <v>102</v>
      </c>
      <c r="T14" s="9" t="s">
        <v>1774</v>
      </c>
      <c r="U14" s="9" t="s">
        <v>124</v>
      </c>
      <c r="Y14" s="9" t="s">
        <v>820</v>
      </c>
      <c r="Z14" s="9" t="s">
        <v>798</v>
      </c>
      <c r="AD14" s="9" t="s">
        <v>1738</v>
      </c>
      <c r="AE14" s="9" t="s">
        <v>165</v>
      </c>
      <c r="AL14" s="40"/>
      <c r="AM14" s="40"/>
      <c r="AU14" t="s">
        <v>935</v>
      </c>
      <c r="AV14" t="s">
        <v>718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87</v>
      </c>
      <c r="P15" s="9" t="s">
        <v>96</v>
      </c>
      <c r="S15" s="9" t="s">
        <v>1769</v>
      </c>
      <c r="T15" s="9" t="s">
        <v>1232</v>
      </c>
      <c r="U15" s="9" t="s">
        <v>1259</v>
      </c>
      <c r="Y15" s="9" t="s">
        <v>799</v>
      </c>
      <c r="Z15" s="9" t="s">
        <v>1761</v>
      </c>
      <c r="AD15" s="9" t="s">
        <v>1771</v>
      </c>
      <c r="AE15" s="9" t="s">
        <v>1732</v>
      </c>
      <c r="AL15" s="40"/>
      <c r="AM15" s="40"/>
      <c r="AP15" s="40"/>
      <c r="AU15" t="s">
        <v>934</v>
      </c>
      <c r="AV15" t="s">
        <v>747</v>
      </c>
    </row>
    <row r="16" spans="1:50" x14ac:dyDescent="0.25">
      <c r="A16" s="9"/>
      <c r="C16" s="9"/>
      <c r="D16" s="9" t="s">
        <v>1770</v>
      </c>
      <c r="E16" s="9" t="s">
        <v>815</v>
      </c>
      <c r="F16" s="9" t="s">
        <v>195</v>
      </c>
      <c r="G16" s="9"/>
      <c r="I16" s="9" t="s">
        <v>840</v>
      </c>
      <c r="J16" s="9" t="s">
        <v>1708</v>
      </c>
      <c r="K16" s="9" t="s">
        <v>1744</v>
      </c>
      <c r="N16" s="9" t="s">
        <v>130</v>
      </c>
      <c r="O16" s="9" t="s">
        <v>247</v>
      </c>
      <c r="P16" s="9" t="s">
        <v>203</v>
      </c>
      <c r="S16" s="9" t="s">
        <v>169</v>
      </c>
      <c r="T16" s="9" t="s">
        <v>1524</v>
      </c>
      <c r="U16" s="9" t="s">
        <v>1526</v>
      </c>
      <c r="Y16" s="9" t="s">
        <v>1750</v>
      </c>
      <c r="Z16" s="9" t="s">
        <v>1776</v>
      </c>
      <c r="AE16" s="9" t="s">
        <v>837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759</v>
      </c>
      <c r="E17" s="9" t="s">
        <v>19</v>
      </c>
      <c r="F17" s="9" t="s">
        <v>131</v>
      </c>
      <c r="G17" s="9"/>
      <c r="I17" s="9" t="s">
        <v>1772</v>
      </c>
      <c r="J17" s="9" t="s">
        <v>1775</v>
      </c>
      <c r="K17" s="9" t="s">
        <v>1751</v>
      </c>
      <c r="N17" s="9" t="s">
        <v>1710</v>
      </c>
      <c r="O17" s="9" t="s">
        <v>845</v>
      </c>
      <c r="P17" s="9" t="s">
        <v>187</v>
      </c>
      <c r="S17" s="9" t="s">
        <v>242</v>
      </c>
      <c r="T17" s="9" t="s">
        <v>844</v>
      </c>
      <c r="U17" s="9" t="s">
        <v>744</v>
      </c>
      <c r="Z17" s="9" t="s">
        <v>846</v>
      </c>
      <c r="AE17" s="9" t="s">
        <v>254</v>
      </c>
      <c r="AV17" t="s">
        <v>256</v>
      </c>
    </row>
    <row r="18" spans="1:48" x14ac:dyDescent="0.25">
      <c r="A18" s="9"/>
      <c r="C18" s="9"/>
      <c r="D18" s="9" t="s">
        <v>1749</v>
      </c>
      <c r="E18" s="9" t="s">
        <v>153</v>
      </c>
      <c r="F18" s="9" t="s">
        <v>199</v>
      </c>
      <c r="G18" s="9"/>
      <c r="I18" s="9" t="s">
        <v>183</v>
      </c>
      <c r="J18" s="9" t="s">
        <v>811</v>
      </c>
      <c r="K18" s="9" t="s">
        <v>1783</v>
      </c>
      <c r="N18" s="9" t="s">
        <v>1755</v>
      </c>
      <c r="O18" s="9" t="s">
        <v>1779</v>
      </c>
      <c r="P18" s="9" t="s">
        <v>132</v>
      </c>
      <c r="S18" s="9" t="s">
        <v>809</v>
      </c>
      <c r="T18" s="9" t="s">
        <v>98</v>
      </c>
      <c r="U18" s="9" t="s">
        <v>836</v>
      </c>
      <c r="Z18" t="s">
        <v>1789</v>
      </c>
      <c r="AE18" s="229" t="s">
        <v>743</v>
      </c>
      <c r="AV18" t="s">
        <v>262</v>
      </c>
    </row>
    <row r="19" spans="1:48" x14ac:dyDescent="0.25">
      <c r="A19" s="9"/>
      <c r="C19" s="9"/>
      <c r="D19" s="9" t="s">
        <v>66</v>
      </c>
      <c r="E19" s="9" t="s">
        <v>1717</v>
      </c>
      <c r="F19" s="9" t="s">
        <v>1752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92</v>
      </c>
      <c r="P19" s="9" t="s">
        <v>833</v>
      </c>
      <c r="T19" s="9" t="s">
        <v>99</v>
      </c>
      <c r="U19" s="9" t="s">
        <v>225</v>
      </c>
      <c r="Z19" s="9" t="s">
        <v>1766</v>
      </c>
      <c r="AV19" t="s">
        <v>74</v>
      </c>
    </row>
    <row r="20" spans="1:48" x14ac:dyDescent="0.25">
      <c r="A20" s="9"/>
      <c r="C20" s="9"/>
      <c r="D20" s="9" t="s">
        <v>227</v>
      </c>
      <c r="E20" s="9" t="s">
        <v>67</v>
      </c>
      <c r="F20" s="9" t="s">
        <v>188</v>
      </c>
      <c r="G20" s="9"/>
      <c r="I20" s="9" t="s">
        <v>1720</v>
      </c>
      <c r="J20" s="9" t="s">
        <v>841</v>
      </c>
      <c r="K20" s="9" t="s">
        <v>1801</v>
      </c>
      <c r="N20" s="9" t="s">
        <v>1700</v>
      </c>
      <c r="O20" s="9" t="s">
        <v>1737</v>
      </c>
      <c r="P20" s="9" t="s">
        <v>1778</v>
      </c>
      <c r="T20" s="9" t="s">
        <v>22</v>
      </c>
      <c r="U20" s="9" t="s">
        <v>190</v>
      </c>
      <c r="AV20" t="s">
        <v>753</v>
      </c>
    </row>
    <row r="21" spans="1:48" x14ac:dyDescent="0.25">
      <c r="A21" s="9"/>
      <c r="C21" s="9"/>
      <c r="D21" s="9" t="s">
        <v>73</v>
      </c>
      <c r="E21" s="9" t="s">
        <v>235</v>
      </c>
      <c r="F21" s="9" t="s">
        <v>64</v>
      </c>
      <c r="G21" s="9"/>
      <c r="J21" s="9" t="s">
        <v>750</v>
      </c>
      <c r="K21" s="9" t="s">
        <v>1830</v>
      </c>
      <c r="N21" s="9" t="s">
        <v>119</v>
      </c>
      <c r="O21" s="9" t="s">
        <v>812</v>
      </c>
      <c r="P21" s="9" t="s">
        <v>1711</v>
      </c>
      <c r="T21" s="9" t="s">
        <v>808</v>
      </c>
      <c r="U21" s="9" t="s">
        <v>170</v>
      </c>
      <c r="AV21" t="s">
        <v>755</v>
      </c>
    </row>
    <row r="22" spans="1:48" x14ac:dyDescent="0.25">
      <c r="A22" s="9"/>
      <c r="C22" s="9"/>
      <c r="D22" s="9" t="s">
        <v>216</v>
      </c>
      <c r="E22" s="9"/>
      <c r="F22" s="9" t="s">
        <v>271</v>
      </c>
      <c r="J22" s="9" t="s">
        <v>24</v>
      </c>
      <c r="K22" s="9" t="s">
        <v>1724</v>
      </c>
      <c r="N22" s="9" t="s">
        <v>161</v>
      </c>
      <c r="O22" s="9" t="s">
        <v>246</v>
      </c>
      <c r="P22" t="s">
        <v>1490</v>
      </c>
      <c r="T22" s="9" t="s">
        <v>231</v>
      </c>
      <c r="U22" s="9" t="s">
        <v>1804</v>
      </c>
      <c r="AV22" t="s">
        <v>757</v>
      </c>
    </row>
    <row r="23" spans="1:48" x14ac:dyDescent="0.25">
      <c r="A23" s="9"/>
      <c r="C23" s="9"/>
      <c r="D23" s="9" t="s">
        <v>814</v>
      </c>
      <c r="E23" s="9"/>
      <c r="F23" s="9" t="s">
        <v>741</v>
      </c>
      <c r="J23" s="9" t="s">
        <v>23</v>
      </c>
      <c r="K23" s="9" t="s">
        <v>127</v>
      </c>
      <c r="N23" s="9" t="s">
        <v>220</v>
      </c>
      <c r="O23" s="9" t="s">
        <v>842</v>
      </c>
      <c r="P23" s="9" t="s">
        <v>1753</v>
      </c>
      <c r="T23" s="9" t="s">
        <v>1747</v>
      </c>
      <c r="U23" s="9" t="s">
        <v>261</v>
      </c>
      <c r="AV23" t="s">
        <v>756</v>
      </c>
    </row>
    <row r="24" spans="1:48" x14ac:dyDescent="0.25">
      <c r="A24" s="9"/>
      <c r="B24" s="9"/>
      <c r="C24" s="9"/>
      <c r="D24" s="9"/>
      <c r="E24" s="9"/>
      <c r="F24" s="9" t="s">
        <v>749</v>
      </c>
      <c r="J24" s="9" t="s">
        <v>123</v>
      </c>
      <c r="K24" s="9" t="s">
        <v>76</v>
      </c>
      <c r="O24" s="9" t="s">
        <v>851</v>
      </c>
      <c r="P24" s="9" t="s">
        <v>209</v>
      </c>
      <c r="T24" s="9" t="s">
        <v>1712</v>
      </c>
      <c r="U24" s="9" t="s">
        <v>260</v>
      </c>
      <c r="AQ24" s="9"/>
      <c r="AV24" t="s">
        <v>758</v>
      </c>
    </row>
    <row r="25" spans="1:48" x14ac:dyDescent="0.25">
      <c r="A25" s="9"/>
      <c r="B25" s="9"/>
      <c r="C25" s="9"/>
      <c r="D25" s="9"/>
      <c r="E25" s="9"/>
      <c r="F25" s="9" t="s">
        <v>835</v>
      </c>
      <c r="K25" s="9" t="s">
        <v>226</v>
      </c>
      <c r="O25" s="9" t="s">
        <v>174</v>
      </c>
      <c r="P25" s="9" t="s">
        <v>253</v>
      </c>
      <c r="T25" s="9" t="s">
        <v>843</v>
      </c>
      <c r="U25" s="9" t="s">
        <v>181</v>
      </c>
      <c r="AQ25" s="9"/>
      <c r="AV25" t="s">
        <v>727</v>
      </c>
    </row>
    <row r="26" spans="1:48" x14ac:dyDescent="0.25">
      <c r="A26" s="9"/>
      <c r="B26" s="9"/>
      <c r="C26" s="9"/>
      <c r="D26" s="9"/>
      <c r="E26" s="9"/>
      <c r="F26" s="9" t="s">
        <v>805</v>
      </c>
      <c r="K26" s="9" t="s">
        <v>269</v>
      </c>
      <c r="P26" s="9" t="s">
        <v>830</v>
      </c>
      <c r="T26" s="9" t="s">
        <v>748</v>
      </c>
      <c r="U26" t="s">
        <v>1493</v>
      </c>
      <c r="AQ26" s="9"/>
      <c r="AV26" t="s">
        <v>745</v>
      </c>
    </row>
    <row r="27" spans="1:48" x14ac:dyDescent="0.25">
      <c r="A27" s="9"/>
      <c r="B27" s="9"/>
      <c r="C27" s="9"/>
      <c r="D27" s="9"/>
      <c r="E27" s="9"/>
      <c r="F27" s="9" t="s">
        <v>848</v>
      </c>
      <c r="K27" s="9" t="s">
        <v>268</v>
      </c>
      <c r="P27" s="9" t="s">
        <v>807</v>
      </c>
      <c r="T27" s="9" t="s">
        <v>1715</v>
      </c>
      <c r="U27" s="9" t="s">
        <v>1722</v>
      </c>
      <c r="AQ27" s="9"/>
      <c r="AV27" t="s">
        <v>1701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746</v>
      </c>
      <c r="T28" s="9" t="s">
        <v>182</v>
      </c>
      <c r="U28" s="9" t="s">
        <v>803</v>
      </c>
      <c r="AV28" t="s">
        <v>731</v>
      </c>
    </row>
    <row r="29" spans="1:48" x14ac:dyDescent="0.25">
      <c r="A29" s="9"/>
      <c r="C29" s="9"/>
      <c r="D29" s="9"/>
      <c r="E29" s="9"/>
      <c r="K29" s="9" t="s">
        <v>829</v>
      </c>
      <c r="P29" s="9" t="s">
        <v>826</v>
      </c>
      <c r="U29" s="9" t="s">
        <v>232</v>
      </c>
      <c r="AV29" t="s">
        <v>109</v>
      </c>
    </row>
    <row r="30" spans="1:48" x14ac:dyDescent="0.25">
      <c r="A30" s="9"/>
      <c r="C30" s="9"/>
      <c r="D30" s="9"/>
      <c r="E30" s="9"/>
      <c r="K30" s="9" t="s">
        <v>200</v>
      </c>
      <c r="P30" s="9" t="s">
        <v>1314</v>
      </c>
      <c r="U30" t="s">
        <v>1857</v>
      </c>
      <c r="AV30" t="s">
        <v>839</v>
      </c>
    </row>
    <row r="31" spans="1:48" x14ac:dyDescent="0.25">
      <c r="A31" s="9"/>
      <c r="C31" s="9"/>
      <c r="D31" s="9"/>
      <c r="E31" s="9"/>
      <c r="P31" s="9" t="s">
        <v>1767</v>
      </c>
      <c r="U31" s="9" t="s">
        <v>1768</v>
      </c>
      <c r="AV31" t="s">
        <v>1255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911</v>
      </c>
      <c r="AV32" t="s">
        <v>728</v>
      </c>
    </row>
    <row r="33" spans="1:48" x14ac:dyDescent="0.25">
      <c r="A33" s="9"/>
      <c r="C33" s="9"/>
      <c r="D33" s="9"/>
      <c r="E33" s="9"/>
      <c r="P33" s="9" t="s">
        <v>953</v>
      </c>
      <c r="U33" s="9" t="s">
        <v>249</v>
      </c>
      <c r="AV33" t="s">
        <v>719</v>
      </c>
    </row>
    <row r="34" spans="1:48" x14ac:dyDescent="0.25">
      <c r="A34" s="9"/>
      <c r="C34" s="9"/>
      <c r="D34" s="9"/>
      <c r="E34" s="9"/>
      <c r="U34" s="9" t="s">
        <v>1781</v>
      </c>
      <c r="AV34" t="s">
        <v>125</v>
      </c>
    </row>
    <row r="35" spans="1:48" x14ac:dyDescent="0.25">
      <c r="A35" s="9"/>
      <c r="C35" s="9"/>
      <c r="D35" s="9"/>
      <c r="E35" s="9"/>
      <c r="U35" s="9" t="s">
        <v>160</v>
      </c>
      <c r="AV35" t="s">
        <v>1514</v>
      </c>
    </row>
    <row r="36" spans="1:48" x14ac:dyDescent="0.25">
      <c r="A36" s="9"/>
      <c r="C36" s="9"/>
      <c r="D36" s="9"/>
      <c r="E36" s="9"/>
      <c r="U36" t="s">
        <v>1777</v>
      </c>
      <c r="AV36" t="s">
        <v>1544</v>
      </c>
    </row>
    <row r="37" spans="1:48" x14ac:dyDescent="0.25">
      <c r="A37" s="9"/>
      <c r="C37" s="9"/>
      <c r="D37" s="9"/>
      <c r="E37" s="9"/>
      <c r="U37" s="9" t="s">
        <v>804</v>
      </c>
      <c r="AV37" t="s">
        <v>75</v>
      </c>
    </row>
    <row r="38" spans="1:48" x14ac:dyDescent="0.25">
      <c r="A38" s="9"/>
      <c r="C38" s="9"/>
      <c r="D38" s="9"/>
      <c r="E38" s="9"/>
      <c r="U38" s="9" t="s">
        <v>133</v>
      </c>
      <c r="AV38" t="s">
        <v>1851</v>
      </c>
    </row>
    <row r="39" spans="1:48" x14ac:dyDescent="0.25">
      <c r="A39" s="9"/>
      <c r="C39" s="9"/>
      <c r="D39" s="9"/>
      <c r="E39" s="9"/>
      <c r="U39" s="9" t="s">
        <v>134</v>
      </c>
      <c r="AV39" t="s">
        <v>1526</v>
      </c>
    </row>
    <row r="40" spans="1:48" x14ac:dyDescent="0.25">
      <c r="A40" s="9"/>
      <c r="C40" s="9"/>
      <c r="D40" s="9"/>
      <c r="E40" s="9"/>
      <c r="U40" s="9" t="s">
        <v>819</v>
      </c>
      <c r="AV40" t="s">
        <v>1524</v>
      </c>
    </row>
    <row r="41" spans="1:48" x14ac:dyDescent="0.25">
      <c r="A41" s="9"/>
      <c r="C41" s="9"/>
      <c r="D41" s="9"/>
      <c r="E41" s="9"/>
      <c r="U41" s="9" t="s">
        <v>171</v>
      </c>
      <c r="AV41" t="s">
        <v>744</v>
      </c>
    </row>
    <row r="42" spans="1:48" x14ac:dyDescent="0.25">
      <c r="A42" s="9"/>
      <c r="C42" s="9"/>
      <c r="D42" s="9"/>
      <c r="AV42" t="s">
        <v>844</v>
      </c>
    </row>
    <row r="43" spans="1:48" x14ac:dyDescent="0.25">
      <c r="A43" s="9"/>
      <c r="C43" s="9"/>
      <c r="D43" s="9"/>
      <c r="AV43" t="s">
        <v>1858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1784</v>
      </c>
    </row>
    <row r="46" spans="1:48" x14ac:dyDescent="0.25">
      <c r="A46" s="9"/>
      <c r="C46" s="9"/>
      <c r="D46" s="9"/>
      <c r="AV46" t="s">
        <v>252</v>
      </c>
    </row>
    <row r="47" spans="1:48" x14ac:dyDescent="0.25">
      <c r="A47" s="9"/>
      <c r="C47" s="9"/>
      <c r="D47" s="9"/>
      <c r="AV47" t="s">
        <v>225</v>
      </c>
    </row>
    <row r="48" spans="1:48" x14ac:dyDescent="0.25">
      <c r="A48" s="9"/>
      <c r="C48" s="9"/>
      <c r="D48" s="9"/>
      <c r="AV48" t="s">
        <v>263</v>
      </c>
    </row>
    <row r="49" spans="1:48" x14ac:dyDescent="0.25">
      <c r="A49" s="9"/>
      <c r="C49" s="9"/>
      <c r="D49" s="9"/>
      <c r="AV49" t="s">
        <v>1818</v>
      </c>
    </row>
    <row r="50" spans="1:48" x14ac:dyDescent="0.25">
      <c r="A50" s="9"/>
      <c r="C50" s="9"/>
      <c r="D50" s="9"/>
      <c r="AV50" t="s">
        <v>266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1790</v>
      </c>
    </row>
    <row r="53" spans="1:48" x14ac:dyDescent="0.25">
      <c r="A53" s="9"/>
      <c r="C53" s="9"/>
      <c r="D53" s="9"/>
      <c r="AV53" t="s">
        <v>194</v>
      </c>
    </row>
    <row r="54" spans="1:48" x14ac:dyDescent="0.25">
      <c r="A54" s="9"/>
      <c r="C54" s="9"/>
      <c r="D54" s="9"/>
      <c r="AV54" t="s">
        <v>765</v>
      </c>
    </row>
    <row r="55" spans="1:48" x14ac:dyDescent="0.25">
      <c r="A55" s="9"/>
      <c r="C55" s="9"/>
      <c r="D55" s="9"/>
      <c r="AV55" t="s">
        <v>768</v>
      </c>
    </row>
    <row r="56" spans="1:48" x14ac:dyDescent="0.25">
      <c r="A56" s="9"/>
      <c r="C56" s="9"/>
      <c r="D56" s="9"/>
      <c r="AV56" t="s">
        <v>769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764</v>
      </c>
    </row>
    <row r="59" spans="1:48" x14ac:dyDescent="0.25">
      <c r="A59" s="9"/>
      <c r="C59" s="9"/>
      <c r="D59" s="9"/>
      <c r="AV59" t="s">
        <v>767</v>
      </c>
    </row>
    <row r="60" spans="1:48" x14ac:dyDescent="0.25">
      <c r="A60" s="9"/>
      <c r="C60" s="9"/>
      <c r="D60" s="9"/>
      <c r="AV60" t="s">
        <v>770</v>
      </c>
    </row>
    <row r="61" spans="1:48" x14ac:dyDescent="0.25">
      <c r="A61" s="9"/>
      <c r="C61" s="9"/>
      <c r="D61" s="9"/>
      <c r="AV61" t="s">
        <v>854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732</v>
      </c>
    </row>
    <row r="64" spans="1:48" x14ac:dyDescent="0.25">
      <c r="C64" s="9"/>
      <c r="D64" s="9"/>
      <c r="AV64" t="s">
        <v>270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265</v>
      </c>
    </row>
    <row r="67" spans="3:48" x14ac:dyDescent="0.25">
      <c r="C67" s="9"/>
      <c r="D67" s="9"/>
      <c r="AV67" t="s">
        <v>259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797</v>
      </c>
    </row>
    <row r="70" spans="3:48" x14ac:dyDescent="0.25">
      <c r="D70" s="9"/>
      <c r="AV70" t="s">
        <v>734</v>
      </c>
    </row>
    <row r="71" spans="3:48" x14ac:dyDescent="0.25">
      <c r="AV71" t="s">
        <v>257</v>
      </c>
    </row>
    <row r="72" spans="3:48" x14ac:dyDescent="0.25">
      <c r="AV72" t="s">
        <v>105</v>
      </c>
    </row>
    <row r="73" spans="3:48" x14ac:dyDescent="0.25">
      <c r="AV73" t="s">
        <v>264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1242</v>
      </c>
    </row>
    <row r="77" spans="3:48" x14ac:dyDescent="0.25">
      <c r="AV77" t="s">
        <v>77</v>
      </c>
    </row>
    <row r="78" spans="3:48" x14ac:dyDescent="0.25">
      <c r="AV78" t="s">
        <v>723</v>
      </c>
    </row>
    <row r="79" spans="3:48" x14ac:dyDescent="0.25">
      <c r="AV79" t="s">
        <v>261</v>
      </c>
    </row>
    <row r="80" spans="3:48" x14ac:dyDescent="0.25">
      <c r="AV80" t="s">
        <v>260</v>
      </c>
    </row>
    <row r="81" spans="48:48" x14ac:dyDescent="0.25">
      <c r="AV81" t="s">
        <v>725</v>
      </c>
    </row>
    <row r="82" spans="48:48" x14ac:dyDescent="0.25">
      <c r="AV82" t="s">
        <v>63</v>
      </c>
    </row>
    <row r="83" spans="48:48" x14ac:dyDescent="0.25">
      <c r="AV83" t="s">
        <v>267</v>
      </c>
    </row>
    <row r="84" spans="48:48" x14ac:dyDescent="0.25">
      <c r="AV84" t="s">
        <v>68</v>
      </c>
    </row>
    <row r="85" spans="48:48" x14ac:dyDescent="0.25">
      <c r="AV85" t="s">
        <v>962</v>
      </c>
    </row>
    <row r="86" spans="48:48" x14ac:dyDescent="0.25">
      <c r="AV86" t="s">
        <v>181</v>
      </c>
    </row>
    <row r="87" spans="48:48" x14ac:dyDescent="0.25">
      <c r="AV87" t="s">
        <v>1493</v>
      </c>
    </row>
    <row r="88" spans="48:48" x14ac:dyDescent="0.25">
      <c r="AV88" t="s">
        <v>114</v>
      </c>
    </row>
    <row r="89" spans="48:48" x14ac:dyDescent="0.25">
      <c r="AV89" t="s">
        <v>304</v>
      </c>
    </row>
    <row r="90" spans="48:48" x14ac:dyDescent="0.25">
      <c r="AV90" t="s">
        <v>951</v>
      </c>
    </row>
    <row r="91" spans="48:48" x14ac:dyDescent="0.25">
      <c r="AV91" t="s">
        <v>258</v>
      </c>
    </row>
    <row r="92" spans="48:48" x14ac:dyDescent="0.25">
      <c r="AV92" t="s">
        <v>1497</v>
      </c>
    </row>
    <row r="93" spans="48:48" x14ac:dyDescent="0.25">
      <c r="AV93" t="s">
        <v>818</v>
      </c>
    </row>
    <row r="94" spans="48:48" x14ac:dyDescent="0.25">
      <c r="AV94" t="s">
        <v>738</v>
      </c>
    </row>
    <row r="95" spans="48:48" x14ac:dyDescent="0.25">
      <c r="AV95" t="s">
        <v>1778</v>
      </c>
    </row>
    <row r="96" spans="48:48" x14ac:dyDescent="0.25">
      <c r="AV96" t="s">
        <v>1856</v>
      </c>
    </row>
    <row r="97" spans="48:48" x14ac:dyDescent="0.25">
      <c r="AV97" t="s">
        <v>1782</v>
      </c>
    </row>
    <row r="98" spans="48:48" x14ac:dyDescent="0.25">
      <c r="AV98" t="s">
        <v>739</v>
      </c>
    </row>
    <row r="99" spans="48:48" x14ac:dyDescent="0.25">
      <c r="AV99" t="s">
        <v>1506</v>
      </c>
    </row>
    <row r="100" spans="48:48" x14ac:dyDescent="0.25">
      <c r="AV100" t="s">
        <v>1780</v>
      </c>
    </row>
    <row r="101" spans="48:48" x14ac:dyDescent="0.25">
      <c r="AV101" t="s">
        <v>131</v>
      </c>
    </row>
    <row r="102" spans="48:48" x14ac:dyDescent="0.25">
      <c r="AV102" t="s">
        <v>1792</v>
      </c>
    </row>
    <row r="103" spans="48:48" x14ac:dyDescent="0.25">
      <c r="AV103" t="s">
        <v>1793</v>
      </c>
    </row>
    <row r="104" spans="48:48" x14ac:dyDescent="0.25">
      <c r="AV104" t="s">
        <v>1490</v>
      </c>
    </row>
    <row r="105" spans="48:48" x14ac:dyDescent="0.25">
      <c r="AV105" t="s">
        <v>1783</v>
      </c>
    </row>
    <row r="106" spans="48:48" x14ac:dyDescent="0.25">
      <c r="AV106" t="s">
        <v>1197</v>
      </c>
    </row>
    <row r="107" spans="48:48" x14ac:dyDescent="0.25">
      <c r="AV107" t="s">
        <v>70</v>
      </c>
    </row>
    <row r="108" spans="48:48" x14ac:dyDescent="0.25">
      <c r="AV108" t="s">
        <v>925</v>
      </c>
    </row>
    <row r="109" spans="48:48" x14ac:dyDescent="0.25">
      <c r="AV109" t="s">
        <v>91</v>
      </c>
    </row>
    <row r="110" spans="48:48" x14ac:dyDescent="0.25">
      <c r="AV110" t="s">
        <v>159</v>
      </c>
    </row>
    <row r="111" spans="48:48" x14ac:dyDescent="0.25">
      <c r="AV111" t="s">
        <v>232</v>
      </c>
    </row>
    <row r="112" spans="48:48" x14ac:dyDescent="0.25">
      <c r="AV112" t="s">
        <v>1857</v>
      </c>
    </row>
    <row r="113" spans="48:48" x14ac:dyDescent="0.25">
      <c r="AV113" t="s">
        <v>253</v>
      </c>
    </row>
    <row r="114" spans="48:48" x14ac:dyDescent="0.25">
      <c r="AV114" t="s">
        <v>952</v>
      </c>
    </row>
    <row r="115" spans="48:48" x14ac:dyDescent="0.25">
      <c r="AV115" t="s">
        <v>838</v>
      </c>
    </row>
    <row r="116" spans="48:48" x14ac:dyDescent="0.25">
      <c r="AV116" t="s">
        <v>110</v>
      </c>
    </row>
    <row r="117" spans="48:48" x14ac:dyDescent="0.25">
      <c r="AV117" t="s">
        <v>271</v>
      </c>
    </row>
    <row r="118" spans="48:48" x14ac:dyDescent="0.25">
      <c r="AV118" t="s">
        <v>760</v>
      </c>
    </row>
    <row r="119" spans="48:48" x14ac:dyDescent="0.25">
      <c r="AV119" t="s">
        <v>741</v>
      </c>
    </row>
    <row r="120" spans="48:48" x14ac:dyDescent="0.25">
      <c r="AV120" t="s">
        <v>759</v>
      </c>
    </row>
    <row r="121" spans="48:48" x14ac:dyDescent="0.25">
      <c r="AV121" t="s">
        <v>754</v>
      </c>
    </row>
    <row r="122" spans="48:48" x14ac:dyDescent="0.25">
      <c r="AV122" t="s">
        <v>81</v>
      </c>
    </row>
    <row r="123" spans="48:48" x14ac:dyDescent="0.25">
      <c r="AV123" t="s">
        <v>116</v>
      </c>
    </row>
    <row r="124" spans="48:48" x14ac:dyDescent="0.25">
      <c r="AV124" t="s">
        <v>87</v>
      </c>
    </row>
    <row r="125" spans="48:48" x14ac:dyDescent="0.25">
      <c r="AV125" t="s">
        <v>1724</v>
      </c>
    </row>
    <row r="126" spans="48:48" x14ac:dyDescent="0.25">
      <c r="AV126" t="s">
        <v>100</v>
      </c>
    </row>
    <row r="127" spans="48:48" x14ac:dyDescent="0.25">
      <c r="AV127" t="s">
        <v>1781</v>
      </c>
    </row>
    <row r="128" spans="48:48" x14ac:dyDescent="0.25">
      <c r="AV128" t="s">
        <v>67</v>
      </c>
    </row>
    <row r="129" spans="48:48" x14ac:dyDescent="0.25">
      <c r="AV129" t="s">
        <v>749</v>
      </c>
    </row>
    <row r="130" spans="48:48" x14ac:dyDescent="0.25">
      <c r="AV130" t="s">
        <v>746</v>
      </c>
    </row>
    <row r="131" spans="48:48" x14ac:dyDescent="0.25">
      <c r="AV131" t="s">
        <v>841</v>
      </c>
    </row>
    <row r="132" spans="48:48" x14ac:dyDescent="0.25">
      <c r="AV132" t="s">
        <v>735</v>
      </c>
    </row>
    <row r="133" spans="48:48" x14ac:dyDescent="0.25">
      <c r="AV133" t="s">
        <v>127</v>
      </c>
    </row>
    <row r="134" spans="48:48" x14ac:dyDescent="0.25">
      <c r="AV134" t="s">
        <v>845</v>
      </c>
    </row>
    <row r="135" spans="48:48" x14ac:dyDescent="0.25">
      <c r="AV135" t="s">
        <v>1779</v>
      </c>
    </row>
    <row r="136" spans="48:48" x14ac:dyDescent="0.25">
      <c r="AV136" t="s">
        <v>92</v>
      </c>
    </row>
    <row r="137" spans="48:48" x14ac:dyDescent="0.25">
      <c r="AV137" t="s">
        <v>1314</v>
      </c>
    </row>
    <row r="138" spans="48:48" x14ac:dyDescent="0.25">
      <c r="AV138" t="s">
        <v>748</v>
      </c>
    </row>
    <row r="139" spans="48:48" x14ac:dyDescent="0.25">
      <c r="AV139" t="s">
        <v>76</v>
      </c>
    </row>
    <row r="140" spans="48:48" x14ac:dyDescent="0.25">
      <c r="AV140" t="s">
        <v>254</v>
      </c>
    </row>
    <row r="141" spans="48:48" x14ac:dyDescent="0.25">
      <c r="AV141" t="s">
        <v>246</v>
      </c>
    </row>
    <row r="142" spans="48:48" x14ac:dyDescent="0.25">
      <c r="AV142" t="s">
        <v>842</v>
      </c>
    </row>
    <row r="143" spans="48:48" x14ac:dyDescent="0.25">
      <c r="AV143" t="s">
        <v>226</v>
      </c>
    </row>
    <row r="144" spans="48:48" x14ac:dyDescent="0.25">
      <c r="AV144" t="s">
        <v>136</v>
      </c>
    </row>
    <row r="145" spans="48:48" x14ac:dyDescent="0.25">
      <c r="AV145" t="s">
        <v>118</v>
      </c>
    </row>
    <row r="146" spans="48:48" x14ac:dyDescent="0.25">
      <c r="AV146" t="s">
        <v>750</v>
      </c>
    </row>
    <row r="147" spans="48:48" x14ac:dyDescent="0.25">
      <c r="AV147" t="s">
        <v>846</v>
      </c>
    </row>
    <row r="148" spans="48:48" x14ac:dyDescent="0.25">
      <c r="AV148" t="s">
        <v>119</v>
      </c>
    </row>
    <row r="149" spans="48:48" x14ac:dyDescent="0.25">
      <c r="AV149" t="s">
        <v>851</v>
      </c>
    </row>
    <row r="150" spans="48:48" x14ac:dyDescent="0.25">
      <c r="AV150" t="s">
        <v>720</v>
      </c>
    </row>
    <row r="151" spans="48:48" x14ac:dyDescent="0.25">
      <c r="AV151" t="s">
        <v>743</v>
      </c>
    </row>
    <row r="152" spans="48:48" x14ac:dyDescent="0.25">
      <c r="AV152" t="s">
        <v>740</v>
      </c>
    </row>
    <row r="153" spans="48:48" x14ac:dyDescent="0.25">
      <c r="AV153" t="s">
        <v>269</v>
      </c>
    </row>
    <row r="154" spans="48:48" x14ac:dyDescent="0.25">
      <c r="AV154" t="s">
        <v>268</v>
      </c>
    </row>
    <row r="155" spans="48:48" x14ac:dyDescent="0.25">
      <c r="AV155" t="s">
        <v>97</v>
      </c>
    </row>
    <row r="156" spans="48:48" x14ac:dyDescent="0.25">
      <c r="AV156" t="s">
        <v>95</v>
      </c>
    </row>
    <row r="157" spans="48:48" x14ac:dyDescent="0.25">
      <c r="AV157" t="s">
        <v>847</v>
      </c>
    </row>
    <row r="158" spans="48:48" x14ac:dyDescent="0.25">
      <c r="AV158" t="s">
        <v>953</v>
      </c>
    </row>
    <row r="159" spans="48:48" x14ac:dyDescent="0.25">
      <c r="AV159" t="s">
        <v>1789</v>
      </c>
    </row>
  </sheetData>
  <sortState ref="AV2:AV159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18663F-A9FA-4463-8D6B-479AFCAF2E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39</vt:i4>
      </vt:variant>
    </vt:vector>
  </HeadingPairs>
  <TitlesOfParts>
    <vt:vector size="65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2021-10-29T14:54:47Z</dcterms:modified>
</cp:coreProperties>
</file>