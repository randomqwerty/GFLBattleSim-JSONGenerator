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515705DA-3CD8-4812-9088-9A5ACEACF2BB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Mapwide Buffs" sheetId="48" r:id="rId2"/>
    <sheet name="TargetTrain Lists" sheetId="47" r:id="rId3"/>
    <sheet name="Preset Teams" sheetId="28" r:id="rId4"/>
    <sheet name="Preset Teams SF" sheetId="46" r:id="rId5"/>
    <sheet name="Doll" sheetId="7" r:id="rId6"/>
    <sheet name="Equip" sheetId="12" r:id="rId7"/>
    <sheet name="Fairy" sheetId="13" r:id="rId8"/>
    <sheet name="HOC" sheetId="26" r:id="rId9"/>
    <sheet name="SF" sheetId="33" r:id="rId10"/>
    <sheet name="SF Chip" sheetId="42" r:id="rId11"/>
    <sheet name="SF Team" sheetId="43" r:id="rId12"/>
    <sheet name="Mission_Act_Info" sheetId="20" r:id="rId13"/>
    <sheet name="Spot_Act_Info_Day" sheetId="44" r:id="rId14"/>
    <sheet name="Spot_Act_Info_Night" sheetId="45" r:id="rId15"/>
    <sheet name="GFBattleSimulator" sheetId="24" r:id="rId16"/>
    <sheet name="G&amp;K Stat Calc" sheetId="3" state="hidden" r:id="rId17"/>
    <sheet name="SF Stat Calc" sheetId="36" state="hidden" r:id="rId18"/>
    <sheet name="Fairy Data" sheetId="16" state="hidden" r:id="rId19"/>
    <sheet name="Talent Data" sheetId="17" state="hidden" r:id="rId20"/>
    <sheet name="Strat Buff Data" sheetId="27" state="hidden" r:id="rId21"/>
    <sheet name="Equip Data" sheetId="11" state="hidden" r:id="rId22"/>
    <sheet name="Doll Data" sheetId="4" state="hidden" r:id="rId23"/>
    <sheet name="SF Data" sheetId="29" state="hidden" r:id="rId24"/>
    <sheet name="SF Chip Data" sheetId="32" state="hidden" r:id="rId25"/>
    <sheet name="SF Resolution" sheetId="41" state="hidden" r:id="rId26"/>
    <sheet name="Exp Tables" sheetId="5" state="hidden" r:id="rId27"/>
    <sheet name="Misc Inputs" sheetId="18" state="hidden" r:id="rId28"/>
    <sheet name="Dropdowns" sheetId="2" state="hidden" r:id="rId29"/>
  </sheets>
  <definedNames>
    <definedName name="_xlnm._FilterDatabase" localSheetId="22" hidden="1">'Doll Data'!$A$1:$BD$429</definedName>
    <definedName name="_xlnm._FilterDatabase" localSheetId="21" hidden="1">'Equip Data'!$A$1:$AW$1</definedName>
    <definedName name="_xlnm._FilterDatabase" localSheetId="18" hidden="1">'Fairy Data'!$A$1:$K$38</definedName>
    <definedName name="_xlnm._FilterDatabase" localSheetId="1" hidden="1">'Mapwide Buffs'!$A$1:$F$187</definedName>
    <definedName name="_xlnm._FilterDatabase" localSheetId="3" hidden="1">'Preset Teams'!$AR$2:$AU$158</definedName>
    <definedName name="_xlnm._FilterDatabase" localSheetId="23" hidden="1">'SF Data'!$A$1:$BH$42</definedName>
    <definedName name="_xlnm._FilterDatabase" localSheetId="25" hidden="1">'SF Resolution'!$A$1:$X$245</definedName>
    <definedName name="_xlnm._FilterDatabase" localSheetId="19" hidden="1">'Talent Data'!$A$1:$C$18</definedName>
    <definedName name="BossHP">Main!$E$8</definedName>
    <definedName name="BuildingSelection">Main!$B$90:$C$92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Main!$B$84:$C$86</definedName>
    <definedName name="DebuffSL1">Main!$C$84</definedName>
    <definedName name="DebuffSL2">Main!$C$85</definedName>
    <definedName name="DebuffSL3">Main!$C$86</definedName>
    <definedName name="DollJSONPath">'Misc Inputs'!$C$36</definedName>
    <definedName name="EchelonInput">Main!$B$20:$AC$24</definedName>
    <definedName name="EchType">Main!$B$7</definedName>
    <definedName name="EnemyHPPercent">Main!$E$9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Main!$E$10</definedName>
    <definedName name="gunScript">'Misc Inputs'!$C$50</definedName>
    <definedName name="HOCJSONPath">'Misc Inputs'!$C$38</definedName>
    <definedName name="HOCSelection">Main!$A$55:$A$63</definedName>
    <definedName name="HOCSupport">Main!$E$11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Selection">Main!$A$69:$A$73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Main!$B$78:$C$80</definedName>
    <definedName name="StratSL1">Main!$C$78</definedName>
    <definedName name="StratSL2">Main!$C$79</definedName>
    <definedName name="StratSL3">Main!$C$80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1" i="26" l="1"/>
  <c r="C11" i="26" l="1"/>
  <c r="H2" i="48" l="1"/>
  <c r="H3" i="48" s="1"/>
  <c r="H4" i="48" s="1"/>
  <c r="H5" i="48" s="1"/>
  <c r="H6" i="48" s="1"/>
  <c r="H7" i="48" s="1"/>
  <c r="H8" i="48" s="1"/>
  <c r="H9" i="48" s="1"/>
  <c r="H10" i="48" s="1"/>
  <c r="H11" i="48" s="1"/>
  <c r="H12" i="48" s="1"/>
  <c r="H13" i="48" s="1"/>
  <c r="H14" i="48" s="1"/>
  <c r="H15" i="48" s="1"/>
  <c r="H16" i="48" s="1"/>
  <c r="H17" i="48" s="1"/>
  <c r="H18" i="48" s="1"/>
  <c r="H19" i="48" s="1"/>
  <c r="H20" i="48" s="1"/>
  <c r="H21" i="48" s="1"/>
  <c r="H22" i="48" s="1"/>
  <c r="H23" i="48" s="1"/>
  <c r="H24" i="48" s="1"/>
  <c r="H25" i="48" s="1"/>
  <c r="H26" i="48" s="1"/>
  <c r="H27" i="48" s="1"/>
  <c r="H28" i="48" s="1"/>
  <c r="H29" i="48" s="1"/>
  <c r="H30" i="48" s="1"/>
  <c r="H31" i="48" s="1"/>
  <c r="H32" i="48" s="1"/>
  <c r="H33" i="48" s="1"/>
  <c r="H34" i="48" s="1"/>
  <c r="H35" i="48" s="1"/>
  <c r="H36" i="48" s="1"/>
  <c r="H37" i="48" s="1"/>
  <c r="H38" i="48" s="1"/>
  <c r="H39" i="48" s="1"/>
  <c r="H40" i="48" s="1"/>
  <c r="H41" i="48" s="1"/>
  <c r="H42" i="48" s="1"/>
  <c r="H43" i="48" s="1"/>
  <c r="H44" i="48" s="1"/>
  <c r="H45" i="48" s="1"/>
  <c r="H46" i="48" s="1"/>
  <c r="H47" i="48" s="1"/>
  <c r="H48" i="48" s="1"/>
  <c r="H49" i="48" s="1"/>
  <c r="H50" i="48" s="1"/>
  <c r="H51" i="48" s="1"/>
  <c r="H52" i="48" s="1"/>
  <c r="H53" i="48" s="1"/>
  <c r="H54" i="48" s="1"/>
  <c r="H55" i="48" s="1"/>
  <c r="H56" i="48" s="1"/>
  <c r="H57" i="48" s="1"/>
  <c r="H58" i="48" s="1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H78" i="48" s="1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93" i="48" s="1"/>
  <c r="H94" i="48" s="1"/>
  <c r="H95" i="48" s="1"/>
  <c r="H96" i="48" s="1"/>
  <c r="H97" i="48" s="1"/>
  <c r="H98" i="48" s="1"/>
  <c r="H99" i="48" s="1"/>
  <c r="H100" i="48" s="1"/>
  <c r="H101" i="48" s="1"/>
  <c r="H102" i="48" s="1"/>
  <c r="H103" i="48" s="1"/>
  <c r="H104" i="48" s="1"/>
  <c r="H105" i="48" s="1"/>
  <c r="H106" i="48" s="1"/>
  <c r="H107" i="48" s="1"/>
  <c r="H108" i="48" s="1"/>
  <c r="H109" i="48" s="1"/>
  <c r="H110" i="48" s="1"/>
  <c r="H111" i="48" s="1"/>
  <c r="H112" i="48" s="1"/>
  <c r="H113" i="48" s="1"/>
  <c r="H114" i="48" s="1"/>
  <c r="H115" i="48" s="1"/>
  <c r="H116" i="48" s="1"/>
  <c r="H117" i="48" s="1"/>
  <c r="H118" i="48" s="1"/>
  <c r="H119" i="48" s="1"/>
  <c r="H120" i="48" s="1"/>
  <c r="H121" i="48" s="1"/>
  <c r="H122" i="48" s="1"/>
  <c r="H123" i="48" s="1"/>
  <c r="H124" i="48" s="1"/>
  <c r="H125" i="48" s="1"/>
  <c r="H126" i="48" s="1"/>
  <c r="H127" i="48" s="1"/>
  <c r="H128" i="48" s="1"/>
  <c r="H129" i="48" s="1"/>
  <c r="H130" i="48" s="1"/>
  <c r="H131" i="48" s="1"/>
  <c r="H132" i="48" s="1"/>
  <c r="H133" i="48" s="1"/>
  <c r="H134" i="48" s="1"/>
  <c r="H135" i="48" s="1"/>
  <c r="H136" i="48" s="1"/>
  <c r="H137" i="48" s="1"/>
  <c r="H138" i="48" s="1"/>
  <c r="H139" i="48" s="1"/>
  <c r="H140" i="48" s="1"/>
  <c r="H141" i="48" s="1"/>
  <c r="H142" i="48" s="1"/>
  <c r="H143" i="48" s="1"/>
  <c r="H144" i="48" s="1"/>
  <c r="H145" i="48" s="1"/>
  <c r="H146" i="48" s="1"/>
  <c r="H147" i="48" s="1"/>
  <c r="H148" i="48" s="1"/>
  <c r="H149" i="48" s="1"/>
  <c r="H150" i="48" s="1"/>
  <c r="H151" i="48" s="1"/>
  <c r="H152" i="48" s="1"/>
  <c r="H153" i="48" s="1"/>
  <c r="H154" i="48" s="1"/>
  <c r="H155" i="48" s="1"/>
  <c r="H156" i="48" s="1"/>
  <c r="H157" i="48" s="1"/>
  <c r="H158" i="48" s="1"/>
  <c r="H159" i="48" s="1"/>
  <c r="H160" i="48" s="1"/>
  <c r="H161" i="48" s="1"/>
  <c r="H162" i="48" s="1"/>
  <c r="H163" i="48" s="1"/>
  <c r="H164" i="48" s="1"/>
  <c r="H165" i="48" s="1"/>
  <c r="H166" i="48" s="1"/>
  <c r="H167" i="48" s="1"/>
  <c r="H168" i="48" s="1"/>
  <c r="H169" i="48" s="1"/>
  <c r="H170" i="48" s="1"/>
  <c r="H171" i="48" s="1"/>
  <c r="H172" i="48" s="1"/>
  <c r="H173" i="48" s="1"/>
  <c r="H174" i="48" s="1"/>
  <c r="H175" i="48" s="1"/>
  <c r="H176" i="48" s="1"/>
  <c r="H177" i="48" s="1"/>
  <c r="H178" i="48" s="1"/>
  <c r="H179" i="48" s="1"/>
  <c r="H180" i="48" s="1"/>
  <c r="H181" i="48" s="1"/>
  <c r="H182" i="48" s="1"/>
  <c r="H183" i="48" s="1"/>
  <c r="H184" i="48" s="1"/>
  <c r="H185" i="48" s="1"/>
  <c r="H186" i="48" s="1"/>
  <c r="H187" i="48" s="1"/>
  <c r="C10" i="24" l="1"/>
  <c r="C6" i="20"/>
  <c r="B7" i="20"/>
  <c r="C9" i="24"/>
  <c r="C7" i="20" l="1"/>
  <c r="C8" i="24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BD38" i="2" l="1"/>
  <c r="BD253" i="2"/>
  <c r="BD254" i="2"/>
  <c r="BD255" i="2"/>
  <c r="BD256" i="2"/>
  <c r="BD257" i="2"/>
  <c r="BD258" i="2"/>
  <c r="BD259" i="2"/>
  <c r="BD260" i="2"/>
  <c r="BD261" i="2"/>
  <c r="BD262" i="2"/>
  <c r="BD263" i="2"/>
  <c r="BD264" i="2"/>
  <c r="BD265" i="2"/>
  <c r="BD266" i="2"/>
  <c r="BD267" i="2"/>
  <c r="BD268" i="2"/>
  <c r="BD269" i="2"/>
  <c r="BD270" i="2"/>
  <c r="BD272" i="2"/>
  <c r="BD274" i="2"/>
  <c r="BD276" i="2"/>
  <c r="BD277" i="2"/>
  <c r="BD278" i="2"/>
  <c r="BD279" i="2"/>
  <c r="BD280" i="2"/>
  <c r="BD281" i="2"/>
  <c r="BD282" i="2"/>
  <c r="BD283" i="2"/>
  <c r="BD284" i="2"/>
  <c r="BD285" i="2"/>
  <c r="BD286" i="2"/>
  <c r="BD287" i="2"/>
  <c r="BD288" i="2"/>
  <c r="BD289" i="2"/>
  <c r="BD290" i="2"/>
  <c r="BD291" i="2"/>
  <c r="BD292" i="2"/>
  <c r="BD293" i="2"/>
  <c r="BD294" i="2"/>
  <c r="BD295" i="2"/>
  <c r="BD296" i="2"/>
  <c r="BD297" i="2"/>
  <c r="BD298" i="2"/>
  <c r="BD299" i="2"/>
  <c r="BD300" i="2"/>
  <c r="BD271" i="2"/>
  <c r="BD275" i="2"/>
  <c r="BD273" i="2"/>
  <c r="BD302" i="2"/>
  <c r="BD304" i="2"/>
  <c r="BD306" i="2"/>
  <c r="BD308" i="2"/>
  <c r="BD310" i="2"/>
  <c r="BD312" i="2"/>
  <c r="BD314" i="2"/>
  <c r="BD317" i="2"/>
  <c r="BD320" i="2"/>
  <c r="BD321" i="2"/>
  <c r="BD322" i="2"/>
  <c r="BD323" i="2"/>
  <c r="BD324" i="2"/>
  <c r="BD325" i="2"/>
  <c r="BD326" i="2"/>
  <c r="BD327" i="2"/>
  <c r="BD328" i="2"/>
  <c r="BD329" i="2"/>
  <c r="BD330" i="2"/>
  <c r="BD331" i="2"/>
  <c r="BD332" i="2"/>
  <c r="BD333" i="2"/>
  <c r="BD301" i="2"/>
  <c r="BD305" i="2"/>
  <c r="BD307" i="2"/>
  <c r="BD309" i="2"/>
  <c r="BD311" i="2"/>
  <c r="BD313" i="2"/>
  <c r="BD315" i="2"/>
  <c r="BD319" i="2"/>
  <c r="BD318" i="2"/>
  <c r="BD316" i="2"/>
  <c r="BD303" i="2"/>
  <c r="BL253" i="2"/>
  <c r="BL254" i="2"/>
  <c r="BL255" i="2"/>
  <c r="BL256" i="2"/>
  <c r="BL257" i="2"/>
  <c r="BL258" i="2"/>
  <c r="BL259" i="2"/>
  <c r="BL260" i="2"/>
  <c r="BL261" i="2"/>
  <c r="BL262" i="2"/>
  <c r="BL263" i="2"/>
  <c r="BL264" i="2"/>
  <c r="BL265" i="2"/>
  <c r="BL266" i="2"/>
  <c r="BL267" i="2"/>
  <c r="BL268" i="2"/>
  <c r="BL269" i="2"/>
  <c r="BL270" i="2"/>
  <c r="BL272" i="2"/>
  <c r="BL274" i="2"/>
  <c r="BL276" i="2"/>
  <c r="BL277" i="2"/>
  <c r="BL278" i="2"/>
  <c r="BL279" i="2"/>
  <c r="BL280" i="2"/>
  <c r="BL281" i="2"/>
  <c r="BL282" i="2"/>
  <c r="BL283" i="2"/>
  <c r="BL284" i="2"/>
  <c r="BL285" i="2"/>
  <c r="BL286" i="2"/>
  <c r="BL287" i="2"/>
  <c r="BL288" i="2"/>
  <c r="BL289" i="2"/>
  <c r="BL290" i="2"/>
  <c r="BL291" i="2"/>
  <c r="BL292" i="2"/>
  <c r="BL293" i="2"/>
  <c r="BL294" i="2"/>
  <c r="BL295" i="2"/>
  <c r="BL296" i="2"/>
  <c r="BL297" i="2"/>
  <c r="BL298" i="2"/>
  <c r="BL299" i="2"/>
  <c r="BL300" i="2"/>
  <c r="BL275" i="2"/>
  <c r="BL273" i="2"/>
  <c r="BL271" i="2"/>
  <c r="BL302" i="2"/>
  <c r="BL304" i="2"/>
  <c r="BL306" i="2"/>
  <c r="BL308" i="2"/>
  <c r="BL310" i="2"/>
  <c r="BL312" i="2"/>
  <c r="BL314" i="2"/>
  <c r="BL319" i="2"/>
  <c r="BL320" i="2"/>
  <c r="BL321" i="2"/>
  <c r="BL322" i="2"/>
  <c r="BL323" i="2"/>
  <c r="BL324" i="2"/>
  <c r="BL325" i="2"/>
  <c r="BL326" i="2"/>
  <c r="BL327" i="2"/>
  <c r="BL328" i="2"/>
  <c r="BL329" i="2"/>
  <c r="BL330" i="2"/>
  <c r="BL331" i="2"/>
  <c r="BL332" i="2"/>
  <c r="BL333" i="2"/>
  <c r="BL303" i="2"/>
  <c r="BL317" i="2"/>
  <c r="BL316" i="2"/>
  <c r="BL318" i="2"/>
  <c r="BL301" i="2"/>
  <c r="BL305" i="2"/>
  <c r="BL307" i="2"/>
  <c r="BL309" i="2"/>
  <c r="BL311" i="2"/>
  <c r="BL313" i="2"/>
  <c r="BL315" i="2"/>
  <c r="BA236" i="2"/>
  <c r="BA253" i="2"/>
  <c r="BA254" i="2"/>
  <c r="BA255" i="2"/>
  <c r="BA256" i="2"/>
  <c r="BA260" i="2"/>
  <c r="BA264" i="2"/>
  <c r="BA268" i="2"/>
  <c r="BA259" i="2"/>
  <c r="BA263" i="2"/>
  <c r="BA267" i="2"/>
  <c r="BA258" i="2"/>
  <c r="BA266" i="2"/>
  <c r="BA257" i="2"/>
  <c r="BA265" i="2"/>
  <c r="BA271" i="2"/>
  <c r="BA273" i="2"/>
  <c r="BA275" i="2"/>
  <c r="BA276" i="2"/>
  <c r="BA277" i="2"/>
  <c r="BA278" i="2"/>
  <c r="BA279" i="2"/>
  <c r="BA280" i="2"/>
  <c r="BA281" i="2"/>
  <c r="BA282" i="2"/>
  <c r="BA283" i="2"/>
  <c r="BA284" i="2"/>
  <c r="BA285" i="2"/>
  <c r="BA286" i="2"/>
  <c r="BA287" i="2"/>
  <c r="BA288" i="2"/>
  <c r="BA289" i="2"/>
  <c r="BA290" i="2"/>
  <c r="BA291" i="2"/>
  <c r="BA292" i="2"/>
  <c r="BA293" i="2"/>
  <c r="BA262" i="2"/>
  <c r="BA294" i="2"/>
  <c r="BA298" i="2"/>
  <c r="BA261" i="2"/>
  <c r="BA272" i="2"/>
  <c r="BA297" i="2"/>
  <c r="BA300" i="2"/>
  <c r="BA319" i="2"/>
  <c r="BA332" i="2"/>
  <c r="BA296" i="2"/>
  <c r="BA317" i="2"/>
  <c r="BA269" i="2"/>
  <c r="BA274" i="2"/>
  <c r="BA302" i="2"/>
  <c r="BA304" i="2"/>
  <c r="BA306" i="2"/>
  <c r="BA312" i="2"/>
  <c r="BA316" i="2"/>
  <c r="BA270" i="2"/>
  <c r="BA299" i="2"/>
  <c r="BA301" i="2"/>
  <c r="BA303" i="2"/>
  <c r="BA305" i="2"/>
  <c r="BA307" i="2"/>
  <c r="BA309" i="2"/>
  <c r="BA311" i="2"/>
  <c r="BA313" i="2"/>
  <c r="BA315" i="2"/>
  <c r="BA318" i="2"/>
  <c r="BA320" i="2"/>
  <c r="BA321" i="2"/>
  <c r="BA322" i="2"/>
  <c r="BA323" i="2"/>
  <c r="BA324" i="2"/>
  <c r="BA325" i="2"/>
  <c r="BA326" i="2"/>
  <c r="BA327" i="2"/>
  <c r="BA328" i="2"/>
  <c r="BA329" i="2"/>
  <c r="BA330" i="2"/>
  <c r="BA331" i="2"/>
  <c r="BA333" i="2"/>
  <c r="BA295" i="2"/>
  <c r="BA308" i="2"/>
  <c r="BA310" i="2"/>
  <c r="BA314" i="2"/>
  <c r="BE32" i="2"/>
  <c r="BE253" i="2"/>
  <c r="BE254" i="2"/>
  <c r="BE255" i="2"/>
  <c r="BE256" i="2"/>
  <c r="BE259" i="2"/>
  <c r="BE263" i="2"/>
  <c r="BE267" i="2"/>
  <c r="BE258" i="2"/>
  <c r="BE262" i="2"/>
  <c r="BE266" i="2"/>
  <c r="BE261" i="2"/>
  <c r="BE269" i="2"/>
  <c r="BE275" i="2"/>
  <c r="BE260" i="2"/>
  <c r="BE268" i="2"/>
  <c r="BE270" i="2"/>
  <c r="BE272" i="2"/>
  <c r="BE274" i="2"/>
  <c r="BE276" i="2"/>
  <c r="BE277" i="2"/>
  <c r="BE278" i="2"/>
  <c r="BE279" i="2"/>
  <c r="BE280" i="2"/>
  <c r="BE281" i="2"/>
  <c r="BE282" i="2"/>
  <c r="BE283" i="2"/>
  <c r="BE284" i="2"/>
  <c r="BE285" i="2"/>
  <c r="BE286" i="2"/>
  <c r="BE287" i="2"/>
  <c r="BE288" i="2"/>
  <c r="BE289" i="2"/>
  <c r="BE290" i="2"/>
  <c r="BE291" i="2"/>
  <c r="BE292" i="2"/>
  <c r="BE293" i="2"/>
  <c r="BE265" i="2"/>
  <c r="BE297" i="2"/>
  <c r="BE264" i="2"/>
  <c r="BE271" i="2"/>
  <c r="BE296" i="2"/>
  <c r="BE300" i="2"/>
  <c r="BE257" i="2"/>
  <c r="BE295" i="2"/>
  <c r="BE318" i="2"/>
  <c r="BE330" i="2"/>
  <c r="BE331" i="2"/>
  <c r="BE299" i="2"/>
  <c r="BE298" i="2"/>
  <c r="BE301" i="2"/>
  <c r="BE303" i="2"/>
  <c r="BE307" i="2"/>
  <c r="BE311" i="2"/>
  <c r="BE315" i="2"/>
  <c r="BE319" i="2"/>
  <c r="BE273" i="2"/>
  <c r="BE294" i="2"/>
  <c r="BE302" i="2"/>
  <c r="BE304" i="2"/>
  <c r="BE306" i="2"/>
  <c r="BE308" i="2"/>
  <c r="BE310" i="2"/>
  <c r="BE312" i="2"/>
  <c r="BE314" i="2"/>
  <c r="BE317" i="2"/>
  <c r="BE320" i="2"/>
  <c r="BE321" i="2"/>
  <c r="BE322" i="2"/>
  <c r="BE323" i="2"/>
  <c r="BE324" i="2"/>
  <c r="BE325" i="2"/>
  <c r="BE326" i="2"/>
  <c r="BE327" i="2"/>
  <c r="BE328" i="2"/>
  <c r="BE329" i="2"/>
  <c r="BE332" i="2"/>
  <c r="BE333" i="2"/>
  <c r="BE316" i="2"/>
  <c r="BE305" i="2"/>
  <c r="BE309" i="2"/>
  <c r="BE313" i="2"/>
  <c r="BI28" i="2"/>
  <c r="BI253" i="2"/>
  <c r="BI254" i="2"/>
  <c r="BI255" i="2"/>
  <c r="BI258" i="2"/>
  <c r="BI262" i="2"/>
  <c r="BI266" i="2"/>
  <c r="BI257" i="2"/>
  <c r="BI261" i="2"/>
  <c r="BI265" i="2"/>
  <c r="BI269" i="2"/>
  <c r="BI256" i="2"/>
  <c r="BI264" i="2"/>
  <c r="BI263" i="2"/>
  <c r="BI271" i="2"/>
  <c r="BI273" i="2"/>
  <c r="BI276" i="2"/>
  <c r="BI277" i="2"/>
  <c r="BI278" i="2"/>
  <c r="BI279" i="2"/>
  <c r="BI280" i="2"/>
  <c r="BI281" i="2"/>
  <c r="BI282" i="2"/>
  <c r="BI283" i="2"/>
  <c r="BI284" i="2"/>
  <c r="BI285" i="2"/>
  <c r="BI286" i="2"/>
  <c r="BI287" i="2"/>
  <c r="BI288" i="2"/>
  <c r="BI289" i="2"/>
  <c r="BI290" i="2"/>
  <c r="BI291" i="2"/>
  <c r="BI292" i="2"/>
  <c r="BI293" i="2"/>
  <c r="BI268" i="2"/>
  <c r="BI296" i="2"/>
  <c r="BI300" i="2"/>
  <c r="BI267" i="2"/>
  <c r="BI270" i="2"/>
  <c r="BI274" i="2"/>
  <c r="BI295" i="2"/>
  <c r="BI299" i="2"/>
  <c r="BI298" i="2"/>
  <c r="BI317" i="2"/>
  <c r="BI331" i="2"/>
  <c r="BI332" i="2"/>
  <c r="BI333" i="2"/>
  <c r="BI272" i="2"/>
  <c r="BI302" i="2"/>
  <c r="BI308" i="2"/>
  <c r="BI310" i="2"/>
  <c r="BI314" i="2"/>
  <c r="BI259" i="2"/>
  <c r="BI297" i="2"/>
  <c r="BI301" i="2"/>
  <c r="BI303" i="2"/>
  <c r="BI305" i="2"/>
  <c r="BI307" i="2"/>
  <c r="BI309" i="2"/>
  <c r="BI311" i="2"/>
  <c r="BI313" i="2"/>
  <c r="BI315" i="2"/>
  <c r="BI316" i="2"/>
  <c r="BI320" i="2"/>
  <c r="BI321" i="2"/>
  <c r="BI322" i="2"/>
  <c r="BI323" i="2"/>
  <c r="BI324" i="2"/>
  <c r="BI325" i="2"/>
  <c r="BI326" i="2"/>
  <c r="BI327" i="2"/>
  <c r="BI328" i="2"/>
  <c r="BI329" i="2"/>
  <c r="BI330" i="2"/>
  <c r="BI260" i="2"/>
  <c r="BI294" i="2"/>
  <c r="BI319" i="2"/>
  <c r="BI275" i="2"/>
  <c r="BI304" i="2"/>
  <c r="BI306" i="2"/>
  <c r="BI312" i="2"/>
  <c r="BI318" i="2"/>
  <c r="BM28" i="2"/>
  <c r="BM253" i="2"/>
  <c r="BM254" i="2"/>
  <c r="BM255" i="2"/>
  <c r="BM257" i="2"/>
  <c r="BM261" i="2"/>
  <c r="BM265" i="2"/>
  <c r="BM269" i="2"/>
  <c r="BM256" i="2"/>
  <c r="BM260" i="2"/>
  <c r="BM264" i="2"/>
  <c r="BM268" i="2"/>
  <c r="BM259" i="2"/>
  <c r="BM267" i="2"/>
  <c r="BM258" i="2"/>
  <c r="BM266" i="2"/>
  <c r="BM270" i="2"/>
  <c r="BM272" i="2"/>
  <c r="BM274" i="2"/>
  <c r="BM276" i="2"/>
  <c r="BM277" i="2"/>
  <c r="BM278" i="2"/>
  <c r="BM279" i="2"/>
  <c r="BM280" i="2"/>
  <c r="BM281" i="2"/>
  <c r="BM282" i="2"/>
  <c r="BM283" i="2"/>
  <c r="BM284" i="2"/>
  <c r="BM285" i="2"/>
  <c r="BM286" i="2"/>
  <c r="BM287" i="2"/>
  <c r="BM288" i="2"/>
  <c r="BM289" i="2"/>
  <c r="BM290" i="2"/>
  <c r="BM291" i="2"/>
  <c r="BM292" i="2"/>
  <c r="BM293" i="2"/>
  <c r="BM275" i="2"/>
  <c r="BM295" i="2"/>
  <c r="BM299" i="2"/>
  <c r="BM273" i="2"/>
  <c r="BM294" i="2"/>
  <c r="BM298" i="2"/>
  <c r="BM263" i="2"/>
  <c r="BM316" i="2"/>
  <c r="BM329" i="2"/>
  <c r="BM318" i="2"/>
  <c r="BM262" i="2"/>
  <c r="BM296" i="2"/>
  <c r="BM309" i="2"/>
  <c r="BM313" i="2"/>
  <c r="BM317" i="2"/>
  <c r="BM271" i="2"/>
  <c r="BM300" i="2"/>
  <c r="BM302" i="2"/>
  <c r="BM304" i="2"/>
  <c r="BM306" i="2"/>
  <c r="BM308" i="2"/>
  <c r="BM310" i="2"/>
  <c r="BM312" i="2"/>
  <c r="BM314" i="2"/>
  <c r="BM319" i="2"/>
  <c r="BM320" i="2"/>
  <c r="BM321" i="2"/>
  <c r="BM322" i="2"/>
  <c r="BM323" i="2"/>
  <c r="BM324" i="2"/>
  <c r="BM325" i="2"/>
  <c r="BM326" i="2"/>
  <c r="BM327" i="2"/>
  <c r="BM328" i="2"/>
  <c r="BM330" i="2"/>
  <c r="BM331" i="2"/>
  <c r="BM332" i="2"/>
  <c r="BM333" i="2"/>
  <c r="BM297" i="2"/>
  <c r="BM301" i="2"/>
  <c r="BM303" i="2"/>
  <c r="BM305" i="2"/>
  <c r="BM307" i="2"/>
  <c r="BM311" i="2"/>
  <c r="BM315" i="2"/>
  <c r="BQ28" i="2"/>
  <c r="BQ253" i="2"/>
  <c r="BQ254" i="2"/>
  <c r="BQ255" i="2"/>
  <c r="BQ256" i="2"/>
  <c r="BQ260" i="2"/>
  <c r="BQ264" i="2"/>
  <c r="BQ268" i="2"/>
  <c r="BQ259" i="2"/>
  <c r="BQ263" i="2"/>
  <c r="BQ267" i="2"/>
  <c r="BQ262" i="2"/>
  <c r="BQ261" i="2"/>
  <c r="BQ269" i="2"/>
  <c r="BQ271" i="2"/>
  <c r="BQ273" i="2"/>
  <c r="BQ275" i="2"/>
  <c r="BQ276" i="2"/>
  <c r="BQ277" i="2"/>
  <c r="BQ278" i="2"/>
  <c r="BQ279" i="2"/>
  <c r="BQ280" i="2"/>
  <c r="BQ281" i="2"/>
  <c r="BQ282" i="2"/>
  <c r="BQ283" i="2"/>
  <c r="BQ284" i="2"/>
  <c r="BQ285" i="2"/>
  <c r="BQ286" i="2"/>
  <c r="BQ287" i="2"/>
  <c r="BQ288" i="2"/>
  <c r="BQ289" i="2"/>
  <c r="BQ290" i="2"/>
  <c r="BQ291" i="2"/>
  <c r="BQ292" i="2"/>
  <c r="BQ293" i="2"/>
  <c r="BQ258" i="2"/>
  <c r="BQ294" i="2"/>
  <c r="BQ298" i="2"/>
  <c r="BQ257" i="2"/>
  <c r="BQ272" i="2"/>
  <c r="BQ297" i="2"/>
  <c r="BQ296" i="2"/>
  <c r="BQ330" i="2"/>
  <c r="BQ331" i="2"/>
  <c r="BQ332" i="2"/>
  <c r="BQ333" i="2"/>
  <c r="BQ317" i="2"/>
  <c r="BQ300" i="2"/>
  <c r="BQ304" i="2"/>
  <c r="BQ312" i="2"/>
  <c r="BQ316" i="2"/>
  <c r="BQ265" i="2"/>
  <c r="BQ274" i="2"/>
  <c r="BQ295" i="2"/>
  <c r="BQ301" i="2"/>
  <c r="BQ303" i="2"/>
  <c r="BQ305" i="2"/>
  <c r="BQ307" i="2"/>
  <c r="BQ309" i="2"/>
  <c r="BQ311" i="2"/>
  <c r="BQ313" i="2"/>
  <c r="BQ315" i="2"/>
  <c r="BQ318" i="2"/>
  <c r="BQ319" i="2"/>
  <c r="BQ320" i="2"/>
  <c r="BQ321" i="2"/>
  <c r="BQ322" i="2"/>
  <c r="BQ323" i="2"/>
  <c r="BQ324" i="2"/>
  <c r="BQ325" i="2"/>
  <c r="BQ326" i="2"/>
  <c r="BQ327" i="2"/>
  <c r="BQ328" i="2"/>
  <c r="BQ329" i="2"/>
  <c r="BQ266" i="2"/>
  <c r="BQ270" i="2"/>
  <c r="BQ299" i="2"/>
  <c r="BQ302" i="2"/>
  <c r="BQ306" i="2"/>
  <c r="BQ308" i="2"/>
  <c r="BQ310" i="2"/>
  <c r="BQ314" i="2"/>
  <c r="BB40" i="2"/>
  <c r="BB253" i="2"/>
  <c r="BB255" i="2"/>
  <c r="BB257" i="2"/>
  <c r="BB261" i="2"/>
  <c r="BB265" i="2"/>
  <c r="BB269" i="2"/>
  <c r="BB270" i="2"/>
  <c r="BB271" i="2"/>
  <c r="BB272" i="2"/>
  <c r="BB273" i="2"/>
  <c r="BB274" i="2"/>
  <c r="BB275" i="2"/>
  <c r="BB260" i="2"/>
  <c r="BB264" i="2"/>
  <c r="BB268" i="2"/>
  <c r="BB254" i="2"/>
  <c r="BB259" i="2"/>
  <c r="BB267" i="2"/>
  <c r="BB258" i="2"/>
  <c r="BB266" i="2"/>
  <c r="BB263" i="2"/>
  <c r="BB276" i="2"/>
  <c r="BB278" i="2"/>
  <c r="BB280" i="2"/>
  <c r="BB282" i="2"/>
  <c r="BB284" i="2"/>
  <c r="BB286" i="2"/>
  <c r="BB288" i="2"/>
  <c r="BB290" i="2"/>
  <c r="BB292" i="2"/>
  <c r="BB295" i="2"/>
  <c r="BB299" i="2"/>
  <c r="BB301" i="2"/>
  <c r="BB302" i="2"/>
  <c r="BB303" i="2"/>
  <c r="BB304" i="2"/>
  <c r="BB305" i="2"/>
  <c r="BB306" i="2"/>
  <c r="BB307" i="2"/>
  <c r="BB308" i="2"/>
  <c r="BB309" i="2"/>
  <c r="BB310" i="2"/>
  <c r="BB311" i="2"/>
  <c r="BB312" i="2"/>
  <c r="BB313" i="2"/>
  <c r="BB314" i="2"/>
  <c r="BB315" i="2"/>
  <c r="BB316" i="2"/>
  <c r="BB317" i="2"/>
  <c r="BB318" i="2"/>
  <c r="BB319" i="2"/>
  <c r="BB262" i="2"/>
  <c r="BB294" i="2"/>
  <c r="BB298" i="2"/>
  <c r="BB279" i="2"/>
  <c r="BB283" i="2"/>
  <c r="BB287" i="2"/>
  <c r="BB291" i="2"/>
  <c r="BB256" i="2"/>
  <c r="BB277" i="2"/>
  <c r="BB281" i="2"/>
  <c r="BB289" i="2"/>
  <c r="BB297" i="2"/>
  <c r="BB320" i="2"/>
  <c r="BB321" i="2"/>
  <c r="BB323" i="2"/>
  <c r="BB325" i="2"/>
  <c r="BB326" i="2"/>
  <c r="BB328" i="2"/>
  <c r="BB329" i="2"/>
  <c r="BB330" i="2"/>
  <c r="BB331" i="2"/>
  <c r="BB332" i="2"/>
  <c r="BB300" i="2"/>
  <c r="BB285" i="2"/>
  <c r="BB293" i="2"/>
  <c r="BB322" i="2"/>
  <c r="BB324" i="2"/>
  <c r="BB327" i="2"/>
  <c r="BB333" i="2"/>
  <c r="BB296" i="2"/>
  <c r="BF32" i="2"/>
  <c r="BF254" i="2"/>
  <c r="BF256" i="2"/>
  <c r="BF260" i="2"/>
  <c r="BF264" i="2"/>
  <c r="BF268" i="2"/>
  <c r="BF270" i="2"/>
  <c r="BF271" i="2"/>
  <c r="BF272" i="2"/>
  <c r="BF273" i="2"/>
  <c r="BF274" i="2"/>
  <c r="BF275" i="2"/>
  <c r="BF259" i="2"/>
  <c r="BF263" i="2"/>
  <c r="BF267" i="2"/>
  <c r="BF253" i="2"/>
  <c r="BF262" i="2"/>
  <c r="BF261" i="2"/>
  <c r="BF269" i="2"/>
  <c r="BF255" i="2"/>
  <c r="BF266" i="2"/>
  <c r="BF277" i="2"/>
  <c r="BF279" i="2"/>
  <c r="BF281" i="2"/>
  <c r="BF283" i="2"/>
  <c r="BF285" i="2"/>
  <c r="BF287" i="2"/>
  <c r="BF289" i="2"/>
  <c r="BF291" i="2"/>
  <c r="BF293" i="2"/>
  <c r="BF294" i="2"/>
  <c r="BF298" i="2"/>
  <c r="BF301" i="2"/>
  <c r="BF302" i="2"/>
  <c r="BF303" i="2"/>
  <c r="BF304" i="2"/>
  <c r="BF305" i="2"/>
  <c r="BF306" i="2"/>
  <c r="BF307" i="2"/>
  <c r="BF308" i="2"/>
  <c r="BF309" i="2"/>
  <c r="BF310" i="2"/>
  <c r="BF311" i="2"/>
  <c r="BF312" i="2"/>
  <c r="BF313" i="2"/>
  <c r="BF314" i="2"/>
  <c r="BF315" i="2"/>
  <c r="BF316" i="2"/>
  <c r="BF317" i="2"/>
  <c r="BF318" i="2"/>
  <c r="BF319" i="2"/>
  <c r="BF265" i="2"/>
  <c r="BF297" i="2"/>
  <c r="BF278" i="2"/>
  <c r="BF282" i="2"/>
  <c r="BF286" i="2"/>
  <c r="BF290" i="2"/>
  <c r="BF296" i="2"/>
  <c r="BF284" i="2"/>
  <c r="BF292" i="2"/>
  <c r="BF300" i="2"/>
  <c r="BF320" i="2"/>
  <c r="BF321" i="2"/>
  <c r="BF322" i="2"/>
  <c r="BF324" i="2"/>
  <c r="BF327" i="2"/>
  <c r="BF329" i="2"/>
  <c r="BF330" i="2"/>
  <c r="BF331" i="2"/>
  <c r="BF332" i="2"/>
  <c r="BF333" i="2"/>
  <c r="BF299" i="2"/>
  <c r="BF257" i="2"/>
  <c r="BF295" i="2"/>
  <c r="BF258" i="2"/>
  <c r="BF276" i="2"/>
  <c r="BF280" i="2"/>
  <c r="BF288" i="2"/>
  <c r="BF323" i="2"/>
  <c r="BF325" i="2"/>
  <c r="BF326" i="2"/>
  <c r="BF328" i="2"/>
  <c r="BJ28" i="2"/>
  <c r="BJ253" i="2"/>
  <c r="BJ255" i="2"/>
  <c r="BJ259" i="2"/>
  <c r="BJ263" i="2"/>
  <c r="BJ267" i="2"/>
  <c r="BJ270" i="2"/>
  <c r="BJ271" i="2"/>
  <c r="BJ272" i="2"/>
  <c r="BJ273" i="2"/>
  <c r="BJ274" i="2"/>
  <c r="BJ275" i="2"/>
  <c r="BJ258" i="2"/>
  <c r="BJ262" i="2"/>
  <c r="BJ266" i="2"/>
  <c r="BJ257" i="2"/>
  <c r="BJ265" i="2"/>
  <c r="BJ256" i="2"/>
  <c r="BJ264" i="2"/>
  <c r="BJ269" i="2"/>
  <c r="BJ276" i="2"/>
  <c r="BJ278" i="2"/>
  <c r="BJ280" i="2"/>
  <c r="BJ282" i="2"/>
  <c r="BJ284" i="2"/>
  <c r="BJ286" i="2"/>
  <c r="BJ288" i="2"/>
  <c r="BJ290" i="2"/>
  <c r="BJ292" i="2"/>
  <c r="BJ297" i="2"/>
  <c r="BJ301" i="2"/>
  <c r="BJ302" i="2"/>
  <c r="BJ303" i="2"/>
  <c r="BJ304" i="2"/>
  <c r="BJ305" i="2"/>
  <c r="BJ306" i="2"/>
  <c r="BJ307" i="2"/>
  <c r="BJ308" i="2"/>
  <c r="BJ309" i="2"/>
  <c r="BJ310" i="2"/>
  <c r="BJ311" i="2"/>
  <c r="BJ312" i="2"/>
  <c r="BJ313" i="2"/>
  <c r="BJ314" i="2"/>
  <c r="BJ315" i="2"/>
  <c r="BJ316" i="2"/>
  <c r="BJ317" i="2"/>
  <c r="BJ318" i="2"/>
  <c r="BJ319" i="2"/>
  <c r="BJ268" i="2"/>
  <c r="BJ296" i="2"/>
  <c r="BJ300" i="2"/>
  <c r="BJ254" i="2"/>
  <c r="BJ261" i="2"/>
  <c r="BJ277" i="2"/>
  <c r="BJ281" i="2"/>
  <c r="BJ285" i="2"/>
  <c r="BJ289" i="2"/>
  <c r="BJ293" i="2"/>
  <c r="BJ299" i="2"/>
  <c r="BJ279" i="2"/>
  <c r="BJ287" i="2"/>
  <c r="BJ323" i="2"/>
  <c r="BJ325" i="2"/>
  <c r="BJ326" i="2"/>
  <c r="BJ329" i="2"/>
  <c r="BJ330" i="2"/>
  <c r="BJ331" i="2"/>
  <c r="BJ332" i="2"/>
  <c r="BJ333" i="2"/>
  <c r="BJ260" i="2"/>
  <c r="BJ294" i="2"/>
  <c r="BJ298" i="2"/>
  <c r="BJ283" i="2"/>
  <c r="BJ291" i="2"/>
  <c r="BJ295" i="2"/>
  <c r="BJ320" i="2"/>
  <c r="BJ321" i="2"/>
  <c r="BJ322" i="2"/>
  <c r="BJ324" i="2"/>
  <c r="BJ327" i="2"/>
  <c r="BJ328" i="2"/>
  <c r="BN28" i="2"/>
  <c r="BN254" i="2"/>
  <c r="BN258" i="2"/>
  <c r="BN262" i="2"/>
  <c r="BN266" i="2"/>
  <c r="BN270" i="2"/>
  <c r="BN271" i="2"/>
  <c r="BN272" i="2"/>
  <c r="BN273" i="2"/>
  <c r="BN274" i="2"/>
  <c r="BN275" i="2"/>
  <c r="BN257" i="2"/>
  <c r="BN261" i="2"/>
  <c r="BN265" i="2"/>
  <c r="BN269" i="2"/>
  <c r="BN255" i="2"/>
  <c r="BN260" i="2"/>
  <c r="BN268" i="2"/>
  <c r="BN259" i="2"/>
  <c r="BN267" i="2"/>
  <c r="BN253" i="2"/>
  <c r="BN256" i="2"/>
  <c r="BN277" i="2"/>
  <c r="BN279" i="2"/>
  <c r="BN281" i="2"/>
  <c r="BN283" i="2"/>
  <c r="BN285" i="2"/>
  <c r="BN287" i="2"/>
  <c r="BN289" i="2"/>
  <c r="BN291" i="2"/>
  <c r="BN293" i="2"/>
  <c r="BN296" i="2"/>
  <c r="BN300" i="2"/>
  <c r="BN301" i="2"/>
  <c r="BN302" i="2"/>
  <c r="BN303" i="2"/>
  <c r="BN304" i="2"/>
  <c r="BN305" i="2"/>
  <c r="BN306" i="2"/>
  <c r="BN307" i="2"/>
  <c r="BN308" i="2"/>
  <c r="BN309" i="2"/>
  <c r="BN310" i="2"/>
  <c r="BN311" i="2"/>
  <c r="BN312" i="2"/>
  <c r="BN313" i="2"/>
  <c r="BN314" i="2"/>
  <c r="BN315" i="2"/>
  <c r="BN316" i="2"/>
  <c r="BN317" i="2"/>
  <c r="BN318" i="2"/>
  <c r="BN295" i="2"/>
  <c r="BN299" i="2"/>
  <c r="BN276" i="2"/>
  <c r="BN280" i="2"/>
  <c r="BN284" i="2"/>
  <c r="BN288" i="2"/>
  <c r="BN292" i="2"/>
  <c r="BN294" i="2"/>
  <c r="BN282" i="2"/>
  <c r="BN290" i="2"/>
  <c r="BN319" i="2"/>
  <c r="BN320" i="2"/>
  <c r="BN321" i="2"/>
  <c r="BN322" i="2"/>
  <c r="BN324" i="2"/>
  <c r="BN327" i="2"/>
  <c r="BN328" i="2"/>
  <c r="BN329" i="2"/>
  <c r="BN330" i="2"/>
  <c r="BN331" i="2"/>
  <c r="BN332" i="2"/>
  <c r="BN263" i="2"/>
  <c r="BN264" i="2"/>
  <c r="BN278" i="2"/>
  <c r="BN286" i="2"/>
  <c r="BN298" i="2"/>
  <c r="BN323" i="2"/>
  <c r="BN325" i="2"/>
  <c r="BN326" i="2"/>
  <c r="BN333" i="2"/>
  <c r="BN297" i="2"/>
  <c r="BR28" i="2"/>
  <c r="BR253" i="2"/>
  <c r="BR255" i="2"/>
  <c r="BR257" i="2"/>
  <c r="BR261" i="2"/>
  <c r="BR265" i="2"/>
  <c r="BR269" i="2"/>
  <c r="BR270" i="2"/>
  <c r="BR271" i="2"/>
  <c r="BR272" i="2"/>
  <c r="BR273" i="2"/>
  <c r="BR274" i="2"/>
  <c r="BR256" i="2"/>
  <c r="BR260" i="2"/>
  <c r="BR264" i="2"/>
  <c r="BR268" i="2"/>
  <c r="BR254" i="2"/>
  <c r="BR263" i="2"/>
  <c r="BR262" i="2"/>
  <c r="BR259" i="2"/>
  <c r="BR276" i="2"/>
  <c r="BR278" i="2"/>
  <c r="BR280" i="2"/>
  <c r="BR282" i="2"/>
  <c r="BR284" i="2"/>
  <c r="BR286" i="2"/>
  <c r="BR288" i="2"/>
  <c r="BR290" i="2"/>
  <c r="BR292" i="2"/>
  <c r="BR295" i="2"/>
  <c r="BR299" i="2"/>
  <c r="BR300" i="2"/>
  <c r="BR301" i="2"/>
  <c r="BR302" i="2"/>
  <c r="BR303" i="2"/>
  <c r="BR304" i="2"/>
  <c r="BR305" i="2"/>
  <c r="BR306" i="2"/>
  <c r="BR307" i="2"/>
  <c r="BR308" i="2"/>
  <c r="BR309" i="2"/>
  <c r="BR310" i="2"/>
  <c r="BR311" i="2"/>
  <c r="BR312" i="2"/>
  <c r="BR313" i="2"/>
  <c r="BR314" i="2"/>
  <c r="BR315" i="2"/>
  <c r="BR316" i="2"/>
  <c r="BR317" i="2"/>
  <c r="BR318" i="2"/>
  <c r="BR258" i="2"/>
  <c r="BR294" i="2"/>
  <c r="BR298" i="2"/>
  <c r="BR267" i="2"/>
  <c r="BR275" i="2"/>
  <c r="BR279" i="2"/>
  <c r="BR283" i="2"/>
  <c r="BR287" i="2"/>
  <c r="BR291" i="2"/>
  <c r="BR297" i="2"/>
  <c r="BR285" i="2"/>
  <c r="BR293" i="2"/>
  <c r="BR321" i="2"/>
  <c r="BR323" i="2"/>
  <c r="BR325" i="2"/>
  <c r="BR326" i="2"/>
  <c r="BR329" i="2"/>
  <c r="BR330" i="2"/>
  <c r="BR332" i="2"/>
  <c r="BR333" i="2"/>
  <c r="BR266" i="2"/>
  <c r="BR296" i="2"/>
  <c r="BR277" i="2"/>
  <c r="BR281" i="2"/>
  <c r="BR289" i="2"/>
  <c r="BR319" i="2"/>
  <c r="BR320" i="2"/>
  <c r="BR322" i="2"/>
  <c r="BR324" i="2"/>
  <c r="BR327" i="2"/>
  <c r="BR328" i="2"/>
  <c r="BR331" i="2"/>
  <c r="AZ40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1" i="2"/>
  <c r="AZ273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272" i="2"/>
  <c r="AZ270" i="2"/>
  <c r="AZ301" i="2"/>
  <c r="AZ303" i="2"/>
  <c r="AZ305" i="2"/>
  <c r="AZ307" i="2"/>
  <c r="AZ309" i="2"/>
  <c r="AZ311" i="2"/>
  <c r="AZ313" i="2"/>
  <c r="AZ315" i="2"/>
  <c r="AZ318" i="2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02" i="2"/>
  <c r="AZ306" i="2"/>
  <c r="AZ308" i="2"/>
  <c r="AZ310" i="2"/>
  <c r="AZ312" i="2"/>
  <c r="AZ314" i="2"/>
  <c r="AZ316" i="2"/>
  <c r="AZ317" i="2"/>
  <c r="AZ274" i="2"/>
  <c r="AZ304" i="2"/>
  <c r="AZ319" i="2"/>
  <c r="BH253" i="2"/>
  <c r="BH254" i="2"/>
  <c r="BH255" i="2"/>
  <c r="BH256" i="2"/>
  <c r="BH257" i="2"/>
  <c r="BH258" i="2"/>
  <c r="BH259" i="2"/>
  <c r="BH260" i="2"/>
  <c r="BH261" i="2"/>
  <c r="BH262" i="2"/>
  <c r="BH263" i="2"/>
  <c r="BH264" i="2"/>
  <c r="BH265" i="2"/>
  <c r="BH266" i="2"/>
  <c r="BH267" i="2"/>
  <c r="BH268" i="2"/>
  <c r="BH269" i="2"/>
  <c r="BH271" i="2"/>
  <c r="BH273" i="2"/>
  <c r="BH276" i="2"/>
  <c r="BH277" i="2"/>
  <c r="BH278" i="2"/>
  <c r="BH279" i="2"/>
  <c r="BH280" i="2"/>
  <c r="BH281" i="2"/>
  <c r="BH282" i="2"/>
  <c r="BH283" i="2"/>
  <c r="BH284" i="2"/>
  <c r="BH285" i="2"/>
  <c r="BH286" i="2"/>
  <c r="BH287" i="2"/>
  <c r="BH288" i="2"/>
  <c r="BH289" i="2"/>
  <c r="BH290" i="2"/>
  <c r="BH291" i="2"/>
  <c r="BH292" i="2"/>
  <c r="BH293" i="2"/>
  <c r="BH294" i="2"/>
  <c r="BH295" i="2"/>
  <c r="BH296" i="2"/>
  <c r="BH297" i="2"/>
  <c r="BH298" i="2"/>
  <c r="BH299" i="2"/>
  <c r="BH300" i="2"/>
  <c r="BH270" i="2"/>
  <c r="BH274" i="2"/>
  <c r="BH301" i="2"/>
  <c r="BH303" i="2"/>
  <c r="BH305" i="2"/>
  <c r="BH307" i="2"/>
  <c r="BH309" i="2"/>
  <c r="BH311" i="2"/>
  <c r="BH313" i="2"/>
  <c r="BH315" i="2"/>
  <c r="BH316" i="2"/>
  <c r="BH320" i="2"/>
  <c r="BH321" i="2"/>
  <c r="BH322" i="2"/>
  <c r="BH323" i="2"/>
  <c r="BH324" i="2"/>
  <c r="BH325" i="2"/>
  <c r="BH326" i="2"/>
  <c r="BH327" i="2"/>
  <c r="BH328" i="2"/>
  <c r="BH329" i="2"/>
  <c r="BH330" i="2"/>
  <c r="BH331" i="2"/>
  <c r="BH332" i="2"/>
  <c r="BH333" i="2"/>
  <c r="BH304" i="2"/>
  <c r="BH306" i="2"/>
  <c r="BH318" i="2"/>
  <c r="BH317" i="2"/>
  <c r="BH319" i="2"/>
  <c r="BH272" i="2"/>
  <c r="BH275" i="2"/>
  <c r="BH302" i="2"/>
  <c r="BH308" i="2"/>
  <c r="BH310" i="2"/>
  <c r="BH312" i="2"/>
  <c r="BH314" i="2"/>
  <c r="BP253" i="2"/>
  <c r="BP254" i="2"/>
  <c r="BP255" i="2"/>
  <c r="BP256" i="2"/>
  <c r="BP257" i="2"/>
  <c r="BP258" i="2"/>
  <c r="BP259" i="2"/>
  <c r="BP260" i="2"/>
  <c r="BP261" i="2"/>
  <c r="BP262" i="2"/>
  <c r="BP263" i="2"/>
  <c r="BP264" i="2"/>
  <c r="BP265" i="2"/>
  <c r="BP266" i="2"/>
  <c r="BP267" i="2"/>
  <c r="BP268" i="2"/>
  <c r="BP269" i="2"/>
  <c r="BP271" i="2"/>
  <c r="BP273" i="2"/>
  <c r="BP275" i="2"/>
  <c r="BP276" i="2"/>
  <c r="BP277" i="2"/>
  <c r="BP278" i="2"/>
  <c r="BP279" i="2"/>
  <c r="BP280" i="2"/>
  <c r="BP281" i="2"/>
  <c r="BP282" i="2"/>
  <c r="BP283" i="2"/>
  <c r="BP284" i="2"/>
  <c r="BP285" i="2"/>
  <c r="BP286" i="2"/>
  <c r="BP287" i="2"/>
  <c r="BP288" i="2"/>
  <c r="BP289" i="2"/>
  <c r="BP290" i="2"/>
  <c r="BP291" i="2"/>
  <c r="BP292" i="2"/>
  <c r="BP293" i="2"/>
  <c r="BP294" i="2"/>
  <c r="BP295" i="2"/>
  <c r="BP296" i="2"/>
  <c r="BP297" i="2"/>
  <c r="BP298" i="2"/>
  <c r="BP299" i="2"/>
  <c r="BP272" i="2"/>
  <c r="BP274" i="2"/>
  <c r="BP301" i="2"/>
  <c r="BP303" i="2"/>
  <c r="BP305" i="2"/>
  <c r="BP307" i="2"/>
  <c r="BP309" i="2"/>
  <c r="BP311" i="2"/>
  <c r="BP313" i="2"/>
  <c r="BP315" i="2"/>
  <c r="BP318" i="2"/>
  <c r="BP319" i="2"/>
  <c r="BP320" i="2"/>
  <c r="BP321" i="2"/>
  <c r="BP322" i="2"/>
  <c r="BP323" i="2"/>
  <c r="BP324" i="2"/>
  <c r="BP325" i="2"/>
  <c r="BP326" i="2"/>
  <c r="BP327" i="2"/>
  <c r="BP328" i="2"/>
  <c r="BP329" i="2"/>
  <c r="BP330" i="2"/>
  <c r="BP331" i="2"/>
  <c r="BP332" i="2"/>
  <c r="BP333" i="2"/>
  <c r="BP302" i="2"/>
  <c r="BP308" i="2"/>
  <c r="BP314" i="2"/>
  <c r="BP317" i="2"/>
  <c r="BP270" i="2"/>
  <c r="BP300" i="2"/>
  <c r="BP304" i="2"/>
  <c r="BP306" i="2"/>
  <c r="BP310" i="2"/>
  <c r="BP312" i="2"/>
  <c r="BP316" i="2"/>
  <c r="BC43" i="2"/>
  <c r="BC258" i="2"/>
  <c r="BC262" i="2"/>
  <c r="BC266" i="2"/>
  <c r="BC253" i="2"/>
  <c r="BC255" i="2"/>
  <c r="BC257" i="2"/>
  <c r="BC261" i="2"/>
  <c r="BC265" i="2"/>
  <c r="BC269" i="2"/>
  <c r="BC270" i="2"/>
  <c r="BC271" i="2"/>
  <c r="BC272" i="2"/>
  <c r="BC273" i="2"/>
  <c r="BC274" i="2"/>
  <c r="BC260" i="2"/>
  <c r="BC268" i="2"/>
  <c r="BC254" i="2"/>
  <c r="BC259" i="2"/>
  <c r="BC267" i="2"/>
  <c r="BC264" i="2"/>
  <c r="BC275" i="2"/>
  <c r="BC296" i="2"/>
  <c r="BC300" i="2"/>
  <c r="BC263" i="2"/>
  <c r="BC276" i="2"/>
  <c r="BC278" i="2"/>
  <c r="BC280" i="2"/>
  <c r="BC282" i="2"/>
  <c r="BC284" i="2"/>
  <c r="BC286" i="2"/>
  <c r="BC288" i="2"/>
  <c r="BC290" i="2"/>
  <c r="BC292" i="2"/>
  <c r="BC295" i="2"/>
  <c r="BC299" i="2"/>
  <c r="BC301" i="2"/>
  <c r="BC302" i="2"/>
  <c r="BC303" i="2"/>
  <c r="BC304" i="2"/>
  <c r="BC305" i="2"/>
  <c r="BC306" i="2"/>
  <c r="BC307" i="2"/>
  <c r="BC308" i="2"/>
  <c r="BC309" i="2"/>
  <c r="BC310" i="2"/>
  <c r="BC311" i="2"/>
  <c r="BC312" i="2"/>
  <c r="BC313" i="2"/>
  <c r="BC314" i="2"/>
  <c r="BC315" i="2"/>
  <c r="BC294" i="2"/>
  <c r="BC316" i="2"/>
  <c r="BC298" i="2"/>
  <c r="BC277" i="2"/>
  <c r="BC289" i="2"/>
  <c r="BC297" i="2"/>
  <c r="BC322" i="2"/>
  <c r="BC324" i="2"/>
  <c r="BC279" i="2"/>
  <c r="BC283" i="2"/>
  <c r="BC287" i="2"/>
  <c r="BC291" i="2"/>
  <c r="BC319" i="2"/>
  <c r="BC318" i="2"/>
  <c r="BC256" i="2"/>
  <c r="BC281" i="2"/>
  <c r="BC285" i="2"/>
  <c r="BC293" i="2"/>
  <c r="BC317" i="2"/>
  <c r="BC320" i="2"/>
  <c r="BC321" i="2"/>
  <c r="BC323" i="2"/>
  <c r="BC328" i="2"/>
  <c r="BC332" i="2"/>
  <c r="BC333" i="2"/>
  <c r="BC330" i="2"/>
  <c r="BC327" i="2"/>
  <c r="BC325" i="2"/>
  <c r="BC329" i="2"/>
  <c r="BC326" i="2"/>
  <c r="BC331" i="2"/>
  <c r="BG28" i="2"/>
  <c r="BG257" i="2"/>
  <c r="BG261" i="2"/>
  <c r="BG265" i="2"/>
  <c r="BG269" i="2"/>
  <c r="BG254" i="2"/>
  <c r="BG256" i="2"/>
  <c r="BG260" i="2"/>
  <c r="BG264" i="2"/>
  <c r="BG268" i="2"/>
  <c r="BG270" i="2"/>
  <c r="BG271" i="2"/>
  <c r="BG272" i="2"/>
  <c r="BG273" i="2"/>
  <c r="BG274" i="2"/>
  <c r="BG263" i="2"/>
  <c r="BG253" i="2"/>
  <c r="BG262" i="2"/>
  <c r="BG275" i="2"/>
  <c r="BG267" i="2"/>
  <c r="BG295" i="2"/>
  <c r="BG299" i="2"/>
  <c r="BG255" i="2"/>
  <c r="BG266" i="2"/>
  <c r="BG277" i="2"/>
  <c r="BG279" i="2"/>
  <c r="BG281" i="2"/>
  <c r="BG283" i="2"/>
  <c r="BG285" i="2"/>
  <c r="BG287" i="2"/>
  <c r="BG289" i="2"/>
  <c r="BG291" i="2"/>
  <c r="BG293" i="2"/>
  <c r="BG294" i="2"/>
  <c r="BG298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259" i="2"/>
  <c r="BG297" i="2"/>
  <c r="BG319" i="2"/>
  <c r="BG258" i="2"/>
  <c r="BG276" i="2"/>
  <c r="BG280" i="2"/>
  <c r="BG284" i="2"/>
  <c r="BG292" i="2"/>
  <c r="BG300" i="2"/>
  <c r="BG320" i="2"/>
  <c r="BG321" i="2"/>
  <c r="BG323" i="2"/>
  <c r="BG278" i="2"/>
  <c r="BG282" i="2"/>
  <c r="BG286" i="2"/>
  <c r="BG290" i="2"/>
  <c r="BG296" i="2"/>
  <c r="BG318" i="2"/>
  <c r="BG317" i="2"/>
  <c r="BG288" i="2"/>
  <c r="BG316" i="2"/>
  <c r="BG322" i="2"/>
  <c r="BG324" i="2"/>
  <c r="BG327" i="2"/>
  <c r="BG331" i="2"/>
  <c r="BG325" i="2"/>
  <c r="BG330" i="2"/>
  <c r="BG328" i="2"/>
  <c r="BG332" i="2"/>
  <c r="BG329" i="2"/>
  <c r="BG333" i="2"/>
  <c r="BG326" i="2"/>
  <c r="BK28" i="2"/>
  <c r="BK256" i="2"/>
  <c r="BK260" i="2"/>
  <c r="BK264" i="2"/>
  <c r="BK268" i="2"/>
  <c r="BK253" i="2"/>
  <c r="BK255" i="2"/>
  <c r="BK259" i="2"/>
  <c r="BK263" i="2"/>
  <c r="BK267" i="2"/>
  <c r="BK270" i="2"/>
  <c r="BK271" i="2"/>
  <c r="BK272" i="2"/>
  <c r="BK273" i="2"/>
  <c r="BK274" i="2"/>
  <c r="BK258" i="2"/>
  <c r="BK266" i="2"/>
  <c r="BK275" i="2"/>
  <c r="BK257" i="2"/>
  <c r="BK265" i="2"/>
  <c r="BK294" i="2"/>
  <c r="BK298" i="2"/>
  <c r="BK269" i="2"/>
  <c r="BK276" i="2"/>
  <c r="BK278" i="2"/>
  <c r="BK280" i="2"/>
  <c r="BK282" i="2"/>
  <c r="BK284" i="2"/>
  <c r="BK286" i="2"/>
  <c r="BK288" i="2"/>
  <c r="BK290" i="2"/>
  <c r="BK292" i="2"/>
  <c r="BK297" i="2"/>
  <c r="BK301" i="2"/>
  <c r="BK302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00" i="2"/>
  <c r="BK318" i="2"/>
  <c r="BK316" i="2"/>
  <c r="BK283" i="2"/>
  <c r="BK287" i="2"/>
  <c r="BK295" i="2"/>
  <c r="BK319" i="2"/>
  <c r="BK322" i="2"/>
  <c r="BK324" i="2"/>
  <c r="BK254" i="2"/>
  <c r="BK261" i="2"/>
  <c r="BK277" i="2"/>
  <c r="BK281" i="2"/>
  <c r="BK285" i="2"/>
  <c r="BK289" i="2"/>
  <c r="BK293" i="2"/>
  <c r="BK299" i="2"/>
  <c r="BK317" i="2"/>
  <c r="BK262" i="2"/>
  <c r="BK296" i="2"/>
  <c r="BK279" i="2"/>
  <c r="BK291" i="2"/>
  <c r="BK320" i="2"/>
  <c r="BK321" i="2"/>
  <c r="BK323" i="2"/>
  <c r="BK326" i="2"/>
  <c r="BK330" i="2"/>
  <c r="BK332" i="2"/>
  <c r="BK325" i="2"/>
  <c r="BK333" i="2"/>
  <c r="BK327" i="2"/>
  <c r="BK331" i="2"/>
  <c r="BK328" i="2"/>
  <c r="BK329" i="2"/>
  <c r="BO30" i="2"/>
  <c r="BO259" i="2"/>
  <c r="BO263" i="2"/>
  <c r="BO267" i="2"/>
  <c r="BO254" i="2"/>
  <c r="BO258" i="2"/>
  <c r="BO262" i="2"/>
  <c r="BO266" i="2"/>
  <c r="BO270" i="2"/>
  <c r="BO271" i="2"/>
  <c r="BO272" i="2"/>
  <c r="BO273" i="2"/>
  <c r="BO274" i="2"/>
  <c r="BO261" i="2"/>
  <c r="BO269" i="2"/>
  <c r="BO255" i="2"/>
  <c r="BO260" i="2"/>
  <c r="BO268" i="2"/>
  <c r="BO257" i="2"/>
  <c r="BO297" i="2"/>
  <c r="BO253" i="2"/>
  <c r="BO256" i="2"/>
  <c r="BO275" i="2"/>
  <c r="BO277" i="2"/>
  <c r="BO279" i="2"/>
  <c r="BO281" i="2"/>
  <c r="BO283" i="2"/>
  <c r="BO285" i="2"/>
  <c r="BO287" i="2"/>
  <c r="BO289" i="2"/>
  <c r="BO291" i="2"/>
  <c r="BO293" i="2"/>
  <c r="BO296" i="2"/>
  <c r="BO300" i="2"/>
  <c r="BO301" i="2"/>
  <c r="BO302" i="2"/>
  <c r="BO303" i="2"/>
  <c r="BO304" i="2"/>
  <c r="BO305" i="2"/>
  <c r="BO306" i="2"/>
  <c r="BO307" i="2"/>
  <c r="BO308" i="2"/>
  <c r="BO309" i="2"/>
  <c r="BO310" i="2"/>
  <c r="BO311" i="2"/>
  <c r="BO312" i="2"/>
  <c r="BO313" i="2"/>
  <c r="BO314" i="2"/>
  <c r="BO315" i="2"/>
  <c r="BO265" i="2"/>
  <c r="BO295" i="2"/>
  <c r="BO317" i="2"/>
  <c r="BO264" i="2"/>
  <c r="BO278" i="2"/>
  <c r="BO290" i="2"/>
  <c r="BO318" i="2"/>
  <c r="BO320" i="2"/>
  <c r="BO321" i="2"/>
  <c r="BO323" i="2"/>
  <c r="BO276" i="2"/>
  <c r="BO280" i="2"/>
  <c r="BO284" i="2"/>
  <c r="BO288" i="2"/>
  <c r="BO292" i="2"/>
  <c r="BO294" i="2"/>
  <c r="BO316" i="2"/>
  <c r="BO299" i="2"/>
  <c r="BO282" i="2"/>
  <c r="BO286" i="2"/>
  <c r="BO298" i="2"/>
  <c r="BO319" i="2"/>
  <c r="BO322" i="2"/>
  <c r="BO324" i="2"/>
  <c r="BO325" i="2"/>
  <c r="BO329" i="2"/>
  <c r="BO333" i="2"/>
  <c r="BO328" i="2"/>
  <c r="BO326" i="2"/>
  <c r="BO330" i="2"/>
  <c r="BO327" i="2"/>
  <c r="BO331" i="2"/>
  <c r="BO332" i="2"/>
  <c r="BS28" i="2"/>
  <c r="BS258" i="2"/>
  <c r="BS262" i="2"/>
  <c r="BS266" i="2"/>
  <c r="BS253" i="2"/>
  <c r="BS255" i="2"/>
  <c r="BS257" i="2"/>
  <c r="BS261" i="2"/>
  <c r="BS265" i="2"/>
  <c r="BS269" i="2"/>
  <c r="BS270" i="2"/>
  <c r="BS271" i="2"/>
  <c r="BS272" i="2"/>
  <c r="BS273" i="2"/>
  <c r="BS274" i="2"/>
  <c r="BS256" i="2"/>
  <c r="BS264" i="2"/>
  <c r="BS254" i="2"/>
  <c r="BS263" i="2"/>
  <c r="BS260" i="2"/>
  <c r="BS296" i="2"/>
  <c r="BS259" i="2"/>
  <c r="BS276" i="2"/>
  <c r="BS278" i="2"/>
  <c r="BS280" i="2"/>
  <c r="BS282" i="2"/>
  <c r="BS284" i="2"/>
  <c r="BS286" i="2"/>
  <c r="BS288" i="2"/>
  <c r="BS290" i="2"/>
  <c r="BS292" i="2"/>
  <c r="BS295" i="2"/>
  <c r="BS299" i="2"/>
  <c r="BS300" i="2"/>
  <c r="BS301" i="2"/>
  <c r="BS302" i="2"/>
  <c r="BS303" i="2"/>
  <c r="BS304" i="2"/>
  <c r="BS305" i="2"/>
  <c r="BS306" i="2"/>
  <c r="BS307" i="2"/>
  <c r="BS308" i="2"/>
  <c r="BS309" i="2"/>
  <c r="BS310" i="2"/>
  <c r="BS311" i="2"/>
  <c r="BS312" i="2"/>
  <c r="BS313" i="2"/>
  <c r="BS314" i="2"/>
  <c r="BS315" i="2"/>
  <c r="BS298" i="2"/>
  <c r="BS316" i="2"/>
  <c r="BS294" i="2"/>
  <c r="BS281" i="2"/>
  <c r="BS285" i="2"/>
  <c r="BS293" i="2"/>
  <c r="BS319" i="2"/>
  <c r="BS320" i="2"/>
  <c r="BS322" i="2"/>
  <c r="BS267" i="2"/>
  <c r="BS275" i="2"/>
  <c r="BS279" i="2"/>
  <c r="BS283" i="2"/>
  <c r="BS287" i="2"/>
  <c r="BS291" i="2"/>
  <c r="BS297" i="2"/>
  <c r="BS268" i="2"/>
  <c r="BS318" i="2"/>
  <c r="BS277" i="2"/>
  <c r="BS289" i="2"/>
  <c r="BS317" i="2"/>
  <c r="BS321" i="2"/>
  <c r="BS323" i="2"/>
  <c r="BS324" i="2"/>
  <c r="BS328" i="2"/>
  <c r="BS332" i="2"/>
  <c r="BS331" i="2"/>
  <c r="BS325" i="2"/>
  <c r="BS329" i="2"/>
  <c r="BS333" i="2"/>
  <c r="BS326" i="2"/>
  <c r="BS330" i="2"/>
  <c r="BS327" i="2"/>
  <c r="BH249" i="2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s="1"/>
  <c r="C18" i="18" l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7" authorId="0" shapeId="0" xr:uid="{91A1E50F-7C65-47B8-96C6-D1F3D5548173}">
      <text>
        <r>
          <rPr>
            <sz val="9"/>
            <color indexed="81"/>
            <rFont val="Tahoma"/>
            <family val="2"/>
          </rPr>
          <t>- Dandelion Clone: select skill level 1
- Fatigue: select skill level 10
- Gospel Axis: leave skill level blank
- LS Kill Ranks: leave skill level blank</t>
        </r>
      </text>
    </comment>
    <comment ref="C83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9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<sst xmlns="http://schemas.openxmlformats.org/spreadsheetml/2006/main" count="25407" uniqueCount="8023">
  <si>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</si>
  <si>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</si>
  <si>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</si>
  <si>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</si>
  <si>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</si>
  <si>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</si>
  <si>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</si>
  <si>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</si>
  <si>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</si>
  <si>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</si>
  <si>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</si>
  <si>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</si>
  <si>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</si>
  <si>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</si>
  <si>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</si>
  <si>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</si>
  <si>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</si>
  <si>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</si>
  <si>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</si>
  <si>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</si>
  <si>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</si>
  <si>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</si>
  <si>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</si>
  <si>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</si>
  <si>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</si>
  <si>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</si>
  <si>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</si>
  <si>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</si>
  <si>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</si>
  <si>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</si>
  <si>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</si>
  <si>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</si>
  <si>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</si>
  <si>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</si>
  <si>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</si>
  <si>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</si>
  <si>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</si>
  <si>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</si>
  <si>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</si>
  <si>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</si>
  <si>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</si>
  <si>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</si>
  <si>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</si>
  <si>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</si>
  <si>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</si>
  <si>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</si>
  <si>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</si>
  <si>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</si>
  <si>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</si>
  <si>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</si>
  <si>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</si>
  <si>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</si>
  <si>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</si>
  <si>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</si>
  <si>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</si>
  <si>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</si>
  <si>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</si>
  <si>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</si>
  <si>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</si>
  <si>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</si>
  <si>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</si>
  <si>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</si>
  <si>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</si>
  <si>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</si>
  <si>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</si>
  <si>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</si>
  <si>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</si>
  <si>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</si>
  <si>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</si>
  <si>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</si>
  <si>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</si>
  <si>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</si>
  <si>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</si>
  <si>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</si>
  <si>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</si>
  <si>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</si>
  <si>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</si>
  <si>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</si>
  <si>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</si>
  <si>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</si>
  <si>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</si>
  <si>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</si>
  <si>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</si>
  <si>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</si>
  <si>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</si>
  <si>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</si>
  <si>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</si>
  <si>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</si>
  <si>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</si>
  <si>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</si>
  <si>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</si>
  <si>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</si>
  <si>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</si>
  <si>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</si>
  <si>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</si>
  <si>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</si>
  <si>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</si>
  <si>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</si>
  <si>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</si>
  <si>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</si>
  <si>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</si>
  <si>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</si>
  <si>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</si>
  <si>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</si>
  <si>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</si>
  <si>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</si>
  <si>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</si>
  <si>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</si>
  <si>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</si>
  <si>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</si>
  <si>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</si>
  <si>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</si>
  <si>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</si>
  <si>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</si>
  <si>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</si>
  <si>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</si>
  <si>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</si>
  <si>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</si>
  <si>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</si>
  <si>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</si>
  <si>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</si>
  <si>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</si>
  <si>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</si>
  <si>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</si>
  <si>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</si>
  <si>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</si>
  <si>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</si>
  <si>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</si>
  <si>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</si>
  <si>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</si>
  <si>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</si>
  <si>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</si>
  <si>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</si>
  <si>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</si>
  <si>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</si>
  <si>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</si>
  <si>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</si>
  <si>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</si>
  <si>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</si>
  <si>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</si>
  <si>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</si>
  <si>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</si>
  <si>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</si>
  <si>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</si>
  <si>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</si>
  <si>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</si>
  <si>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</si>
  <si>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</si>
  <si>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</si>
  <si>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</si>
  <si>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</si>
  <si>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</si>
  <si>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</si>
  <si>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</si>
  <si>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</si>
  <si>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</si>
  <si>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</si>
  <si>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</si>
  <si>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</si>
  <si>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</si>
  <si>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</si>
  <si>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</si>
  <si>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</si>
  <si>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</si>
  <si>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</si>
  <si>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</si>
  <si>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</si>
  <si>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</si>
  <si>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</si>
  <si>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</si>
  <si>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</si>
  <si>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</si>
  <si>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</si>
  <si>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</si>
  <si>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</si>
  <si>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</si>
  <si>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</si>
  <si>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</si>
  <si>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</si>
  <si>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</si>
  <si>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</si>
  <si>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</si>
  <si>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</si>
  <si>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</si>
  <si>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</si>
  <si>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</si>
  <si>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</si>
  <si>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</si>
  <si>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</si>
  <si>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</si>
  <si>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</si>
  <si>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</si>
  <si>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</si>
  <si>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</si>
  <si>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</si>
  <si>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</si>
  <si>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</si>
  <si>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</si>
  <si>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</si>
  <si>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</si>
  <si>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</si>
  <si>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</si>
  <si>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</si>
  <si>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</si>
  <si>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</si>
  <si>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</si>
  <si>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</si>
  <si>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</si>
  <si>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</si>
  <si>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</si>
  <si>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</si>
  <si>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</si>
  <si>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</si>
  <si>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</si>
  <si>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</si>
  <si>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</si>
  <si>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</si>
  <si>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</si>
  <si>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</si>
  <si>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</si>
  <si>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</si>
  <si>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</si>
  <si>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</si>
  <si>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</si>
  <si>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</si>
  <si>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</si>
  <si>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</si>
  <si>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</si>
  <si>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</si>
  <si>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</si>
  <si>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</si>
  <si>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</si>
  <si>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</si>
  <si>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</si>
  <si>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</si>
  <si>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</si>
  <si>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</si>
  <si>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</si>
  <si>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</si>
  <si>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</si>
  <si>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</si>
  <si>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</si>
  <si>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</si>
  <si>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</si>
  <si>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</si>
  <si>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</si>
  <si>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</si>
  <si>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</si>
  <si>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</si>
  <si>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</si>
  <si>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</si>
  <si>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</si>
  <si>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</si>
  <si>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</si>
  <si>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</si>
  <si>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</si>
  <si>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</si>
  <si>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</si>
  <si>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</si>
  <si>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</si>
  <si>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</si>
  <si>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</si>
  <si>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</si>
  <si>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</si>
  <si>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</si>
  <si>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</si>
  <si>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</si>
  <si>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</si>
  <si>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</si>
  <si>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</si>
  <si>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</si>
  <si>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</si>
  <si>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</si>
  <si>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</si>
  <si>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</si>
  <si>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</si>
  <si>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</si>
  <si>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</si>
  <si>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</si>
  <si>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</si>
  <si>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</si>
  <si>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</si>
  <si>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</si>
  <si>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</si>
  <si>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</si>
  <si>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</si>
  <si>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</si>
  <si>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</si>
  <si>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</si>
  <si>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</si>
  <si>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</si>
  <si>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</si>
  <si>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</si>
  <si>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</si>
  <si>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</si>
  <si>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</si>
  <si>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</si>
  <si>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</si>
  <si>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</si>
  <si>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</si>
  <si>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</si>
  <si>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</si>
  <si>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</si>
  <si>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</si>
  <si>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</si>
  <si>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</si>
  <si>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</si>
  <si>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</si>
  <si>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</si>
  <si>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</si>
  <si>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</si>
  <si>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</si>
  <si>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</si>
  <si>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</si>
  <si>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</si>
  <si>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</si>
  <si>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</si>
  <si>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</si>
  <si>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</si>
  <si>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</si>
  <si>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</si>
  <si>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</si>
  <si>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</si>
  <si>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</si>
  <si>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</si>
  <si>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</si>
  <si>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</si>
  <si>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</si>
  <si>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</si>
  <si>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</si>
  <si>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</si>
  <si>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</si>
  <si>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</si>
  <si>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</si>
  <si>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</si>
  <si>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</si>
  <si>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</si>
  <si>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</si>
  <si>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</si>
  <si>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</si>
  <si>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</si>
  <si>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</si>
  <si>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</si>
  <si>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</si>
  <si>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</si>
  <si>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</si>
  <si>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</si>
  <si>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</si>
  <si>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</si>
  <si>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</si>
  <si>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</si>
  <si>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</si>
  <si>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</si>
  <si>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</si>
  <si>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</si>
  <si>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</si>
  <si>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</si>
  <si>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</si>
  <si>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</si>
  <si>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</si>
  <si>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</si>
  <si>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</si>
  <si>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</si>
  <si>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</si>
  <si>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</si>
  <si>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</si>
  <si>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</si>
  <si>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</si>
  <si>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</si>
  <si>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</si>
  <si>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</si>
  <si>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</si>
  <si>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</si>
  <si>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</si>
  <si>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</si>
  <si>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</si>
  <si>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</si>
  <si>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</si>
  <si>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</si>
  <si>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</si>
  <si>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</si>
  <si>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</si>
  <si>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</si>
  <si>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</si>
  <si>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</si>
  <si>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</si>
  <si>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</si>
  <si>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</si>
  <si>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</si>
  <si>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</si>
  <si>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</si>
  <si>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</si>
  <si>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</si>
  <si>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</si>
  <si>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</si>
  <si>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</si>
  <si>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</si>
  <si>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</si>
  <si>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</si>
  <si>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</si>
  <si>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</si>
  <si>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</si>
  <si>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</si>
  <si>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</si>
  <si>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</si>
  <si>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</si>
  <si>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</si>
  <si>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</si>
  <si>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</si>
  <si>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</si>
  <si>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</si>
  <si>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</si>
  <si>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</si>
  <si>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</si>
  <si>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</si>
  <si>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</si>
  <si>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</si>
  <si>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</si>
  <si>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</si>
  <si>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</si>
  <si>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</si>
  <si>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</si>
  <si>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</si>
  <si>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</si>
  <si>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</si>
  <si>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</si>
  <si>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</si>
  <si>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</si>
  <si>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</si>
  <si>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</si>
  <si>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</si>
  <si>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</si>
  <si>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</si>
  <si>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</si>
  <si>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</si>
  <si>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</si>
  <si>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</si>
  <si>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</si>
  <si>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</si>
  <si>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</si>
  <si>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</si>
  <si>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</si>
  <si>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</si>
  <si>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</si>
  <si>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</si>
  <si>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</si>
  <si>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</si>
  <si>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</si>
  <si>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</si>
  <si>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</si>
  <si>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</si>
  <si>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</si>
  <si>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</si>
  <si>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</si>
  <si>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</si>
  <si>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</si>
  <si>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</si>
  <si>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</si>
  <si>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</si>
  <si>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</si>
  <si>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</si>
  <si>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</si>
  <si>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</si>
  <si>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</si>
  <si>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</si>
  <si>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</si>
  <si>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</si>
  <si>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</si>
  <si>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</si>
  <si>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</si>
  <si>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</si>
  <si>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</si>
  <si>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</si>
  <si>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</si>
  <si>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</si>
  <si>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</si>
  <si>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</si>
  <si>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</si>
  <si>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</si>
  <si>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</si>
  <si>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</si>
  <si>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</si>
  <si>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</si>
  <si>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</si>
  <si>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</si>
  <si>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</si>
  <si>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</si>
  <si>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</si>
  <si>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</si>
  <si>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</si>
  <si>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</si>
  <si>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</si>
  <si>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</si>
  <si>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</si>
  <si>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</si>
  <si>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</si>
  <si>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</si>
  <si>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</si>
  <si>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</si>
  <si>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</si>
  <si>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</si>
  <si>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</si>
  <si>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</si>
  <si>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</si>
  <si>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</si>
  <si>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</si>
  <si>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</si>
  <si>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</si>
  <si>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</si>
  <si>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</si>
  <si>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</si>
  <si>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</si>
  <si>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</si>
  <si>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</si>
  <si>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</si>
  <si>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</si>
  <si>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</si>
  <si>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</si>
  <si>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</si>
  <si>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</si>
  <si>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</si>
  <si>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</si>
  <si>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</si>
  <si>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</si>
  <si>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</si>
  <si>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</si>
  <si>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</si>
  <si>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</si>
  <si>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</si>
  <si>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</si>
  <si>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</si>
  <si>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</si>
  <si>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</si>
  <si>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</si>
  <si>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</si>
  <si>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</si>
  <si>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</si>
  <si>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</si>
  <si>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</si>
  <si>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</si>
  <si>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</si>
  <si>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</si>
  <si>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</si>
  <si>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</si>
  <si>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</si>
  <si>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</si>
  <si>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</si>
  <si>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</si>
  <si>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</si>
  <si>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</si>
  <si>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</si>
  <si>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</si>
  <si>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</si>
  <si>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</si>
  <si>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</si>
  <si>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</si>
  <si>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</si>
  <si>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</si>
  <si>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</si>
  <si>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</si>
  <si>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</si>
  <si>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</si>
  <si>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</si>
  <si>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</si>
  <si>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</si>
  <si>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</si>
  <si>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</si>
  <si>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</si>
  <si>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</si>
  <si>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</si>
  <si>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</si>
  <si>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</si>
  <si>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</si>
  <si>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</si>
  <si>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</si>
  <si>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</si>
  <si>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</si>
  <si>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</si>
  <si>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</si>
  <si>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</si>
  <si>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</si>
  <si>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</si>
  <si>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</si>
  <si>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</si>
  <si>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</si>
  <si>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</si>
  <si>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</si>
  <si>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</si>
  <si>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</si>
  <si>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</si>
  <si>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</si>
  <si>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</si>
  <si>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</si>
  <si>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</si>
  <si>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</si>
  <si>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</si>
  <si>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</si>
  <si>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</si>
  <si>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</si>
  <si>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</si>
  <si>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</si>
  <si>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</si>
  <si>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</si>
  <si>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</si>
  <si>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</si>
  <si>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</si>
  <si>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</si>
  <si>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</si>
  <si>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</si>
  <si>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</si>
  <si>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</si>
  <si>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</si>
  <si>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</si>
  <si>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</si>
  <si>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</si>
  <si>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</si>
  <si>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</si>
  <si>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</si>
  <si>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</si>
  <si>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</si>
  <si>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</si>
  <si>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</si>
  <si>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</si>
  <si>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</si>
  <si>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</si>
  <si>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</si>
  <si>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</si>
  <si>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</si>
  <si>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</si>
  <si>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</si>
  <si>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</si>
  <si>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</si>
  <si>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</si>
  <si>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</si>
  <si>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</si>
  <si>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</si>
  <si>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</si>
  <si>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</si>
  <si>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</si>
  <si>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</si>
  <si>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</si>
  <si>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</si>
  <si>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</si>
  <si>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</si>
  <si>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</si>
  <si>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</si>
  <si>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</si>
  <si>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</si>
  <si>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</si>
  <si>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</si>
  <si>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</si>
  <si>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</si>
  <si>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</si>
  <si>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</si>
  <si>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</si>
  <si>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</si>
  <si>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</si>
  <si>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</si>
  <si>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</si>
  <si>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</si>
  <si>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</si>
  <si>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</si>
  <si>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</si>
  <si>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</si>
  <si>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</si>
  <si>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</si>
  <si>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</si>
  <si>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</si>
  <si>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</si>
  <si>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</si>
  <si>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</si>
  <si>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</si>
  <si>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</si>
  <si>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</si>
  <si>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</si>
  <si>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</si>
  <si>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</si>
  <si>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</si>
  <si>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</si>
  <si>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</si>
  <si>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</si>
  <si>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</si>
  <si>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</si>
  <si>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</si>
  <si>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</si>
  <si>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</si>
  <si>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</si>
  <si>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</si>
  <si>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</si>
  <si>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</si>
  <si>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</si>
  <si>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</si>
  <si>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</si>
  <si>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</si>
  <si>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</si>
  <si>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</si>
  <si>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</si>
  <si>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</si>
  <si>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</si>
  <si>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</si>
  <si>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</si>
  <si>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</si>
  <si>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</si>
  <si>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</si>
  <si>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</si>
  <si>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</si>
  <si>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</si>
  <si>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</si>
  <si>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</si>
  <si>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</si>
  <si>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</si>
  <si>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</si>
  <si>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</si>
  <si>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</si>
  <si>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</si>
  <si>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</si>
  <si>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</si>
  <si>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</si>
  <si>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</si>
  <si>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</si>
  <si>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</si>
  <si>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</si>
  <si>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</si>
  <si>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</si>
  <si>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</si>
  <si>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</si>
  <si>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</si>
  <si>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</si>
  <si>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</si>
  <si>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</si>
  <si>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</si>
  <si>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</si>
  <si>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</si>
  <si>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</si>
  <si>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</si>
  <si>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</si>
  <si>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</si>
  <si>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</si>
  <si>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</si>
  <si>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</si>
  <si>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</si>
  <si>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</si>
  <si>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</si>
  <si>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</si>
  <si>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</si>
  <si>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</si>
  <si>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</si>
  <si>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</si>
  <si>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</si>
  <si>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</si>
  <si>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</si>
  <si>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</si>
  <si>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</si>
  <si>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</si>
  <si>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</si>
  <si>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</si>
  <si>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</si>
  <si>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</si>
  <si>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</si>
  <si>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</si>
  <si>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</si>
  <si>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</si>
  <si>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</si>
  <si>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</si>
  <si>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</si>
  <si>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</si>
  <si>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</si>
  <si>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</si>
  <si>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</si>
  <si>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</si>
  <si>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</si>
  <si>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</si>
  <si>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</si>
  <si>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</si>
  <si>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</si>
  <si>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</si>
  <si>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</si>
  <si>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</si>
  <si>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</si>
  <si>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</si>
  <si>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</si>
  <si>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</si>
  <si>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</si>
  <si>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</si>
  <si>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</si>
  <si>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</si>
  <si>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</si>
  <si>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</si>
  <si>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</si>
  <si>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</si>
  <si>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</si>
  <si>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</si>
  <si>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</si>
  <si>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</si>
  <si>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</si>
  <si>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</si>
  <si>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</si>
  <si>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</si>
  <si>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</si>
  <si>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</si>
  <si>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</si>
  <si>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</si>
  <si>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</si>
  <si>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</si>
  <si>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</si>
  <si>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</si>
  <si>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</si>
  <si>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</si>
  <si>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</si>
  <si>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</si>
  <si>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</si>
  <si>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</si>
  <si>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</si>
  <si>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</si>
  <si>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</si>
  <si>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</si>
  <si>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</si>
  <si>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</si>
  <si>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</si>
  <si>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</si>
  <si>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</si>
  <si>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</si>
  <si>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</si>
  <si>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</si>
  <si>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</si>
  <si>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</si>
  <si>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</si>
  <si>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</si>
  <si>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</si>
  <si>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</si>
  <si>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</si>
  <si>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</si>
  <si>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</si>
  <si>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</si>
  <si>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</si>
  <si>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</si>
  <si>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</si>
  <si>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</si>
  <si>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</si>
  <si>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</si>
  <si>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</si>
  <si>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</si>
  <si>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</si>
  <si>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</si>
  <si>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</si>
  <si>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</si>
  <si>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</si>
  <si>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</si>
  <si>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</si>
  <si>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</si>
  <si>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</si>
  <si>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</si>
  <si>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</si>
  <si>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</si>
  <si>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</si>
  <si>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</si>
  <si>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</si>
  <si>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</si>
  <si>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</si>
  <si>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</si>
  <si>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</si>
  <si>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</si>
  <si>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</si>
  <si>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</si>
  <si>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</si>
  <si>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</si>
  <si>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</si>
  <si>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</si>
  <si>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</si>
  <si>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</si>
  <si>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</si>
  <si>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</si>
  <si>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</si>
  <si>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</si>
  <si>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</si>
  <si>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</si>
  <si>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</si>
  <si>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</si>
  <si>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</si>
  <si>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</si>
  <si>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</si>
  <si>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</si>
  <si>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</si>
  <si>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</si>
  <si>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</si>
  <si>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</si>
  <si>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</si>
  <si>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</si>
  <si>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</si>
  <si>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</si>
  <si>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</si>
  <si>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</si>
  <si>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</si>
  <si>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</si>
  <si>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</si>
  <si>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</si>
  <si>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</si>
  <si>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</si>
  <si>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</si>
  <si>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</si>
  <si>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</si>
  <si>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</si>
  <si>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</si>
  <si>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</si>
  <si>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</si>
  <si>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</si>
  <si>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</si>
  <si>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</si>
  <si>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</si>
  <si>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</si>
  <si>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</si>
  <si>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</si>
  <si>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</si>
  <si>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</si>
  <si>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</si>
  <si>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</si>
  <si>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</si>
  <si>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</si>
  <si>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</si>
  <si>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</si>
  <si>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</si>
  <si>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</si>
  <si>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</si>
  <si>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</si>
  <si>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</si>
  <si>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</si>
  <si>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</si>
  <si>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</si>
  <si>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</si>
  <si>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</si>
  <si>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</si>
  <si>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</si>
  <si>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</si>
  <si>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</si>
  <si>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</si>
  <si>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</si>
  <si>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</si>
  <si>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</si>
  <si>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</si>
  <si>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</si>
  <si>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</si>
  <si>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</si>
  <si>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</si>
  <si>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</si>
  <si>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</si>
  <si>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</si>
  <si>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</si>
  <si>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</si>
  <si>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</si>
  <si>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</si>
  <si>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</si>
  <si>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</si>
  <si>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</si>
  <si>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</si>
  <si>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</si>
  <si>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</si>
  <si>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</si>
  <si>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</si>
  <si>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</si>
  <si>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</si>
  <si>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</si>
  <si>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</si>
  <si>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</si>
  <si>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</si>
  <si>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</si>
  <si>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</si>
  <si>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</si>
  <si>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</si>
  <si>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</si>
  <si>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</si>
  <si>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</si>
  <si>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</si>
  <si>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</si>
  <si>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</si>
  <si>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</si>
  <si>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</si>
  <si>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</si>
  <si>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</si>
  <si>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</si>
  <si>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</si>
  <si>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</si>
  <si>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</si>
  <si>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</si>
  <si>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</si>
  <si>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</si>
  <si>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</si>
  <si>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</si>
  <si>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</si>
  <si>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</si>
  <si>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</si>
  <si>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</si>
  <si>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</si>
  <si>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</si>
  <si>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</si>
  <si>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</si>
  <si>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</si>
  <si>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</si>
  <si>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</si>
  <si>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</si>
  <si>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</si>
  <si>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</si>
  <si>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</si>
  <si>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</si>
  <si>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</si>
  <si>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</si>
  <si>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</si>
  <si>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</si>
  <si>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</si>
  <si>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</si>
  <si>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</si>
  <si>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</si>
  <si>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</si>
  <si>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</si>
  <si>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</si>
  <si>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</si>
  <si>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</si>
  <si>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</si>
  <si>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</si>
  <si>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</si>
  <si>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</si>
  <si>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</si>
  <si>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</si>
  <si>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</si>
  <si>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</si>
  <si>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</si>
  <si>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</si>
  <si>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</si>
  <si>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</si>
  <si>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</si>
  <si>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</si>
  <si>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</si>
  <si>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</si>
  <si>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</si>
  <si>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</si>
  <si>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</si>
  <si>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</si>
  <si>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</si>
  <si>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</si>
  <si>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</si>
  <si>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</si>
  <si>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</si>
  <si>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</si>
  <si>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</si>
  <si>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</si>
  <si>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</si>
  <si>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</si>
  <si>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</si>
  <si>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</si>
  <si>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</si>
  <si>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</si>
  <si>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</si>
  <si>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</si>
  <si>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</si>
  <si>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</si>
  <si>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</si>
  <si>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</si>
  <si>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</si>
  <si>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</si>
  <si>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</si>
  <si>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</si>
  <si>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</si>
  <si>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</si>
  <si>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</si>
  <si>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</si>
  <si>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</si>
  <si>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</si>
  <si>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</si>
  <si>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</si>
  <si>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</si>
  <si>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</si>
  <si>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</si>
  <si>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</si>
  <si>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</si>
  <si>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</si>
  <si>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</si>
  <si>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</si>
  <si>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</si>
  <si>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</si>
  <si>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</si>
  <si>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</si>
  <si>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</si>
  <si>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</si>
  <si>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</si>
  <si>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</si>
  <si>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</si>
  <si>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</si>
  <si>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</si>
  <si>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</si>
  <si>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</si>
  <si>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</si>
  <si>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</si>
  <si>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</si>
  <si>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</si>
  <si>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</si>
  <si>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</si>
  <si>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</si>
  <si>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</si>
  <si>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</si>
  <si>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</si>
  <si>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</si>
  <si>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</si>
  <si>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</si>
  <si>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</si>
  <si>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</si>
  <si>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</si>
  <si>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</si>
  <si>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</si>
  <si>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</si>
  <si>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</si>
  <si>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</si>
  <si>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</si>
  <si>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</si>
  <si>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</si>
  <si>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</si>
  <si>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</si>
  <si>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</si>
  <si>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</si>
  <si>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</si>
  <si>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</si>
  <si>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</si>
  <si>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</si>
  <si>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</si>
  <si>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</si>
  <si>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</si>
  <si>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</si>
  <si>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</si>
  <si>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</si>
  <si>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</si>
  <si>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</si>
  <si>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</si>
  <si>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</si>
  <si>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</si>
  <si>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</si>
  <si>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</si>
  <si>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</si>
  <si>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</si>
  <si>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</si>
  <si>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</si>
  <si>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</si>
  <si>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</si>
  <si>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</si>
  <si>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</si>
  <si>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</si>
  <si>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</si>
  <si>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</si>
  <si>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</si>
  <si>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</si>
  <si>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</si>
  <si>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</si>
  <si>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</si>
  <si>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</si>
  <si>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</si>
  <si>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</si>
  <si>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</si>
  <si>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</si>
  <si>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</si>
  <si>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</si>
  <si>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</si>
  <si>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</si>
  <si>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</si>
  <si>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</si>
  <si>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</si>
  <si>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</si>
  <si>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</si>
  <si>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</si>
  <si>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</si>
  <si>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</si>
  <si>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</si>
  <si>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</si>
  <si>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</si>
  <si>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</si>
  <si>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</si>
  <si>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</si>
  <si>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</si>
  <si>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</si>
  <si>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</si>
  <si>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</si>
  <si>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</si>
  <si>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</si>
  <si>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</si>
  <si>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</si>
  <si>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</si>
  <si>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</si>
  <si>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</si>
  <si>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</si>
  <si>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</si>
  <si>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</si>
  <si>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</si>
  <si>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</si>
  <si>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</si>
  <si>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</si>
  <si>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</si>
  <si>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</si>
  <si>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</si>
  <si>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</si>
  <si>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</si>
  <si>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</si>
  <si>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</si>
  <si>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</si>
  <si>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</si>
  <si>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</si>
  <si>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</si>
  <si>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</si>
  <si>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</si>
  <si>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</si>
  <si>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</si>
  <si>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</si>
  <si>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</si>
  <si>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</si>
  <si>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</si>
  <si>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</si>
  <si>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</si>
  <si>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</si>
  <si>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</si>
  <si>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</si>
  <si>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</si>
  <si>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</si>
  <si>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</si>
  <si>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</si>
  <si>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</si>
  <si>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</si>
  <si>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</si>
  <si>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</si>
  <si>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</si>
  <si>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</si>
  <si>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</si>
  <si>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</si>
  <si>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</si>
  <si>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</si>
  <si>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</si>
  <si>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</si>
  <si>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</si>
  <si>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</si>
  <si>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</si>
  <si>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</si>
  <si>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</si>
  <si>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</si>
  <si>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</si>
  <si>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</si>
  <si>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</si>
  <si>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</si>
  <si>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</si>
  <si>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</si>
  <si>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</si>
  <si>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</si>
  <si>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</si>
  <si>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</si>
  <si>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</si>
  <si>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</si>
  <si>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</si>
  <si>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</si>
  <si>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</si>
  <si>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</si>
  <si>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</si>
  <si>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</si>
  <si>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</si>
  <si>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</si>
  <si>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</si>
  <si>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</si>
  <si>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</si>
  <si>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</si>
  <si>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</si>
  <si>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</si>
  <si>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</si>
  <si>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</si>
  <si>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</si>
  <si>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</si>
  <si>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</si>
  <si>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</si>
  <si>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</si>
  <si>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</si>
  <si>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</si>
  <si>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</si>
  <si>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</si>
  <si>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</si>
  <si>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</si>
  <si>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</si>
  <si>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</si>
  <si>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</si>
  <si>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</si>
  <si>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</si>
  <si>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</si>
  <si>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</si>
  <si>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</si>
  <si>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</si>
  <si>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</si>
  <si>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</si>
  <si>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</si>
  <si>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</si>
  <si>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</si>
  <si>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</si>
  <si>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</si>
  <si>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</si>
  <si>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</si>
  <si>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</si>
  <si>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</si>
  <si>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</si>
  <si>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</si>
  <si>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</si>
  <si>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</si>
  <si>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</si>
  <si>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</si>
  <si>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</si>
  <si>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</si>
  <si>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</si>
  <si>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</si>
  <si>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</si>
  <si>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</si>
  <si>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</si>
  <si>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</si>
  <si>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</si>
  <si>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</si>
  <si>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</si>
  <si>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</si>
  <si>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</si>
  <si>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</si>
  <si>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</si>
  <si>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</si>
  <si>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</si>
  <si>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</si>
  <si>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</si>
  <si>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</si>
  <si>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</si>
  <si>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</si>
  <si>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</si>
  <si>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</si>
  <si>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</si>
  <si>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</si>
  <si>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</si>
  <si>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</si>
  <si>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</si>
  <si>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</si>
  <si>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</si>
  <si>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</si>
  <si>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</si>
  <si>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</si>
  <si>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</si>
  <si>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</si>
  <si>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</si>
  <si>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</si>
  <si>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</si>
  <si>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</si>
  <si>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</si>
  <si>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</si>
  <si>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</si>
  <si>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</si>
  <si>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</si>
  <si>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</si>
  <si>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</si>
  <si>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</si>
  <si>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</si>
  <si>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</si>
  <si>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</si>
  <si>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</si>
  <si>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</si>
  <si>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</si>
  <si>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</si>
  <si>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</si>
  <si>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</si>
  <si>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</si>
  <si>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</si>
  <si>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</si>
  <si>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</si>
  <si>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</si>
  <si>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</si>
  <si>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</si>
  <si>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</si>
  <si>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</si>
  <si>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</si>
  <si>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</si>
  <si>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</si>
  <si>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</si>
  <si>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</si>
  <si>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</si>
  <si>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</si>
  <si>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</si>
  <si>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</si>
  <si>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</si>
  <si>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</si>
  <si>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</si>
  <si>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</si>
  <si>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</si>
  <si>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</si>
  <si>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</si>
  <si>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</si>
  <si>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</si>
  <si>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</si>
  <si>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</si>
  <si>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</si>
  <si>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</si>
  <si>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</si>
  <si>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</si>
  <si>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</si>
  <si>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</si>
  <si>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</si>
  <si>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</si>
  <si>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</si>
  <si>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</si>
  <si>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</si>
  <si>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</si>
  <si>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</si>
  <si>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</si>
  <si>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</si>
  <si>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</si>
  <si>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</si>
  <si>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</si>
  <si>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</si>
  <si>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</si>
  <si>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</si>
  <si>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</si>
  <si>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</si>
  <si>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</si>
  <si>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</si>
  <si>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</si>
  <si>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</si>
  <si>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</si>
  <si>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</si>
  <si>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</si>
  <si>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</si>
  <si>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</si>
  <si>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</si>
  <si>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</si>
  <si>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</si>
  <si>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</si>
  <si>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</si>
  <si>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</si>
  <si>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</si>
  <si>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</si>
  <si>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</si>
  <si>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</si>
  <si>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</si>
  <si>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</si>
  <si>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</si>
  <si>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</si>
  <si>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</si>
  <si>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</si>
  <si>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</si>
  <si>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</si>
  <si>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</si>
  <si>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</si>
  <si>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</si>
  <si>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</si>
  <si>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</si>
  <si>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</si>
  <si>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</si>
  <si>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</si>
  <si>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</si>
  <si>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</si>
  <si>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</si>
  <si>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</si>
  <si>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</si>
  <si>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</si>
  <si>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</si>
  <si>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</si>
  <si>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</si>
  <si>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</si>
  <si>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</si>
  <si>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</si>
  <si>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</si>
  <si>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</si>
  <si>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</si>
  <si>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</si>
  <si>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</si>
  <si>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</si>
  <si>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</si>
  <si>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</si>
  <si>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</si>
  <si>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</si>
  <si>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</si>
  <si>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</si>
  <si>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</si>
  <si>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</si>
  <si>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</si>
  <si>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</si>
  <si>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</si>
  <si>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</si>
  <si>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</si>
  <si>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</si>
  <si>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</si>
  <si>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</si>
  <si>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</si>
  <si>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</si>
  <si>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</si>
  <si>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</si>
  <si>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</si>
  <si>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</si>
  <si>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</si>
  <si>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</si>
  <si>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</si>
  <si>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</si>
  <si>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</si>
  <si>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</si>
  <si>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</si>
  <si>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</si>
  <si>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</si>
  <si>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</si>
  <si>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</si>
  <si>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</si>
  <si>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</si>
  <si>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</si>
  <si>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</si>
  <si>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</si>
  <si>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</si>
  <si>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</si>
  <si>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</si>
  <si>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</si>
  <si>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</si>
  <si>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</si>
  <si>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</si>
  <si>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</si>
  <si>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</si>
  <si>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</si>
  <si>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</si>
  <si>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</si>
  <si>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</si>
  <si>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</si>
  <si>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</si>
  <si>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</si>
  <si>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</si>
  <si>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</si>
  <si>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</si>
  <si>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</si>
  <si>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</si>
  <si>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</si>
  <si>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</si>
  <si>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</si>
  <si>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</si>
  <si>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</si>
  <si>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</si>
  <si>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</si>
  <si>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</si>
  <si>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</si>
  <si>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</si>
  <si>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</si>
  <si>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</si>
  <si>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</si>
  <si>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</si>
  <si>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</si>
  <si>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</si>
  <si>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</si>
  <si>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</si>
  <si>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</si>
  <si>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</si>
  <si>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</si>
  <si>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</si>
  <si>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</si>
  <si>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</si>
  <si>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</si>
  <si>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</si>
  <si>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</si>
  <si>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</si>
  <si>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</si>
  <si>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</si>
  <si>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</si>
  <si>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</si>
  <si>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</si>
  <si>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</si>
  <si>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</si>
  <si>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</si>
  <si>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</si>
  <si>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</si>
  <si>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</si>
  <si>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</si>
  <si>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</si>
  <si>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</si>
  <si>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</si>
  <si>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</si>
  <si>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</si>
  <si>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</si>
  <si>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</si>
  <si>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</si>
  <si>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</si>
  <si>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</si>
  <si>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</si>
  <si>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</si>
  <si>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</si>
  <si>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</si>
  <si>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</si>
  <si>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</si>
  <si>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</si>
  <si>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</si>
  <si>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</si>
  <si>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</si>
  <si>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</si>
  <si>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</si>
  <si>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</si>
  <si>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</si>
  <si>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</si>
  <si>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</si>
  <si>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</si>
  <si>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</si>
  <si>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</si>
  <si>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</si>
  <si>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</si>
  <si>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</si>
  <si>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</si>
  <si>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</si>
  <si>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</si>
  <si>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</si>
  <si>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</si>
  <si>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</si>
  <si>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</si>
  <si>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</si>
  <si>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</si>
  <si>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</si>
  <si>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</si>
  <si>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</si>
  <si>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</si>
  <si>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</si>
  <si>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</si>
  <si>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</si>
  <si>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</si>
  <si>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</si>
  <si>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</si>
  <si>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</si>
  <si>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</si>
  <si>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</si>
  <si>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</si>
  <si>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</si>
  <si>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</si>
  <si>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</si>
  <si>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</si>
  <si>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</si>
  <si>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</si>
  <si>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</si>
  <si>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</si>
  <si>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</si>
  <si>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</si>
  <si>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</si>
  <si>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</si>
  <si>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</si>
  <si>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</si>
  <si>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</si>
  <si>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</si>
  <si>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</si>
  <si>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</si>
  <si>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</si>
  <si>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</si>
  <si>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</si>
  <si>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</si>
  <si>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</si>
  <si>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</si>
  <si>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</si>
  <si>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</si>
  <si>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</si>
  <si>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</si>
  <si>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</si>
  <si>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</si>
  <si>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</si>
  <si>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</si>
  <si>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</si>
  <si>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</si>
  <si>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</si>
  <si>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</si>
  <si>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</si>
  <si>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</si>
  <si>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</si>
  <si>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</si>
  <si>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</si>
  <si>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</si>
  <si>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</si>
  <si>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</si>
  <si>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</si>
  <si>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</si>
  <si>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</si>
  <si>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</si>
  <si>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</si>
  <si>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</si>
  <si>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</si>
  <si>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</si>
  <si>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</si>
  <si>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</si>
  <si>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</si>
  <si>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</si>
  <si>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</si>
  <si>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</si>
  <si>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</si>
  <si>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</si>
  <si>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</si>
  <si>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</si>
  <si>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</si>
  <si>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</si>
  <si>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</si>
  <si>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</si>
  <si>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</si>
  <si>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</si>
  <si>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</si>
  <si>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</si>
  <si>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</si>
  <si>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</si>
  <si>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</si>
  <si>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</si>
  <si>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</si>
  <si>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</si>
  <si>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</si>
  <si>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</si>
  <si>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</si>
  <si>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</si>
  <si>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</si>
  <si>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</si>
  <si>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</si>
  <si>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</si>
  <si>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</si>
  <si>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</si>
  <si>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</si>
  <si>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</si>
  <si>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</si>
  <si>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</si>
  <si>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</si>
  <si>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</si>
  <si>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</si>
  <si>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</si>
  <si>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</si>
  <si>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</si>
  <si>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</si>
  <si>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</si>
  <si>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</si>
  <si>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</si>
  <si>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</si>
  <si>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</si>
  <si>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</si>
  <si>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</si>
  <si>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</si>
  <si>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</si>
  <si>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</si>
  <si>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</si>
  <si>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</si>
  <si>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</si>
  <si>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</si>
  <si>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</si>
  <si>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</si>
  <si>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</si>
  <si>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</si>
  <si>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</si>
  <si>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</si>
  <si>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</si>
  <si>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</si>
  <si>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</si>
  <si>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</si>
  <si>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</si>
  <si>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</si>
  <si>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</si>
  <si>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</si>
  <si>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</si>
  <si>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</si>
  <si>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</si>
  <si>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</si>
  <si>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</si>
  <si>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</si>
  <si>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</si>
  <si>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</si>
  <si>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</si>
  <si>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</si>
  <si>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</si>
  <si>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</si>
  <si>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</si>
  <si>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</si>
  <si>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</si>
  <si>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</si>
  <si>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</si>
  <si>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</si>
  <si>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</si>
  <si>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</si>
  <si>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</si>
  <si>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</si>
  <si>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</si>
  <si>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</si>
  <si>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</si>
  <si>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</si>
  <si>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</si>
  <si>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</si>
  <si>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</si>
  <si>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</si>
  <si>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</si>
  <si>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</si>
  <si>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</si>
  <si>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</si>
  <si>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</si>
  <si>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</si>
  <si>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</si>
  <si>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</si>
  <si>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</si>
  <si>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</si>
  <si>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</si>
  <si>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</si>
  <si>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</si>
  <si>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</si>
  <si>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</si>
  <si>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</si>
  <si>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</si>
  <si>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</si>
  <si>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</si>
  <si>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</si>
  <si>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</si>
  <si>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</si>
  <si>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</si>
  <si>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</si>
  <si>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</si>
  <si>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</si>
  <si>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</si>
  <si>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</si>
  <si>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</si>
  <si>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</si>
  <si>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</si>
  <si>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</si>
  <si>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</si>
  <si>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</si>
  <si>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</si>
  <si>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</si>
  <si>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</si>
  <si>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</si>
  <si>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</si>
  <si>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</si>
  <si>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</si>
  <si>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</si>
  <si>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</si>
  <si>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</si>
  <si>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</si>
  <si>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</si>
  <si>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</si>
  <si>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</si>
  <si>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</si>
  <si>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</si>
  <si>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</si>
  <si>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</si>
  <si>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</si>
  <si>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</si>
  <si>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</si>
  <si>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</si>
  <si>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</si>
  <si>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</si>
  <si>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</si>
  <si>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</si>
  <si>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</si>
  <si>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</si>
  <si>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</si>
  <si>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</si>
  <si>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</si>
  <si>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</si>
  <si>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</si>
  <si>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</si>
  <si>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</si>
  <si>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</si>
  <si>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</si>
  <si>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</si>
  <si>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</si>
  <si>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</si>
  <si>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</si>
  <si>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</si>
  <si>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</si>
  <si>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</si>
  <si>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</si>
  <si>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</si>
  <si>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</si>
  <si>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</si>
  <si>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</si>
  <si>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</si>
  <si>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</si>
  <si>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</si>
  <si>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</si>
  <si>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</si>
  <si>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</si>
  <si>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</si>
  <si>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</si>
  <si>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</si>
  <si>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</si>
  <si>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</si>
  <si>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</si>
  <si>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</si>
  <si>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</si>
  <si>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</si>
  <si>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</si>
  <si>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</si>
  <si>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</si>
  <si>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</si>
  <si>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</si>
  <si>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</si>
  <si>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</si>
  <si>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</si>
  <si>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</si>
  <si>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</si>
  <si>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</si>
  <si>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</si>
  <si>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</si>
  <si>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</si>
  <si>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</si>
  <si>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</si>
  <si>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</si>
  <si>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</si>
  <si>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</si>
  <si>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</si>
  <si>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</si>
  <si>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</si>
  <si>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</si>
  <si>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</si>
  <si>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</si>
  <si>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</si>
  <si>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</si>
  <si>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</si>
  <si>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</si>
  <si>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</si>
  <si>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</si>
  <si>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</si>
  <si>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</si>
  <si>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</si>
  <si>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</si>
  <si>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</si>
  <si>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</si>
  <si>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</si>
  <si>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</si>
  <si>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</si>
  <si>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</si>
  <si>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</si>
  <si>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</si>
  <si>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</si>
  <si>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</si>
  <si>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</si>
  <si>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</si>
  <si>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</si>
  <si>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</si>
  <si>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</si>
  <si>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</si>
  <si>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</si>
  <si>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</si>
  <si>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</si>
  <si>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</si>
  <si>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</si>
  <si>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</si>
  <si>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</si>
  <si>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</si>
  <si>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</si>
  <si>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</si>
  <si>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</si>
  <si>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</si>
  <si>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</si>
  <si>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</si>
  <si>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</si>
  <si>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</si>
  <si>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</si>
  <si>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</si>
  <si>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</si>
  <si>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</si>
  <si>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</si>
  <si>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</si>
  <si>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</si>
  <si>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</si>
  <si>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</si>
  <si>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</si>
  <si>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</si>
  <si>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</si>
  <si>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</si>
  <si>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</si>
  <si>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</si>
  <si>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</si>
  <si>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</si>
  <si>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</si>
  <si>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</si>
  <si>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</si>
  <si>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</si>
  <si>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</si>
  <si>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</si>
  <si>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</si>
  <si>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</si>
  <si>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</si>
  <si>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</si>
  <si>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</si>
  <si>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</si>
  <si>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</si>
  <si>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</si>
  <si>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</si>
  <si>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</si>
  <si>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</si>
  <si>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</si>
  <si>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</si>
  <si>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</si>
  <si>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</si>
  <si>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</si>
  <si>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</si>
  <si>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</si>
  <si>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</si>
  <si>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</si>
  <si>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</si>
  <si>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</si>
  <si>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</si>
  <si>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</si>
  <si>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</si>
  <si>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</si>
  <si>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</si>
  <si>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</si>
  <si>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</si>
  <si>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</si>
  <si>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</si>
  <si>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</si>
  <si>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</si>
  <si>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</si>
  <si>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</si>
  <si>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</si>
  <si>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</si>
  <si>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</si>
  <si>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</si>
  <si>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</si>
  <si>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</si>
  <si>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</si>
  <si>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</si>
  <si>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</si>
  <si>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</si>
  <si>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</si>
  <si>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</si>
  <si>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</si>
  <si>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</si>
  <si>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</si>
  <si>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</si>
  <si>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</si>
  <si>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</si>
  <si>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</si>
  <si>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</si>
  <si>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</si>
  <si>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</si>
  <si>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</si>
  <si>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</si>
  <si>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</si>
  <si>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</si>
  <si>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</si>
  <si>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</si>
  <si>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</si>
  <si>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</si>
  <si>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</si>
  <si>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</si>
  <si>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</si>
  <si>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</si>
  <si>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</si>
  <si>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</si>
  <si>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</si>
  <si>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</si>
  <si>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</si>
  <si>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</si>
  <si>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</si>
  <si>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</si>
  <si>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</si>
  <si>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</si>
  <si>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</si>
  <si>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</si>
  <si>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</si>
  <si>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</si>
  <si>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</si>
  <si>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</si>
  <si>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</si>
  <si>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</si>
  <si>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</si>
  <si>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</si>
  <si>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</si>
  <si>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</si>
  <si>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</si>
  <si>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</si>
  <si>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</si>
  <si>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</si>
  <si>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</si>
  <si>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</si>
  <si>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</si>
  <si>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</si>
  <si>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</si>
  <si>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</si>
  <si>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</si>
  <si>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</si>
  <si>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</si>
  <si>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</si>
  <si>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</si>
  <si>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</si>
  <si>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</si>
  <si>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</si>
  <si>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</si>
  <si>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</si>
  <si>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</si>
  <si>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</si>
  <si>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</si>
  <si>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</si>
  <si>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</si>
  <si>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</si>
  <si>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</si>
  <si>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</si>
  <si>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</si>
  <si>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</si>
  <si>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</si>
  <si>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</si>
  <si>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</si>
  <si>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</si>
  <si>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</si>
  <si>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</si>
  <si>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</si>
  <si>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</si>
  <si>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</si>
  <si>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</si>
  <si>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</si>
  <si>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</si>
  <si>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</si>
  <si>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</si>
  <si>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</si>
  <si>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</si>
  <si>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</si>
  <si>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</si>
  <si>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</si>
  <si>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</si>
  <si>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</si>
  <si>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</si>
  <si>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</si>
  <si>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</si>
  <si>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</si>
  <si>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</si>
  <si>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</si>
  <si>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</si>
  <si>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</si>
  <si>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</si>
  <si>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</si>
  <si>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</si>
  <si>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</si>
  <si>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</si>
  <si>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</si>
  <si>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</si>
  <si>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</si>
  <si>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</si>
  <si>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</si>
  <si>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</si>
  <si>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</si>
  <si>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</si>
  <si>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</si>
  <si>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</si>
  <si>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</si>
  <si>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</si>
  <si>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</si>
  <si>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</si>
  <si>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</si>
  <si>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</si>
  <si>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</si>
  <si>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</si>
  <si>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</si>
  <si>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</si>
  <si>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</si>
  <si>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</si>
  <si>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</si>
  <si>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</si>
  <si>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</si>
  <si>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</si>
  <si>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</si>
  <si>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</si>
  <si>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</si>
  <si>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</si>
  <si>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</si>
  <si>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</si>
  <si>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</si>
  <si>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</si>
  <si>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</si>
  <si>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</si>
  <si>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</si>
  <si>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</si>
  <si>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</si>
  <si>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</si>
  <si>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</si>
  <si>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</si>
  <si>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</si>
  <si>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</si>
  <si>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</si>
  <si>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</si>
  <si>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</si>
  <si>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</si>
  <si>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</si>
  <si>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</si>
  <si>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</si>
  <si>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</si>
  <si>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</si>
  <si>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</si>
  <si>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</si>
  <si>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</si>
  <si>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</si>
  <si>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</si>
  <si>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</si>
  <si>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</si>
  <si>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</si>
  <si>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</si>
  <si>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</si>
  <si>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</si>
  <si>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</si>
  <si>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</si>
  <si>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</si>
  <si>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</si>
  <si>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</si>
  <si>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</si>
  <si>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</si>
  <si>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</si>
  <si>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</si>
  <si>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</si>
  <si>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</si>
  <si>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</si>
  <si>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</si>
  <si>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</si>
  <si>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</si>
  <si>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</si>
  <si>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</si>
  <si>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</si>
  <si>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</si>
  <si>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</si>
  <si>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</si>
  <si>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</si>
  <si>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</si>
  <si>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</si>
  <si>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</si>
  <si>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</si>
  <si>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</si>
  <si>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</si>
  <si>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</si>
  <si>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</si>
  <si>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</si>
  <si>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</si>
  <si>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</si>
  <si>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</si>
  <si>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</si>
  <si>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</si>
  <si>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</si>
  <si>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</si>
  <si>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</si>
  <si>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</si>
  <si>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</si>
  <si>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</si>
  <si>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</si>
  <si>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</si>
  <si>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</si>
  <si>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</si>
  <si>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</si>
  <si>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</si>
  <si>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</si>
  <si>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</si>
  <si>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</si>
  <si>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</si>
  <si>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</si>
  <si>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</si>
  <si>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</si>
  <si>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</si>
  <si>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</si>
  <si>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</si>
  <si>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</si>
  <si>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</si>
  <si>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</si>
  <si>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</si>
  <si>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</si>
  <si>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</si>
  <si>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</si>
  <si>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</si>
  <si>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</si>
  <si>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</si>
  <si>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</si>
  <si>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</si>
  <si>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</si>
  <si>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</si>
  <si>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</si>
  <si>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</si>
  <si>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</si>
  <si>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</si>
  <si>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</si>
  <si>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</si>
  <si>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</si>
  <si>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</si>
  <si>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</si>
  <si>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</si>
  <si>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</si>
  <si>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</si>
  <si>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</si>
  <si>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</si>
  <si>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</si>
  <si>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</si>
  <si>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</si>
  <si>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</si>
  <si>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</si>
  <si>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</si>
  <si>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</si>
  <si>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</si>
  <si>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</si>
  <si>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</si>
  <si>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</si>
  <si>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</si>
  <si>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</si>
  <si>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</si>
  <si>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</si>
  <si>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</si>
  <si>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</si>
  <si>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</si>
  <si>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</si>
  <si>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</si>
  <si>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</si>
  <si>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</si>
  <si>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</si>
  <si>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</si>
  <si>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</si>
  <si>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</si>
  <si>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</si>
  <si>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</si>
  <si>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</si>
  <si>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</si>
  <si>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</si>
  <si>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</si>
  <si>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</si>
  <si>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</si>
  <si>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</si>
  <si>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</si>
  <si>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</si>
  <si>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</si>
  <si>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</si>
  <si>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</si>
  <si>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</si>
  <si>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</si>
  <si>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</si>
  <si>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</si>
  <si>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</si>
  <si>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</si>
  <si>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</si>
  <si>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</si>
  <si>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</si>
  <si>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</si>
  <si>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</si>
  <si>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</si>
  <si>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</si>
  <si>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</si>
  <si>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</si>
  <si>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</si>
  <si>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</si>
  <si>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</si>
  <si>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</si>
  <si>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</si>
  <si>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</si>
  <si>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</si>
  <si>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</si>
  <si>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</si>
  <si>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</si>
  <si>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</si>
  <si>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</si>
  <si>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</si>
  <si>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</si>
  <si>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</si>
  <si>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</si>
  <si>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</si>
  <si>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</si>
  <si>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</si>
  <si>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</si>
  <si>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</si>
  <si>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</si>
  <si>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</si>
  <si>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</si>
  <si>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</si>
  <si>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</si>
  <si>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</si>
  <si>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</si>
  <si>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</si>
  <si>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</si>
  <si>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</si>
  <si>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</si>
  <si>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</si>
  <si>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</si>
  <si>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</si>
  <si>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</si>
  <si>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</si>
  <si>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</si>
  <si>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</si>
  <si>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</si>
  <si>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</si>
  <si>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</si>
  <si>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</si>
  <si>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</si>
  <si>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</si>
  <si>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</si>
  <si>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</si>
  <si>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</si>
  <si>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</si>
  <si>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</si>
  <si>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</si>
  <si>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</si>
  <si>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</si>
  <si>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</si>
  <si>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</si>
  <si>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</si>
  <si>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</si>
  <si>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</si>
  <si>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</si>
  <si>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</si>
  <si>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</si>
  <si>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</si>
  <si>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</si>
  <si>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</si>
  <si>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</si>
  <si>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</si>
  <si>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</si>
  <si>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</si>
  <si>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</si>
  <si>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</si>
  <si>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</si>
  <si>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</si>
  <si>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</si>
  <si>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</si>
  <si>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</si>
  <si>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</si>
  <si>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</si>
  <si>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</si>
  <si>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</si>
  <si>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</si>
  <si>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</si>
  <si>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</si>
  <si>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</si>
  <si>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</si>
  <si>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</si>
  <si>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</si>
  <si>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</si>
  <si>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</si>
  <si>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</si>
  <si>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</si>
  <si>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</si>
  <si>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</si>
  <si>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</si>
  <si>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</si>
  <si>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</si>
  <si>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</si>
  <si>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</si>
  <si>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</si>
  <si>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</si>
  <si>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</si>
  <si>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</si>
  <si>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</si>
  <si>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</si>
  <si>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</si>
  <si>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</si>
  <si>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</si>
  <si>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</si>
  <si>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</si>
  <si>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</si>
  <si>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</si>
  <si>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</si>
  <si>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</si>
  <si>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</si>
  <si>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</si>
  <si>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</si>
  <si>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</si>
  <si>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</si>
  <si>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</si>
  <si>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</si>
  <si>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</si>
  <si>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</si>
  <si>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</si>
  <si>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</si>
  <si>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</si>
  <si>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</si>
  <si>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</si>
  <si>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</si>
  <si>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</si>
  <si>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</si>
  <si>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</si>
  <si>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</si>
  <si>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</si>
  <si>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</si>
  <si>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</si>
  <si>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</si>
  <si>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</si>
  <si>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</si>
  <si>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</si>
  <si>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</si>
  <si>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</si>
  <si>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</si>
  <si>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</si>
  <si>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</si>
  <si>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</si>
  <si>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</si>
  <si>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</si>
  <si>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</si>
  <si>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</si>
  <si>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</si>
  <si>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</si>
  <si>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</si>
  <si>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</si>
  <si>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</si>
  <si>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</si>
  <si>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</si>
  <si>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</si>
  <si>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</si>
  <si>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</si>
  <si>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</si>
  <si>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</si>
  <si>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</si>
  <si>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</si>
  <si>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</si>
  <si>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</si>
  <si>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</si>
  <si>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</si>
  <si>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</si>
  <si>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</si>
  <si>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</si>
  <si>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</si>
  <si>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</si>
  <si>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</si>
  <si>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</si>
  <si>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</si>
  <si>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</si>
  <si>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</si>
  <si>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</si>
  <si>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</si>
  <si>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</si>
  <si>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</si>
  <si>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</si>
  <si>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</si>
  <si>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</si>
  <si>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</si>
  <si>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</si>
  <si>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</si>
  <si>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</si>
  <si>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</si>
  <si>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</si>
  <si>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</si>
  <si>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</si>
  <si>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</si>
  <si>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</si>
  <si>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</si>
  <si>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</si>
  <si>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</si>
  <si>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</si>
  <si>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</si>
  <si>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</si>
  <si>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</si>
  <si>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</si>
  <si>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</si>
  <si>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</si>
  <si>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</si>
  <si>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</si>
  <si>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</si>
  <si>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</si>
  <si>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</si>
  <si>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</si>
  <si>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</si>
  <si>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</si>
  <si>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</si>
  <si>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</si>
  <si>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</si>
  <si>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</si>
  <si>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</si>
  <si>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</si>
  <si>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</si>
  <si>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</si>
  <si>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</si>
  <si>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</si>
  <si>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</si>
  <si>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</si>
  <si>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</si>
  <si>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</si>
  <si>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</si>
  <si>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</si>
  <si>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</si>
  <si>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</si>
  <si>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</si>
  <si>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</si>
  <si>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</si>
  <si>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</si>
  <si>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</si>
  <si>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</si>
  <si>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</si>
  <si>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</si>
  <si>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</si>
  <si>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</si>
  <si>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</si>
  <si>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</si>
  <si>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</si>
  <si>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</si>
  <si>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</si>
  <si>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</si>
  <si>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</si>
  <si>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</si>
  <si>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</si>
  <si>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</si>
  <si>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</si>
  <si>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</si>
  <si>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</si>
  <si>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</si>
  <si>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</si>
  <si>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</si>
  <si>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</si>
  <si>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</si>
  <si>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</si>
  <si>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</si>
  <si>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</si>
  <si>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</si>
  <si>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</si>
  <si>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</si>
  <si>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</si>
  <si>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</si>
  <si>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</si>
  <si>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</si>
  <si>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</si>
  <si>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</si>
  <si>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</si>
  <si>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</si>
  <si>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</si>
  <si>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</si>
  <si>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</si>
  <si>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</si>
  <si>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</si>
  <si>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</si>
  <si>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</si>
  <si>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</si>
  <si>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</si>
  <si>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</si>
  <si>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</si>
  <si>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</si>
  <si>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</si>
  <si>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</si>
  <si>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</si>
  <si>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</si>
  <si>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</si>
  <si>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</si>
  <si>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</si>
  <si>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</si>
  <si>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</si>
  <si>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</si>
  <si>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</si>
  <si>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</si>
  <si>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</si>
  <si>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</si>
  <si>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</si>
  <si>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</si>
  <si>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</si>
  <si>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</si>
  <si>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</si>
  <si>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</si>
  <si>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</si>
  <si>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</si>
  <si>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</si>
  <si>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</si>
  <si>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</si>
  <si>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</si>
  <si>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</si>
  <si>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</si>
  <si>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</si>
  <si>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</si>
  <si>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</si>
  <si>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</si>
  <si>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</si>
  <si>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</si>
  <si>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</si>
  <si>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</si>
  <si>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</si>
  <si>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</si>
  <si>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</si>
  <si>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</si>
  <si>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</si>
  <si>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</si>
  <si>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</si>
  <si>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</si>
  <si>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</si>
  <si>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</si>
  <si>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</si>
  <si>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</si>
  <si>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</si>
  <si>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</si>
  <si>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</si>
  <si>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</si>
  <si>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</si>
  <si>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</si>
  <si>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</si>
  <si>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</si>
  <si>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</si>
  <si>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</si>
  <si>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</si>
  <si>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</si>
  <si>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</si>
  <si>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</si>
  <si>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</si>
  <si>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</si>
  <si>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</si>
  <si>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</si>
  <si>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</si>
  <si>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</si>
  <si>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</si>
  <si>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</si>
  <si>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</si>
  <si>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</si>
  <si>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</si>
  <si>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</si>
  <si>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</si>
  <si>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</si>
  <si>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</si>
  <si>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</si>
  <si>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</si>
  <si>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</si>
  <si>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</si>
  <si>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</si>
  <si>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</si>
  <si>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</si>
  <si>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</si>
  <si>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</si>
  <si>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</si>
  <si>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</si>
  <si>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</si>
  <si>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</si>
  <si>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</si>
  <si>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</si>
  <si>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</si>
  <si>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</si>
  <si>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</si>
  <si>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</si>
  <si>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</si>
  <si>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</si>
  <si>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</si>
  <si>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</si>
  <si>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</si>
  <si>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</si>
  <si>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</si>
  <si>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</si>
  <si>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</si>
  <si>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</si>
  <si>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</si>
  <si>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</si>
  <si>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</si>
  <si>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</si>
  <si>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</si>
  <si>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</si>
  <si>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</si>
  <si>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</si>
  <si>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</si>
  <si>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</si>
  <si>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</si>
  <si>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</si>
  <si>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</si>
  <si>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</si>
  <si>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</si>
  <si>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</si>
  <si>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</si>
  <si>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</si>
  <si>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</si>
  <si>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</si>
  <si>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</si>
  <si>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</si>
  <si>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</si>
  <si>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</si>
  <si>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</si>
  <si>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</si>
  <si>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</si>
  <si>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</si>
  <si>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</si>
  <si>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</si>
  <si>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</si>
  <si>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</si>
  <si>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</si>
  <si>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</si>
  <si>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</si>
  <si>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</si>
  <si>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</si>
  <si>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</si>
  <si>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</si>
  <si>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</si>
  <si>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</si>
  <si>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</si>
  <si>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</si>
  <si>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</si>
  <si>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</si>
  <si>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</si>
  <si>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</si>
  <si>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</si>
  <si>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</si>
  <si>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</si>
  <si>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</si>
  <si>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</si>
  <si>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</si>
  <si>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</si>
  <si>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</si>
  <si>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</si>
  <si>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</si>
  <si>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</si>
  <si>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</si>
  <si>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</si>
  <si>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</si>
  <si>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</si>
  <si>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</si>
  <si>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</si>
  <si>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</si>
  <si>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</si>
  <si>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</si>
  <si>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</si>
  <si>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</si>
  <si>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</si>
  <si>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</si>
  <si>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</si>
  <si>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</si>
  <si>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</si>
  <si>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</si>
  <si>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</si>
  <si>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</si>
  <si>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</si>
  <si>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</si>
  <si>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</si>
  <si>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</si>
  <si>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</si>
  <si>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</si>
  <si>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</si>
  <si>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</si>
  <si>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</si>
  <si>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</si>
  <si>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</si>
  <si>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</si>
  <si>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</si>
  <si>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</si>
  <si>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</si>
  <si>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</si>
  <si>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</si>
  <si>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</si>
  <si>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</si>
  <si>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</si>
  <si>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</si>
  <si>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</si>
  <si>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</si>
  <si>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</si>
  <si>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</si>
  <si>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</si>
  <si>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</si>
  <si>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</si>
  <si>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</si>
  <si>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</si>
  <si>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</si>
  <si>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</si>
  <si>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</si>
  <si>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</si>
  <si>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</si>
  <si>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</si>
  <si>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</si>
  <si>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</si>
  <si>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</si>
  <si>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</si>
  <si>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</si>
  <si>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</si>
  <si>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</si>
  <si>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</si>
  <si>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</si>
  <si>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</si>
  <si>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</si>
  <si>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</si>
  <si>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</si>
  <si>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</si>
  <si>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</si>
  <si>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</si>
  <si>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</si>
  <si>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</si>
  <si>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</si>
  <si>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</si>
  <si>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</si>
  <si>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</si>
  <si>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</si>
  <si>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</si>
  <si>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</si>
  <si>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</si>
  <si>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</si>
  <si>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</si>
  <si>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</si>
  <si>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</si>
  <si>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</si>
  <si>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</si>
  <si>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</si>
  <si>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</si>
  <si>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</si>
  <si>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</si>
  <si>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</si>
  <si>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</si>
  <si>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</si>
  <si>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</si>
  <si>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</si>
  <si>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</si>
  <si>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</si>
  <si>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</si>
  <si>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</si>
  <si>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</si>
  <si>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</si>
  <si>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</si>
  <si>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</si>
  <si>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</si>
  <si>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</si>
  <si>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</si>
  <si>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</si>
  <si>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</si>
  <si>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</si>
  <si>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</si>
  <si>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</si>
  <si>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</si>
  <si>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</si>
  <si>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</si>
  <si>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</si>
  <si>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</si>
  <si>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</si>
  <si>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</si>
  <si>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</si>
  <si>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</si>
  <si>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</si>
  <si>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</si>
  <si>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</si>
  <si>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</si>
  <si>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</si>
  <si>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</si>
  <si>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</si>
  <si>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</si>
  <si>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</si>
  <si>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</si>
  <si>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</si>
  <si>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</si>
  <si>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</si>
  <si>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</si>
  <si>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</si>
  <si>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</si>
  <si>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</si>
  <si>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</si>
  <si>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</si>
  <si>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</si>
  <si>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</si>
  <si>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</si>
  <si>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</si>
  <si>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</si>
  <si>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</si>
  <si>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</si>
  <si>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</si>
  <si>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</si>
  <si>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</si>
  <si>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</si>
  <si>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</si>
  <si>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</si>
  <si>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</si>
  <si>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</si>
  <si>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</si>
  <si>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</si>
  <si>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</si>
  <si>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</si>
  <si>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</si>
  <si>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</si>
  <si>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</si>
  <si>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</si>
  <si>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</si>
  <si>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</si>
  <si>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</si>
  <si>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</si>
  <si>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</si>
  <si>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</si>
  <si>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</si>
  <si>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</si>
  <si>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</si>
  <si>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</si>
  <si>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</si>
  <si>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</si>
  <si>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</si>
  <si>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</si>
  <si>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</si>
  <si>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</si>
  <si>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</si>
  <si>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</si>
  <si>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</si>
  <si>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</si>
  <si>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</si>
  <si>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</si>
  <si>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</si>
  <si>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</si>
  <si>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</si>
  <si>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</si>
  <si>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</si>
  <si>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</si>
  <si>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</si>
  <si>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</si>
  <si>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</si>
  <si>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</si>
  <si>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</si>
  <si>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</si>
  <si>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</si>
  <si>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</si>
  <si>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</si>
  <si>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</si>
  <si>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</si>
  <si>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</si>
  <si>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</si>
  <si>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</si>
  <si>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</si>
  <si>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</si>
  <si>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</si>
  <si>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</si>
  <si>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</si>
  <si>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</si>
  <si>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</si>
  <si>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</si>
  <si>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</si>
  <si>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</si>
  <si>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</si>
  <si>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</si>
  <si>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</si>
  <si>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</si>
  <si>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</si>
  <si>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</si>
  <si>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</si>
  <si>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</si>
  <si>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</si>
  <si>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</si>
  <si>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</si>
  <si>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</si>
  <si>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</si>
  <si>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</si>
  <si>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</si>
  <si>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</si>
  <si>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</si>
  <si>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</si>
  <si>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</si>
  <si>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</si>
  <si>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</si>
  <si>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</si>
  <si>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</si>
  <si>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</si>
  <si>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</si>
  <si>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</si>
  <si>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</si>
  <si>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</si>
  <si>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</si>
  <si>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</si>
  <si>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</si>
  <si>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</si>
  <si>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</si>
  <si>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</si>
  <si>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</si>
  <si>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</si>
  <si>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</si>
  <si>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</si>
  <si>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</si>
  <si>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</si>
  <si>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</si>
  <si>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</si>
  <si>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</si>
  <si>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</si>
  <si>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</si>
  <si>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</si>
  <si>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</si>
  <si>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</si>
  <si>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</si>
  <si>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</si>
  <si>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</si>
  <si>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</si>
  <si>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</si>
  <si>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</si>
  <si>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</si>
  <si>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</si>
  <si>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</si>
  <si>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</si>
  <si>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</si>
  <si>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</si>
  <si>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</si>
  <si>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</si>
  <si>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</si>
  <si>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</si>
  <si>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</si>
  <si>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</si>
  <si>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</si>
  <si>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</si>
  <si>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</si>
  <si>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</si>
  <si>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</si>
  <si>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</si>
  <si>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</si>
  <si>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</si>
  <si>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</si>
  <si>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</si>
  <si>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</si>
  <si>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</si>
  <si>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</si>
  <si>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</si>
  <si>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</si>
  <si>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</si>
  <si>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</si>
  <si>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</si>
  <si>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</si>
  <si>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</si>
  <si>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</si>
  <si>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</si>
  <si>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</si>
  <si>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</si>
  <si>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</si>
  <si>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</si>
  <si>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</si>
  <si>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</si>
  <si>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</si>
  <si>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</si>
  <si>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</si>
  <si>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</si>
  <si>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</si>
  <si>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</si>
  <si>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</si>
  <si>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</si>
  <si>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</si>
  <si>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</si>
  <si>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</si>
  <si>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</si>
  <si>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</si>
  <si>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</si>
  <si>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</si>
  <si>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</si>
  <si>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</si>
  <si>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</si>
  <si>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</si>
  <si>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</si>
  <si>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</si>
  <si>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</si>
  <si>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</si>
  <si>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</si>
  <si>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</si>
  <si>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</si>
  <si>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</si>
  <si>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</si>
  <si>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</si>
  <si>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</si>
  <si>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</si>
  <si>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</si>
  <si>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</si>
  <si>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</si>
  <si>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</si>
  <si>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</si>
  <si>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</si>
  <si>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</si>
  <si>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</si>
  <si>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</si>
  <si>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</si>
  <si>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</si>
  <si>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</si>
  <si>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</si>
  <si>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</si>
  <si>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</si>
  <si>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</si>
  <si>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</si>
  <si>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</si>
  <si>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</si>
  <si>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</si>
  <si>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</si>
  <si>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</si>
  <si>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</si>
  <si>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</si>
  <si>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</si>
  <si>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</si>
  <si>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</si>
  <si>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</si>
  <si>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</si>
  <si>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</si>
  <si>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</si>
  <si>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</si>
  <si>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</si>
  <si>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</si>
  <si>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</si>
  <si>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</si>
  <si>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</si>
  <si>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</si>
  <si>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</si>
  <si>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</si>
  <si>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</si>
  <si>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</si>
  <si>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</si>
  <si>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</si>
  <si>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</si>
  <si>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</si>
  <si>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</si>
  <si>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</si>
  <si>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</si>
  <si>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</si>
  <si>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</si>
  <si>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</si>
  <si>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</si>
  <si>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</si>
  <si>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</si>
  <si>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</si>
  <si>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</si>
  <si>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</si>
  <si>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</si>
  <si>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</si>
  <si>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</si>
  <si>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</si>
  <si>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</si>
  <si>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</si>
  <si>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</si>
  <si>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</si>
  <si>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</si>
  <si>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</si>
  <si>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</si>
  <si>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</si>
  <si>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</si>
  <si>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</si>
  <si>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</si>
  <si>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</si>
  <si>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</si>
  <si>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</si>
  <si>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</si>
  <si>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</si>
  <si>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</si>
  <si>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</si>
  <si>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</si>
  <si>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</si>
  <si>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</si>
  <si>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</si>
  <si>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</si>
  <si>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</si>
  <si>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</si>
  <si>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</si>
  <si>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</si>
  <si>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</si>
  <si>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</si>
  <si>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</si>
  <si>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</si>
  <si>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</si>
  <si>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</si>
  <si>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</si>
  <si>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</si>
  <si>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</si>
  <si>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</si>
  <si>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</si>
  <si>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</si>
  <si>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</si>
  <si>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</si>
  <si>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</si>
  <si>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</si>
  <si>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</si>
  <si>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</si>
  <si>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</si>
  <si>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</si>
  <si>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</si>
  <si>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</si>
  <si>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</si>
  <si>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</si>
  <si>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</si>
  <si>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</si>
  <si>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</si>
  <si>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</si>
  <si>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</si>
  <si>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</si>
  <si>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</si>
  <si>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</si>
  <si>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</si>
  <si>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</si>
  <si>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</si>
  <si>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</si>
  <si>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</si>
  <si>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</si>
  <si>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</si>
  <si>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</si>
  <si>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</si>
  <si>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</si>
  <si>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</si>
  <si>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</si>
  <si>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</si>
  <si>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</si>
  <si>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</si>
  <si>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</si>
  <si>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</si>
  <si>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</si>
  <si>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</si>
  <si>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</si>
  <si>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</si>
  <si>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</si>
  <si>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</si>
  <si>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</si>
  <si>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</si>
  <si>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</si>
  <si>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</si>
  <si>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</si>
  <si>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</si>
  <si>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</si>
  <si>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</si>
  <si>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</si>
  <si>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</si>
  <si>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</si>
  <si>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</si>
  <si>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</si>
  <si>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</si>
  <si>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</si>
  <si>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</si>
  <si>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</si>
  <si>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</si>
  <si>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</si>
  <si>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</si>
  <si>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</si>
  <si>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</si>
  <si>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</si>
  <si>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</si>
  <si>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</si>
  <si>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</si>
  <si>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</si>
  <si>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</si>
  <si>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</si>
  <si>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</si>
  <si>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</si>
  <si>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</si>
  <si>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</si>
  <si>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</si>
  <si>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</si>
  <si>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</si>
  <si>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</si>
  <si>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</si>
  <si>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</si>
  <si>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</si>
  <si>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</si>
  <si>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</si>
  <si>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</si>
  <si>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</si>
  <si>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</si>
  <si>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</si>
  <si>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</si>
  <si>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</si>
  <si>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</si>
  <si>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</si>
  <si>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</si>
  <si>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</si>
  <si>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</si>
  <si>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</si>
  <si>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</si>
  <si>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</si>
  <si>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</si>
  <si>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</si>
  <si>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</si>
  <si>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</si>
  <si>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</si>
  <si>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</si>
  <si>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</si>
  <si>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</si>
  <si>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</si>
  <si>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</si>
  <si>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</si>
  <si>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</si>
  <si>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</si>
  <si>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</si>
  <si>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</si>
  <si>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</si>
  <si>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</si>
  <si>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</si>
  <si>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</si>
  <si>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</si>
  <si>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</si>
  <si>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</si>
  <si>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</si>
  <si>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</si>
  <si>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</si>
  <si>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</si>
  <si>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</si>
  <si>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</si>
  <si>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</si>
  <si>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</si>
  <si>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</si>
  <si>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</si>
  <si>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</si>
  <si>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</si>
  <si>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</si>
  <si>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</si>
  <si>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</si>
  <si>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</si>
  <si>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</si>
  <si>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</si>
  <si>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</si>
  <si>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</si>
  <si>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</si>
  <si>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</si>
  <si>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</si>
  <si>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</si>
  <si>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</si>
  <si>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</si>
  <si>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</si>
  <si>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</si>
  <si>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</si>
  <si>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</si>
  <si>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</si>
  <si>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</si>
  <si>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</si>
  <si>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</si>
  <si>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</si>
  <si>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</si>
  <si>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</si>
  <si>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</si>
  <si>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</si>
  <si>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</si>
  <si>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</si>
  <si>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</si>
  <si>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</si>
  <si>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</si>
  <si>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</si>
  <si>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</si>
  <si>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</si>
  <si>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</si>
  <si>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</si>
  <si>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</si>
  <si>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</si>
  <si>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</si>
  <si>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</si>
  <si>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</si>
  <si>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</si>
  <si>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</si>
  <si>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</si>
  <si>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</si>
  <si>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</si>
  <si>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</si>
  <si>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</si>
  <si>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</si>
  <si>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</si>
  <si>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</si>
  <si>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</si>
  <si>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</si>
  <si>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</si>
  <si>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</si>
  <si>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</si>
  <si>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</si>
  <si>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</si>
  <si>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</si>
  <si>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</si>
  <si>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</si>
  <si>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</si>
  <si>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</si>
  <si>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</si>
  <si>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</si>
  <si>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</si>
  <si>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</si>
  <si>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</si>
  <si>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</si>
  <si>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</si>
  <si>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</si>
  <si>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</si>
  <si>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</si>
  <si>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</si>
  <si>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</si>
  <si>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</si>
  <si>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</si>
  <si>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</si>
  <si>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</si>
  <si>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</si>
  <si>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</si>
  <si>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</si>
  <si>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</si>
  <si>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</si>
  <si>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</si>
  <si>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</si>
  <si>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</si>
  <si>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</si>
  <si>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</si>
  <si>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</si>
  <si>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</si>
  <si>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</si>
  <si>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</si>
  <si>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</si>
  <si>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</si>
  <si>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</si>
  <si>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</si>
  <si>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</si>
  <si>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</si>
  <si>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</si>
  <si>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</si>
  <si>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</si>
  <si>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</si>
  <si>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</si>
  <si>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</si>
  <si>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</si>
  <si>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</si>
  <si>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</si>
  <si>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</si>
  <si>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</si>
  <si>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</si>
  <si>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</si>
  <si>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</si>
  <si>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</si>
  <si>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</si>
  <si>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</si>
  <si>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</si>
  <si>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</si>
  <si>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</si>
  <si>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</si>
  <si>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</si>
  <si>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</si>
  <si>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</si>
  <si>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</si>
  <si>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</si>
  <si>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</si>
  <si>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</si>
  <si>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</si>
  <si>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</si>
  <si>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</si>
  <si>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</si>
  <si>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</si>
  <si>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</si>
  <si>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</si>
  <si>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</si>
  <si>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</si>
  <si>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</si>
  <si>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</si>
  <si>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</si>
  <si>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</si>
  <si>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</si>
  <si>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</si>
  <si>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</si>
  <si>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</si>
  <si>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</si>
  <si>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</si>
  <si>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</si>
  <si>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</si>
  <si>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</si>
  <si>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</si>
  <si>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</si>
  <si>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</si>
  <si>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</si>
  <si>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</si>
  <si>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</si>
  <si>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</si>
  <si>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</si>
  <si>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</si>
  <si>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</si>
  <si>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</si>
  <si>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</si>
  <si>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</si>
  <si>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</si>
  <si>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</si>
  <si>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</si>
  <si>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</si>
  <si>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</si>
  <si>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</si>
  <si>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</si>
  <si>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</si>
  <si>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</si>
  <si>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</si>
  <si>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</si>
  <si>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</si>
  <si>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</si>
  <si>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</si>
  <si>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</si>
  <si>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</si>
  <si>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</si>
  <si>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</si>
  <si>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</si>
  <si>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</si>
  <si>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</si>
  <si>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</si>
  <si>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</si>
  <si>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</si>
  <si>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</si>
  <si>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</si>
  <si>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</si>
  <si>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</si>
  <si>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</si>
  <si>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</si>
  <si>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</si>
  <si>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</si>
  <si>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</si>
  <si>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</si>
  <si>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</si>
  <si>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</si>
  <si>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</si>
  <si>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</si>
  <si>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</si>
  <si>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</si>
  <si>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</si>
  <si>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</si>
  <si>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</si>
  <si>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</si>
  <si>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</si>
  <si>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</si>
  <si>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</si>
  <si>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</si>
  <si>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</si>
  <si>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</si>
  <si>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</si>
  <si>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</si>
  <si>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</si>
  <si>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</si>
  <si>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</si>
  <si>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</si>
  <si>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</si>
  <si>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</si>
  <si>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</si>
  <si>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</si>
  <si>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</si>
  <si>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</si>
  <si>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</si>
  <si>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</si>
  <si>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</si>
  <si>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</si>
  <si>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</si>
  <si>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</si>
  <si>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</si>
  <si>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</si>
  <si>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</si>
  <si>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</si>
  <si>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</si>
  <si>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</si>
  <si>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</si>
  <si>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</si>
  <si>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</si>
  <si>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</si>
  <si>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</si>
  <si>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</si>
  <si>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</si>
  <si>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</si>
  <si>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</si>
  <si>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</si>
  <si>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</si>
  <si>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</si>
  <si>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</si>
  <si>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</si>
  <si>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</si>
  <si>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</si>
  <si>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</si>
  <si>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</si>
  <si>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</si>
  <si>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</si>
  <si>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</si>
  <si>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</si>
  <si>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</si>
  <si>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</si>
  <si>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</si>
  <si>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</si>
  <si>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</si>
  <si>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</si>
  <si>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</si>
  <si>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</si>
  <si>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</si>
  <si>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</si>
  <si>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</si>
  <si>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</si>
  <si>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</si>
  <si>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</si>
  <si>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</si>
  <si>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</si>
  <si>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</si>
  <si>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</si>
  <si>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</si>
  <si>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</si>
  <si>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</si>
  <si>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</si>
  <si>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</si>
  <si>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</si>
  <si>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</si>
  <si>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</si>
  <si>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</si>
  <si>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</si>
  <si>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</si>
  <si>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</si>
  <si>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</si>
  <si>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</si>
  <si>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</si>
  <si>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</si>
  <si>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</si>
  <si>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</si>
  <si>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</si>
  <si>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</si>
  <si>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</si>
  <si>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</si>
  <si>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</si>
  <si>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</si>
  <si>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</si>
  <si>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</si>
  <si>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</si>
  <si>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</si>
  <si>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</si>
  <si>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</si>
  <si>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</si>
  <si>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</si>
  <si>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</si>
  <si>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</si>
  <si>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</si>
  <si>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</si>
  <si>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</si>
  <si>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</si>
  <si>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</si>
  <si>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</si>
  <si>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</si>
  <si>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</si>
  <si>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</si>
  <si>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</si>
  <si>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</si>
  <si>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</si>
  <si>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</si>
  <si>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</si>
  <si>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</si>
  <si>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</si>
  <si>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</si>
  <si>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</si>
  <si>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</si>
  <si>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</si>
  <si>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</si>
  <si>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</si>
  <si>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</si>
  <si>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</si>
  <si>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</si>
  <si>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</si>
  <si>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</si>
  <si>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</si>
  <si>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</si>
  <si>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</si>
  <si>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</si>
  <si>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</si>
  <si>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</si>
  <si>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</si>
  <si>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</si>
  <si>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</si>
  <si>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</si>
  <si>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</si>
  <si>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</si>
  <si>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</si>
  <si>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</si>
  <si>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</si>
  <si>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</si>
  <si>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</si>
  <si>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</si>
  <si>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</si>
  <si>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</si>
  <si>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</si>
  <si>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</si>
  <si>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</si>
  <si>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</si>
  <si>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</si>
  <si>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</si>
  <si>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</si>
  <si>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</si>
  <si>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</si>
  <si>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</si>
  <si>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</si>
  <si>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</si>
  <si>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</si>
  <si>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</si>
  <si>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</si>
  <si>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</si>
  <si>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</si>
  <si>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</si>
  <si>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</si>
  <si>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</si>
  <si>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</si>
  <si>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</si>
  <si>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</si>
  <si>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</si>
  <si>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</si>
  <si>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</si>
  <si>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</si>
  <si>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</si>
  <si>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</si>
  <si>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</si>
  <si>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</si>
  <si>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</si>
  <si>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</si>
  <si>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</si>
  <si>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</si>
  <si>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</si>
  <si>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</si>
  <si>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</si>
  <si>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</si>
  <si>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</si>
  <si>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</si>
  <si>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</si>
  <si>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</si>
  <si>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</si>
  <si>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</si>
  <si>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</si>
  <si>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</si>
  <si>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</si>
  <si>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</si>
  <si>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</si>
  <si>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</si>
  <si>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</si>
  <si>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</si>
  <si>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</si>
  <si>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</si>
  <si>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</si>
  <si>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</si>
  <si>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</si>
  <si>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</si>
  <si>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</si>
  <si>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</si>
  <si>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</si>
  <si>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</si>
  <si>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</si>
  <si>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</si>
  <si>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</si>
  <si>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</si>
  <si>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</si>
  <si>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</si>
  <si>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</si>
  <si>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</si>
  <si>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</si>
  <si>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</si>
  <si>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</si>
  <si>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</si>
  <si>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</si>
  <si>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</si>
  <si>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</si>
  <si>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</si>
  <si>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</si>
  <si>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</si>
  <si>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</si>
  <si>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</si>
  <si>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</si>
  <si>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</si>
  <si>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</si>
  <si>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</si>
  <si>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</si>
  <si>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</si>
  <si>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</si>
  <si>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</si>
  <si>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</si>
  <si>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</si>
  <si>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</si>
  <si>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</si>
  <si>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</si>
  <si>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</si>
  <si>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</si>
  <si>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</si>
  <si>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</si>
  <si>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</si>
  <si>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</si>
  <si>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</si>
  <si>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</si>
  <si>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</si>
  <si>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</si>
  <si>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</si>
  <si>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</si>
  <si>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</si>
  <si>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</si>
  <si>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</si>
  <si>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</si>
  <si>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</si>
  <si>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</si>
  <si>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</si>
  <si>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</si>
  <si>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</si>
  <si>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</si>
  <si>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</si>
  <si>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</si>
  <si>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</si>
  <si>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</si>
  <si>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</si>
  <si>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</si>
  <si>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</si>
  <si>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</si>
  <si>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</si>
  <si>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</si>
  <si>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</si>
  <si>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</si>
  <si>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</si>
  <si>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</si>
  <si>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</si>
  <si>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</si>
  <si>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</si>
  <si>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</si>
  <si>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</si>
  <si>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</si>
  <si>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</si>
  <si>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</si>
  <si>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</si>
  <si>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</si>
  <si>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</si>
  <si>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</si>
  <si>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</si>
  <si>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</si>
  <si>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</si>
  <si>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</si>
  <si>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</si>
  <si>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</si>
  <si>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</si>
  <si>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</si>
  <si>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</si>
  <si>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</si>
  <si>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</si>
  <si>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</si>
  <si>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</si>
  <si>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</si>
  <si>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</si>
  <si>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</si>
  <si>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</si>
  <si>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</si>
  <si>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</si>
  <si>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</si>
  <si>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</si>
  <si>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</si>
  <si>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</si>
  <si>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</si>
  <si>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</si>
  <si>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</si>
  <si>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</si>
  <si>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</si>
  <si>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</si>
  <si>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</si>
  <si>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</si>
  <si>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</si>
  <si>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</si>
  <si>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</si>
  <si>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</si>
  <si>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</si>
  <si>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</si>
  <si>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</si>
  <si>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</si>
  <si>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</si>
  <si>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</si>
  <si>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</si>
  <si>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</si>
  <si>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</si>
  <si>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</si>
  <si>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</si>
  <si>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</si>
  <si>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</si>
  <si>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</si>
  <si>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</si>
  <si>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</si>
  <si>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</si>
  <si>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</si>
  <si>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</si>
  <si>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</si>
  <si>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</si>
  <si>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</si>
  <si>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</si>
  <si>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</si>
  <si>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</si>
  <si>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</si>
  <si>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</si>
  <si>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</si>
  <si>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</si>
  <si>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</si>
  <si>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</si>
  <si>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</si>
  <si>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</si>
  <si>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</si>
  <si>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</si>
  <si>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</si>
  <si>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</si>
  <si>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</si>
  <si>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</si>
  <si>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</si>
  <si>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</si>
  <si>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</si>
  <si>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</si>
  <si>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</si>
  <si>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</si>
  <si>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</si>
  <si>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</si>
  <si>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</si>
  <si>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</si>
  <si>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</si>
  <si>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</si>
  <si>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</si>
  <si>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</si>
  <si>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</si>
  <si>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</si>
  <si>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</si>
  <si>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</si>
  <si>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</si>
  <si>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</si>
  <si>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</si>
  <si>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</si>
  <si>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</si>
  <si>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</si>
  <si>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</si>
  <si>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</si>
  <si>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</si>
  <si>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</si>
  <si>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</si>
  <si>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</si>
  <si>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</si>
  <si>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</si>
  <si>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</si>
  <si>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</si>
  <si>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</si>
  <si>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</si>
  <si>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</si>
  <si>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</si>
  <si>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</si>
  <si>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</si>
  <si>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</si>
  <si>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</si>
  <si>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</si>
  <si>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</si>
  <si>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</si>
  <si>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</si>
  <si>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</si>
  <si>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</si>
  <si>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</si>
  <si>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</si>
  <si>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</si>
  <si>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</si>
  <si>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</si>
  <si>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</si>
  <si>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</si>
  <si>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</si>
  <si>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</si>
  <si>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</si>
  <si>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</si>
  <si>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</si>
  <si>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</si>
  <si>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</si>
  <si>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</si>
  <si>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</si>
  <si>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</si>
  <si>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</si>
  <si>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</si>
  <si>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</si>
  <si>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</si>
  <si>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</si>
  <si>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</si>
  <si>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</si>
  <si>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</si>
  <si>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</si>
  <si>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</si>
  <si>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</si>
  <si>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</si>
  <si>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</si>
  <si>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</si>
  <si>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</si>
  <si>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</si>
  <si>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</si>
  <si>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</si>
  <si>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</si>
  <si>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</si>
  <si>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</si>
  <si>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</si>
  <si>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</si>
  <si>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</si>
  <si>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</si>
  <si>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</si>
  <si>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</si>
  <si>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</si>
  <si>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</si>
  <si>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</si>
  <si>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</si>
  <si>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</si>
  <si>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</si>
  <si>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</si>
  <si>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</si>
  <si>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</si>
  <si>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</si>
  <si>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</si>
  <si>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</si>
  <si>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</si>
  <si>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</si>
  <si>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</si>
  <si>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</si>
  <si>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</si>
  <si>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</si>
  <si>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</si>
  <si>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</si>
  <si>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</si>
  <si>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</si>
  <si>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</si>
  <si>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</si>
  <si>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</si>
  <si>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</si>
  <si>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</si>
  <si>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</si>
  <si>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</si>
  <si>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</si>
  <si>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</si>
  <si>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</si>
  <si>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</si>
  <si>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</si>
  <si>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</si>
  <si>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</si>
  <si>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</si>
  <si>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</si>
  <si>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</si>
  <si>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</si>
  <si>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</si>
  <si>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</si>
  <si>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</si>
  <si>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</si>
  <si>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</si>
  <si>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</si>
  <si>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</si>
  <si>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</si>
  <si>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</si>
  <si>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</si>
  <si>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</si>
  <si>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</si>
  <si>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</si>
  <si>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</si>
  <si>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</si>
  <si>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</si>
  <si>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</si>
  <si>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</si>
  <si>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</si>
  <si>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</si>
  <si>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</si>
  <si>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</si>
  <si>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</si>
  <si>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</si>
  <si>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</si>
  <si>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</si>
  <si>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</si>
  <si>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</si>
  <si>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</si>
  <si>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</si>
  <si>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</si>
  <si>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</si>
  <si>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</si>
  <si>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</si>
  <si>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</si>
  <si>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</si>
  <si>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</si>
  <si>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</si>
  <si>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</si>
  <si>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</si>
  <si>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</si>
  <si>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</si>
  <si>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</si>
  <si>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</si>
  <si>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</si>
  <si>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</si>
  <si>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</si>
  <si>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</si>
  <si>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</si>
  <si>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</si>
  <si>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</si>
  <si>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</si>
  <si>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</si>
  <si>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</si>
  <si>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</si>
  <si>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</si>
  <si>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</si>
  <si>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</si>
  <si>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</si>
  <si>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</si>
  <si>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</si>
  <si>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</si>
  <si>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</si>
  <si>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</si>
  <si>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</si>
  <si>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</si>
  <si>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</si>
  <si>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</si>
  <si>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</si>
  <si>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</si>
  <si>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</si>
  <si>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</si>
  <si>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</si>
  <si>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</si>
  <si>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</si>
  <si>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</si>
  <si>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</si>
  <si>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</si>
  <si>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</si>
  <si>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</si>
  <si>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</si>
  <si>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</si>
  <si>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</si>
  <si>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</si>
  <si>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</si>
  <si>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</si>
  <si>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</si>
  <si>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</si>
  <si>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</si>
  <si>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</si>
  <si>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</si>
  <si>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</si>
  <si>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</si>
  <si>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</si>
  <si>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</si>
  <si>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</si>
  <si>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</si>
  <si>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</si>
  <si>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</si>
  <si>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</si>
  <si>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</si>
  <si>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</si>
  <si>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</si>
  <si>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</si>
  <si>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</si>
  <si>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</si>
  <si>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</si>
  <si>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</si>
  <si>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</si>
  <si>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</si>
  <si>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</si>
  <si>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</si>
  <si>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</si>
  <si>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</si>
  <si>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</si>
  <si>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</si>
  <si>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</si>
  <si>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</si>
  <si>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</si>
  <si>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</si>
  <si>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</si>
  <si>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</si>
  <si>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</si>
  <si>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</si>
  <si>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</si>
  <si>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</si>
  <si>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</si>
  <si>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</si>
  <si>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</si>
  <si>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</si>
  <si>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</si>
  <si>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</si>
  <si>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</si>
  <si>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</si>
  <si>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</si>
  <si>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</si>
  <si>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</si>
  <si>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</si>
  <si>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</si>
  <si>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</si>
  <si>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</si>
  <si>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</si>
  <si>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</si>
  <si>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</si>
  <si>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</si>
  <si>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</si>
  <si>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</si>
  <si>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</si>
  <si>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</si>
  <si>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</si>
  <si>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</si>
  <si>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</si>
  <si>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</si>
  <si>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</si>
  <si>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</si>
  <si>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</si>
  <si>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</si>
  <si>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</si>
  <si>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</si>
  <si>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</si>
  <si>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</si>
  <si>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</si>
  <si>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</si>
  <si>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</si>
  <si>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</si>
  <si>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</si>
  <si>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</si>
  <si>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</si>
  <si>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</si>
  <si>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</si>
  <si>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</si>
  <si>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</si>
  <si>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</si>
  <si>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</si>
  <si>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</si>
  <si>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</si>
  <si>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</si>
  <si>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</si>
  <si>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</si>
  <si>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</si>
  <si>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</si>
  <si>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</si>
  <si>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</si>
  <si>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</si>
  <si>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</si>
  <si>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</si>
  <si>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</si>
  <si>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</si>
  <si>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</si>
  <si>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</si>
  <si>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</si>
  <si>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</si>
  <si>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</si>
  <si>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</si>
  <si>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</si>
  <si>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</si>
  <si>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</si>
  <si>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</si>
  <si>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</si>
  <si>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</si>
  <si>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</si>
  <si>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</si>
  <si>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</si>
  <si>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</si>
  <si>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</si>
  <si>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</si>
  <si>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</si>
  <si>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</si>
  <si>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</si>
  <si>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</si>
  <si>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</si>
  <si>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</si>
  <si>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</si>
  <si>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</si>
  <si>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</si>
  <si>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</si>
  <si>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</si>
  <si>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</si>
  <si>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</si>
  <si>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</si>
  <si>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</si>
  <si>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</si>
  <si>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</si>
  <si>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</si>
  <si>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</si>
  <si>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</si>
  <si>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</si>
  <si>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</si>
  <si>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</si>
  <si>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</si>
  <si>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</si>
  <si>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</si>
  <si>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</si>
  <si>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</si>
  <si>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</si>
  <si>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</si>
  <si>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</si>
  <si>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</si>
  <si>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</si>
  <si>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</si>
  <si>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</si>
  <si>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</si>
  <si>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</si>
  <si>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</si>
  <si>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</si>
  <si>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</si>
  <si>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</si>
  <si>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</si>
  <si>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</si>
  <si>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</si>
  <si>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</si>
  <si>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</si>
  <si>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</si>
  <si>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</si>
  <si>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</si>
  <si>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</si>
  <si>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</si>
  <si>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</si>
  <si>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</si>
  <si>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</si>
  <si>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</si>
  <si>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</si>
  <si>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</si>
  <si>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</si>
  <si>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</si>
  <si>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</si>
  <si>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</si>
  <si>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</si>
  <si>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</si>
  <si>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</si>
  <si>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</si>
  <si>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</si>
  <si>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</si>
  <si>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</si>
  <si>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</si>
  <si>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</si>
  <si>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</si>
  <si>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</si>
  <si>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</si>
  <si>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</si>
  <si>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</si>
  <si>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</si>
  <si>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</si>
  <si>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</si>
  <si>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</si>
  <si>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</si>
  <si>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</si>
  <si>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</si>
  <si>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</si>
  <si>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</si>
  <si>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</si>
  <si>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</si>
  <si>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</si>
  <si>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</si>
  <si>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</si>
  <si>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</si>
  <si>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</si>
  <si>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</si>
  <si>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</si>
  <si>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</si>
  <si>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</si>
  <si>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</si>
  <si>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</si>
  <si>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</si>
  <si>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</si>
  <si>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</si>
  <si>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</si>
  <si>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</si>
  <si>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</si>
  <si>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</si>
  <si>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</si>
  <si>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</si>
  <si>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</si>
  <si>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</si>
  <si>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</si>
  <si>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</si>
  <si>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</si>
  <si>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</si>
  <si>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</si>
  <si>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</si>
  <si>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</si>
  <si>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</si>
  <si>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</si>
  <si>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</si>
  <si>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</si>
  <si>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</si>
  <si>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</si>
  <si>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</si>
  <si>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</si>
  <si>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</si>
  <si>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</si>
  <si>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</si>
  <si>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</si>
  <si>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</si>
  <si>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</si>
  <si>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</si>
  <si>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</si>
  <si>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</si>
  <si>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</si>
  <si>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</si>
  <si>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</si>
  <si>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</si>
  <si>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</si>
  <si>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</si>
  <si>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</si>
  <si>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</si>
  <si>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</si>
  <si>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</si>
  <si>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</si>
  <si>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</si>
  <si>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</si>
  <si>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</si>
  <si>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</si>
  <si>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</si>
  <si>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</si>
  <si>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</si>
  <si>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</si>
  <si>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</si>
  <si>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</si>
  <si>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</si>
  <si>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</si>
  <si>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</si>
  <si>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</si>
  <si>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</si>
  <si>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</si>
  <si>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</si>
  <si>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</si>
  <si>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</si>
  <si>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</si>
  <si>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</si>
  <si>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</si>
  <si>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</si>
  <si>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</si>
  <si>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</si>
  <si>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</si>
  <si>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</si>
  <si>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</si>
  <si>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</si>
  <si>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</si>
  <si>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</si>
  <si>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</si>
  <si>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</si>
  <si>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</si>
  <si>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</si>
  <si>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</si>
  <si>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</si>
  <si>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</si>
  <si>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</si>
  <si>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</si>
  <si>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</si>
  <si>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</si>
  <si>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</si>
  <si>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</si>
  <si>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</si>
  <si>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</si>
  <si>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</si>
  <si>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</si>
  <si>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</si>
  <si>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</si>
  <si>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</si>
  <si>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</si>
  <si>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</si>
  <si>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</si>
  <si>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</si>
  <si>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</si>
  <si>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</si>
  <si>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</si>
  <si>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</si>
  <si>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</si>
  <si>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</si>
  <si>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</si>
  <si>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</si>
  <si>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</si>
  <si>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</si>
  <si>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</si>
  <si>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</si>
  <si>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</si>
  <si>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</si>
  <si>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</si>
  <si>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</si>
  <si>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</si>
  <si>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</si>
  <si>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</si>
  <si>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</si>
  <si>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</si>
  <si>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</si>
  <si>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</si>
  <si>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</si>
  <si>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</si>
  <si>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</si>
  <si>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</si>
  <si>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</si>
  <si>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</si>
  <si>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</si>
  <si>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</si>
  <si>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</si>
  <si>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</si>
  <si>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</si>
  <si>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</si>
  <si>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</si>
  <si>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</si>
  <si>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</si>
  <si>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</si>
  <si>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</si>
  <si>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</si>
  <si>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</si>
  <si>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</si>
  <si>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</si>
  <si>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</si>
  <si>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</si>
  <si>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</si>
  <si>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</si>
  <si>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</si>
  <si>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</si>
  <si>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</si>
  <si>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</si>
  <si>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</si>
  <si>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</si>
  <si>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</si>
  <si>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</si>
  <si>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</si>
  <si>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</si>
  <si>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</si>
  <si>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</si>
  <si>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</si>
  <si>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</si>
  <si>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</si>
  <si>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</si>
  <si>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</si>
  <si>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</si>
  <si>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</si>
  <si>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</si>
  <si>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</si>
  <si>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</si>
  <si>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</si>
  <si>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</si>
  <si>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</si>
  <si>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</si>
  <si>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</si>
  <si>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</si>
  <si>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</si>
  <si>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</si>
  <si>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</si>
  <si>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</si>
  <si>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</si>
  <si>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</si>
  <si>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</si>
  <si>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</si>
  <si>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</si>
  <si>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</si>
  <si>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</si>
  <si>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</si>
  <si>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</si>
  <si>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</si>
  <si>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</si>
  <si>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</si>
  <si>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</si>
  <si>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</si>
  <si>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</si>
  <si>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</si>
  <si>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</si>
  <si>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</si>
  <si>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</si>
  <si>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</si>
  <si>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</si>
  <si>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</si>
  <si>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</si>
  <si>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</si>
  <si>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</si>
  <si>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</si>
  <si>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</si>
  <si>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</si>
  <si>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</si>
  <si>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</si>
  <si>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</si>
  <si>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</si>
  <si>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</si>
  <si>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</si>
  <si>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</si>
  <si>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</si>
  <si>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</si>
  <si>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</si>
  <si>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</si>
  <si>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</si>
  <si>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</si>
  <si>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</si>
  <si>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</si>
  <si>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</si>
  <si>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</si>
  <si>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</si>
  <si>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</si>
  <si>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</si>
  <si>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</si>
  <si>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</si>
  <si>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</si>
  <si>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</si>
  <si>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</si>
  <si>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</si>
  <si>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</si>
  <si>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</si>
  <si>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</si>
  <si>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</si>
  <si>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</si>
  <si>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</si>
  <si>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</si>
  <si>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</si>
  <si>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</si>
  <si>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</si>
  <si>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</si>
  <si>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</si>
  <si>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</si>
  <si>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</si>
  <si>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</si>
  <si>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</si>
  <si>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</si>
  <si>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</si>
  <si>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</si>
  <si>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</si>
  <si>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</si>
  <si>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</si>
  <si>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</si>
  <si>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</si>
  <si>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</si>
  <si>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</si>
  <si>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</si>
  <si>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</si>
  <si>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</si>
  <si>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</si>
  <si>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</si>
  <si>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</si>
  <si>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</si>
  <si>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</si>
  <si>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</si>
  <si>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</si>
  <si>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</si>
  <si>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</si>
  <si>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</si>
  <si>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</si>
  <si>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</si>
  <si>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</si>
  <si>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</si>
  <si>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</si>
  <si>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</si>
  <si>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</si>
  <si>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</si>
  <si>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</si>
  <si>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</si>
  <si>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</si>
  <si>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</si>
  <si>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</si>
  <si>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</si>
  <si>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</si>
  <si>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</si>
  <si>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</si>
  <si>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</si>
  <si>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</si>
  <si>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</si>
  <si>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</si>
  <si>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</si>
  <si>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</si>
  <si>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</si>
  <si>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</si>
  <si>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</si>
  <si>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</si>
  <si>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</si>
  <si>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</si>
  <si>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</si>
  <si>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</si>
  <si>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</si>
  <si>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</si>
  <si>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</si>
  <si>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</si>
  <si>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</si>
  <si>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</si>
  <si>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</si>
  <si>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</si>
  <si>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</si>
  <si>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</si>
  <si>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</si>
  <si>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</si>
  <si>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</si>
  <si>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</si>
  <si>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</si>
  <si>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</si>
  <si>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</si>
  <si>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</si>
  <si>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</si>
  <si>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</si>
  <si>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</si>
  <si>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</si>
  <si>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</si>
  <si>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</si>
  <si>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</si>
  <si>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</si>
  <si>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</si>
  <si>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</si>
  <si>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</si>
  <si>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</si>
  <si>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</si>
  <si>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</si>
  <si>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</si>
  <si>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</si>
  <si>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</si>
  <si>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</si>
  <si>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</si>
  <si>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</si>
  <si>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</si>
  <si>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</si>
  <si>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</si>
  <si>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</si>
  <si>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</si>
  <si>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</si>
  <si>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</si>
  <si>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</si>
  <si>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</si>
  <si>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</si>
  <si>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</si>
  <si>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</si>
  <si>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</si>
  <si>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</si>
  <si>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</si>
  <si>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</si>
  <si>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</si>
  <si>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</si>
  <si>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</si>
  <si>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</si>
  <si>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</si>
  <si>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</si>
  <si>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</si>
  <si>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</si>
  <si>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</si>
  <si>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</si>
  <si>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</si>
  <si>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</si>
  <si>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</si>
  <si>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</si>
  <si>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</si>
  <si>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</si>
  <si>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</si>
  <si>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</si>
  <si>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</si>
  <si>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</si>
  <si>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</si>
  <si>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</si>
  <si>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</si>
  <si>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</si>
  <si>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</si>
  <si>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</si>
  <si>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</si>
  <si>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</si>
  <si>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</si>
  <si>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</si>
  <si>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</si>
  <si>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</si>
  <si>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</si>
  <si>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</si>
  <si>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</si>
  <si>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</si>
  <si>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</si>
  <si>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</si>
  <si>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</si>
  <si>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</si>
  <si>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</si>
  <si>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</si>
  <si>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</si>
  <si>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</si>
  <si>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</si>
  <si>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</si>
  <si>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</si>
  <si>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</si>
  <si>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</si>
  <si>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</si>
  <si>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</si>
  <si>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</si>
  <si>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</si>
  <si>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</si>
  <si>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</si>
  <si>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</si>
  <si>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</si>
  <si>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</si>
  <si>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</si>
  <si>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</si>
  <si>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</si>
  <si>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</si>
  <si>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</si>
  <si>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</si>
  <si>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</si>
  <si>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</si>
  <si>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</si>
  <si>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</si>
  <si>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</si>
  <si>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</si>
  <si>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</si>
  <si>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</si>
  <si>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</si>
  <si>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</si>
  <si>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</si>
  <si>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</si>
  <si>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</si>
  <si>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</si>
  <si>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</si>
  <si>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</si>
  <si>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</si>
  <si>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</si>
  <si>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</si>
  <si>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</si>
  <si>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</si>
  <si>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</si>
  <si>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</si>
  <si>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</si>
  <si>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</si>
  <si>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</si>
  <si>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</si>
  <si>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</si>
  <si>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</si>
  <si>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</si>
  <si>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</si>
  <si>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</si>
  <si>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</si>
  <si>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</si>
  <si>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</si>
  <si>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</si>
  <si>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</si>
  <si>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</si>
  <si>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</si>
  <si>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</si>
  <si>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</si>
  <si>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</si>
  <si>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</si>
  <si>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</si>
  <si>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</si>
  <si>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</si>
  <si>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</si>
  <si>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</si>
  <si>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</si>
  <si>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</si>
  <si>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</si>
  <si>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</si>
  <si>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</si>
  <si>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</si>
  <si>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</si>
  <si>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</si>
  <si>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</si>
  <si>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</si>
  <si>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</si>
  <si>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</si>
  <si>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</si>
  <si>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</si>
  <si>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</si>
  <si>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</si>
  <si>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</si>
  <si>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</si>
  <si>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</si>
  <si>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</si>
  <si>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</si>
  <si>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</si>
  <si>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</si>
  <si>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</si>
  <si>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</si>
  <si>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</si>
  <si>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</si>
  <si>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</si>
  <si>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</si>
  <si>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</si>
  <si>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</si>
  <si>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</si>
  <si>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</si>
  <si>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</si>
  <si>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</si>
  <si>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</si>
  <si>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</si>
  <si>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</si>
  <si>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</si>
  <si>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</si>
  <si>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</si>
  <si>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</si>
  <si>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</si>
  <si>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</si>
  <si>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</si>
  <si>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</si>
  <si>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</si>
  <si>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</si>
  <si>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</si>
  <si>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</si>
  <si>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</si>
  <si>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</si>
  <si>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</si>
  <si>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</si>
  <si>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</si>
  <si>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</si>
  <si>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</si>
  <si>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</si>
  <si>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</si>
  <si>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</si>
  <si>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</si>
  <si>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</si>
  <si>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</si>
  <si>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</si>
  <si>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</si>
  <si>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</si>
  <si>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</si>
  <si>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</si>
  <si>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</si>
  <si>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</si>
  <si>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</si>
  <si>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</si>
  <si>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</si>
  <si>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</si>
  <si>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</si>
  <si>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</si>
  <si>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</si>
  <si>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</si>
  <si>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</si>
  <si>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</si>
  <si>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</si>
  <si>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</si>
  <si>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</si>
  <si>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</si>
  <si>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</si>
  <si>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</si>
  <si>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</si>
  <si>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</si>
  <si>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</si>
  <si>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</si>
  <si>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</si>
  <si>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</si>
  <si>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</si>
  <si>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</si>
  <si>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</si>
  <si>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</si>
  <si>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</si>
  <si>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</si>
  <si>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</si>
  <si>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</si>
  <si>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</si>
  <si>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</si>
  <si>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</si>
  <si>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</si>
  <si>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</si>
  <si>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</si>
  <si>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</si>
  <si>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</si>
  <si>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</si>
  <si>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</si>
  <si>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</si>
  <si>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</si>
  <si>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</si>
  <si>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</si>
  <si>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</si>
  <si>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</si>
  <si>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</si>
  <si>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</si>
  <si>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</si>
  <si>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</si>
  <si>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</si>
  <si>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</si>
  <si>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</si>
  <si>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</si>
  <si>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</si>
  <si>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</si>
  <si>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</si>
  <si>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</si>
  <si>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</si>
  <si>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</si>
  <si>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</si>
  <si>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</si>
  <si>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</si>
  <si>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</si>
  <si>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</si>
  <si>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</si>
  <si>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</si>
  <si>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</si>
  <si>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</si>
  <si>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</si>
  <si>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</si>
  <si>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</si>
  <si>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</si>
  <si>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</si>
  <si>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</si>
  <si>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</si>
  <si>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</si>
  <si>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</si>
  <si>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</si>
  <si>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</si>
  <si>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</si>
  <si>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</si>
  <si>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</si>
  <si>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</si>
  <si>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</si>
  <si>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</si>
  <si>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</si>
  <si>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</si>
  <si>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</si>
  <si>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</si>
  <si>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</si>
  <si>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</si>
  <si>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</si>
  <si>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</si>
  <si>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</si>
  <si>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</si>
  <si>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</si>
  <si>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</si>
  <si>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</si>
  <si>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</si>
  <si>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</si>
  <si>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</si>
  <si>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</si>
  <si>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</si>
  <si>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</si>
  <si>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</si>
  <si>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</si>
  <si>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</si>
  <si>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</si>
  <si>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</si>
  <si>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</si>
  <si>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</si>
  <si>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</si>
  <si>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</si>
  <si>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</si>
  <si>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</si>
  <si>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</si>
  <si>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</si>
  <si>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</si>
  <si>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</si>
  <si>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</si>
  <si>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</si>
  <si>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</si>
  <si>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</si>
  <si>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</si>
  <si>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</si>
  <si>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</si>
  <si>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</si>
  <si>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</si>
  <si>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</si>
  <si>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</si>
  <si>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</si>
  <si>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</si>
  <si>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</si>
  <si>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</si>
  <si>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</si>
  <si>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</si>
  <si>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</si>
  <si>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</si>
  <si>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</si>
  <si>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</si>
  <si>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</si>
  <si>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</si>
  <si>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</si>
  <si>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</si>
  <si>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</si>
  <si>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</si>
  <si>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</si>
  <si>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</si>
  <si>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</si>
  <si>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</si>
  <si>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</si>
  <si>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</si>
  <si>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</si>
  <si>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</si>
  <si>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</si>
  <si>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</si>
  <si>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</si>
  <si>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</si>
  <si>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</si>
  <si>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</si>
  <si>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</si>
  <si>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</si>
  <si>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</si>
  <si>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</si>
  <si>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</si>
  <si>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</si>
  <si>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</si>
  <si>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</si>
  <si>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</si>
  <si>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</si>
  <si>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</si>
  <si>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</si>
  <si>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</si>
  <si>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</si>
  <si>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</si>
  <si>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</si>
  <si>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</si>
  <si>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</si>
  <si>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</si>
  <si>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</si>
  <si>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</si>
  <si>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</si>
  <si>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</si>
  <si>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</si>
  <si>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</si>
  <si>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</si>
  <si>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</si>
  <si>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</si>
  <si>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</si>
  <si>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</si>
  <si>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</si>
  <si>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</si>
  <si>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</si>
  <si>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</si>
  <si>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</si>
  <si>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</si>
  <si>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</si>
  <si>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</si>
  <si>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</si>
  <si>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</si>
  <si>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</si>
  <si>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</si>
  <si>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</si>
  <si>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</si>
  <si>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</si>
  <si>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</si>
  <si>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</si>
  <si>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</si>
  <si>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</si>
  <si>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</si>
  <si>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</si>
  <si>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</si>
  <si>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</si>
  <si>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</si>
  <si>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</si>
  <si>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</si>
  <si>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</si>
  <si>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</si>
  <si>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</si>
  <si>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</si>
  <si>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</si>
  <si>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</si>
  <si>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</si>
  <si>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</si>
  <si>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</si>
  <si>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</si>
  <si>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</si>
  <si>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</si>
  <si>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</si>
  <si>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</si>
  <si>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</si>
  <si>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</si>
  <si>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</si>
  <si>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</si>
  <si>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</si>
  <si>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</si>
  <si>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</si>
  <si>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</si>
  <si>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</si>
  <si>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</si>
  <si>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</si>
  <si>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</si>
  <si>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</si>
  <si>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</si>
  <si>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</si>
  <si>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</si>
  <si>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</si>
  <si>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</si>
  <si>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</si>
  <si>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</si>
  <si>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</si>
  <si>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</si>
  <si>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</si>
  <si>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</si>
  <si>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</si>
  <si>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</si>
  <si>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</si>
  <si>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</si>
  <si>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</si>
  <si>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</si>
  <si>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</si>
  <si>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</si>
  <si>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</si>
  <si>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</si>
  <si>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</si>
  <si>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</si>
  <si>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</si>
  <si>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</si>
  <si>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</si>
  <si>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</si>
  <si>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</si>
  <si>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</si>
  <si>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</si>
  <si>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</si>
  <si>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</si>
  <si>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</si>
  <si>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</si>
  <si>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</si>
  <si>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</si>
  <si>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</si>
  <si>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</si>
  <si>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</si>
  <si>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</si>
  <si>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</si>
  <si>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</si>
  <si>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</si>
  <si>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</si>
  <si>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</si>
  <si>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</si>
  <si>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</si>
  <si>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</si>
  <si>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</si>
  <si>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</si>
  <si>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</si>
  <si>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</si>
  <si>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</si>
  <si>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</si>
  <si>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</si>
  <si>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</si>
  <si>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</si>
  <si>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</si>
  <si>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</si>
  <si>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</si>
  <si>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</si>
  <si>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</si>
  <si>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</si>
  <si>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</si>
  <si>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</si>
  <si>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</si>
  <si>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</si>
  <si>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</si>
  <si>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</si>
  <si>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</si>
  <si>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</si>
  <si>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</si>
  <si>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</si>
  <si>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</si>
  <si>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</si>
  <si>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</si>
  <si>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</si>
  <si>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</si>
  <si>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</si>
  <si>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</si>
  <si>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</si>
  <si>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</si>
  <si>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</si>
  <si>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</si>
  <si>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</si>
  <si>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</si>
  <si>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</si>
  <si>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</si>
  <si>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</si>
  <si>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</si>
  <si>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</si>
  <si>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</si>
  <si>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</si>
  <si>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</si>
  <si>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</si>
  <si>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</si>
  <si>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</si>
  <si>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</si>
  <si>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</si>
  <si>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</si>
  <si>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</si>
  <si>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</si>
  <si>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</si>
  <si>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</si>
  <si>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</si>
  <si>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</si>
  <si>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</si>
  <si>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</si>
  <si>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</si>
  <si>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</si>
  <si>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</si>
  <si>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</si>
  <si>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</si>
  <si>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</si>
  <si>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</si>
  <si>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</si>
  <si>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</si>
  <si>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</si>
  <si>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</si>
  <si>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</si>
  <si>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</si>
  <si>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</si>
  <si>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</si>
  <si>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</si>
  <si>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</si>
  <si>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</si>
  <si>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</si>
  <si>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</si>
  <si>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</si>
  <si>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</si>
  <si>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</si>
  <si>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</si>
  <si>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</si>
  <si>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</si>
  <si>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</si>
  <si>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</si>
  <si>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</si>
  <si>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</si>
  <si>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</si>
  <si>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</si>
  <si>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</si>
  <si>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</si>
  <si>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</si>
  <si>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</si>
  <si>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</si>
  <si>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</si>
  <si>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</si>
  <si>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</si>
  <si>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</si>
  <si>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</si>
  <si>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</si>
  <si>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</si>
  <si>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</si>
  <si>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</si>
  <si>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</si>
  <si>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</si>
  <si>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</si>
  <si>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</si>
  <si>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</si>
  <si>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</si>
  <si>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</si>
  <si>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</si>
  <si>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</si>
  <si>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</si>
  <si>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</si>
  <si>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</si>
  <si>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</si>
  <si>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</si>
  <si>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</si>
  <si>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</si>
  <si>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</si>
  <si>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</si>
  <si>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</si>
  <si>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</si>
  <si>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</si>
  <si>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</si>
  <si>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</si>
  <si>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</si>
  <si>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</si>
  <si>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</si>
  <si>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</si>
  <si>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</si>
  <si>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</si>
  <si>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</si>
  <si>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</si>
  <si>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</si>
  <si>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</si>
  <si>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</si>
  <si>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</si>
  <si>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</si>
  <si>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</si>
  <si>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</si>
  <si>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</si>
  <si>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</si>
  <si>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</si>
  <si>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</si>
  <si>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</si>
  <si>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</si>
  <si>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</si>
  <si>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</si>
  <si>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</si>
  <si>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</si>
  <si>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</si>
  <si>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</si>
  <si>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</si>
  <si>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</si>
  <si>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</si>
  <si>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</si>
  <si>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</si>
  <si>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</si>
  <si>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</si>
  <si>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</si>
  <si>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</si>
  <si>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</si>
  <si>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</si>
  <si>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</si>
  <si>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</si>
  <si>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</si>
  <si>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</si>
  <si>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</si>
  <si>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</si>
  <si>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</si>
  <si>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</si>
  <si>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</si>
  <si>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</si>
  <si>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</si>
  <si>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</si>
  <si>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</si>
  <si>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</si>
  <si>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</si>
  <si>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</si>
  <si>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</si>
  <si>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</si>
  <si>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</si>
  <si>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</si>
  <si>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</si>
  <si>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</si>
  <si>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</si>
  <si>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</si>
  <si>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</si>
  <si>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</si>
  <si>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</si>
  <si>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</si>
  <si>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</si>
  <si>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</si>
  <si>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</si>
  <si>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</si>
  <si>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</si>
  <si>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</si>
  <si>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</si>
  <si>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</si>
  <si>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</si>
  <si>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</si>
  <si>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</si>
  <si>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</si>
  <si>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</si>
  <si>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</si>
  <si>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</si>
  <si>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</si>
  <si>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</si>
  <si>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</si>
  <si>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</si>
  <si>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</si>
  <si>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</si>
  <si>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</si>
  <si>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</si>
  <si>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</si>
  <si>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</si>
  <si>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</si>
  <si>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</si>
  <si>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</si>
  <si>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</si>
  <si>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</si>
  <si>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</si>
  <si>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</si>
  <si>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</si>
  <si>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</si>
  <si>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</si>
  <si>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</si>
  <si>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</si>
  <si>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</si>
  <si>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</si>
  <si>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</si>
  <si>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</si>
  <si>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</si>
  <si>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</si>
  <si>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</si>
  <si>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</si>
  <si>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</si>
  <si>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</si>
  <si>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</si>
  <si>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</si>
  <si>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</si>
  <si>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</si>
  <si>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</si>
  <si>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</si>
  <si>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</si>
  <si>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</si>
  <si>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</si>
  <si>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</si>
  <si>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</si>
  <si>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</si>
  <si>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</si>
  <si>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</si>
  <si>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</si>
  <si>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</si>
  <si>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</si>
  <si>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</si>
  <si>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</si>
  <si>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</si>
  <si>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</si>
  <si>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</si>
  <si>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</si>
  <si>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</si>
  <si>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</si>
  <si>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</si>
  <si>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</si>
  <si>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</si>
  <si>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</si>
  <si>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</si>
  <si>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</si>
  <si>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</si>
  <si>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</si>
  <si>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</si>
  <si>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</si>
  <si>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</si>
  <si>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</si>
  <si>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</si>
  <si>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</si>
  <si>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</si>
  <si>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</si>
  <si>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</si>
  <si>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</si>
  <si>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</si>
  <si>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</si>
  <si>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</si>
  <si>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</si>
  <si>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</si>
  <si>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</si>
  <si>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</si>
  <si>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</si>
  <si>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</si>
  <si>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</si>
  <si>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</si>
  <si>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</si>
  <si>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</si>
  <si>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</si>
  <si>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</si>
  <si>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</si>
  <si>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</si>
  <si>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</si>
  <si>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</si>
  <si>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</si>
  <si>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</si>
  <si>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</si>
  <si>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</si>
  <si>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</si>
  <si>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</si>
  <si>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</si>
  <si>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</si>
  <si>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</si>
  <si>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</si>
  <si>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</si>
  <si>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</si>
  <si>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</si>
  <si>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</si>
  <si>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</si>
  <si>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</si>
  <si>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</si>
  <si>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</si>
  <si>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</si>
  <si>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</si>
  <si>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</si>
  <si>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</si>
  <si>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</si>
  <si>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</si>
  <si>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</si>
  <si>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</si>
  <si>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</si>
  <si>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</si>
  <si>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</si>
  <si>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</si>
  <si>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</si>
  <si>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</si>
  <si>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</si>
  <si>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</si>
  <si>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</si>
  <si>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</si>
  <si>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</si>
  <si>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</si>
  <si>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</si>
  <si>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</si>
  <si>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</si>
  <si>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</si>
  <si>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</si>
  <si>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</si>
  <si>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</si>
  <si>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</si>
  <si>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</si>
  <si>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</si>
  <si>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</si>
  <si>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</si>
  <si>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</si>
  <si>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</si>
  <si>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</si>
  <si>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</si>
  <si>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</si>
  <si>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</si>
  <si>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</si>
  <si>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</si>
  <si>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</si>
  <si>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</si>
  <si>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</si>
  <si>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</si>
  <si>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</si>
  <si>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</si>
  <si>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</si>
  <si>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</si>
  <si>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</si>
  <si>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</si>
  <si>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</si>
  <si>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</si>
  <si>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</si>
  <si>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</si>
  <si>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</si>
  <si>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</si>
  <si>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</si>
  <si>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</si>
  <si>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</si>
  <si>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</si>
  <si>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</si>
  <si>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</si>
  <si>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</si>
  <si>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</si>
  <si>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</si>
  <si>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</si>
  <si>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</si>
  <si>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</si>
  <si>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</si>
  <si>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</si>
  <si>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</si>
  <si>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</si>
  <si>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</si>
  <si>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</si>
  <si>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</si>
  <si>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</si>
  <si>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</si>
  <si>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</si>
  <si>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</si>
  <si>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</si>
  <si>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</si>
  <si>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</si>
  <si>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</si>
  <si>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</si>
  <si>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</si>
  <si>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</si>
  <si>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</si>
  <si>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</si>
  <si>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</si>
  <si>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</si>
  <si>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</si>
  <si>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</si>
  <si>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</si>
  <si>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</si>
  <si>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</si>
  <si>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</si>
  <si>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</si>
  <si>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</si>
  <si>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</si>
  <si>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</si>
  <si>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</si>
  <si>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</si>
  <si>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</si>
  <si>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</si>
  <si>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</si>
  <si>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</si>
  <si>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</si>
  <si>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</si>
  <si>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</si>
  <si>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</si>
  <si>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</si>
  <si>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</si>
  <si>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</si>
  <si>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</si>
  <si>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</si>
  <si>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</si>
  <si>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</si>
  <si>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</si>
  <si>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</si>
  <si>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</si>
  <si>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</si>
  <si>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</si>
  <si>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</si>
  <si>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</si>
  <si>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</si>
  <si>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</si>
  <si>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</si>
  <si>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</si>
  <si>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</si>
  <si>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</si>
  <si>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</si>
  <si>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</si>
  <si>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</si>
  <si>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</si>
  <si>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</si>
  <si>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</si>
  <si>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</si>
  <si>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</si>
  <si>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</si>
  <si>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</si>
  <si>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</si>
  <si>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</si>
  <si>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</si>
  <si>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</si>
  <si>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</si>
  <si>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</si>
  <si>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</si>
  <si>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</si>
  <si>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</si>
  <si>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</si>
  <si>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</si>
  <si>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</si>
  <si>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</si>
  <si>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</si>
  <si>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</si>
  <si>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</si>
  <si>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</si>
  <si>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</si>
  <si>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</si>
  <si>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</si>
  <si>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</si>
  <si>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</si>
  <si>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</si>
  <si>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</si>
  <si>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</si>
  <si>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</si>
  <si>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</si>
  <si>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</si>
  <si>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</si>
  <si>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</si>
  <si>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</si>
  <si>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</si>
  <si>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</si>
  <si>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</si>
  <si>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</si>
  <si>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</si>
  <si>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</si>
  <si>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</si>
  <si>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</si>
  <si>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</si>
  <si>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</si>
  <si>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</si>
  <si>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</si>
  <si>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</si>
  <si>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</si>
  <si>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</si>
  <si>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</si>
  <si>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</si>
  <si>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</si>
  <si>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</si>
  <si>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</si>
  <si>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</si>
  <si>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</si>
  <si>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</si>
  <si>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</si>
  <si>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</si>
  <si>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</si>
  <si>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</si>
  <si>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</si>
  <si>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</si>
  <si>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</si>
  <si>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</si>
  <si>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</si>
  <si>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</si>
  <si>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</si>
  <si>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</si>
  <si>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</si>
  <si>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</si>
  <si>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</si>
  <si>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</si>
  <si>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</si>
  <si>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</si>
  <si>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</si>
  <si>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</si>
  <si>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</si>
  <si>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</si>
  <si>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</si>
  <si>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</si>
  <si>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</si>
  <si>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</si>
  <si>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</si>
  <si>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</si>
  <si>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</si>
  <si>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</si>
  <si>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</si>
  <si>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</si>
  <si>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</si>
  <si>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</si>
  <si>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</si>
  <si>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</si>
  <si>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</si>
  <si>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</si>
  <si>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</si>
  <si>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</si>
  <si>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</si>
  <si>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</si>
  <si>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</si>
  <si>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</si>
  <si>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</si>
  <si>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</si>
  <si>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</si>
  <si>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</si>
  <si>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</si>
  <si>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</si>
  <si>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</si>
  <si>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</si>
  <si>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</si>
  <si>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</si>
  <si>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</si>
  <si>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</si>
  <si>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</si>
  <si>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</si>
  <si>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</si>
  <si>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</si>
  <si>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</si>
  <si>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</si>
  <si>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</si>
  <si>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</si>
  <si>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</si>
  <si>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</si>
  <si>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</si>
  <si>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</si>
  <si>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</si>
  <si>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</si>
  <si>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</si>
  <si>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</si>
  <si>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</si>
  <si>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</si>
  <si>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</si>
  <si>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</si>
  <si>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</si>
  <si>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</si>
  <si>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</si>
  <si>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</si>
  <si>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</si>
  <si>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</si>
  <si>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</si>
  <si>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</si>
  <si>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</si>
  <si>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</si>
  <si>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</si>
  <si>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</si>
  <si>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</si>
  <si>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</si>
  <si>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</si>
  <si>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</si>
  <si>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</si>
  <si>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</si>
  <si>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</si>
  <si>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</si>
  <si>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</si>
  <si>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</si>
  <si>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</si>
  <si>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</si>
  <si>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</si>
  <si>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</si>
  <si>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</si>
  <si>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</si>
  <si>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</si>
  <si>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</si>
  <si>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</si>
  <si>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</si>
  <si>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</si>
  <si>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</si>
  <si>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</si>
  <si>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</si>
  <si>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</si>
  <si>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</si>
  <si>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</si>
  <si>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</si>
  <si>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</si>
  <si>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</si>
  <si>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</si>
  <si>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</si>
  <si>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</si>
  <si>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</si>
  <si>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</si>
  <si>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</si>
  <si>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</si>
  <si>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</si>
  <si>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</si>
  <si>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</si>
  <si>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</si>
  <si>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</si>
  <si>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</si>
  <si>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</si>
  <si>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</si>
  <si>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</si>
  <si>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</si>
  <si>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</si>
  <si>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</si>
  <si>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</si>
  <si>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</si>
  <si>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</si>
  <si>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</si>
  <si>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</si>
  <si>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</si>
  <si>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</si>
  <si>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</si>
  <si>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</si>
  <si>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</si>
  <si>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</si>
  <si>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</si>
  <si>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</si>
  <si>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</si>
  <si>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</si>
  <si>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</si>
  <si>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</si>
  <si>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</si>
  <si>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</si>
  <si>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</si>
  <si>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</si>
  <si>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</si>
  <si>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</si>
  <si>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</si>
  <si>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</si>
  <si>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</si>
  <si>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</si>
  <si>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</si>
  <si>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</si>
  <si>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</si>
  <si>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</si>
  <si>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</si>
  <si>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</si>
  <si>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</si>
  <si>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</si>
  <si>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</si>
  <si>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</si>
  <si>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</si>
  <si>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</si>
  <si>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</si>
  <si>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</si>
  <si>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</si>
  <si>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</si>
  <si>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</si>
  <si>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</si>
  <si>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</si>
  <si>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</si>
  <si>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</si>
  <si>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</si>
  <si>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</si>
  <si>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</si>
  <si>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</si>
  <si>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</si>
  <si>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</si>
  <si>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</si>
  <si>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</si>
  <si>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</si>
  <si>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</si>
  <si>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</si>
  <si>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</si>
  <si>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</si>
  <si>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</si>
  <si>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</si>
  <si>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</si>
  <si>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</si>
  <si>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</si>
  <si>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</si>
  <si>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</si>
  <si>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</si>
  <si>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</si>
  <si>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</si>
  <si>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</si>
  <si>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</si>
  <si>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</si>
  <si>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</si>
  <si>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</si>
  <si>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</si>
  <si>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</si>
  <si>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</si>
  <si>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</si>
  <si>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</si>
  <si>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</si>
  <si>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</si>
  <si>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</si>
  <si>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</si>
  <si>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</si>
  <si>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</si>
  <si>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</si>
  <si>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</si>
  <si>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</si>
  <si>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</si>
  <si>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</si>
  <si>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</si>
  <si>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</si>
  <si>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</si>
  <si>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</si>
  <si>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</si>
  <si>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</si>
  <si>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</si>
  <si>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</si>
  <si>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</si>
  <si>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</si>
  <si>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</si>
  <si>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</si>
  <si>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</si>
  <si>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</si>
  <si>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</si>
  <si>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</si>
  <si>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</si>
  <si>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</si>
  <si>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</si>
  <si>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</si>
  <si>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</si>
  <si>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</si>
  <si>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</si>
  <si>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</si>
  <si>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</si>
  <si>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</si>
  <si>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</si>
  <si>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</si>
  <si>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</si>
  <si>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</si>
  <si>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</si>
  <si>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</si>
  <si>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</si>
  <si>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</si>
  <si>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</si>
  <si>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</si>
  <si>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</si>
  <si>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</si>
  <si>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</si>
  <si>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</si>
  <si>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</si>
  <si>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</si>
  <si>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</si>
  <si>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</si>
  <si>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</si>
  <si>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</si>
  <si>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</si>
  <si>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</si>
  <si>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</si>
  <si>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</si>
  <si>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</si>
  <si>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</si>
  <si>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</si>
  <si>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</si>
  <si>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</si>
  <si>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</si>
  <si>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</si>
  <si>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</si>
  <si>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</si>
  <si>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</si>
  <si>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</si>
  <si>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</si>
  <si>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</si>
  <si>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</si>
  <si>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</si>
  <si>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</si>
  <si>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</si>
  <si>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</si>
  <si>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</si>
  <si>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</si>
  <si>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</si>
  <si>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</si>
  <si>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</si>
  <si>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</si>
  <si>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</si>
  <si>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</si>
  <si>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</si>
  <si>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</si>
  <si>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</si>
  <si>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</si>
  <si>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</si>
  <si>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</si>
  <si>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</si>
  <si>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</si>
  <si>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</si>
  <si>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</si>
  <si>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</si>
  <si>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</si>
  <si>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</si>
  <si>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</si>
  <si>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</si>
  <si>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</si>
  <si>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</si>
  <si>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</si>
  <si>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</si>
  <si>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</si>
  <si>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</si>
  <si>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</si>
  <si>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</si>
  <si>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</si>
  <si>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</si>
  <si>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</si>
  <si>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</si>
  <si>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</si>
  <si>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</si>
  <si>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</si>
  <si>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</si>
  <si>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</si>
  <si>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</si>
  <si>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</si>
  <si>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</si>
  <si>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</si>
  <si>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</si>
  <si>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</si>
  <si>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</si>
  <si>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</si>
  <si>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</si>
  <si>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</si>
  <si>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</si>
  <si>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</si>
  <si>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</si>
  <si>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</si>
  <si>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</si>
  <si>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</si>
  <si>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</si>
  <si>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</si>
  <si>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</si>
  <si>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</si>
  <si>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</si>
  <si>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</si>
  <si>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</si>
  <si>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</si>
  <si>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</si>
  <si>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</si>
  <si>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</si>
  <si>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</si>
  <si>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</si>
  <si>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</si>
  <si>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</si>
  <si>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</si>
  <si>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</si>
  <si>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</si>
  <si>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</si>
  <si>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</si>
  <si>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</si>
  <si>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</si>
  <si>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</si>
  <si>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</si>
  <si>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</si>
  <si>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</si>
  <si>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</si>
  <si>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</si>
  <si>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</si>
  <si>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</si>
  <si>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</si>
  <si>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</si>
  <si>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</si>
  <si>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</si>
  <si>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</si>
  <si>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</si>
  <si>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</si>
  <si>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</si>
  <si>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</si>
  <si>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</si>
  <si>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</si>
  <si>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</si>
  <si>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</si>
  <si>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</si>
  <si>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</si>
  <si>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</si>
  <si>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</si>
  <si>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</si>
  <si>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</si>
  <si>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</si>
  <si>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</si>
  <si>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</si>
  <si>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</si>
  <si>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</si>
  <si>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</si>
  <si>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</si>
  <si>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</si>
  <si>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</si>
  <si>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</si>
  <si>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</si>
  <si>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</si>
  <si>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</si>
  <si>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</si>
  <si>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</si>
  <si>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</si>
  <si>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</si>
  <si>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</si>
  <si>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</si>
  <si>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</si>
  <si>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</si>
  <si>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</si>
  <si>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</si>
  <si>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</si>
  <si>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</si>
  <si>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</si>
  <si>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</si>
  <si>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</si>
  <si>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</si>
  <si>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</si>
  <si>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</si>
  <si>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</si>
  <si>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</si>
  <si>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</si>
  <si>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</si>
  <si>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</si>
  <si>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</si>
  <si>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</si>
  <si>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</si>
  <si>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</si>
  <si>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</si>
  <si>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</si>
  <si>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</si>
  <si>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</si>
  <si>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</si>
  <si>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</si>
  <si>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</si>
  <si>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</si>
  <si>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</si>
  <si>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</si>
  <si>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</si>
  <si>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</si>
  <si>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</si>
  <si>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</si>
  <si>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</si>
  <si>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</si>
  <si>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</si>
  <si>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</si>
  <si>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</si>
  <si>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</si>
  <si>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</si>
  <si>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</si>
  <si>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</si>
  <si>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</si>
  <si>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</si>
  <si>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</si>
  <si>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</si>
  <si>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</si>
  <si>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</si>
  <si>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</si>
  <si>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</si>
  <si>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</si>
  <si>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</si>
  <si>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</si>
  <si>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</si>
  <si>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</si>
  <si>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</si>
  <si>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</si>
  <si>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</si>
  <si>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</si>
  <si>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</si>
  <si>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</si>
  <si>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</si>
  <si>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</si>
  <si>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</si>
  <si>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</si>
  <si>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</si>
  <si>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</si>
  <si>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</si>
  <si>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</si>
  <si>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</si>
  <si>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</si>
  <si>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</si>
  <si>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</si>
  <si>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</si>
  <si>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</si>
  <si>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</si>
  <si>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</si>
  <si>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</si>
  <si>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</si>
  <si>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</si>
  <si>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</si>
  <si>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</si>
  <si>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</si>
  <si>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</si>
  <si>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</si>
  <si>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</si>
  <si>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</si>
  <si>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</si>
  <si>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</si>
  <si>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</si>
  <si>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</si>
  <si>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</si>
  <si>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</si>
  <si>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</si>
  <si>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</si>
  <si>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</si>
  <si>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</si>
  <si>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</si>
  <si>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</si>
  <si>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</si>
  <si>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</si>
  <si>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</si>
  <si>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</si>
  <si>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</si>
  <si>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</si>
  <si>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</si>
  <si>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</si>
  <si>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</si>
  <si>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</si>
  <si>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</si>
  <si>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</si>
  <si>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</si>
  <si>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</si>
  <si>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</si>
  <si>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</si>
  <si>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</si>
  <si>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</si>
  <si>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</si>
  <si>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</si>
  <si>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</si>
  <si>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</si>
  <si>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</si>
  <si>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</si>
  <si>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</si>
  <si>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</si>
  <si>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</si>
  <si>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</si>
  <si>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</si>
  <si>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</si>
  <si>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</si>
  <si>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</si>
  <si>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</si>
  <si>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</si>
  <si>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</si>
  <si>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</si>
  <si>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</si>
  <si>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</si>
  <si>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</si>
  <si>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</si>
  <si>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</si>
  <si>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</si>
  <si>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</si>
  <si>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</si>
  <si>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</si>
  <si>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</si>
  <si>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</si>
  <si>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</si>
  <si>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</si>
  <si>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</si>
  <si>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</si>
  <si>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</si>
  <si>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</si>
  <si>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</si>
  <si>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</si>
  <si>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</si>
  <si>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</si>
  <si>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</si>
  <si>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</si>
  <si>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</si>
  <si>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</si>
  <si>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</si>
  <si>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</si>
  <si>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</si>
  <si>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</si>
  <si>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</si>
  <si>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</si>
  <si>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</si>
  <si>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</si>
  <si>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</si>
  <si>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</si>
  <si>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</si>
  <si>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</si>
  <si>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</si>
  <si>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</si>
  <si>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</si>
  <si>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</si>
  <si>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</si>
  <si>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</si>
  <si>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</si>
  <si>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</si>
  <si>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</si>
  <si>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</si>
  <si>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</si>
  <si>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</si>
  <si>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</si>
  <si>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</si>
  <si>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</si>
  <si>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</si>
  <si>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</si>
  <si>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</si>
  <si>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</si>
  <si>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</si>
  <si>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</si>
  <si>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</si>
  <si>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</si>
  <si>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</si>
  <si>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</si>
  <si>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</si>
  <si>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</si>
  <si>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</si>
  <si>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</si>
  <si>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</si>
  <si>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</si>
  <si>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</si>
  <si>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</si>
  <si>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</si>
  <si>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</si>
  <si>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</si>
  <si>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</si>
  <si>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</si>
  <si>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</si>
  <si>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</si>
  <si>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</si>
  <si>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</si>
  <si>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</si>
  <si>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</si>
  <si>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</si>
  <si>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</si>
  <si>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</si>
  <si>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</si>
  <si>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</si>
  <si>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</si>
  <si>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</si>
  <si>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</si>
  <si>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</si>
  <si>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</si>
  <si>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</si>
  <si>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</si>
  <si>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</si>
  <si>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</si>
  <si>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</si>
  <si>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</si>
  <si>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</si>
  <si>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</si>
  <si>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</si>
  <si>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</si>
  <si>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</si>
  <si>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</si>
  <si>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</si>
  <si>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</si>
  <si>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</si>
  <si>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</si>
  <si>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</si>
  <si>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</si>
  <si>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</si>
  <si>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</si>
  <si>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</si>
  <si>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</si>
  <si>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</si>
  <si>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</si>
  <si>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</si>
  <si>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</si>
  <si>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</si>
  <si>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</si>
  <si>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</si>
  <si>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</si>
  <si>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</si>
  <si>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</si>
  <si>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</si>
  <si>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</si>
  <si>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</si>
  <si>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</si>
  <si>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</si>
  <si>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</si>
  <si>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</si>
  <si>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</si>
  <si>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</si>
  <si>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</si>
  <si>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</si>
  <si>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</si>
  <si>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</si>
  <si>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</si>
  <si>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</si>
  <si>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</si>
  <si>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</si>
  <si>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</si>
  <si>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</si>
  <si>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</si>
  <si>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</si>
  <si>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</si>
  <si>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</si>
  <si>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</si>
  <si>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</si>
  <si>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</si>
  <si>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</si>
  <si>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</si>
  <si>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</si>
  <si>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</si>
  <si>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</si>
  <si>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</si>
  <si>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</si>
  <si>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</si>
  <si>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</si>
  <si>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</si>
  <si>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</si>
  <si>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</si>
  <si>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</si>
  <si>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</si>
  <si>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</si>
  <si>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</si>
  <si>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</si>
  <si>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</si>
  <si>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</si>
  <si>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</si>
  <si>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</si>
  <si>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</si>
  <si>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</si>
  <si>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</si>
  <si>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</si>
  <si>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</si>
  <si>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</si>
  <si>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</si>
  <si>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</si>
  <si>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</si>
  <si>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</si>
  <si>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</si>
  <si>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</si>
  <si>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</si>
  <si>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</si>
  <si>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</si>
  <si>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</si>
  <si>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</si>
  <si>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</si>
  <si>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</si>
  <si>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</si>
  <si>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</si>
  <si>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</si>
  <si>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</si>
  <si>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</si>
  <si>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</si>
  <si>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</si>
  <si>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</si>
  <si>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</si>
  <si>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</si>
  <si>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</si>
  <si>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</si>
  <si>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</si>
  <si>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</si>
  <si>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</si>
  <si>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</si>
  <si>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</si>
  <si>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</si>
  <si>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</si>
  <si>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</si>
  <si>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</si>
  <si>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</si>
  <si>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</si>
  <si>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</si>
  <si>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</si>
  <si>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</si>
  <si>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</si>
  <si>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</si>
  <si>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</si>
  <si>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</si>
  <si>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</si>
  <si>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</si>
  <si>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</si>
  <si>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</si>
  <si>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</si>
  <si>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</si>
  <si>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</si>
  <si>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</si>
  <si>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</si>
  <si>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</si>
  <si>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</si>
  <si>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</si>
  <si>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</si>
  <si>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</si>
  <si>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</si>
  <si>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</si>
  <si>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</si>
  <si>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</si>
  <si>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</si>
  <si>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</si>
  <si>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</si>
  <si>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</si>
  <si>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</si>
  <si>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</si>
  <si>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</si>
  <si>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</si>
  <si>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</si>
  <si>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</si>
  <si>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</si>
  <si>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</si>
  <si>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</si>
  <si>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</si>
  <si>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</si>
  <si>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</si>
  <si>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</si>
  <si>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</si>
  <si>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</si>
  <si>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</si>
  <si>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</si>
  <si>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</si>
  <si>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</si>
  <si>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</si>
  <si>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</si>
  <si>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</si>
  <si>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</si>
  <si>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</si>
  <si>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</si>
  <si>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</si>
  <si>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</si>
  <si>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</si>
  <si>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</si>
  <si>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</si>
  <si>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</si>
  <si>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</si>
  <si>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</si>
  <si>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</si>
  <si>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</si>
  <si>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</si>
  <si>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</si>
  <si>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</si>
  <si>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</si>
  <si>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</si>
  <si>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</si>
  <si>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</si>
  <si>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</si>
  <si>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</si>
  <si>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</si>
  <si>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</si>
  <si>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</si>
  <si>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</si>
  <si>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</si>
  <si>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</si>
  <si>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</si>
  <si>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</si>
  <si>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</si>
  <si>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</si>
  <si>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</si>
  <si>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</si>
  <si>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</si>
  <si>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</si>
  <si>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</si>
  <si>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</si>
  <si>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</si>
  <si>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</si>
  <si>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</si>
  <si>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</si>
  <si>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</si>
  <si>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</si>
  <si>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</si>
  <si>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</si>
  <si>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</si>
  <si>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</si>
  <si>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</si>
  <si>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</si>
  <si>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</si>
  <si>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</si>
  <si>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</si>
  <si>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</si>
  <si>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</si>
  <si>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</si>
  <si>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</si>
  <si>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</si>
  <si>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</si>
  <si>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</si>
  <si>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</si>
  <si>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</si>
  <si>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</si>
  <si>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</si>
  <si>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</si>
  <si>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</si>
  <si>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</si>
  <si>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</si>
  <si>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</si>
  <si>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</si>
  <si>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</si>
  <si>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</si>
  <si>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</si>
  <si>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</si>
  <si>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</si>
  <si>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</si>
  <si>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</si>
  <si>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</si>
  <si>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</si>
  <si>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</si>
  <si>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</si>
  <si>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</si>
  <si>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</si>
  <si>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</si>
  <si>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</si>
  <si>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</si>
  <si>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</si>
  <si>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</si>
  <si>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</si>
  <si>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</si>
  <si>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</si>
  <si>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</si>
  <si>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</si>
  <si>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</si>
  <si>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</si>
  <si>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</si>
  <si>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</si>
  <si>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</si>
  <si>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</si>
  <si>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</si>
  <si>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</si>
  <si>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</si>
  <si>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</si>
  <si>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</si>
  <si>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</si>
  <si>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</si>
  <si>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</si>
  <si>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</si>
  <si>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</si>
  <si>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</si>
  <si>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</si>
  <si>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</si>
  <si>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</si>
  <si>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</si>
  <si>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</si>
  <si>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</si>
  <si>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</si>
  <si>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</si>
  <si>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</si>
  <si>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</si>
  <si>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</si>
  <si>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</si>
  <si>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</si>
  <si>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</si>
  <si>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</si>
  <si>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</si>
  <si>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</si>
  <si>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</si>
  <si>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</si>
  <si>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</si>
  <si>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</si>
  <si>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</si>
  <si>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</si>
  <si>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</si>
  <si>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</si>
  <si>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</si>
  <si>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</si>
  <si>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</si>
  <si>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</si>
  <si>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</si>
  <si>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</si>
  <si>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</si>
  <si>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</si>
  <si>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</si>
  <si>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</si>
  <si>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</si>
  <si>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</si>
  <si>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</si>
  <si>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</si>
  <si>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</si>
  <si>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</si>
  <si>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</si>
  <si>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</si>
  <si>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</si>
  <si>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</si>
  <si>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</si>
  <si>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</si>
  <si>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</si>
  <si>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</si>
  <si>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</si>
  <si>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</si>
  <si>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</si>
  <si>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</si>
  <si>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</si>
  <si>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</si>
  <si>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</si>
  <si>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</si>
  <si>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</si>
  <si>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</si>
  <si>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</si>
  <si>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</si>
  <si>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</si>
  <si>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</si>
  <si>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</si>
  <si>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</si>
  <si>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</si>
  <si>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</si>
  <si>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</si>
  <si>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</si>
  <si>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</si>
  <si>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</si>
  <si>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</si>
  <si>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</si>
  <si>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</si>
  <si>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</si>
  <si>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</si>
  <si>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</si>
  <si>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</si>
  <si>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</si>
  <si>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</si>
  <si>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</si>
  <si>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</si>
  <si>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</si>
  <si>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</si>
  <si>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</si>
  <si>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</si>
  <si>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</si>
  <si>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</si>
  <si>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</si>
  <si>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</si>
  <si>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</si>
  <si>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</si>
  <si>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</si>
  <si>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</si>
  <si>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</si>
  <si>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</si>
  <si>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</si>
  <si>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</si>
  <si>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</si>
  <si>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</si>
  <si>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</si>
  <si>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</si>
  <si>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</si>
  <si>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</si>
  <si>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</si>
  <si>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</si>
  <si>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</si>
  <si>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</si>
  <si>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</si>
  <si>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</si>
  <si>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</si>
  <si>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</si>
  <si>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</si>
  <si>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</si>
  <si>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</si>
  <si>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</si>
  <si>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</si>
  <si>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</si>
  <si>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</si>
  <si>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</si>
  <si>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</si>
  <si>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</si>
  <si>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</si>
  <si>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</si>
  <si>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</si>
  <si>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</si>
  <si>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</si>
  <si>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</si>
  <si>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</si>
  <si>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</si>
  <si>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</si>
  <si>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</si>
  <si>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</si>
  <si>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</si>
  <si>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</si>
  <si>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</si>
  <si>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</si>
  <si>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</si>
  <si>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</si>
  <si>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</si>
  <si>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</si>
  <si>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</si>
  <si>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</si>
  <si>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</si>
  <si>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</si>
  <si>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</si>
  <si>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</si>
  <si>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</si>
  <si>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</si>
  <si>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</si>
  <si>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</si>
  <si>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</si>
  <si>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</si>
  <si>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</si>
  <si>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</si>
  <si>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</si>
  <si>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</si>
  <si>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</si>
  <si>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</si>
  <si>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</si>
  <si>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</si>
  <si>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</si>
  <si>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</si>
  <si>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</si>
  <si>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</si>
  <si>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</si>
  <si>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</si>
  <si>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</si>
  <si>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</si>
  <si>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</si>
  <si>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</si>
  <si>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</si>
  <si>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</si>
  <si>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</si>
  <si>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</si>
  <si>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</si>
  <si>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</si>
  <si>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</si>
  <si>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</si>
  <si>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</si>
  <si>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</si>
  <si>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</si>
  <si>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</si>
  <si>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</si>
  <si>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</si>
  <si>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</si>
  <si>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</si>
  <si>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</si>
  <si>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</si>
  <si>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</si>
  <si>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</si>
  <si>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</si>
  <si>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</si>
  <si>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</si>
  <si>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</si>
  <si>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</si>
  <si>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</si>
  <si>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</si>
  <si>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</si>
  <si>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</si>
  <si>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</si>
  <si>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</si>
  <si>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</si>
  <si>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</si>
  <si>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</si>
  <si>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</si>
  <si>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</si>
  <si>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</si>
  <si>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</si>
  <si>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</si>
  <si>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</si>
  <si>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</si>
  <si>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</si>
  <si>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</si>
  <si>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</si>
  <si>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</si>
  <si>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</si>
  <si>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</si>
  <si>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</si>
  <si>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</si>
  <si>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</si>
  <si>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</si>
  <si>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</si>
  <si>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</si>
  <si>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</si>
  <si>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</si>
  <si>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</si>
  <si>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</si>
  <si>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</si>
  <si>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</si>
  <si>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</si>
  <si>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</si>
  <si>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</si>
  <si>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</si>
  <si>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</si>
  <si>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</si>
  <si>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</si>
  <si>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</si>
  <si>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</si>
  <si>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</si>
  <si>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</si>
  <si>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</si>
  <si>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</si>
  <si>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</si>
  <si>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</si>
  <si>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</si>
  <si>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</si>
  <si>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</si>
  <si>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</si>
  <si>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</si>
  <si>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</si>
  <si>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</si>
  <si>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</si>
  <si>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</si>
  <si>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</si>
  <si>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</si>
  <si>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</si>
  <si>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</si>
  <si>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</si>
  <si>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</si>
  <si>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</si>
  <si>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</si>
  <si>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</si>
  <si>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</si>
  <si>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</si>
  <si>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</si>
  <si>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</si>
  <si>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</si>
  <si>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</si>
  <si>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</si>
  <si>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</si>
  <si>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</si>
  <si>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</si>
  <si>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</si>
  <si>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</si>
  <si>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</si>
  <si>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</si>
  <si>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</si>
  <si>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</si>
  <si>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</si>
  <si>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</si>
  <si>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</si>
  <si>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</si>
  <si>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</si>
  <si>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</si>
  <si>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</si>
  <si>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</si>
  <si>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</si>
  <si>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</si>
  <si>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</si>
  <si>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</si>
  <si>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</si>
  <si>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</si>
  <si>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</si>
  <si>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</si>
  <si>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</si>
  <si>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</si>
  <si>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</si>
  <si>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</si>
  <si>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</si>
  <si>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</si>
  <si>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</si>
  <si>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</si>
  <si>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</si>
  <si>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</si>
  <si>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</si>
  <si>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</si>
  <si>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</si>
  <si>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</si>
  <si>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</si>
  <si>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</si>
  <si>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</si>
  <si>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</si>
  <si>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</si>
  <si>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</si>
  <si>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</si>
  <si>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</si>
  <si>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</si>
  <si>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</si>
  <si>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</si>
  <si>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</si>
  <si>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</si>
  <si>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</si>
  <si>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</si>
  <si>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</si>
  <si>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</si>
  <si>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</si>
  <si>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</si>
  <si>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</si>
  <si>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</si>
  <si>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</si>
  <si>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</si>
  <si>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</si>
  <si>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</si>
  <si>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</si>
  <si>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</si>
  <si>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</si>
  <si>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</si>
  <si>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</si>
  <si>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</si>
  <si>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</si>
  <si>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</si>
  <si>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</si>
  <si>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</si>
  <si>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</si>
  <si>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</si>
  <si>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</si>
  <si>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</si>
  <si>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</si>
  <si>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</si>
  <si>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</si>
  <si>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</si>
  <si>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</si>
  <si>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</si>
  <si>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</si>
  <si>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</si>
  <si>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</si>
  <si>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</si>
  <si>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</si>
  <si>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</si>
  <si>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</si>
  <si>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</si>
  <si>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</si>
  <si>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</si>
  <si>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</si>
  <si>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</si>
  <si>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</si>
  <si>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</si>
  <si>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</si>
  <si>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</si>
  <si>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</si>
  <si>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</si>
  <si>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</si>
  <si>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</si>
  <si>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</si>
  <si>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</si>
  <si>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</si>
  <si>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</si>
  <si>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</si>
  <si>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</si>
  <si>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</si>
  <si>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</si>
  <si>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</si>
  <si>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</si>
  <si>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</si>
  <si>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</si>
  <si>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</si>
  <si>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</si>
  <si>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</si>
  <si>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</si>
  <si>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</si>
  <si>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</si>
  <si>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</si>
  <si>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</si>
  <si>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</si>
  <si>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</si>
  <si>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</si>
  <si>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</si>
  <si>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</si>
  <si>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</si>
  <si>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</si>
  <si>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</si>
  <si>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</si>
  <si>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</si>
  <si>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</si>
  <si>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</si>
  <si>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</si>
  <si>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</si>
  <si>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</si>
  <si>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</si>
  <si>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</si>
  <si>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</si>
  <si>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</si>
  <si>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</si>
  <si>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</si>
  <si>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</si>
  <si>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</si>
  <si>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</si>
  <si>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</si>
  <si>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</si>
  <si>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</si>
  <si>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</si>
  <si>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</si>
  <si>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</si>
  <si>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</si>
  <si>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</si>
  <si>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</si>
  <si>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</si>
  <si>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</si>
  <si>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</si>
  <si>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</si>
  <si>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</si>
  <si>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</si>
  <si>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</si>
  <si>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</si>
  <si>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</si>
  <si>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</si>
  <si>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</si>
  <si>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</si>
  <si>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</si>
  <si>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</si>
  <si>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</si>
  <si>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</si>
  <si>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</si>
  <si>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</si>
  <si>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</si>
  <si>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</si>
  <si>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</si>
  <si>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</si>
  <si>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</si>
  <si>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</si>
  <si>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</si>
  <si>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</si>
  <si>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</si>
  <si>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</si>
  <si>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</si>
  <si>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</si>
  <si>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</si>
  <si>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</si>
  <si>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</si>
  <si>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</si>
  <si>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</si>
  <si>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</si>
  <si>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</si>
  <si>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</si>
  <si>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</si>
  <si>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</si>
  <si>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</si>
  <si>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</si>
  <si>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</si>
  <si>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</si>
  <si>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</si>
  <si>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</si>
  <si>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</si>
  <si>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</si>
  <si>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</si>
  <si>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</si>
  <si>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</si>
  <si>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</si>
  <si>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</si>
  <si>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</si>
  <si>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</si>
  <si>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</si>
  <si>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</si>
  <si>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</si>
  <si>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</si>
  <si>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</si>
  <si>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</si>
  <si>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</si>
  <si>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</si>
  <si>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</si>
  <si>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</si>
  <si>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</si>
  <si>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</si>
  <si>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</si>
  <si>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</si>
  <si>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</si>
  <si>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</si>
  <si>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</si>
  <si>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</si>
  <si>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</si>
  <si>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</si>
  <si>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</si>
  <si>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</si>
  <si>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</si>
  <si>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</si>
  <si>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</si>
  <si>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</si>
  <si>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</si>
  <si>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</si>
  <si>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</si>
  <si>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</si>
  <si>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</si>
  <si>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</si>
  <si>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</si>
  <si>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</si>
  <si>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</si>
  <si>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</si>
  <si>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</si>
  <si>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</si>
  <si>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</si>
  <si>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</si>
  <si>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</si>
  <si>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</si>
  <si>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</si>
  <si>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</si>
  <si>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</si>
  <si>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</si>
  <si>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</si>
  <si>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</si>
  <si>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</si>
  <si>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</si>
  <si>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</si>
  <si>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</si>
  <si>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</si>
  <si>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</si>
  <si>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</si>
  <si>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</si>
  <si>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</si>
  <si>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</si>
  <si>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</si>
  <si>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</si>
  <si>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</si>
  <si>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</si>
  <si>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</si>
  <si>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</si>
  <si>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</si>
  <si>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</si>
  <si>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</si>
  <si>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</si>
  <si>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</si>
  <si>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</si>
  <si>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</si>
  <si>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</si>
  <si>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</si>
  <si>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</si>
  <si>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</si>
  <si>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</si>
  <si>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</si>
  <si>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</si>
  <si>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</si>
  <si>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</si>
  <si>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</si>
  <si>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</si>
  <si>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</si>
  <si>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</si>
  <si>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</si>
  <si>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</si>
  <si>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</si>
  <si>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</si>
  <si>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</si>
  <si>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</si>
  <si>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</si>
  <si>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</si>
  <si>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</si>
  <si>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</si>
  <si>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</si>
  <si>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</si>
  <si>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</si>
  <si>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</si>
  <si>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t>gun-10000383</t>
  </si>
  <si>
    <t>VP9</t>
  </si>
  <si>
    <t>gun-40000383</t>
  </si>
  <si>
    <t>gun-50000383</t>
  </si>
  <si>
    <t>gun-60000383</t>
  </si>
  <si>
    <t>750760,750761</t>
  </si>
  <si>
    <t>2,18;3,15</t>
  </si>
  <si>
    <t>2023-04-24 00:00:00</t>
  </si>
  <si>
    <t>258</t>
  </si>
  <si>
    <t>gun-10000384</t>
  </si>
  <si>
    <t>Jatimatic</t>
  </si>
  <si>
    <t>gun-40000384</t>
  </si>
  <si>
    <t>gun-50000384</t>
  </si>
  <si>
    <t>gun-60000384</t>
  </si>
  <si>
    <t>750781</t>
  </si>
  <si>
    <t>750758,750759</t>
  </si>
  <si>
    <t>259</t>
  </si>
  <si>
    <t>gun-10000385</t>
  </si>
  <si>
    <t>VRB</t>
  </si>
  <si>
    <t>gun-40000385</t>
  </si>
  <si>
    <t>gun-50000385</t>
  </si>
  <si>
    <t>gun-60000385</t>
  </si>
  <si>
    <t>121502</t>
  </si>
  <si>
    <t>121504</t>
  </si>
  <si>
    <t>257</t>
  </si>
  <si>
    <t>gun-10000386</t>
  </si>
  <si>
    <t>LAMG</t>
  </si>
  <si>
    <t>gun-40000386</t>
  </si>
  <si>
    <t>gun-50000386</t>
  </si>
  <si>
    <t>gun-60000386</t>
  </si>
  <si>
    <t>121404,300202,121403</t>
  </si>
  <si>
    <t>21,22,17,18,23</t>
  </si>
  <si>
    <t>2;5,8,17</t>
  </si>
  <si>
    <t>3;9,10,14,21</t>
  </si>
  <si>
    <t>gun-10000387</t>
  </si>
  <si>
    <t>TPS</t>
  </si>
  <si>
    <t>gun-40000387</t>
  </si>
  <si>
    <t>gun-50000387</t>
  </si>
  <si>
    <t>gun-60000387</t>
  </si>
  <si>
    <t>300202,300203,200429,750775,,750776,750777,750778</t>
  </si>
  <si>
    <t>750772,750773,750774</t>
  </si>
  <si>
    <t>11,12,1,2,3</t>
  </si>
  <si>
    <t>gun-10009110</t>
  </si>
  <si>
    <t>gun-40009110</t>
  </si>
  <si>
    <t>gun-50009110</t>
  </si>
  <si>
    <t>gun-60009110</t>
  </si>
  <si>
    <t>gun-10009111</t>
  </si>
  <si>
    <t>Ahmin</t>
  </si>
  <si>
    <t>Ahmin_battle</t>
  </si>
  <si>
    <t>gun-40009111</t>
  </si>
  <si>
    <t>gun-50009111</t>
  </si>
  <si>
    <t>gun-60009111</t>
  </si>
  <si>
    <t>gun-10009112</t>
  </si>
  <si>
    <t>Pamzan_Young</t>
  </si>
  <si>
    <t>Pamazan_Young_NPC</t>
  </si>
  <si>
    <t>gun-40009112</t>
  </si>
  <si>
    <t>gun-50009112</t>
  </si>
  <si>
    <t>gun-60009112</t>
  </si>
  <si>
    <t>gun-10009113</t>
  </si>
  <si>
    <t>Ange_01</t>
  </si>
  <si>
    <t>Ange_battle_01</t>
  </si>
  <si>
    <t>gun-40009113</t>
  </si>
  <si>
    <t>gun-50009113</t>
  </si>
  <si>
    <t>gun-60009113</t>
  </si>
  <si>
    <t>gun-10009114</t>
  </si>
  <si>
    <t>Ange_02</t>
  </si>
  <si>
    <t>Ange_battle_02</t>
  </si>
  <si>
    <t>gun-40009114</t>
  </si>
  <si>
    <t>gun-50009114</t>
  </si>
  <si>
    <t>gun-60009114</t>
  </si>
  <si>
    <t>gun-10009115</t>
  </si>
  <si>
    <t>Ange_03</t>
  </si>
  <si>
    <t>Ange_battle_03</t>
  </si>
  <si>
    <t>gun-40009115</t>
  </si>
  <si>
    <t>gun-50009115</t>
  </si>
  <si>
    <t>gun-60009115</t>
  </si>
  <si>
    <t>gun-10009116</t>
  </si>
  <si>
    <t>Ange_04</t>
  </si>
  <si>
    <t>Ange_battle_04</t>
  </si>
  <si>
    <t>gun-40009116</t>
  </si>
  <si>
    <t>gun-50009116</t>
  </si>
  <si>
    <t>gun-60009116</t>
  </si>
  <si>
    <t>gun-10009117</t>
  </si>
  <si>
    <t>NPC_Laplace</t>
  </si>
  <si>
    <t>gun-40009117</t>
  </si>
  <si>
    <t>gun-50009117</t>
  </si>
  <si>
    <t>gun-60009117</t>
  </si>
  <si>
    <t>equip-10000337</t>
  </si>
  <si>
    <t>equip-20000337</t>
  </si>
  <si>
    <t>20039</t>
  </si>
  <si>
    <t>equip-30000337</t>
  </si>
  <si>
    <t>armor_piercing:500,rate:700</t>
  </si>
  <si>
    <t>759097</t>
  </si>
  <si>
    <t>equip-10000338</t>
  </si>
  <si>
    <t>equip-20000338</t>
  </si>
  <si>
    <t>20057</t>
  </si>
  <si>
    <t>equip-30000338</t>
  </si>
  <si>
    <t>rate:700,critical_percent:850</t>
  </si>
  <si>
    <t>759091</t>
  </si>
  <si>
    <t>equip-10000340</t>
  </si>
  <si>
    <t>equip-20000340</t>
  </si>
  <si>
    <t>250,250</t>
  </si>
  <si>
    <t>equip-30000340</t>
  </si>
  <si>
    <t>759127</t>
  </si>
  <si>
    <t>equip-10000341</t>
  </si>
  <si>
    <t>equip-20000341</t>
  </si>
  <si>
    <t>245,250</t>
  </si>
  <si>
    <t>equip-30000341</t>
  </si>
  <si>
    <t>759131</t>
  </si>
  <si>
    <t>MosinNagantModGreyZone</t>
  </si>
  <si>
    <t>ST AR15ModGreyZone</t>
  </si>
  <si>
    <t>M1918Ranking</t>
  </si>
  <si>
    <t>Nurse</t>
  </si>
  <si>
    <t>*22</t>
  </si>
  <si>
    <t>Fatigue 1</t>
  </si>
  <si>
    <t>Fatigue 2</t>
  </si>
  <si>
    <t>Fatigue 3</t>
  </si>
  <si>
    <t>Fatigue 4 (Exhausted)</t>
  </si>
  <si>
    <t>Gospel Axis Debuff</t>
  </si>
  <si>
    <t>fight_environment_group</t>
  </si>
  <si>
    <t>enemy_hp_percent</t>
  </si>
  <si>
    <t>Enemy HP %:</t>
  </si>
  <si>
    <t>Energy Shield</t>
  </si>
  <si>
    <t>Grant a shield to all SMGs in the echelon. Each shield can absorb up to 40 points of damage.</t>
  </si>
  <si>
    <t>Sniper Command</t>
  </si>
  <si>
    <t>Aim for the enemy with the highest HP and deal 2500 damage to it.</t>
  </si>
  <si>
    <t>Riot Control</t>
  </si>
  <si>
    <t>Enhance riot control capabilities of all SGs in the echelon, increasing their armor by 15% for 20 seconds.</t>
  </si>
  <si>
    <t>Taunt Target</t>
  </si>
  <si>
    <t>At the start of the battle, deploy a target dummy with 400 HP to attract enemy fire.</t>
  </si>
  <si>
    <t>Bombard Command</t>
  </si>
  <si>
    <t>Fire a mortar shell that deals up to 200 damage to enemy units within a 2.5-unit radius.</t>
  </si>
  <si>
    <t>Fatal Air Raid</t>
  </si>
  <si>
    <t>Launch an airstrike at the start of the battle, dealing 80 damage to all enemy units.</t>
  </si>
  <si>
    <t>Combat Efficiency</t>
  </si>
  <si>
    <t>Increase the echelon's damage and rate of fire by 5% for 20 seconds (does not stack).</t>
  </si>
  <si>
    <t>Unlimited Rage</t>
  </si>
  <si>
    <t>Increase the echelon's accuracy and crit rate by 10% for 20 seconds (does not stack).</t>
  </si>
  <si>
    <t>Night-Time Fury</t>
  </si>
  <si>
    <t>During night battles, increase allies' crit rate and crit damage by 30%.</t>
  </si>
  <si>
    <t>Melee Strike</t>
  </si>
  <si>
    <t>Increase damage dealt to enemy units within a 3-unit distance by 20%.</t>
  </si>
  <si>
    <t>Assault Inertia</t>
  </si>
  <si>
    <t>Increase allies's damage and evasion by 3% every 4 seconds, stacking up to 10 times.</t>
  </si>
  <si>
    <t>Prompt Preparation</t>
  </si>
  <si>
    <t>The duration of all allies' initial cooldown is reduced by 30%.</t>
  </si>
  <si>
    <t>Deflector Shield</t>
  </si>
  <si>
    <t>The unit with the highest HP gains a shield that will deflect 9999 points of damage, lasting 8 seconds.</t>
  </si>
  <si>
    <t>Armor Loss</t>
  </si>
  <si>
    <t>Allies' armor is reduced by 90% in this battle.</t>
  </si>
  <si>
    <t>Fire Suppression</t>
  </si>
  <si>
    <t>The ally with the highest damage output is dazed for 5 seconds every 10 seconds.</t>
  </si>
  <si>
    <t>Incendiary Strike</t>
  </si>
  <si>
    <t>At the start of the battle, the echelon's front row will be engulfed in flame, taking 50 points of damage per Dummy-Link every 10 frames, lasting 10 seconds.</t>
  </si>
  <si>
    <t>Sluggish Cortex</t>
  </si>
  <si>
    <t>The duration of allies' initial cooldown is increased by 30%.</t>
  </si>
  <si>
    <t>Compromised Leader</t>
  </si>
  <si>
    <t>The echelon leader's damage, accuracy, evasion, armor, and crit rate are reduced by 90%.</t>
  </si>
  <si>
    <t>Stagnation</t>
  </si>
  <si>
    <t>The echelon's move speed is reduced by 50%.</t>
  </si>
  <si>
    <t>Stuck Fast</t>
  </si>
  <si>
    <t>The echelon's evasion is reduced by 90% in this battle.</t>
  </si>
  <si>
    <t>Phantom Traces</t>
  </si>
  <si>
    <t>Significantly increase enemies' evasion by 500%.</t>
  </si>
  <si>
    <t>No Slacking</t>
  </si>
  <si>
    <t>Deal 999 points of damage to the ally with the lowest damage output every 15 seconds.</t>
  </si>
  <si>
    <t>Iron Meat Shield</t>
  </si>
  <si>
    <t>The ally with the highest HP gains an additional 50% reduction in damage intake.</t>
  </si>
  <si>
    <t>The Damned</t>
  </si>
  <si>
    <t>Weaken a random T-Doll every 15 seconds, reducing her stats (damage, rate of fire, accuracy, evasion, armor) by 50% for 5 seconds.</t>
  </si>
  <si>
    <t>Charred Earth Stratagem</t>
  </si>
  <si>
    <t>Throw an incendiary object at the enemy unit with the highest HP every 6 seconds, dealing 100 points of damage per 0.33 seconds in an area of 3*3, lasting 15 seconds.</t>
  </si>
  <si>
    <t>Stand Your Ground</t>
  </si>
  <si>
    <t>Increase the evasion and armor of allies on the front row by 10%, stacking up to 10 times.</t>
  </si>
  <si>
    <t>Last-Ditch Struggle</t>
  </si>
  <si>
    <t>Generate a shield with a value that equals 10% of the enemy's lost HP every 15 seconds. The shield lasts for 6 seconds.</t>
  </si>
  <si>
    <t>Target of Steel</t>
  </si>
  <si>
    <t>Summon a fully Dummy-Linked target every 10 seconds. Each Dummy of the target has 1000HP.</t>
  </si>
  <si>
    <t>Hammer and Anvil</t>
  </si>
  <si>
    <t>Generate a group of enemies in front of the echelon every 6 seconds.</t>
  </si>
  <si>
    <t>Undaunted Morale</t>
  </si>
  <si>
    <t>Reduce the duration of all allies' skill cooldown by 20% every time a skill is activated.</t>
  </si>
  <si>
    <t>Maximum Fire</t>
  </si>
  <si>
    <t>The echelon's rate of fire is increased by 100%.</t>
  </si>
  <si>
    <t>Emergency Shield</t>
  </si>
  <si>
    <t>Generate a shield with a value that equals 30% of allies' lost HP every 10 seconds. The shield lasts for 6 seconds.</t>
  </si>
  <si>
    <t>Random Strike</t>
  </si>
  <si>
    <t>Weaken a random enemy unit every 10 seconds, reducing their stats (damage, rate of fire, accuracy, evasion, armor) by 50%.</t>
  </si>
  <si>
    <t>Weapon Malfunction</t>
  </si>
  <si>
    <t>The echelon's rate of fire is reduced by 50%.</t>
  </si>
  <si>
    <t>Prime Leadership</t>
  </si>
  <si>
    <t>The echelon leader's damage, accuracy, evasion, armor, and crit rate are increased by 50%.</t>
  </si>
  <si>
    <t>Focused Shot</t>
  </si>
  <si>
    <t>Reduce allies' rate of fire by 20% while increasing their damage and accuracy by 20%.</t>
  </si>
  <si>
    <t>Generate a shield with a value that equals 30% of the echelon's lost HP every 10 seconds. The shield lasts for 6 seconds.</t>
  </si>
  <si>
    <t>Handgun Mastery</t>
  </si>
  <si>
    <t>Reduce the duration of friendly HG T-Dolls' skill cooldown by 20%.</t>
  </si>
  <si>
    <t>Submachine Gun Mastery</t>
  </si>
  <si>
    <t>Increase friendly SMG T-Dolls' accuracy and evasion by 100%.</t>
  </si>
  <si>
    <t>Rifle Mastery</t>
  </si>
  <si>
    <t>Increase friendly RF T-Dolls' rate of fire and crit rate by 20%.</t>
  </si>
  <si>
    <t>Assault Rifle Mastery</t>
  </si>
  <si>
    <t>Increase friendly AR T-Dolls' damage and accuracy by 20% and 100% respectively.</t>
  </si>
  <si>
    <t>Shotgun Mastery</t>
  </si>
  <si>
    <t>Increase friendly SG T-Dolls' armor by 20% and reduce their damage intake by 20%.</t>
  </si>
  <si>
    <t>Machine Gun Mastery</t>
  </si>
  <si>
    <t>Increase friendly MG T-Dolls' ammo box capacity by 15.</t>
  </si>
  <si>
    <t>The Blessed</t>
  </si>
  <si>
    <t>At the start of the battle, each ally gains a shield with a value that equals 20% of their maximum HP, lasting 10 seconds.</t>
  </si>
  <si>
    <t>Assault Command</t>
  </si>
  <si>
    <t>The echelon's rate of fire is increased by 50%.</t>
  </si>
  <si>
    <t>Rapid Assault</t>
  </si>
  <si>
    <t>The duration of all allies' initial cooldown is reduced by 50%.</t>
  </si>
  <si>
    <t>Rampage Command</t>
  </si>
  <si>
    <t>Crit damage is increased by 50%.</t>
  </si>
  <si>
    <t>All-Out Offensive</t>
  </si>
  <si>
    <t>The echelon's damage, rate of fire, accuracy, and evasion are increased by 30% with each different gun type.</t>
  </si>
  <si>
    <t>Void Command</t>
  </si>
  <si>
    <t>Erase all buffs on the echelon every 8 seconds.</t>
  </si>
  <si>
    <t>Critical Suppression</t>
  </si>
  <si>
    <t>Crit rate is reduced by 100%.</t>
  </si>
  <si>
    <t>Signal Failure</t>
  </si>
  <si>
    <t>Increase the duration of a skill cooldown by 100% every time a skill is used.</t>
  </si>
  <si>
    <t>力不从心</t>
  </si>
  <si>
    <t>我方全体暴击率上升50%，但暴击伤害下降80%</t>
  </si>
  <si>
    <t>击搏挽裂</t>
  </si>
  <si>
    <t>我方全体伤害下降50%，同时赋予敌方全体100%易伤</t>
  </si>
  <si>
    <t>冰消瓦解</t>
  </si>
  <si>
    <t>敌方全体穿甲值增加200点</t>
  </si>
  <si>
    <t>同舟之殇</t>
  </si>
  <si>
    <t>我方除了队长以外的单位伤害下降20%</t>
  </si>
  <si>
    <t>燃烧打击Ⅱ</t>
  </si>
  <si>
    <t>开场在我方第二排生成燃烧区域，每0.33秒造成50点编制伤害，持续10秒</t>
  </si>
  <si>
    <t>巨人痛击</t>
  </si>
  <si>
    <t>每隔10秒对敌我双方血量最高的单位造成10%最大生命值的伤害</t>
  </si>
  <si>
    <t>坚守阵地</t>
  </si>
  <si>
    <t>每隔3秒提升我方前排人形回避和护甲6%，最多10层
&lt;color=#CF8000&gt;效果持续1回合&lt;/color&gt;</t>
  </si>
  <si>
    <t>迅速整备</t>
  </si>
  <si>
    <t>我方前置冷却时间缩减50%
&lt;color=#CF8000&gt;效果持续1回合&lt;/color&gt;</t>
  </si>
  <si>
    <t>焦土战略</t>
  </si>
  <si>
    <t>每隔6秒时间向敌人血量最高单位投掷燃烧物，每0.33秒造成60点伤害，持续15秒，范围3*3
&lt;color=#CF8000&gt;效果持续1回合&lt;/color&gt;</t>
  </si>
  <si>
    <t>应急护盾</t>
  </si>
  <si>
    <t>每隔10秒时间恢复我方已损失血量30%的护盾持续6秒
&lt;color=#CF8000&gt;效果持续1回合&lt;/color&gt;</t>
  </si>
  <si>
    <t>随机打击</t>
  </si>
  <si>
    <t>每隔10秒随机弱化一个敌方单位，大幅降低该单位属性（伤害，射速，命中，闪避，护甲）降低50%
&lt;color=#CF8000&gt;效果持续1回合&lt;/color&gt;</t>
  </si>
  <si>
    <t>偏转力场</t>
  </si>
  <si>
    <t>我方血量最高单位开场获得9999点偏转力场，持续5秒
&lt;color=#CF8000&gt;效果持续1回合&lt;/color&gt;</t>
  </si>
  <si>
    <t>突击惯性</t>
  </si>
  <si>
    <t>该场战斗中提升我方全体伤害和回避每4秒提升3%，最多叠加10层
&lt;color=#CF8000&gt;效果持续1回合&lt;/color&gt;</t>
  </si>
  <si>
    <t>铁甲肉盾</t>
  </si>
  <si>
    <t>我方血量最高的单位额外获得30%减伤
&lt;color=#CF8000&gt;效果持续1回合&lt;/color&gt;</t>
  </si>
  <si>
    <t>突击号令</t>
  </si>
  <si>
    <t>我方全体射速提升30%
&lt;color=#CF8000&gt;效果持续1回合&lt;/color&gt;</t>
  </si>
  <si>
    <t>狙击支援</t>
  </si>
  <si>
    <t>开场后每6秒触发一次[狙击]，对威胁最高的敌人造成18000无视护甲的伤害</t>
  </si>
  <si>
    <t>狙击强化</t>
  </si>
  <si>
    <t>(狙击)造成的伤害提高50%</t>
  </si>
  <si>
    <t>定点清除</t>
  </si>
  <si>
    <t>(狙击)对精英单位造成的伤害提高100%</t>
  </si>
  <si>
    <t>连携炮击</t>
  </si>
  <si>
    <t>(狙击)时额外触发一次[炮击]，对小范围内的敌人造成6000无视护甲的编制伤害，内置CD3秒</t>
  </si>
  <si>
    <t>心眼</t>
  </si>
  <si>
    <t>(狙击)时为所有人形赋予[精密]</t>
  </si>
  <si>
    <t>穿甲弹头</t>
  </si>
  <si>
    <t>(狙击)时为目标赋予[破甲]</t>
  </si>
  <si>
    <t>炮击支援</t>
  </si>
  <si>
    <t>开场后每6秒触发一次[炮击]，对小范围内的敌人造成6000无视护甲的编制伤害</t>
  </si>
  <si>
    <t>炮击强化</t>
  </si>
  <si>
    <t>(炮击)造成的伤害提高50%</t>
  </si>
  <si>
    <t>集束炮击</t>
  </si>
  <si>
    <t>(炮击)对单编制敌人造成的伤害提高100%</t>
  </si>
  <si>
    <t>连携空袭</t>
  </si>
  <si>
    <t>(炮击)时额外触发一次[空袭]，对全部敌人造成2000无视护甲的编制伤害，内置CD3秒</t>
  </si>
  <si>
    <t>英勇</t>
  </si>
  <si>
    <t>(炮击)时为所有人形赋予[专注]</t>
  </si>
  <si>
    <t>冲击弹药</t>
  </si>
  <si>
    <t>(炮击)时为目标赋予[震荡]</t>
  </si>
  <si>
    <t>空袭支援</t>
  </si>
  <si>
    <t>开场后每6秒触发一次[空袭]，对全部敌人造成2000无视护甲的编制伤害</t>
  </si>
  <si>
    <t>空袭强化</t>
  </si>
  <si>
    <t>(空袭)造成的伤害提高50%</t>
  </si>
  <si>
    <t>地毯轰炸</t>
  </si>
  <si>
    <t>(空袭)对非精英敌人造成的伤害提高100%</t>
  </si>
  <si>
    <t>连携狙击</t>
  </si>
  <si>
    <t>(空袭)时额外触发一次[狙击]，对威胁最高的敌人造成18000无视护甲的伤害，内置CD3秒</t>
  </si>
  <si>
    <t>嗜血</t>
  </si>
  <si>
    <t>(空袭)时为所有人形赋予[会心]</t>
  </si>
  <si>
    <t>天降火海</t>
  </si>
  <si>
    <t>(空袭)时为目标赋予[点燃]</t>
  </si>
  <si>
    <t>破甲</t>
  </si>
  <si>
    <t>战斗开始时为所有敌人赋予1层[破甲]，随后每6秒为生命最高和护甲最高的敌人赋予1层[破甲]</t>
  </si>
  <si>
    <t>易碎</t>
  </si>
  <si>
    <t>(破甲)最多可叠加3层</t>
  </si>
  <si>
    <t>破甲强化</t>
  </si>
  <si>
    <t>(破甲)的持续时间提高至12秒</t>
  </si>
  <si>
    <t>震荡</t>
  </si>
  <si>
    <t>战斗开始时为所有敌人赋予1层[震荡]，随后每6秒为伤害最高和最远的敌人赋予1层[震荡]</t>
  </si>
  <si>
    <t>易爆</t>
  </si>
  <si>
    <t>(震荡)最多可叠加3层</t>
  </si>
  <si>
    <t>震荡强化</t>
  </si>
  <si>
    <t>(震荡)的持续时间提高至12秒</t>
  </si>
  <si>
    <t>点燃</t>
  </si>
  <si>
    <t>战斗开始时为所有敌人赋予1层[点燃]，随后每6秒为生命最高和最低的敌人赋予1层[点燃]</t>
  </si>
  <si>
    <t>易燃</t>
  </si>
  <si>
    <t>(点燃)最多可叠加3层</t>
  </si>
  <si>
    <t>点燃强化</t>
  </si>
  <si>
    <t>(点燃)的持续时间提高至12秒</t>
  </si>
  <si>
    <t>专注</t>
  </si>
  <si>
    <t>战斗开始后每6秒为场上输出最高和生命最低的人形赋予1层[专注]</t>
  </si>
  <si>
    <t>专注强化</t>
  </si>
  <si>
    <t>(专注)的效果提高至100%</t>
  </si>
  <si>
    <t>明镜止水</t>
  </si>
  <si>
    <t>(专注)可叠加3层</t>
  </si>
  <si>
    <t>速射</t>
  </si>
  <si>
    <t>战斗开始后每6秒为场上输出最高和生命最低的人形赋予1层[速射]</t>
  </si>
  <si>
    <t>速射强化</t>
  </si>
  <si>
    <t>(速射)的效果提高至100%</t>
  </si>
  <si>
    <t>限制解除</t>
  </si>
  <si>
    <t>赋予(速射)后若目标拥有2层(速射)，则额外赋予1层[专注]</t>
  </si>
  <si>
    <t>精密</t>
  </si>
  <si>
    <t>战斗开始后每6秒为场上输出最高和生命最低的人形赋予1层[精密]</t>
  </si>
  <si>
    <t>精密强化</t>
  </si>
  <si>
    <t>(精密)的效果提高至50%</t>
  </si>
  <si>
    <t>直死魔眼</t>
  </si>
  <si>
    <t>赋予(精密)后若目标拥有2层(精密)，则额外赋予1层[会心]</t>
  </si>
  <si>
    <t>会心</t>
  </si>
  <si>
    <t>战斗开始后每6秒为场上输出最高和生命最低的人形赋予1层[会心]</t>
  </si>
  <si>
    <t>会心强化</t>
  </si>
  <si>
    <t>(会心)的效果提高至50%</t>
  </si>
  <si>
    <t>自动校准</t>
  </si>
  <si>
    <t>赋予(会心)后若目标不拥有(精密)，则额外赋予1层[精密]</t>
  </si>
  <si>
    <t>强化</t>
  </si>
  <si>
    <t>战斗开始后每6秒为场上输出最高和生命最低的人形赋予1层[强化]</t>
  </si>
  <si>
    <t>强化增幅</t>
  </si>
  <si>
    <t>(强化)的效果提高至40%</t>
  </si>
  <si>
    <t>耐性</t>
  </si>
  <si>
    <t>战斗开始后每6秒为生命最高和护甲的人形赋予1层[耐性]</t>
  </si>
  <si>
    <t>耐性增幅</t>
  </si>
  <si>
    <t>(耐性)的效果提高至50%</t>
  </si>
  <si>
    <t>突击专注</t>
  </si>
  <si>
    <t>若场上AR人形数量&gt;=2，第3秒起每6秒为所有AR人形赋予1层[专注]</t>
  </si>
  <si>
    <t>突击精密</t>
  </si>
  <si>
    <t>若场上AR人形数量&gt;=2，第3秒起每6秒为所有AR人形赋予1层[精密]</t>
  </si>
  <si>
    <t>突击强化</t>
  </si>
  <si>
    <t>若场上AR人形数量&gt;=2，第3秒起每6秒为所有AR人形赋予1层[强化]</t>
  </si>
  <si>
    <t>炮击小队</t>
  </si>
  <si>
    <t>若场上AR人形数量&gt;=2，第3秒起每6秒触发一次[炮击]，对小范围内的敌人造成6000无视护甲的编制伤害</t>
  </si>
  <si>
    <t>冲锋会心</t>
  </si>
  <si>
    <t>若场上SMG人形数量&gt;=2，第3秒起每6秒为所有人形赋予1层[会心]</t>
  </si>
  <si>
    <t>冲锋强化</t>
  </si>
  <si>
    <t>若场上SMG人形数量&gt;=2，第3秒起每6秒为所有人形赋予1层[强化]</t>
  </si>
  <si>
    <t>冲锋耐性</t>
  </si>
  <si>
    <t>若场上SMG人形数量&gt;=2，第3秒起每6秒为所有人形赋予1层[耐性]</t>
  </si>
  <si>
    <t>燃烧手雷</t>
  </si>
  <si>
    <t>若场上SMG人形数量&gt;=1，第3秒起每6秒为3个随机敌人赋予1层[点燃]</t>
  </si>
  <si>
    <t>步枪速射</t>
  </si>
  <si>
    <t>若场上RF人形数量&gt;=2，第3秒起每6秒为所有RF人形赋予1层[速射]</t>
  </si>
  <si>
    <t>步枪会心</t>
  </si>
  <si>
    <t>若场上RF人形数量&gt;=2，第3秒起每6秒为所有RF人形赋予1层[会心]</t>
  </si>
  <si>
    <t>步枪强化</t>
  </si>
  <si>
    <t>若场上RF人形数量&gt;=2，第3秒起每6秒为所有RF人形赋予1层[强化]</t>
  </si>
  <si>
    <t>狙击小队</t>
  </si>
  <si>
    <t>若场上RF人形数量&gt;=2，第3秒起每6秒触发一次[狙击]，对威胁最高的敌人造成18000无视护甲的伤害</t>
  </si>
  <si>
    <t>手枪专注</t>
  </si>
  <si>
    <t>若场上HG人形数量&gt;=2，第3秒起每6秒为所有HG人形赋予1层[专注]</t>
  </si>
  <si>
    <t>手枪速射</t>
  </si>
  <si>
    <t>若场上HG人形数量&gt;=2，第3秒起每6秒为所有HG人形赋予1层[速射]</t>
  </si>
  <si>
    <t>手枪精密</t>
  </si>
  <si>
    <t>若场上HG人形数量&gt;=2，第3秒起每6秒为所有HG人形赋予1层[精密]</t>
  </si>
  <si>
    <t>手枪会心</t>
  </si>
  <si>
    <t>若场上HG人形数量&gt;=2，第3秒起每6秒为所有HG人形赋予1层[会心]</t>
  </si>
  <si>
    <t>机枪精密</t>
  </si>
  <si>
    <t>若场上MG人形数量&gt;=2，第3秒起每6秒为所有MG人形赋予1层[精密]</t>
  </si>
  <si>
    <t>机枪会心</t>
  </si>
  <si>
    <t>若场上MG人形数量&gt;=2，第3秒起每6秒为所有MG人形赋予1层[会心]</t>
  </si>
  <si>
    <t>机枪强化</t>
  </si>
  <si>
    <t>若场上MG人形数量&gt;=2，第3秒起每6秒为所有MG人形赋予1层[强化]</t>
  </si>
  <si>
    <t>空袭小队</t>
  </si>
  <si>
    <t>若场上MG人形数量&gt;=2，第3秒起每6秒触发一次[空袭]，对全部敌人造成2000无视护甲的编制伤害</t>
  </si>
  <si>
    <t>霰弹专注</t>
  </si>
  <si>
    <t>若场上SG人形数量&gt;=2，第3秒起每6秒为所有人形赋予1层[专注]</t>
  </si>
  <si>
    <t>霰弹耐性</t>
  </si>
  <si>
    <t>若场上SG人形数量&gt;=2，第3秒起每6秒为所有人形赋予1层[耐性]</t>
  </si>
  <si>
    <t>破甲打击</t>
  </si>
  <si>
    <t>若场上SG人形数量&gt;=1，第3秒起每6秒为3个随机敌人赋予1层[破甲]</t>
  </si>
  <si>
    <t>震荡打击</t>
  </si>
  <si>
    <t>若场上SG人形数量&gt;=1，第3秒起每6秒为3个随机敌人赋予1层[震荡]</t>
  </si>
  <si>
    <t>枪弹狂热</t>
  </si>
  <si>
    <t>战斗效率技能效果及持续时间大幅提高</t>
  </si>
  <si>
    <t>英雄作成</t>
  </si>
  <si>
    <t>战斗效率持续期间每6秒赋予全队人形1层[专注]</t>
  </si>
  <si>
    <t>无羁狂怒</t>
  </si>
  <si>
    <t>怒无限强技能效果及持续时间大幅提高</t>
  </si>
  <si>
    <t>嗜血狂怒</t>
  </si>
  <si>
    <t>怒无限强持续期间每6秒赋予全队人形1层[会心]</t>
  </si>
  <si>
    <t>机械壁垒</t>
  </si>
  <si>
    <t>防暴强化技能效果及持续时间大幅提高</t>
  </si>
  <si>
    <t>多面防御</t>
  </si>
  <si>
    <t>防暴强化持续期间每6秒赋予SG人形1层[耐性]</t>
  </si>
  <si>
    <t>偏折护盾</t>
  </si>
  <si>
    <t>能量护盾效果提高，护盾期间额外获得10%伤害减免</t>
  </si>
  <si>
    <t>涌能护盾</t>
  </si>
  <si>
    <t>能量护盾持续期间每5秒提高身上有护盾的人形20%回避，持续至护盾消失，给身上没有护盾的人形提供5%最大生命的护盾</t>
  </si>
  <si>
    <t>静滞力场</t>
  </si>
  <si>
    <t>临时装甲同时赋予前排人形10%伤害减免，持续60秒</t>
  </si>
  <si>
    <t>保护之壳</t>
  </si>
  <si>
    <t>临时装甲同时赋予前排人形20%最大生命的护盾</t>
  </si>
  <si>
    <t>协同嘲讽</t>
  </si>
  <si>
    <t>嘲讽靶机可额外召唤一个靶机，靶机获得30%免伤</t>
  </si>
  <si>
    <t>意外惊喜</t>
  </si>
  <si>
    <t>靶机死亡时爆炸触发[炮击]，对小范围内的敌人造成6000无视护甲的编制伤害</t>
  </si>
  <si>
    <t>狙击引导</t>
  </si>
  <si>
    <t>(狙击)的发动频率提高</t>
  </si>
  <si>
    <t>雪上加霜</t>
  </si>
  <si>
    <t>(狙击)对被(破甲)的目标造成的伤害提高50%</t>
  </si>
  <si>
    <t>炮击引导</t>
  </si>
  <si>
    <t>(炮击)的发动频率提高</t>
  </si>
  <si>
    <t>落井下石</t>
  </si>
  <si>
    <t>(炮击)对被(震荡)的目标造成的伤害提高50%</t>
  </si>
  <si>
    <t>空袭引导</t>
  </si>
  <si>
    <t>(空袭)的发动频率提高</t>
  </si>
  <si>
    <t>趁火打劫</t>
  </si>
  <si>
    <t>(空袭)对被(点燃)的目标造成的伤害提高50%</t>
  </si>
  <si>
    <t>火力强化</t>
  </si>
  <si>
    <t>提升全队伤害15%。</t>
  </si>
  <si>
    <t>火力强化+</t>
  </si>
  <si>
    <t>提升全队伤害30%。</t>
  </si>
  <si>
    <t>射速强化</t>
  </si>
  <si>
    <t>提升全队射速15%。</t>
  </si>
  <si>
    <t>射速强化+</t>
  </si>
  <si>
    <t>提升全队射速30%。</t>
  </si>
  <si>
    <t>穿甲强化</t>
  </si>
  <si>
    <t>增加全队穿甲100点。</t>
  </si>
  <si>
    <t>穿甲强化+</t>
  </si>
  <si>
    <t>增加全队穿甲200点。</t>
  </si>
  <si>
    <t>护盾强化</t>
  </si>
  <si>
    <t>增加全队护盾100点。</t>
  </si>
  <si>
    <t>护盾强化+</t>
  </si>
  <si>
    <t>增加全队护盾200点。</t>
  </si>
  <si>
    <t>暴伤强化</t>
  </si>
  <si>
    <t>提升全队暴击伤害25%。</t>
  </si>
  <si>
    <t>暴伤强化+</t>
  </si>
  <si>
    <t>提升全队暴击伤害50%。</t>
  </si>
  <si>
    <t>回避强化</t>
  </si>
  <si>
    <t>提升全队回避25%。</t>
  </si>
  <si>
    <t>回避强化+</t>
  </si>
  <si>
    <t>提升全队回避50%。</t>
  </si>
  <si>
    <t>夜视强化</t>
  </si>
  <si>
    <t>提升全队夜视性能25%。</t>
  </si>
  <si>
    <t>夜视强化+</t>
  </si>
  <si>
    <t>提升全队夜视性能50%。</t>
  </si>
  <si>
    <t>命中强化</t>
  </si>
  <si>
    <t>提升全队命中100%。</t>
  </si>
  <si>
    <t>命中强化+</t>
  </si>
  <si>
    <t>提升全队命中200%。</t>
  </si>
  <si>
    <t>移速强化</t>
  </si>
  <si>
    <t>提升全队移速100%。</t>
  </si>
  <si>
    <t>移速强化+</t>
  </si>
  <si>
    <t>提升全队移速200%。</t>
  </si>
  <si>
    <t>火力降低</t>
  </si>
  <si>
    <t>降低敌方全体伤害15%。</t>
  </si>
  <si>
    <t>火力降低+</t>
  </si>
  <si>
    <t>降低敌方全体伤害30%。</t>
  </si>
  <si>
    <t>回避降低</t>
  </si>
  <si>
    <t>降低敌方全体回避50%。</t>
  </si>
  <si>
    <t>回避降低+</t>
  </si>
  <si>
    <t>降低敌方全体回避70%。</t>
  </si>
  <si>
    <t>命中降低</t>
  </si>
  <si>
    <t>降低敌方全体命中15%。</t>
  </si>
  <si>
    <t>命中降低+</t>
  </si>
  <si>
    <t>降低敌方全体命中30%。</t>
  </si>
  <si>
    <t>失力眩晕</t>
  </si>
  <si>
    <t>战斗中每隔10秒眩晕敌人2秒。</t>
  </si>
  <si>
    <t>火力点射</t>
  </si>
  <si>
    <t>战斗中每隔8秒对敌方血量最低单位造成10000点伤害。</t>
  </si>
  <si>
    <t>护盾破解</t>
  </si>
  <si>
    <t>战斗中每隔10秒清空一次敌人身上护盾。</t>
  </si>
  <si>
    <t>协同挑衅</t>
  </si>
  <si>
    <t>战斗开始时召唤1组5编，每编1000血的靶机。</t>
  </si>
  <si>
    <t>麻痹之花</t>
  </si>
  <si>
    <t>战斗开始时麻痹敌人4秒。</t>
  </si>
  <si>
    <t>穿甲之力</t>
  </si>
  <si>
    <t>我方攻击穿透护甲额外造成一次200点伤害。</t>
  </si>
  <si>
    <t>穿甲法球[*]</t>
  </si>
  <si>
    <t>急速技能</t>
  </si>
  <si>
    <t>我方每次使用技能后下次技能冷却减少20%。</t>
  </si>
  <si>
    <t>护盾暴击</t>
  </si>
  <si>
    <t>我方拥有护盾的单位暴击增加100%。</t>
  </si>
  <si>
    <t>护盾暴击-1</t>
  </si>
  <si>
    <t>我方拥有护盾的单位暴击增加100%-1。</t>
  </si>
  <si>
    <t>护盾暴击-2</t>
  </si>
  <si>
    <t>我方拥有护盾的单位暴击增加100%-2。</t>
  </si>
  <si>
    <t>Enable?</t>
  </si>
  <si>
    <t>N</t>
  </si>
  <si>
    <t>powerless</t>
  </si>
  <si>
    <t>fight</t>
  </si>
  <si>
    <t>dissolve</t>
  </si>
  <si>
    <t>In the same boat</t>
  </si>
  <si>
    <t>Burning Strike II</t>
  </si>
  <si>
    <t>giant whack</t>
  </si>
  <si>
    <t>Stand your ground</t>
  </si>
  <si>
    <t>Prepare quickly</t>
  </si>
  <si>
    <t>scorched earth strategy</t>
  </si>
  <si>
    <t>emergency shield</t>
  </si>
  <si>
    <t>random strike</t>
  </si>
  <si>
    <t>deflection field</t>
  </si>
  <si>
    <t>Assault inertia</t>
  </si>
  <si>
    <t>Armored Shield</t>
  </si>
  <si>
    <t>Assault order</t>
  </si>
  <si>
    <t>sniper support</t>
  </si>
  <si>
    <t>Enhanced sniper</t>
  </si>
  <si>
    <t>Spot cleanup</t>
  </si>
  <si>
    <t>Continuous bombardment</t>
  </si>
  <si>
    <t>mind</t>
  </si>
  <si>
    <t>Armor-piercing warhead</t>
  </si>
  <si>
    <t>artillery support</t>
  </si>
  <si>
    <t>Shelling reinforcement</t>
  </si>
  <si>
    <t>Cluster bombardment</t>
  </si>
  <si>
    <t>Continuing air strikes</t>
  </si>
  <si>
    <t>heroic</t>
  </si>
  <si>
    <t>Shock Ammunition</t>
  </si>
  <si>
    <t>air strike support</t>
  </si>
  <si>
    <t>Air Raid Enhancement</t>
  </si>
  <si>
    <t>carpet bombing</t>
  </si>
  <si>
    <t>Combined sniper</t>
  </si>
  <si>
    <t>bloodthirsty</t>
  </si>
  <si>
    <t>fire from heaven</t>
  </si>
  <si>
    <t>break armor</t>
  </si>
  <si>
    <t>fragile</t>
  </si>
  <si>
    <t>Armor Penetration Enhancement</t>
  </si>
  <si>
    <t>shock</t>
  </si>
  <si>
    <t>Explosive</t>
  </si>
  <si>
    <t>Concussion Strengthening</t>
  </si>
  <si>
    <t>ignite</t>
  </si>
  <si>
    <t>flammable</t>
  </si>
  <si>
    <t>Ignition Enhanced</t>
  </si>
  <si>
    <t>concentrate on</t>
  </si>
  <si>
    <t>Focus on strengthening</t>
  </si>
  <si>
    <t>mirror stop water</t>
  </si>
  <si>
    <t>rapid fire</t>
  </si>
  <si>
    <t>Rapid Fire Enhancement</t>
  </si>
  <si>
    <t>Restrictions lifted</t>
  </si>
  <si>
    <t>precision</t>
  </si>
  <si>
    <t>Precision strengthening</t>
  </si>
  <si>
    <t>Devil's eye</t>
  </si>
  <si>
    <t>knowing</t>
  </si>
  <si>
    <t>Knowing how to strengthen</t>
  </si>
  <si>
    <t>automatic calibration</t>
  </si>
  <si>
    <t>strengthen</t>
  </si>
  <si>
    <t>Enhanced Amplification</t>
  </si>
  <si>
    <t>patience</t>
  </si>
  <si>
    <t>Resistance Boost</t>
  </si>
  <si>
    <t>Assault focus</t>
  </si>
  <si>
    <t>Assault Precision</t>
  </si>
  <si>
    <t>Assault Enhancement</t>
  </si>
  <si>
    <t>artillery squad</t>
  </si>
  <si>
    <t>Charge knowingly</t>
  </si>
  <si>
    <t>Charge Enhancement</t>
  </si>
  <si>
    <t>charge resistance</t>
  </si>
  <si>
    <t>incendiary grenade</t>
  </si>
  <si>
    <t>rapid fire rifle</t>
  </si>
  <si>
    <t>Rifle knowing</t>
  </si>
  <si>
    <t>Rifle Enhancement</t>
  </si>
  <si>
    <t>sniper team</t>
  </si>
  <si>
    <t>pistol focus</t>
  </si>
  <si>
    <t>pistol rapid fire</t>
  </si>
  <si>
    <t>pistol precision</t>
  </si>
  <si>
    <t>pistol knowing</t>
  </si>
  <si>
    <t>machine gun precision</t>
  </si>
  <si>
    <t>machine gun knowing</t>
  </si>
  <si>
    <t>Machine gun enhancement</t>
  </si>
  <si>
    <t>air strike team</t>
  </si>
  <si>
    <t>shotgun focus</t>
  </si>
  <si>
    <t>Shot Resistance</t>
  </si>
  <si>
    <t>Penetration Strike</t>
  </si>
  <si>
    <t>concussion blow</t>
  </si>
  <si>
    <t>bullet mania</t>
  </si>
  <si>
    <t>hero made</t>
  </si>
  <si>
    <t>Unbridled Fury</t>
  </si>
  <si>
    <t>bloodthirsty rage</t>
  </si>
  <si>
    <t>mechanical barrier</t>
  </si>
  <si>
    <t>multifaceted defense</t>
  </si>
  <si>
    <t>deflection shield</t>
  </si>
  <si>
    <t>Surge Shield</t>
  </si>
  <si>
    <t>stasis field</t>
  </si>
  <si>
    <t>protective shell</t>
  </si>
  <si>
    <t>synergistic taunt</t>
  </si>
  <si>
    <t>unexpected surprise</t>
  </si>
  <si>
    <t>sniper guide</t>
  </si>
  <si>
    <t>worse</t>
  </si>
  <si>
    <t>bombardment guidance</t>
  </si>
  <si>
    <t>Add insult to injury</t>
  </si>
  <si>
    <t>air strike guidance</t>
  </si>
  <si>
    <t>take advantage of the fire</t>
  </si>
  <si>
    <t>firepower enhancement</t>
  </si>
  <si>
    <t>Firepower Enhancement+</t>
  </si>
  <si>
    <t>Fire Rate Enhancement</t>
  </si>
  <si>
    <t>Fire rate enhancement+</t>
  </si>
  <si>
    <t>Armor Penetration Enhancement+</t>
  </si>
  <si>
    <t>Shield Enhancement</t>
  </si>
  <si>
    <t>Shield Enhancement+</t>
  </si>
  <si>
    <t>Enhanced damage</t>
  </si>
  <si>
    <t>Critical damage enhancement+</t>
  </si>
  <si>
    <t>avoidance reinforcement</t>
  </si>
  <si>
    <t>Avoid Enhancement+</t>
  </si>
  <si>
    <t>Enhanced night vision</t>
  </si>
  <si>
    <t>Night Vision Enhanced+</t>
  </si>
  <si>
    <t>hit boost</t>
  </si>
  <si>
    <t>Hit Boost+</t>
  </si>
  <si>
    <t>Movement Speed Enhancement</t>
  </si>
  <si>
    <t>Movement speed enhancement+</t>
  </si>
  <si>
    <t>Reduced firepower</t>
  </si>
  <si>
    <t>firepower reduction+</t>
  </si>
  <si>
    <t>Reduced avoidance</t>
  </si>
  <si>
    <t>Evasion Reduction+</t>
  </si>
  <si>
    <t>hit reduction</t>
  </si>
  <si>
    <t>hit reduction+</t>
  </si>
  <si>
    <t>weakness dizziness</t>
  </si>
  <si>
    <t>burst fire</t>
  </si>
  <si>
    <t>shield break</t>
  </si>
  <si>
    <t>coordinated provocation</t>
  </si>
  <si>
    <t>paralysis flower</t>
  </si>
  <si>
    <t>armor piercing power</t>
  </si>
  <si>
    <t>Armor-Piercing Orb[*]</t>
  </si>
  <si>
    <t>haste skill</t>
  </si>
  <si>
    <t>Shield Crit</t>
  </si>
  <si>
    <t>Shield crit -1</t>
  </si>
  <si>
    <t>Shield crit -2</t>
  </si>
  <si>
    <t>The crit rate of all allies increases by 50%, but the crit damage decreases by 80%</t>
  </si>
  <si>
    <t>Reduce the damage of all allies by 50%, and grant 100% vulnerability to all enemies</t>
  </si>
  <si>
    <t>Increases the armor penetration of all enemies by 200 points</t>
  </si>
  <si>
    <t>The damage of our units except the captain is reduced by 20%</t>
  </si>
  <si>
    <t>At the beginning of the game, a burning area is generated in the second row of our side, causing 50 points of system damage every 0.33 seconds, lasting for 10 seconds</t>
  </si>
  <si>
    <t>Deal damage equal to 10% of maximum HP every 10 seconds to the unit with the highest HP on both sides</t>
  </si>
  <si>
    <t>Increase the evasion and armor of our front row dolls by 6% every 3 seconds, up to 10 layers_x000D_
&lt;color=#CF8000&gt;The effect lasts for 1 round&lt;/color&gt;</t>
  </si>
  <si>
    <t>Our front cooling time is reduced by 50%_x000D_
&lt;color=#CF8000&gt;The effect lasts for 1 round&lt;/color&gt;</t>
  </si>
  <si>
    <t>Throw burning objects at the enemy with the highest blood volume every 6 seconds, causing 60 points of damage every 0.33 seconds, lasting 15 seconds, range 3*3_x000D_
&lt;color=#CF8000&gt;The effect lasts for 1 round&lt;/color&gt;</t>
  </si>
  <si>
    <t>Recover 30% of our lost HP shield every 10 seconds for 6 seconds_x000D_
&lt;color=#CF8000&gt;The effect lasts for 1 round&lt;/color&gt;</t>
  </si>
  <si>
    <t>Randomly weakens an enemy unit every 10 seconds, greatly reducing the unit's attributes (damage, fire rate, hit, dodge, armor) by 50%_x000D_
&lt;color=#CF8000&gt;The effect lasts for 1 round&lt;/color&gt;</t>
  </si>
  <si>
    <t>Our unit with the highest blood volume gains 9999 points of deflection force field at the beginning of the battle, lasting for 5 seconds_x000D_
&lt;color=#CF8000&gt;The effect lasts for 1 round&lt;/color&gt;</t>
  </si>
  <si>
    <t>In this battle, the damage and evasion of all our allies are increased by 3% every 4 seconds, up to 10 layers_x000D_
&lt;color=#CF8000&gt;The effect lasts for 1 round&lt;/color&gt;</t>
  </si>
  <si>
    <t>Our unit with the highest HP gets an additional 30% damage reduction_x000D_
&lt;color=#CF8000&gt;The effect lasts for 1 round&lt;/color&gt;</t>
  </si>
  <si>
    <t>The rate of fire of all our party is increased by 30%_x000D_
&lt;color=#CF8000&gt;The effect lasts for 1 round&lt;/color&gt;</t>
  </si>
  <si>
    <t>[Snipe] is triggered every 6 seconds after the opening, causing 18000 damage to the most threatening enemy regardless of armor</t>
  </si>
  <si>
    <t>(Sniper) deals 50% increased damage</t>
  </si>
  <si>
    <t>(Sniper) Damage dealt to elite units increased by 100%</t>
  </si>
  <si>
    <t>(Snipe) triggers an additional [Bombardment], causing 6000 damage to enemies within a small range regardless of armor. Built-in CD for 3 seconds</t>
  </si>
  <si>
    <t>(Sniper) grants [Precision] to all human figures</t>
  </si>
  <si>
    <t>(Snipe) grants [Armor Break] to the target</t>
  </si>
  <si>
    <t>[Bombardment] is triggered every 6 seconds after the opening, causing 6000 damage to enemies within a small range regardless of armor</t>
  </si>
  <si>
    <t>(Bombardment) deals 50% increased damage</t>
  </si>
  <si>
    <t>(Bombardment) Increases damage to single-armed enemies by 100%</t>
  </si>
  <si>
    <t>(Bombardment) triggers an additional [Air Strike], causing 2000 damage to all enemies regardless of armor. Built-in CD for 3 seconds</t>
  </si>
  <si>
    <t>(Bombardment) grants [Focus] to all Dolls</t>
  </si>
  <si>
    <t>(Bombardment) grants [Shock] to the target</t>
  </si>
  <si>
    <t>[Air Strike] is triggered every 6 seconds after the start of the battle, causing 2000 damage to all enemies regardless of armor</t>
  </si>
  <si>
    <t>(Air Strike) deals 50% increased damage</t>
  </si>
  <si>
    <t>(Air Strike) Damage dealt to non-elite enemies increased by 100%</t>
  </si>
  <si>
    <t>(Air Strike) triggers an additional [Snipe], causing 18,000 armor-ignoring damage to the most threatening enemy, built-in CD for 3 seconds</t>
  </si>
  <si>
    <t>(Airstrike) grants [Knowledge] to all Dolls</t>
  </si>
  <si>
    <t>(Airstrike) grants [Ignite] to the target</t>
  </si>
  <si>
    <t>At the beginning of the battle, grant 1 layer of [Armor Break] to all enemies, and then give 1 layer of [Armor Break] to the enemy with the highest life and highest armor every 6 seconds</t>
  </si>
  <si>
    <t>(Armor Breaking) can stack up to 3 layers</t>
  </si>
  <si>
    <t>(Armor Break) duration increased to 12 seconds</t>
  </si>
  <si>
    <t>Apply 1 layer of [Shock] to all enemies at the beginning of the battle, and then apply 1 layer of [Shock] to the enemy with the highest damage and the furthest every 6 seconds</t>
  </si>
  <si>
    <t>(Shock) can stack up to 3 layers</t>
  </si>
  <si>
    <t>(Concussion) duration increased to 12 seconds</t>
  </si>
  <si>
    <t>Apply 1 layer of [Ignite] to all enemies at the beginning of the battle, and then apply 1 layer of [Ignite] to the enemy with the highest and lowest HP every 6 seconds</t>
  </si>
  <si>
    <t>(ignite) can stack up to 3 layers</t>
  </si>
  <si>
    <t>(Ignite) duration increased to 12 seconds</t>
  </si>
  <si>
    <t>Every 6 seconds after the start of the battle, give 1 layer to the doll with the highest output and the lowest life on the field [Focus]</t>
  </si>
  <si>
    <t>(Focus) effect increased to 100%</t>
  </si>
  <si>
    <t>(Focus) Can stack 3 layers</t>
  </si>
  <si>
    <t>Every 6 seconds after the start of the battle, give 1 layer to the doll with the highest output and the lowest life on the field [Rapid Fire]</t>
  </si>
  <si>
    <t>(Rapid Fire) effect increased to 100%</t>
  </si>
  <si>
    <t>After granting (Rapid Fire), if the target has 2 layers of (Rapid Fire), an additional layer of [Concentration] will be given.</t>
  </si>
  <si>
    <t>Every 6 seconds after the start of the battle, give 1 layer of [Precision] to the doll with the highest output and the lowest life on the field</t>
  </si>
  <si>
    <t>(Precision) effect increased to 50%</t>
  </si>
  <si>
    <t>After granting (precision), if the target has 2 layers of (precision), an additional layer of [Knowing Heart] will be given</t>
  </si>
  <si>
    <t>Every 6 seconds after the start of the battle, give 1 layer to the doll with the highest output and the lowest life on the field [Knowledge]</t>
  </si>
  <si>
    <t>(Knowledge) effect increased to 50%</t>
  </si>
  <si>
    <t>After granting (Knowledge), if the target does not have (Precision), an additional layer of [Precision] will be given.</t>
  </si>
  <si>
    <t>Every 6 seconds after the start of the battle, give 1 layer of [enhancement] to the doll with the highest output and the lowest life on the field</t>
  </si>
  <si>
    <t>(Enhancement) effect increased to 40%</t>
  </si>
  <si>
    <t>Gives 1 layer of [Resistance] to the Humanoid with the highest HP and Armor every 6 seconds after the battle starts</t>
  </si>
  <si>
    <t>(Resistance) effect increased to 50%</t>
  </si>
  <si>
    <t>If the number of AR figures on the field is &gt;= 2, from the 3rd second, all AR figures will be given 1 layer of [Focus] every 6 seconds</t>
  </si>
  <si>
    <t>If the number of AR figures on the field is &gt;= 2, from the 3rd second, all AR figures will be given 1 layer of [Precision] every 6 seconds</t>
  </si>
  <si>
    <t>If the number of AR figures on the field is &gt;= 2, from the 3rd second, all AR figures will be given 1 layer of [Enhancement] every 6 seconds</t>
  </si>
  <si>
    <t>If the number of AR dolls on the field is &gt;= 2, [Bombardment] will be triggered every 6 seconds from the 3rd second, causing 6000 damage to enemies within a small range regardless of armor</t>
  </si>
  <si>
    <t>If the number of SMG dolls on the field is &gt;= 2, from the 3rd second, every 6 seconds will grant 1 layer to all dolls [Knowing Heart]</t>
  </si>
  <si>
    <t>If the number of SMG dolls on the field is &gt;= 2, from the 3rd second, every 6 seconds will give all dolls a layer of [Enhancement]</t>
  </si>
  <si>
    <t>If the number of SMG figures on the field is &gt;= 2, from the 3rd second, every 6 seconds, all figures will be given 1 layer of [Resistance]</t>
  </si>
  <si>
    <t>If the number of SMG dolls on the field is &gt;= 1, from the 3rd second, 3 random enemies will be given 1 layer of [ignite] every 6 seconds</t>
  </si>
  <si>
    <t>If the number of RF figures on the field is &gt;= 2, from the 3rd second, all RF figures will be given 1 layer [Quick Fire] every 6 seconds</t>
  </si>
  <si>
    <t>If the number of RF T-dolls on the field is &gt;= 2, from the 3rd second, every 6 seconds will grant 1 layer to all RF T-dolls [Knowing Heart]</t>
  </si>
  <si>
    <t>If the number of RF dolls on the field is &gt;= 2, from the 3rd second, every 6 seconds, all RF dolls will be given 1 layer of [Enhancement]</t>
  </si>
  <si>
    <t>If the number of RF dolls on the field is &gt;= 2, [Snipe] will be triggered every 6 seconds from the 3rd second, causing 18000 damage to the most threatening enemy regardless of armor</t>
  </si>
  <si>
    <t>If the number of HG figures on the field is &gt;= 2, every 6 seconds from the 3rd second, give all HG figures a layer of [Focus]</t>
  </si>
  <si>
    <t>If the number of HG figures on the field is &gt;= 2, from the 3rd second, give 1 layer of [Quick Fire] to all HG figures every 6 seconds</t>
  </si>
  <si>
    <t>If the number of HG figures on the field is &gt;= 2, every 6 seconds from the 3rd second, all HG figures will be given 1 layer of [Precision]</t>
  </si>
  <si>
    <t>If the number of HG figures on the field is &gt;= 2, from the 3rd second, every 6 seconds will grant 1 layer to all HG figures [Knowing Heart]</t>
  </si>
  <si>
    <t>If the number of MG figures on the field is &gt;= 2, from the 3rd second, every 6 seconds will give all MG figures 1 layer of [Precision]</t>
  </si>
  <si>
    <t>If the number of MG figures on the field is &gt;= 2, from the 3rd second, every 6 seconds will give 1 layer to all MG figures [Knowing Heart]</t>
  </si>
  <si>
    <t>If the number of MG figures on the field is &gt;= 2, from the 3rd second, every 6 seconds will give 1 layer of [Enhancement] to all MG figures.</t>
  </si>
  <si>
    <t>If the number of MG dolls on the field is &gt;= 2, [Air Strike] will be triggered every 6 seconds from the 3rd second, causing 2000 damage to all enemies regardless of armor</t>
  </si>
  <si>
    <t>If the number of SG dolls on the field is &gt;= 2, from the 3rd second, every 6 seconds will give all dolls a layer of [Focus]</t>
  </si>
  <si>
    <t>If the number of SG dolls on the field is &gt;= 2, from the 3rd second, every 6 seconds, all dolls will be given 1 layer of [Resistance]</t>
  </si>
  <si>
    <t>If the number of SG dolls on the field is &gt;= 1, from the 3rd second, 3 random enemies will be given 1 layer of [Armor Break] every 6 seconds</t>
  </si>
  <si>
    <t>If the number of SG dolls on the field is &gt;= 1, from the 3rd second, 3 random enemies will be given 1 layer of [Shock] every 6 seconds</t>
  </si>
  <si>
    <t>Combat Efficiency Skill effect and duration are greatly improved</t>
  </si>
  <si>
    <t>During the duration of combat efficiency, grant 1 layer to all human figures in the team every 6 seconds [Focus]</t>
  </si>
  <si>
    <t>Greatly increased the effect and duration of the powerful skill of Rage</t>
  </si>
  <si>
    <t>During the duration of Unlimited Rage, grant 1 layer to the team's Humanoids every 6 seconds [Knowing Heart]</t>
  </si>
  <si>
    <t>The effect and duration of anti-riot enhancement skills have been greatly increased</t>
  </si>
  <si>
    <t>Give SG Doll 1 layer of [Resistance] every 6 seconds during the Anti-Riot Enhancement</t>
  </si>
  <si>
    <t>The effect of energy shield is increased, gaining an additional 10% damage reduction during the shield period</t>
  </si>
  <si>
    <t>During the duration of the energy shield, increase the evasion of human figures with shields by 20% every 5 seconds, until the shield disappears, and provide a shield of 5% of the maximum life for human figures without shields</t>
  </si>
  <si>
    <t>Temporary armor also grants 10% damage reduction to the front row dolls for 60 seconds</t>
  </si>
  <si>
    <t>Temporary armor also grants a shield of 20% of the maximum health of the front row dolls</t>
  </si>
  <si>
    <t>Taunting the target drone can summon an additional target drone, and the target drone gets 30% damage-free</t>
  </si>
  <si>
    <t>When the target drone dies, the explosion triggers [Bombardment], causing 6000 damage to enemies within a small range regardless of armor</t>
  </si>
  <si>
    <t>(Sniper) activation frequency increased</t>
  </si>
  <si>
    <t>(Sniper) deals 50% more damage to targets that are (Punctured)</t>
  </si>
  <si>
    <t>(Bombardment) firing frequency increased</t>
  </si>
  <si>
    <t>(Bombardment) deals 50% increased damage to targets that are (Shocked)</t>
  </si>
  <si>
    <t>(Airstrike) launch frequency increased</t>
  </si>
  <si>
    <t>(Air Strike) deals 50% increased damage to targets that are (ignited)</t>
  </si>
  <si>
    <t>Increase team damage by 15%.</t>
  </si>
  <si>
    <t>Increase team damage by 30%.</t>
  </si>
  <si>
    <t>Increase the team's rate of fire by 15%.</t>
  </si>
  <si>
    <t>Increase the team's rate of fire by 30%.</t>
  </si>
  <si>
    <t>Increase the armor penetration of the whole team by 100 points.</t>
  </si>
  <si>
    <t>Increase the armor penetration of the whole team by 200 points.</t>
  </si>
  <si>
    <t>Increase the team's shield by 100 points.</t>
  </si>
  <si>
    <t>Increase the team's shield by 200 points.</t>
  </si>
  <si>
    <t>Increase the team's critical strike damage by 25%.</t>
  </si>
  <si>
    <t>Increase the team's critical strike damage by 50%.</t>
  </si>
  <si>
    <t>Increase the team's evasion by 25%.</t>
  </si>
  <si>
    <t>Increase the team's evasion by 50%.</t>
  </si>
  <si>
    <t>Improve the team's night vision performance by 25%.</t>
  </si>
  <si>
    <t>Improve the team's night vision performance by 50%.</t>
  </si>
  <si>
    <t>Improve the team's hit rate by 100%.</t>
  </si>
  <si>
    <t>Increase the team's hit rate by 200%.</t>
  </si>
  <si>
    <t>Increase the movement speed of the whole team by 100%.</t>
  </si>
  <si>
    <t>Increase the movement speed of the whole team by 200%.</t>
  </si>
  <si>
    <t>Reduces damage of all enemies by 15%.</t>
  </si>
  <si>
    <t>Reduces damage of all enemies by 30%.</t>
  </si>
  <si>
    <t>Reduces the evasion of all enemies by 50%.</t>
  </si>
  <si>
    <t>Reduces the evasion of all enemies by 70%.</t>
  </si>
  <si>
    <t>Reduces the hit rate of all enemies by 15%.</t>
  </si>
  <si>
    <t>Reduces the hit rate of all enemies by 30%.</t>
  </si>
  <si>
    <t>Stuns the enemy for 2 seconds every 10 seconds during the battle.</t>
  </si>
  <si>
    <t>Inflict 10,000 points of damage to the enemy unit with the lowest HP every 8 seconds during the battle.</t>
  </si>
  <si>
    <t>Clear the enemy's shield every 10 seconds during the battle.</t>
  </si>
  <si>
    <t>At the beginning of the battle, a group of 5 target drones with 1000 blood each will be summoned.</t>
  </si>
  <si>
    <t>Paralyzes enemies for 4 seconds at the start of combat.</t>
  </si>
  <si>
    <t>Our attack penetrates the armor and causes an additional 200 points of damage.</t>
  </si>
  <si>
    <t>Every time we use a skill, the cooldown of the next skill is reduced by 20%.</t>
  </si>
  <si>
    <t>Our units with shields have a 100% increase in critical strike.</t>
  </si>
  <si>
    <t>Our units with shields have a critical strike increase of 100%-1.</t>
  </si>
  <si>
    <t>Our units with shields have a critical strike increase of 100%-2.</t>
  </si>
  <si>
    <t>CN Name</t>
  </si>
  <si>
    <t>CN Description</t>
  </si>
  <si>
    <t>Running List:</t>
  </si>
  <si>
    <t>Day</t>
  </si>
  <si>
    <t>equip-10000342</t>
  </si>
  <si>
    <t>equip-20000342</t>
  </si>
  <si>
    <t>20007</t>
  </si>
  <si>
    <t>equip-30000342</t>
  </si>
  <si>
    <t>759133,759034</t>
  </si>
  <si>
    <t>equip-10000343</t>
  </si>
  <si>
    <t>equip-20000343</t>
  </si>
  <si>
    <t>20094</t>
  </si>
  <si>
    <t>equip-30000343</t>
  </si>
  <si>
    <t>759142,759034</t>
  </si>
  <si>
    <t>Type64ModGreyZone</t>
  </si>
  <si>
    <t>StechkinModGreyZone</t>
  </si>
  <si>
    <t>LS Kill Rank 0</t>
  </si>
  <si>
    <t>LS Kill Rank 1</t>
  </si>
  <si>
    <t>LS Kill Rank 2</t>
  </si>
  <si>
    <t>LS Kill Rank 3</t>
  </si>
  <si>
    <t>equip-10000344</t>
  </si>
  <si>
    <t>equip-20000344</t>
  </si>
  <si>
    <t>139</t>
  </si>
  <si>
    <t>equip-30000344</t>
  </si>
  <si>
    <t>equip-10000345</t>
  </si>
  <si>
    <t>equip-20000345</t>
  </si>
  <si>
    <t>equip-30000345</t>
  </si>
  <si>
    <t>equip-10000346</t>
  </si>
  <si>
    <t>equip-20000346</t>
  </si>
  <si>
    <t>equip-30000346</t>
  </si>
  <si>
    <t>equip-10000347</t>
  </si>
  <si>
    <t>equip-20000347</t>
  </si>
  <si>
    <t>151</t>
  </si>
  <si>
    <t>equip-30000347</t>
  </si>
  <si>
    <t>armor:700</t>
  </si>
  <si>
    <t>759155</t>
  </si>
  <si>
    <t>sangvis-10001024</t>
  </si>
  <si>
    <t>Sana</t>
  </si>
  <si>
    <t>Nyto_mecha2</t>
  </si>
  <si>
    <t>sangvis-40001024</t>
  </si>
  <si>
    <t>sangvis-30001024</t>
  </si>
  <si>
    <t>750784</t>
  </si>
  <si>
    <t>750789,750790,750791,750792,750798</t>
  </si>
  <si>
    <t>750793,750795</t>
  </si>
  <si>
    <t>4:2,20;3,50;5,30</t>
  </si>
  <si>
    <t>4:2,12;3,30;5,15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</si>
  <si>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May 31, 2023)</t>
    </r>
  </si>
  <si>
    <t>SS Artil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</si>
</sst>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  <font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6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wrapText="1"/>
    </xf>
    <xf numFmtId="0" fontId="2" fillId="6" borderId="8" xfId="0" applyFont="1" applyFill="1" applyBorder="1" applyAlignment="1" applyProtection="1">
      <alignment horizontal="center"/>
      <protection locked="0"/>
    </xf>
    <xf numFmtId="0" fontId="2" fillId="6" borderId="9" xfId="0" applyFont="1" applyFill="1" applyBorder="1" applyAlignment="1" applyProtection="1">
      <alignment horizontal="center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  <xf numFmtId="0" fontId="15" fillId="0" borderId="0" xfId="0" applyFont="1" applyAlignment="1">
      <alignment horizontal="center"/>
    </xf>
    <xf numFmtId="1" fontId="15" fillId="0" borderId="0" xfId="0" applyNumberFormat="1" applyFont="1" applyAlignment="1">
      <alignment horizontal="center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3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8021</v>
      </c>
    </row>
    <row r="2" spans="1:5" x14ac:dyDescent="0.25">
      <c r="A2" s="155" t="s">
        <v>855</v>
      </c>
    </row>
    <row r="3" spans="1:5" x14ac:dyDescent="0.25">
      <c r="A3" s="155" t="s">
        <v>5641</v>
      </c>
    </row>
    <row r="4" spans="1:5" x14ac:dyDescent="0.25">
      <c r="A4" s="155" t="s">
        <v>5643</v>
      </c>
    </row>
    <row r="5" spans="1:5" x14ac:dyDescent="0.25">
      <c r="A5" s="155" t="s">
        <v>6526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5168</v>
      </c>
    </row>
    <row r="8" spans="1:5" x14ac:dyDescent="0.25">
      <c r="A8" s="158" t="s">
        <v>6525</v>
      </c>
      <c r="B8" s="159" t="s">
        <v>7978</v>
      </c>
      <c r="D8" s="158" t="s">
        <v>848</v>
      </c>
      <c r="E8" s="159">
        <v>220000</v>
      </c>
    </row>
    <row r="9" spans="1:5" x14ac:dyDescent="0.25">
      <c r="A9" s="158" t="s">
        <v>6524</v>
      </c>
      <c r="B9" s="159" t="s">
        <v>961</v>
      </c>
      <c r="D9" s="158" t="s">
        <v>7334</v>
      </c>
      <c r="E9" s="159">
        <v>100</v>
      </c>
    </row>
    <row r="10" spans="1:5" x14ac:dyDescent="0.25">
      <c r="A10" s="158" t="s">
        <v>1706</v>
      </c>
      <c r="B10" s="159">
        <v>8</v>
      </c>
      <c r="D10" s="158" t="s">
        <v>849</v>
      </c>
      <c r="E10" s="159" t="b">
        <v>1</v>
      </c>
    </row>
    <row r="11" spans="1:5" x14ac:dyDescent="0.25">
      <c r="A11" s="158" t="s">
        <v>6523</v>
      </c>
      <c r="B11" s="159">
        <v>1234</v>
      </c>
      <c r="D11" s="158" t="s">
        <v>850</v>
      </c>
      <c r="E11" s="159" t="b">
        <v>1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61" t="s">
        <v>6874</v>
      </c>
      <c r="C15" s="262"/>
    </row>
    <row r="16" spans="1:5" outlineLevel="1" x14ac:dyDescent="0.25">
      <c r="A16" s="160"/>
      <c r="B16" s="163"/>
    </row>
    <row r="17" spans="1:29" outlineLevel="1" x14ac:dyDescent="0.25">
      <c r="A17" s="164" t="s">
        <v>6456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6457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6377</v>
      </c>
      <c r="U24" s="182" t="s">
        <v>6381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6459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61" t="s">
        <v>5680</v>
      </c>
      <c r="C35" s="262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5676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6887</v>
      </c>
      <c r="F39" s="208" t="s">
        <v>6888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260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1780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77"/>
      <c r="B63" s="237">
        <v>9</v>
      </c>
      <c r="C63" s="244" t="s">
        <v>6778</v>
      </c>
      <c r="D63" s="178">
        <v>347</v>
      </c>
      <c r="E63" s="178">
        <v>341</v>
      </c>
      <c r="F63" s="178">
        <v>390</v>
      </c>
      <c r="G63" s="180">
        <v>593</v>
      </c>
      <c r="H63" s="178">
        <v>10</v>
      </c>
      <c r="I63" s="178">
        <v>10</v>
      </c>
      <c r="J63" s="180">
        <v>10</v>
      </c>
    </row>
    <row r="64" spans="1:10" outlineLevel="1" x14ac:dyDescent="0.25">
      <c r="A64" s="181"/>
      <c r="B64" s="172">
        <v>10</v>
      </c>
      <c r="C64" s="171" t="s">
        <v>8022</v>
      </c>
      <c r="D64" s="258"/>
      <c r="E64" s="258"/>
      <c r="F64" s="258"/>
      <c r="G64" s="259"/>
      <c r="H64" s="258"/>
      <c r="I64" s="258"/>
      <c r="J64" s="259"/>
    </row>
    <row r="65" spans="1:16" outlineLevel="1" x14ac:dyDescent="0.25"/>
    <row r="66" spans="1:16" outlineLevel="1" x14ac:dyDescent="0.25">
      <c r="A66" s="164" t="s">
        <v>1781</v>
      </c>
    </row>
    <row r="67" spans="1:16" s="189" customFormat="1" outlineLevel="1" x14ac:dyDescent="0.25">
      <c r="A67" s="165"/>
      <c r="B67" s="196"/>
      <c r="C67" s="245"/>
      <c r="D67" s="166" t="s">
        <v>1773</v>
      </c>
      <c r="E67" s="166"/>
      <c r="F67" s="166"/>
      <c r="G67" s="167"/>
      <c r="H67" s="166" t="s">
        <v>769</v>
      </c>
      <c r="I67" s="166"/>
      <c r="J67" s="166"/>
      <c r="K67" s="167"/>
      <c r="L67" s="166" t="s">
        <v>1037</v>
      </c>
      <c r="M67" s="167"/>
      <c r="N67" s="191" t="s">
        <v>1774</v>
      </c>
    </row>
    <row r="68" spans="1:16" s="189" customFormat="1" outlineLevel="1" x14ac:dyDescent="0.25">
      <c r="A68" s="169" t="s">
        <v>854</v>
      </c>
      <c r="B68" s="172" t="s">
        <v>1036</v>
      </c>
      <c r="C68" s="171" t="s">
        <v>8</v>
      </c>
      <c r="D68" s="170" t="s">
        <v>18</v>
      </c>
      <c r="E68" s="170" t="s">
        <v>1771</v>
      </c>
      <c r="F68" s="170" t="s">
        <v>1770</v>
      </c>
      <c r="G68" s="171" t="s">
        <v>60</v>
      </c>
      <c r="H68" s="170">
        <v>1</v>
      </c>
      <c r="I68" s="170">
        <v>2</v>
      </c>
      <c r="J68" s="170">
        <v>3</v>
      </c>
      <c r="K68" s="171">
        <v>4</v>
      </c>
      <c r="L68" s="170">
        <v>1</v>
      </c>
      <c r="M68" s="171">
        <v>2</v>
      </c>
      <c r="N68" s="215" t="s">
        <v>1779</v>
      </c>
    </row>
    <row r="69" spans="1:16" outlineLevel="1" x14ac:dyDescent="0.25">
      <c r="A69" s="249"/>
      <c r="B69" s="250">
        <v>1</v>
      </c>
      <c r="C69" s="251" t="s">
        <v>1702</v>
      </c>
      <c r="D69" s="174">
        <v>100</v>
      </c>
      <c r="E69" s="174">
        <v>5</v>
      </c>
      <c r="F69" s="174">
        <v>4</v>
      </c>
      <c r="G69" s="175">
        <v>100</v>
      </c>
      <c r="H69" s="173">
        <v>10</v>
      </c>
      <c r="I69" s="174">
        <v>10</v>
      </c>
      <c r="J69" s="174">
        <v>5</v>
      </c>
      <c r="K69" s="175">
        <v>5</v>
      </c>
      <c r="L69" s="174"/>
      <c r="M69" s="175"/>
      <c r="N69" s="252">
        <v>100</v>
      </c>
      <c r="P69" s="220"/>
    </row>
    <row r="70" spans="1:16" outlineLevel="1" x14ac:dyDescent="0.25">
      <c r="A70" s="211"/>
      <c r="B70" s="208">
        <v>2</v>
      </c>
      <c r="C70" s="244" t="s">
        <v>984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102</v>
      </c>
    </row>
    <row r="71" spans="1:16" outlineLevel="1" x14ac:dyDescent="0.25">
      <c r="A71" s="211"/>
      <c r="B71" s="208">
        <v>3</v>
      </c>
      <c r="C71" s="244" t="s">
        <v>987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104</v>
      </c>
    </row>
    <row r="72" spans="1:16" outlineLevel="1" x14ac:dyDescent="0.25">
      <c r="A72" s="211"/>
      <c r="B72" s="208">
        <v>4</v>
      </c>
      <c r="C72" s="244" t="s">
        <v>993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105</v>
      </c>
    </row>
    <row r="73" spans="1:16" outlineLevel="1" x14ac:dyDescent="0.25">
      <c r="A73" s="211"/>
      <c r="B73" s="208">
        <v>5</v>
      </c>
      <c r="C73" s="244" t="s">
        <v>992</v>
      </c>
      <c r="D73" s="178">
        <v>100</v>
      </c>
      <c r="E73" s="178">
        <v>5</v>
      </c>
      <c r="F73" s="178">
        <v>4</v>
      </c>
      <c r="G73" s="180">
        <v>100</v>
      </c>
      <c r="H73" s="177">
        <v>10</v>
      </c>
      <c r="I73" s="178">
        <v>10</v>
      </c>
      <c r="J73" s="178">
        <v>5</v>
      </c>
      <c r="K73" s="180">
        <v>5</v>
      </c>
      <c r="L73" s="178"/>
      <c r="M73" s="180"/>
      <c r="N73" s="253">
        <v>106</v>
      </c>
    </row>
    <row r="74" spans="1:16" outlineLevel="1" x14ac:dyDescent="0.25">
      <c r="A74" s="202"/>
      <c r="B74" s="170">
        <v>6</v>
      </c>
      <c r="C74" s="171" t="s">
        <v>6936</v>
      </c>
      <c r="D74" s="182">
        <v>100</v>
      </c>
      <c r="E74" s="182">
        <v>5</v>
      </c>
      <c r="F74" s="182">
        <v>4</v>
      </c>
      <c r="G74" s="159">
        <v>100</v>
      </c>
      <c r="H74" s="181">
        <v>10</v>
      </c>
      <c r="I74" s="182">
        <v>10</v>
      </c>
      <c r="J74" s="182">
        <v>5</v>
      </c>
      <c r="K74" s="159">
        <v>5</v>
      </c>
      <c r="L74" s="182"/>
      <c r="M74" s="159"/>
      <c r="N74" s="254">
        <v>101</v>
      </c>
    </row>
    <row r="75" spans="1:16" s="194" customFormat="1" outlineLevel="1" x14ac:dyDescent="0.25"/>
    <row r="76" spans="1:16" outlineLevel="1" x14ac:dyDescent="0.25">
      <c r="A76" s="164" t="s">
        <v>6609</v>
      </c>
      <c r="B76" s="164"/>
      <c r="C76" s="164"/>
      <c r="E76" s="220"/>
    </row>
    <row r="77" spans="1:16" outlineLevel="1" x14ac:dyDescent="0.25">
      <c r="A77" s="198" t="s">
        <v>949</v>
      </c>
      <c r="B77" s="186" t="s">
        <v>783</v>
      </c>
      <c r="C77" s="187" t="s">
        <v>769</v>
      </c>
    </row>
    <row r="78" spans="1:16" outlineLevel="1" x14ac:dyDescent="0.25">
      <c r="A78" s="237">
        <v>1</v>
      </c>
      <c r="B78" s="199"/>
      <c r="C78" s="180"/>
    </row>
    <row r="79" spans="1:16" outlineLevel="1" x14ac:dyDescent="0.25">
      <c r="A79" s="237">
        <v>2</v>
      </c>
      <c r="B79" s="200"/>
      <c r="C79" s="180"/>
    </row>
    <row r="80" spans="1:16" outlineLevel="1" x14ac:dyDescent="0.25">
      <c r="A80" s="172">
        <v>3</v>
      </c>
      <c r="B80" s="201"/>
      <c r="C80" s="159"/>
    </row>
    <row r="81" spans="1:3" outlineLevel="1" x14ac:dyDescent="0.25">
      <c r="A81" s="194"/>
      <c r="B81" s="194"/>
      <c r="C81" s="194"/>
    </row>
    <row r="82" spans="1:3" outlineLevel="1" x14ac:dyDescent="0.25">
      <c r="A82" s="160" t="s">
        <v>6614</v>
      </c>
    </row>
    <row r="83" spans="1:3" outlineLevel="1" x14ac:dyDescent="0.25">
      <c r="A83" s="198" t="s">
        <v>6605</v>
      </c>
      <c r="B83" s="186" t="s">
        <v>6600</v>
      </c>
      <c r="C83" s="187" t="s">
        <v>769</v>
      </c>
    </row>
    <row r="84" spans="1:3" outlineLevel="1" x14ac:dyDescent="0.25">
      <c r="A84" s="237">
        <v>1</v>
      </c>
      <c r="B84" s="199"/>
      <c r="C84" s="180"/>
    </row>
    <row r="85" spans="1:3" outlineLevel="1" x14ac:dyDescent="0.25">
      <c r="A85" s="237">
        <v>2</v>
      </c>
      <c r="B85" s="200"/>
      <c r="C85" s="180"/>
    </row>
    <row r="86" spans="1:3" outlineLevel="1" x14ac:dyDescent="0.25">
      <c r="A86" s="172">
        <v>3</v>
      </c>
      <c r="B86" s="201"/>
      <c r="C86" s="159"/>
    </row>
    <row r="87" spans="1:3" outlineLevel="1" x14ac:dyDescent="0.25"/>
    <row r="88" spans="1:3" outlineLevel="1" x14ac:dyDescent="0.25">
      <c r="A88" s="160" t="s">
        <v>7123</v>
      </c>
    </row>
    <row r="89" spans="1:3" outlineLevel="1" x14ac:dyDescent="0.25">
      <c r="A89" s="198" t="s">
        <v>7109</v>
      </c>
      <c r="B89" s="186" t="s">
        <v>7108</v>
      </c>
      <c r="C89" s="187" t="s">
        <v>1774</v>
      </c>
    </row>
    <row r="90" spans="1:3" outlineLevel="1" x14ac:dyDescent="0.25">
      <c r="A90" s="237">
        <v>1</v>
      </c>
      <c r="B90" s="199"/>
      <c r="C90" s="180"/>
    </row>
    <row r="91" spans="1:3" outlineLevel="1" x14ac:dyDescent="0.25">
      <c r="A91" s="237">
        <v>2</v>
      </c>
      <c r="B91" s="200"/>
      <c r="C91" s="180"/>
    </row>
    <row r="92" spans="1:3" outlineLevel="1" x14ac:dyDescent="0.25">
      <c r="A92" s="172">
        <v>3</v>
      </c>
      <c r="B92" s="201"/>
      <c r="C92" s="159"/>
    </row>
    <row r="93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9:J74">
    <cfRule type="expression" dxfId="7" priority="6">
      <formula>#REF!&lt;&gt;3</formula>
    </cfRule>
  </conditionalFormatting>
  <conditionalFormatting sqref="I69:I74">
    <cfRule type="expression" dxfId="6" priority="5">
      <formula>#REF!&lt;2</formula>
    </cfRule>
  </conditionalFormatting>
  <conditionalFormatting sqref="M69:M74">
    <cfRule type="expression" dxfId="5" priority="19">
      <formula>$E69&lt;4</formula>
    </cfRule>
  </conditionalFormatting>
  <conditionalFormatting sqref="K69:K74">
    <cfRule type="expression" dxfId="4" priority="20">
      <formula>$E69&lt;4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8:C80" xr:uid="{085D9B0C-675C-400E-920A-4A9DD3F50DF7}">
      <formula1>"1,2,3,4,5,6,7,8,9,10"</formula1>
    </dataValidation>
    <dataValidation type="whole" allowBlank="1" showInputMessage="1" showErrorMessage="1" sqref="D40:D48 D69:D74 D29 E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10:E11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4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9:F74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4 C84:C86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4 A69:A74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9:K74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9:E74" xr:uid="{D2F69B15-75AC-411E-918E-07828F1F2C06}">
      <formula1>AND(OR(E69=1,E69=2,E69=3,E69=4,E69=5),E69&gt;=3)</formula1>
    </dataValidation>
    <dataValidation type="custom" allowBlank="1" showInputMessage="1" showErrorMessage="1" sqref="G69:G74" xr:uid="{6117B0B1-BD61-4031-A8DD-CAAB092F0644}">
      <formula1>AND(G69&gt;=0,G69&lt;=150,G69=INT(G69))</formula1>
    </dataValidation>
    <dataValidation type="custom" allowBlank="1" showInputMessage="1" showErrorMessage="1" sqref="H69:I74" xr:uid="{18E55432-524A-477B-8B68-3136B4E41723}">
      <formula1>AND(H69&gt;=0,H69&lt;=10,H69=INT(H69))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90:B92" xr:uid="{20D124D4-90CB-4D4A-8D0D-3D2A17C98D1F}">
      <formula1>1</formula1>
    </dataValidation>
  </dataValidations>
  <hyperlinks>
    <hyperlink ref="N68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L69:M74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N69:N74 C90:C92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B78:B80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B84:B86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DDB5-1C61-4C65-B217-BB8D2ABDB54A}">
  <sheetPr codeName="Sheet29">
    <tabColor theme="7" tint="0.79998168889431442"/>
  </sheetPr>
  <dimension ref="A1:H18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0.28515625" bestFit="1" customWidth="1"/>
    <col min="2" max="2" width="9" bestFit="1" customWidth="1"/>
    <col min="3" max="3" width="23.85546875" bestFit="1" customWidth="1"/>
    <col min="4" max="4" width="151.85546875" bestFit="1" customWidth="1"/>
    <col min="5" max="5" width="12.5703125" bestFit="1" customWidth="1"/>
    <col min="6" max="6" width="137.7109375" bestFit="1" customWidth="1"/>
  </cols>
  <sheetData>
    <row r="1" spans="1:8" x14ac:dyDescent="0.25">
      <c r="A1" s="10" t="s">
        <v>7705</v>
      </c>
      <c r="B1" s="10" t="s">
        <v>700</v>
      </c>
      <c r="C1" s="10" t="s">
        <v>8</v>
      </c>
      <c r="D1" s="10" t="s">
        <v>701</v>
      </c>
      <c r="E1" s="10" t="s">
        <v>7975</v>
      </c>
      <c r="F1" s="10" t="s">
        <v>7976</v>
      </c>
      <c r="H1" s="10" t="s">
        <v>7977</v>
      </c>
    </row>
    <row r="2" spans="1:8" x14ac:dyDescent="0.25">
      <c r="A2" t="s">
        <v>7706</v>
      </c>
      <c r="B2">
        <v>1</v>
      </c>
      <c r="C2" t="s">
        <v>7335</v>
      </c>
      <c r="D2" t="s">
        <v>7336</v>
      </c>
      <c r="H2" s="9" t="str">
        <f>IF(A2="Y",B2,"")</f>
        <v/>
      </c>
    </row>
    <row r="3" spans="1:8" x14ac:dyDescent="0.25">
      <c r="A3" t="s">
        <v>7706</v>
      </c>
      <c r="B3">
        <v>2</v>
      </c>
      <c r="C3" t="s">
        <v>7337</v>
      </c>
      <c r="D3" t="s">
        <v>7338</v>
      </c>
      <c r="H3" s="9" t="str">
        <f>IF(A3="N",H2,IF(H2="",B3,H2&amp;";"&amp;B3))</f>
        <v/>
      </c>
    </row>
    <row r="4" spans="1:8" x14ac:dyDescent="0.25">
      <c r="A4" t="s">
        <v>7706</v>
      </c>
      <c r="B4">
        <v>3</v>
      </c>
      <c r="C4" t="s">
        <v>7339</v>
      </c>
      <c r="D4" t="s">
        <v>7340</v>
      </c>
      <c r="H4" s="9" t="str">
        <f t="shared" ref="H4:H67" si="0">IF(A4="N",H3,IF(H3="",B4,H3&amp;";"&amp;B4))</f>
        <v/>
      </c>
    </row>
    <row r="5" spans="1:8" x14ac:dyDescent="0.25">
      <c r="A5" t="s">
        <v>7706</v>
      </c>
      <c r="B5">
        <v>4</v>
      </c>
      <c r="C5" t="s">
        <v>7341</v>
      </c>
      <c r="D5" t="s">
        <v>7342</v>
      </c>
      <c r="H5" s="9" t="str">
        <f t="shared" si="0"/>
        <v/>
      </c>
    </row>
    <row r="6" spans="1:8" x14ac:dyDescent="0.25">
      <c r="A6" t="s">
        <v>7706</v>
      </c>
      <c r="B6">
        <v>5</v>
      </c>
      <c r="C6" t="s">
        <v>7343</v>
      </c>
      <c r="D6" t="s">
        <v>7344</v>
      </c>
      <c r="H6" s="9" t="str">
        <f t="shared" si="0"/>
        <v/>
      </c>
    </row>
    <row r="7" spans="1:8" x14ac:dyDescent="0.25">
      <c r="A7" t="s">
        <v>7706</v>
      </c>
      <c r="B7">
        <v>6</v>
      </c>
      <c r="C7" t="s">
        <v>7345</v>
      </c>
      <c r="D7" t="s">
        <v>7346</v>
      </c>
      <c r="H7" s="9" t="str">
        <f t="shared" si="0"/>
        <v/>
      </c>
    </row>
    <row r="8" spans="1:8" x14ac:dyDescent="0.25">
      <c r="A8" t="s">
        <v>7706</v>
      </c>
      <c r="B8">
        <v>7</v>
      </c>
      <c r="C8" t="s">
        <v>7347</v>
      </c>
      <c r="D8" t="s">
        <v>7348</v>
      </c>
      <c r="H8" s="9" t="str">
        <f t="shared" si="0"/>
        <v/>
      </c>
    </row>
    <row r="9" spans="1:8" x14ac:dyDescent="0.25">
      <c r="A9" t="s">
        <v>7706</v>
      </c>
      <c r="B9">
        <v>8</v>
      </c>
      <c r="C9" t="s">
        <v>7349</v>
      </c>
      <c r="D9" t="s">
        <v>7350</v>
      </c>
      <c r="H9" s="9" t="str">
        <f t="shared" si="0"/>
        <v/>
      </c>
    </row>
    <row r="10" spans="1:8" x14ac:dyDescent="0.25">
      <c r="A10" t="s">
        <v>7706</v>
      </c>
      <c r="B10">
        <v>701</v>
      </c>
      <c r="C10" t="s">
        <v>7351</v>
      </c>
      <c r="D10" t="s">
        <v>7352</v>
      </c>
      <c r="H10" s="9" t="str">
        <f t="shared" si="0"/>
        <v/>
      </c>
    </row>
    <row r="11" spans="1:8" x14ac:dyDescent="0.25">
      <c r="A11" t="s">
        <v>7706</v>
      </c>
      <c r="B11">
        <v>702</v>
      </c>
      <c r="C11" t="s">
        <v>7353</v>
      </c>
      <c r="D11" t="s">
        <v>7354</v>
      </c>
      <c r="H11" s="9" t="str">
        <f t="shared" si="0"/>
        <v/>
      </c>
    </row>
    <row r="12" spans="1:8" x14ac:dyDescent="0.25">
      <c r="A12" t="s">
        <v>7706</v>
      </c>
      <c r="B12">
        <v>703</v>
      </c>
      <c r="C12" t="s">
        <v>7355</v>
      </c>
      <c r="D12" t="s">
        <v>7356</v>
      </c>
      <c r="H12" s="9" t="str">
        <f t="shared" si="0"/>
        <v/>
      </c>
    </row>
    <row r="13" spans="1:8" x14ac:dyDescent="0.25">
      <c r="A13" t="s">
        <v>7706</v>
      </c>
      <c r="B13">
        <v>704</v>
      </c>
      <c r="C13" t="s">
        <v>7357</v>
      </c>
      <c r="D13" t="s">
        <v>7358</v>
      </c>
      <c r="H13" s="9" t="str">
        <f t="shared" si="0"/>
        <v/>
      </c>
    </row>
    <row r="14" spans="1:8" x14ac:dyDescent="0.25">
      <c r="A14" t="s">
        <v>7706</v>
      </c>
      <c r="B14">
        <v>705</v>
      </c>
      <c r="C14" t="s">
        <v>7359</v>
      </c>
      <c r="D14" t="s">
        <v>7360</v>
      </c>
      <c r="H14" s="9" t="str">
        <f t="shared" si="0"/>
        <v/>
      </c>
    </row>
    <row r="15" spans="1:8" x14ac:dyDescent="0.25">
      <c r="A15" t="s">
        <v>7706</v>
      </c>
      <c r="B15">
        <v>706</v>
      </c>
      <c r="C15" t="s">
        <v>7361</v>
      </c>
      <c r="D15" t="s">
        <v>7362</v>
      </c>
      <c r="H15" s="9" t="str">
        <f t="shared" si="0"/>
        <v/>
      </c>
    </row>
    <row r="16" spans="1:8" x14ac:dyDescent="0.25">
      <c r="A16" t="s">
        <v>7706</v>
      </c>
      <c r="B16">
        <v>707</v>
      </c>
      <c r="C16" t="s">
        <v>7363</v>
      </c>
      <c r="D16" t="s">
        <v>7364</v>
      </c>
      <c r="H16" s="9" t="str">
        <f t="shared" si="0"/>
        <v/>
      </c>
    </row>
    <row r="17" spans="1:8" x14ac:dyDescent="0.25">
      <c r="A17" t="s">
        <v>7706</v>
      </c>
      <c r="B17">
        <v>708</v>
      </c>
      <c r="C17" t="s">
        <v>7365</v>
      </c>
      <c r="D17" t="s">
        <v>7366</v>
      </c>
      <c r="H17" s="9" t="str">
        <f t="shared" si="0"/>
        <v/>
      </c>
    </row>
    <row r="18" spans="1:8" x14ac:dyDescent="0.25">
      <c r="A18" t="s">
        <v>7706</v>
      </c>
      <c r="B18">
        <v>709</v>
      </c>
      <c r="C18" t="s">
        <v>7367</v>
      </c>
      <c r="D18" t="s">
        <v>7368</v>
      </c>
      <c r="H18" s="9" t="str">
        <f t="shared" si="0"/>
        <v/>
      </c>
    </row>
    <row r="19" spans="1:8" x14ac:dyDescent="0.25">
      <c r="A19" t="s">
        <v>7706</v>
      </c>
      <c r="B19">
        <v>710</v>
      </c>
      <c r="C19" t="s">
        <v>7369</v>
      </c>
      <c r="D19" t="s">
        <v>7370</v>
      </c>
      <c r="H19" s="9" t="str">
        <f t="shared" si="0"/>
        <v/>
      </c>
    </row>
    <row r="20" spans="1:8" x14ac:dyDescent="0.25">
      <c r="A20" t="s">
        <v>7706</v>
      </c>
      <c r="B20">
        <v>711</v>
      </c>
      <c r="C20" t="s">
        <v>7371</v>
      </c>
      <c r="D20" t="s">
        <v>7372</v>
      </c>
      <c r="H20" s="9" t="str">
        <f t="shared" si="0"/>
        <v/>
      </c>
    </row>
    <row r="21" spans="1:8" x14ac:dyDescent="0.25">
      <c r="A21" t="s">
        <v>7706</v>
      </c>
      <c r="B21">
        <v>712</v>
      </c>
      <c r="C21" t="s">
        <v>7373</v>
      </c>
      <c r="D21" t="s">
        <v>7374</v>
      </c>
      <c r="H21" s="9" t="str">
        <f t="shared" si="0"/>
        <v/>
      </c>
    </row>
    <row r="22" spans="1:8" x14ac:dyDescent="0.25">
      <c r="A22" t="s">
        <v>7706</v>
      </c>
      <c r="B22">
        <v>713</v>
      </c>
      <c r="C22" t="s">
        <v>7375</v>
      </c>
      <c r="D22" t="s">
        <v>7376</v>
      </c>
      <c r="H22" s="9" t="str">
        <f t="shared" si="0"/>
        <v/>
      </c>
    </row>
    <row r="23" spans="1:8" x14ac:dyDescent="0.25">
      <c r="A23" t="s">
        <v>7706</v>
      </c>
      <c r="B23">
        <v>714</v>
      </c>
      <c r="C23" t="s">
        <v>7377</v>
      </c>
      <c r="D23" t="s">
        <v>7378</v>
      </c>
      <c r="H23" s="9" t="str">
        <f t="shared" si="0"/>
        <v/>
      </c>
    </row>
    <row r="24" spans="1:8" x14ac:dyDescent="0.25">
      <c r="A24" t="s">
        <v>7706</v>
      </c>
      <c r="B24">
        <v>715</v>
      </c>
      <c r="C24" t="s">
        <v>7379</v>
      </c>
      <c r="D24" t="s">
        <v>7380</v>
      </c>
      <c r="H24" s="9" t="str">
        <f t="shared" si="0"/>
        <v/>
      </c>
    </row>
    <row r="25" spans="1:8" x14ac:dyDescent="0.25">
      <c r="A25" t="s">
        <v>7706</v>
      </c>
      <c r="B25">
        <v>716</v>
      </c>
      <c r="C25" t="s">
        <v>7381</v>
      </c>
      <c r="D25" t="s">
        <v>7382</v>
      </c>
      <c r="H25" s="9" t="str">
        <f t="shared" si="0"/>
        <v/>
      </c>
    </row>
    <row r="26" spans="1:8" x14ac:dyDescent="0.25">
      <c r="A26" t="s">
        <v>7706</v>
      </c>
      <c r="B26">
        <v>717</v>
      </c>
      <c r="C26" t="s">
        <v>7383</v>
      </c>
      <c r="D26" t="s">
        <v>7384</v>
      </c>
      <c r="H26" s="9" t="str">
        <f t="shared" si="0"/>
        <v/>
      </c>
    </row>
    <row r="27" spans="1:8" x14ac:dyDescent="0.25">
      <c r="A27" t="s">
        <v>7706</v>
      </c>
      <c r="B27">
        <v>718</v>
      </c>
      <c r="C27" t="s">
        <v>7385</v>
      </c>
      <c r="D27" t="s">
        <v>7386</v>
      </c>
      <c r="H27" s="9" t="str">
        <f t="shared" si="0"/>
        <v/>
      </c>
    </row>
    <row r="28" spans="1:8" x14ac:dyDescent="0.25">
      <c r="A28" t="s">
        <v>7706</v>
      </c>
      <c r="B28">
        <v>719</v>
      </c>
      <c r="C28" t="s">
        <v>7387</v>
      </c>
      <c r="D28" t="s">
        <v>7388</v>
      </c>
      <c r="H28" s="9" t="str">
        <f t="shared" si="0"/>
        <v/>
      </c>
    </row>
    <row r="29" spans="1:8" x14ac:dyDescent="0.25">
      <c r="A29" t="s">
        <v>7706</v>
      </c>
      <c r="B29">
        <v>720</v>
      </c>
      <c r="C29" t="s">
        <v>7389</v>
      </c>
      <c r="D29" t="s">
        <v>7390</v>
      </c>
      <c r="H29" s="9" t="str">
        <f t="shared" si="0"/>
        <v/>
      </c>
    </row>
    <row r="30" spans="1:8" x14ac:dyDescent="0.25">
      <c r="A30" t="s">
        <v>7706</v>
      </c>
      <c r="B30">
        <v>721</v>
      </c>
      <c r="C30" t="s">
        <v>7391</v>
      </c>
      <c r="D30" t="s">
        <v>7392</v>
      </c>
      <c r="H30" s="9" t="str">
        <f t="shared" si="0"/>
        <v/>
      </c>
    </row>
    <row r="31" spans="1:8" x14ac:dyDescent="0.25">
      <c r="A31" t="s">
        <v>7706</v>
      </c>
      <c r="B31">
        <v>722</v>
      </c>
      <c r="C31" t="s">
        <v>7393</v>
      </c>
      <c r="D31" t="s">
        <v>7394</v>
      </c>
      <c r="H31" s="9" t="str">
        <f t="shared" si="0"/>
        <v/>
      </c>
    </row>
    <row r="32" spans="1:8" x14ac:dyDescent="0.25">
      <c r="A32" t="s">
        <v>7706</v>
      </c>
      <c r="B32">
        <v>723</v>
      </c>
      <c r="C32" t="s">
        <v>7395</v>
      </c>
      <c r="D32" t="s">
        <v>7396</v>
      </c>
      <c r="H32" s="9" t="str">
        <f t="shared" si="0"/>
        <v/>
      </c>
    </row>
    <row r="33" spans="1:8" x14ac:dyDescent="0.25">
      <c r="A33" t="s">
        <v>7706</v>
      </c>
      <c r="B33">
        <v>724</v>
      </c>
      <c r="C33" t="s">
        <v>7397</v>
      </c>
      <c r="D33" t="s">
        <v>7398</v>
      </c>
      <c r="H33" s="9" t="str">
        <f t="shared" si="0"/>
        <v/>
      </c>
    </row>
    <row r="34" spans="1:8" x14ac:dyDescent="0.25">
      <c r="A34" t="s">
        <v>7706</v>
      </c>
      <c r="B34">
        <v>725</v>
      </c>
      <c r="C34" t="s">
        <v>7399</v>
      </c>
      <c r="D34" t="s">
        <v>7400</v>
      </c>
      <c r="H34" s="9" t="str">
        <f t="shared" si="0"/>
        <v/>
      </c>
    </row>
    <row r="35" spans="1:8" x14ac:dyDescent="0.25">
      <c r="A35" t="s">
        <v>7706</v>
      </c>
      <c r="B35">
        <v>726</v>
      </c>
      <c r="C35" t="s">
        <v>7401</v>
      </c>
      <c r="D35" t="s">
        <v>7402</v>
      </c>
      <c r="H35" s="9" t="str">
        <f t="shared" si="0"/>
        <v/>
      </c>
    </row>
    <row r="36" spans="1:8" x14ac:dyDescent="0.25">
      <c r="A36" t="s">
        <v>7706</v>
      </c>
      <c r="B36">
        <v>727</v>
      </c>
      <c r="C36" t="s">
        <v>7403</v>
      </c>
      <c r="D36" t="s">
        <v>7404</v>
      </c>
      <c r="H36" s="9" t="str">
        <f t="shared" si="0"/>
        <v/>
      </c>
    </row>
    <row r="37" spans="1:8" x14ac:dyDescent="0.25">
      <c r="A37" t="s">
        <v>7706</v>
      </c>
      <c r="B37">
        <v>728</v>
      </c>
      <c r="C37" t="s">
        <v>7405</v>
      </c>
      <c r="D37" t="s">
        <v>7406</v>
      </c>
      <c r="H37" s="9" t="str">
        <f t="shared" si="0"/>
        <v/>
      </c>
    </row>
    <row r="38" spans="1:8" x14ac:dyDescent="0.25">
      <c r="A38" t="s">
        <v>7706</v>
      </c>
      <c r="B38">
        <v>729</v>
      </c>
      <c r="C38" t="s">
        <v>7397</v>
      </c>
      <c r="D38" t="s">
        <v>7407</v>
      </c>
      <c r="H38" s="9" t="str">
        <f t="shared" si="0"/>
        <v/>
      </c>
    </row>
    <row r="39" spans="1:8" x14ac:dyDescent="0.25">
      <c r="A39" t="s">
        <v>7706</v>
      </c>
      <c r="B39">
        <v>730</v>
      </c>
      <c r="C39" t="s">
        <v>7408</v>
      </c>
      <c r="D39" t="s">
        <v>7409</v>
      </c>
      <c r="H39" s="9" t="str">
        <f t="shared" si="0"/>
        <v/>
      </c>
    </row>
    <row r="40" spans="1:8" x14ac:dyDescent="0.25">
      <c r="A40" t="s">
        <v>7706</v>
      </c>
      <c r="B40">
        <v>731</v>
      </c>
      <c r="C40" t="s">
        <v>7410</v>
      </c>
      <c r="D40" t="s">
        <v>7411</v>
      </c>
      <c r="H40" s="9" t="str">
        <f t="shared" si="0"/>
        <v/>
      </c>
    </row>
    <row r="41" spans="1:8" x14ac:dyDescent="0.25">
      <c r="A41" t="s">
        <v>7706</v>
      </c>
      <c r="B41">
        <v>732</v>
      </c>
      <c r="C41" t="s">
        <v>7412</v>
      </c>
      <c r="D41" t="s">
        <v>7413</v>
      </c>
      <c r="H41" s="9" t="str">
        <f t="shared" si="0"/>
        <v/>
      </c>
    </row>
    <row r="42" spans="1:8" x14ac:dyDescent="0.25">
      <c r="A42" t="s">
        <v>7706</v>
      </c>
      <c r="B42">
        <v>733</v>
      </c>
      <c r="C42" t="s">
        <v>7414</v>
      </c>
      <c r="D42" t="s">
        <v>7415</v>
      </c>
      <c r="H42" s="9" t="str">
        <f t="shared" si="0"/>
        <v/>
      </c>
    </row>
    <row r="43" spans="1:8" x14ac:dyDescent="0.25">
      <c r="A43" t="s">
        <v>7706</v>
      </c>
      <c r="B43">
        <v>734</v>
      </c>
      <c r="C43" t="s">
        <v>7416</v>
      </c>
      <c r="D43" t="s">
        <v>7417</v>
      </c>
      <c r="H43" s="9" t="str">
        <f t="shared" si="0"/>
        <v/>
      </c>
    </row>
    <row r="44" spans="1:8" x14ac:dyDescent="0.25">
      <c r="A44" t="s">
        <v>7706</v>
      </c>
      <c r="B44">
        <v>735</v>
      </c>
      <c r="C44" t="s">
        <v>7418</v>
      </c>
      <c r="D44" t="s">
        <v>7419</v>
      </c>
      <c r="H44" s="9" t="str">
        <f t="shared" si="0"/>
        <v/>
      </c>
    </row>
    <row r="45" spans="1:8" x14ac:dyDescent="0.25">
      <c r="A45" t="s">
        <v>7706</v>
      </c>
      <c r="B45">
        <v>736</v>
      </c>
      <c r="C45" t="s">
        <v>7420</v>
      </c>
      <c r="D45" t="s">
        <v>7421</v>
      </c>
      <c r="H45" s="9" t="str">
        <f t="shared" si="0"/>
        <v/>
      </c>
    </row>
    <row r="46" spans="1:8" x14ac:dyDescent="0.25">
      <c r="A46" t="s">
        <v>7706</v>
      </c>
      <c r="B46">
        <v>737</v>
      </c>
      <c r="C46" t="s">
        <v>7422</v>
      </c>
      <c r="D46" t="s">
        <v>7423</v>
      </c>
      <c r="H46" s="9" t="str">
        <f t="shared" si="0"/>
        <v/>
      </c>
    </row>
    <row r="47" spans="1:8" x14ac:dyDescent="0.25">
      <c r="A47" t="s">
        <v>7706</v>
      </c>
      <c r="B47">
        <v>738</v>
      </c>
      <c r="C47" t="s">
        <v>7424</v>
      </c>
      <c r="D47" t="s">
        <v>7425</v>
      </c>
      <c r="H47" s="9" t="str">
        <f t="shared" si="0"/>
        <v/>
      </c>
    </row>
    <row r="48" spans="1:8" x14ac:dyDescent="0.25">
      <c r="A48" t="s">
        <v>7706</v>
      </c>
      <c r="B48">
        <v>739</v>
      </c>
      <c r="C48" t="s">
        <v>7426</v>
      </c>
      <c r="D48" t="s">
        <v>7427</v>
      </c>
      <c r="H48" s="9" t="str">
        <f t="shared" si="0"/>
        <v/>
      </c>
    </row>
    <row r="49" spans="1:8" x14ac:dyDescent="0.25">
      <c r="A49" t="s">
        <v>7706</v>
      </c>
      <c r="B49">
        <v>740</v>
      </c>
      <c r="C49" t="s">
        <v>7428</v>
      </c>
      <c r="D49" t="s">
        <v>7429</v>
      </c>
      <c r="H49" s="9" t="str">
        <f t="shared" si="0"/>
        <v/>
      </c>
    </row>
    <row r="50" spans="1:8" x14ac:dyDescent="0.25">
      <c r="A50" t="s">
        <v>7706</v>
      </c>
      <c r="B50">
        <v>741</v>
      </c>
      <c r="C50" t="s">
        <v>7430</v>
      </c>
      <c r="D50" t="s">
        <v>7431</v>
      </c>
      <c r="H50" s="9" t="str">
        <f t="shared" si="0"/>
        <v/>
      </c>
    </row>
    <row r="51" spans="1:8" x14ac:dyDescent="0.25">
      <c r="A51" t="s">
        <v>7706</v>
      </c>
      <c r="B51">
        <v>742</v>
      </c>
      <c r="C51" t="s">
        <v>7432</v>
      </c>
      <c r="D51" t="s">
        <v>7433</v>
      </c>
      <c r="H51" s="9" t="str">
        <f t="shared" si="0"/>
        <v/>
      </c>
    </row>
    <row r="52" spans="1:8" x14ac:dyDescent="0.25">
      <c r="A52" t="s">
        <v>7706</v>
      </c>
      <c r="B52">
        <v>743</v>
      </c>
      <c r="C52" t="s">
        <v>7434</v>
      </c>
      <c r="D52" t="s">
        <v>7435</v>
      </c>
      <c r="H52" s="9" t="str">
        <f t="shared" si="0"/>
        <v/>
      </c>
    </row>
    <row r="53" spans="1:8" x14ac:dyDescent="0.25">
      <c r="A53" t="s">
        <v>7706</v>
      </c>
      <c r="B53">
        <v>901</v>
      </c>
      <c r="C53" t="s">
        <v>7707</v>
      </c>
      <c r="D53" t="s">
        <v>7841</v>
      </c>
      <c r="E53" t="s">
        <v>7436</v>
      </c>
      <c r="F53" t="s">
        <v>7437</v>
      </c>
      <c r="H53" s="9" t="str">
        <f t="shared" si="0"/>
        <v/>
      </c>
    </row>
    <row r="54" spans="1:8" x14ac:dyDescent="0.25">
      <c r="A54" t="s">
        <v>7706</v>
      </c>
      <c r="B54">
        <v>902</v>
      </c>
      <c r="C54" t="s">
        <v>7708</v>
      </c>
      <c r="D54" t="s">
        <v>7842</v>
      </c>
      <c r="E54" t="s">
        <v>7438</v>
      </c>
      <c r="F54" t="s">
        <v>7439</v>
      </c>
      <c r="H54" s="9" t="str">
        <f t="shared" si="0"/>
        <v/>
      </c>
    </row>
    <row r="55" spans="1:8" x14ac:dyDescent="0.25">
      <c r="A55" t="s">
        <v>7706</v>
      </c>
      <c r="B55">
        <v>903</v>
      </c>
      <c r="C55" t="s">
        <v>7709</v>
      </c>
      <c r="D55" t="s">
        <v>7843</v>
      </c>
      <c r="E55" t="s">
        <v>7440</v>
      </c>
      <c r="F55" t="s">
        <v>7441</v>
      </c>
      <c r="H55" s="9" t="str">
        <f t="shared" si="0"/>
        <v/>
      </c>
    </row>
    <row r="56" spans="1:8" x14ac:dyDescent="0.25">
      <c r="A56" t="s">
        <v>7706</v>
      </c>
      <c r="B56">
        <v>904</v>
      </c>
      <c r="C56" t="s">
        <v>7710</v>
      </c>
      <c r="D56" t="s">
        <v>7844</v>
      </c>
      <c r="E56" t="s">
        <v>7442</v>
      </c>
      <c r="F56" t="s">
        <v>7443</v>
      </c>
      <c r="H56" s="9" t="str">
        <f t="shared" si="0"/>
        <v/>
      </c>
    </row>
    <row r="57" spans="1:8" x14ac:dyDescent="0.25">
      <c r="A57" t="s">
        <v>7706</v>
      </c>
      <c r="B57">
        <v>905</v>
      </c>
      <c r="C57" t="s">
        <v>7711</v>
      </c>
      <c r="D57" t="s">
        <v>7845</v>
      </c>
      <c r="E57" t="s">
        <v>7444</v>
      </c>
      <c r="F57" t="s">
        <v>7445</v>
      </c>
      <c r="H57" s="9" t="str">
        <f t="shared" si="0"/>
        <v/>
      </c>
    </row>
    <row r="58" spans="1:8" x14ac:dyDescent="0.25">
      <c r="A58" t="s">
        <v>7706</v>
      </c>
      <c r="B58">
        <v>906</v>
      </c>
      <c r="C58" t="s">
        <v>7712</v>
      </c>
      <c r="D58" t="s">
        <v>7846</v>
      </c>
      <c r="E58" t="s">
        <v>7446</v>
      </c>
      <c r="F58" t="s">
        <v>7447</v>
      </c>
      <c r="H58" s="9" t="str">
        <f t="shared" si="0"/>
        <v/>
      </c>
    </row>
    <row r="59" spans="1:8" ht="30" x14ac:dyDescent="0.25">
      <c r="A59" t="s">
        <v>7706</v>
      </c>
      <c r="B59">
        <v>1101</v>
      </c>
      <c r="C59" t="s">
        <v>7713</v>
      </c>
      <c r="D59" s="257" t="s">
        <v>7847</v>
      </c>
      <c r="E59" t="s">
        <v>7448</v>
      </c>
      <c r="F59" t="s">
        <v>7449</v>
      </c>
      <c r="H59" s="9" t="str">
        <f t="shared" si="0"/>
        <v/>
      </c>
    </row>
    <row r="60" spans="1:8" ht="30" x14ac:dyDescent="0.25">
      <c r="A60" t="s">
        <v>7706</v>
      </c>
      <c r="B60">
        <v>1102</v>
      </c>
      <c r="C60" t="s">
        <v>7714</v>
      </c>
      <c r="D60" s="257" t="s">
        <v>7848</v>
      </c>
      <c r="E60" t="s">
        <v>7450</v>
      </c>
      <c r="F60" t="s">
        <v>7451</v>
      </c>
      <c r="H60" s="9" t="str">
        <f t="shared" si="0"/>
        <v/>
      </c>
    </row>
    <row r="61" spans="1:8" ht="30" x14ac:dyDescent="0.25">
      <c r="A61" t="s">
        <v>7706</v>
      </c>
      <c r="B61">
        <v>1103</v>
      </c>
      <c r="C61" t="s">
        <v>7715</v>
      </c>
      <c r="D61" s="257" t="s">
        <v>7849</v>
      </c>
      <c r="E61" t="s">
        <v>7452</v>
      </c>
      <c r="F61" t="s">
        <v>7453</v>
      </c>
      <c r="H61" s="9" t="str">
        <f t="shared" si="0"/>
        <v/>
      </c>
    </row>
    <row r="62" spans="1:8" ht="30" x14ac:dyDescent="0.25">
      <c r="A62" t="s">
        <v>7706</v>
      </c>
      <c r="B62">
        <v>1104</v>
      </c>
      <c r="C62" t="s">
        <v>7716</v>
      </c>
      <c r="D62" s="257" t="s">
        <v>7850</v>
      </c>
      <c r="E62" t="s">
        <v>7454</v>
      </c>
      <c r="F62" t="s">
        <v>7455</v>
      </c>
      <c r="H62" s="9" t="str">
        <f t="shared" si="0"/>
        <v/>
      </c>
    </row>
    <row r="63" spans="1:8" ht="30" x14ac:dyDescent="0.25">
      <c r="A63" t="s">
        <v>7706</v>
      </c>
      <c r="B63">
        <v>1105</v>
      </c>
      <c r="C63" t="s">
        <v>7717</v>
      </c>
      <c r="D63" s="257" t="s">
        <v>7851</v>
      </c>
      <c r="E63" t="s">
        <v>7456</v>
      </c>
      <c r="F63" t="s">
        <v>7457</v>
      </c>
      <c r="H63" s="9" t="str">
        <f t="shared" si="0"/>
        <v/>
      </c>
    </row>
    <row r="64" spans="1:8" ht="30" x14ac:dyDescent="0.25">
      <c r="A64" t="s">
        <v>7706</v>
      </c>
      <c r="B64">
        <v>1106</v>
      </c>
      <c r="C64" t="s">
        <v>7718</v>
      </c>
      <c r="D64" s="257" t="s">
        <v>7852</v>
      </c>
      <c r="E64" t="s">
        <v>7458</v>
      </c>
      <c r="F64" t="s">
        <v>7459</v>
      </c>
      <c r="H64" s="9" t="str">
        <f t="shared" si="0"/>
        <v/>
      </c>
    </row>
    <row r="65" spans="1:8" ht="30" x14ac:dyDescent="0.25">
      <c r="A65" t="s">
        <v>7706</v>
      </c>
      <c r="B65">
        <v>1107</v>
      </c>
      <c r="C65" t="s">
        <v>7719</v>
      </c>
      <c r="D65" s="257" t="s">
        <v>7853</v>
      </c>
      <c r="E65" t="s">
        <v>7460</v>
      </c>
      <c r="F65" t="s">
        <v>7461</v>
      </c>
      <c r="H65" s="9" t="str">
        <f t="shared" si="0"/>
        <v/>
      </c>
    </row>
    <row r="66" spans="1:8" ht="30" x14ac:dyDescent="0.25">
      <c r="A66" t="s">
        <v>7706</v>
      </c>
      <c r="B66">
        <v>1108</v>
      </c>
      <c r="C66" t="s">
        <v>7720</v>
      </c>
      <c r="D66" s="257" t="s">
        <v>7854</v>
      </c>
      <c r="E66" t="s">
        <v>7462</v>
      </c>
      <c r="F66" t="s">
        <v>7463</v>
      </c>
      <c r="H66" s="9" t="str">
        <f t="shared" si="0"/>
        <v/>
      </c>
    </row>
    <row r="67" spans="1:8" ht="30" x14ac:dyDescent="0.25">
      <c r="A67" t="s">
        <v>7706</v>
      </c>
      <c r="B67">
        <v>1109</v>
      </c>
      <c r="C67" t="s">
        <v>7721</v>
      </c>
      <c r="D67" s="257" t="s">
        <v>7855</v>
      </c>
      <c r="E67" t="s">
        <v>7464</v>
      </c>
      <c r="F67" t="s">
        <v>7465</v>
      </c>
      <c r="H67" s="9" t="str">
        <f t="shared" si="0"/>
        <v/>
      </c>
    </row>
    <row r="68" spans="1:8" x14ac:dyDescent="0.25">
      <c r="A68" t="s">
        <v>7706</v>
      </c>
      <c r="B68">
        <v>1133001</v>
      </c>
      <c r="C68" t="s">
        <v>7722</v>
      </c>
      <c r="D68" t="s">
        <v>7856</v>
      </c>
      <c r="E68" t="s">
        <v>7466</v>
      </c>
      <c r="F68" t="s">
        <v>7467</v>
      </c>
      <c r="H68" s="9" t="str">
        <f t="shared" ref="H68:H131" si="1">IF(A68="N",H67,IF(H67="",B68,H67&amp;";"&amp;B68))</f>
        <v/>
      </c>
    </row>
    <row r="69" spans="1:8" x14ac:dyDescent="0.25">
      <c r="A69" t="s">
        <v>7706</v>
      </c>
      <c r="B69">
        <v>1133002</v>
      </c>
      <c r="C69" t="s">
        <v>7723</v>
      </c>
      <c r="D69" t="s">
        <v>7857</v>
      </c>
      <c r="E69" t="s">
        <v>7468</v>
      </c>
      <c r="F69" t="s">
        <v>7469</v>
      </c>
      <c r="H69" s="9" t="str">
        <f t="shared" si="1"/>
        <v/>
      </c>
    </row>
    <row r="70" spans="1:8" x14ac:dyDescent="0.25">
      <c r="A70" t="s">
        <v>7706</v>
      </c>
      <c r="B70">
        <v>1133003</v>
      </c>
      <c r="C70" t="s">
        <v>7724</v>
      </c>
      <c r="D70" t="s">
        <v>7858</v>
      </c>
      <c r="E70" t="s">
        <v>7470</v>
      </c>
      <c r="F70" t="s">
        <v>7471</v>
      </c>
      <c r="H70" s="9" t="str">
        <f t="shared" si="1"/>
        <v/>
      </c>
    </row>
    <row r="71" spans="1:8" x14ac:dyDescent="0.25">
      <c r="A71" t="s">
        <v>7706</v>
      </c>
      <c r="B71">
        <v>1133004</v>
      </c>
      <c r="C71" t="s">
        <v>7725</v>
      </c>
      <c r="D71" t="s">
        <v>7859</v>
      </c>
      <c r="E71" t="s">
        <v>7472</v>
      </c>
      <c r="F71" t="s">
        <v>7473</v>
      </c>
      <c r="H71" s="9" t="str">
        <f t="shared" si="1"/>
        <v/>
      </c>
    </row>
    <row r="72" spans="1:8" x14ac:dyDescent="0.25">
      <c r="A72" t="s">
        <v>7706</v>
      </c>
      <c r="B72">
        <v>1133005</v>
      </c>
      <c r="C72" t="s">
        <v>7726</v>
      </c>
      <c r="D72" t="s">
        <v>7860</v>
      </c>
      <c r="E72" t="s">
        <v>7474</v>
      </c>
      <c r="F72" t="s">
        <v>7475</v>
      </c>
      <c r="H72" s="9" t="str">
        <f t="shared" si="1"/>
        <v/>
      </c>
    </row>
    <row r="73" spans="1:8" x14ac:dyDescent="0.25">
      <c r="A73" t="s">
        <v>7706</v>
      </c>
      <c r="B73">
        <v>1133006</v>
      </c>
      <c r="C73" t="s">
        <v>7727</v>
      </c>
      <c r="D73" t="s">
        <v>7861</v>
      </c>
      <c r="E73" t="s">
        <v>7476</v>
      </c>
      <c r="F73" t="s">
        <v>7477</v>
      </c>
      <c r="H73" s="9" t="str">
        <f t="shared" si="1"/>
        <v/>
      </c>
    </row>
    <row r="74" spans="1:8" x14ac:dyDescent="0.25">
      <c r="A74" t="s">
        <v>7706</v>
      </c>
      <c r="B74">
        <v>1133007</v>
      </c>
      <c r="C74" t="s">
        <v>7728</v>
      </c>
      <c r="D74" t="s">
        <v>7862</v>
      </c>
      <c r="E74" t="s">
        <v>7478</v>
      </c>
      <c r="F74" t="s">
        <v>7479</v>
      </c>
      <c r="H74" s="9" t="str">
        <f t="shared" si="1"/>
        <v/>
      </c>
    </row>
    <row r="75" spans="1:8" x14ac:dyDescent="0.25">
      <c r="A75" t="s">
        <v>7706</v>
      </c>
      <c r="B75">
        <v>1133008</v>
      </c>
      <c r="C75" t="s">
        <v>7729</v>
      </c>
      <c r="D75" t="s">
        <v>7863</v>
      </c>
      <c r="E75" t="s">
        <v>7480</v>
      </c>
      <c r="F75" t="s">
        <v>7481</v>
      </c>
      <c r="H75" s="9" t="str">
        <f t="shared" si="1"/>
        <v/>
      </c>
    </row>
    <row r="76" spans="1:8" x14ac:dyDescent="0.25">
      <c r="A76" t="s">
        <v>7706</v>
      </c>
      <c r="B76">
        <v>1133009</v>
      </c>
      <c r="C76" t="s">
        <v>7730</v>
      </c>
      <c r="D76" t="s">
        <v>7864</v>
      </c>
      <c r="E76" t="s">
        <v>7482</v>
      </c>
      <c r="F76" t="s">
        <v>7483</v>
      </c>
      <c r="H76" s="9" t="str">
        <f t="shared" si="1"/>
        <v/>
      </c>
    </row>
    <row r="77" spans="1:8" x14ac:dyDescent="0.25">
      <c r="A77" t="s">
        <v>7706</v>
      </c>
      <c r="B77">
        <v>1133010</v>
      </c>
      <c r="C77" t="s">
        <v>7731</v>
      </c>
      <c r="D77" t="s">
        <v>7865</v>
      </c>
      <c r="E77" t="s">
        <v>7484</v>
      </c>
      <c r="F77" t="s">
        <v>7485</v>
      </c>
      <c r="H77" s="9" t="str">
        <f t="shared" si="1"/>
        <v/>
      </c>
    </row>
    <row r="78" spans="1:8" x14ac:dyDescent="0.25">
      <c r="A78" t="s">
        <v>7706</v>
      </c>
      <c r="B78">
        <v>1133011</v>
      </c>
      <c r="C78" t="s">
        <v>7732</v>
      </c>
      <c r="D78" t="s">
        <v>7866</v>
      </c>
      <c r="E78" t="s">
        <v>7486</v>
      </c>
      <c r="F78" t="s">
        <v>7487</v>
      </c>
      <c r="H78" s="9" t="str">
        <f t="shared" si="1"/>
        <v/>
      </c>
    </row>
    <row r="79" spans="1:8" x14ac:dyDescent="0.25">
      <c r="A79" t="s">
        <v>7706</v>
      </c>
      <c r="B79">
        <v>1133012</v>
      </c>
      <c r="C79" t="s">
        <v>7733</v>
      </c>
      <c r="D79" t="s">
        <v>7867</v>
      </c>
      <c r="E79" t="s">
        <v>7488</v>
      </c>
      <c r="F79" t="s">
        <v>7489</v>
      </c>
      <c r="H79" s="9" t="str">
        <f t="shared" si="1"/>
        <v/>
      </c>
    </row>
    <row r="80" spans="1:8" x14ac:dyDescent="0.25">
      <c r="A80" t="s">
        <v>7706</v>
      </c>
      <c r="B80">
        <v>1133013</v>
      </c>
      <c r="C80" t="s">
        <v>7734</v>
      </c>
      <c r="D80" t="s">
        <v>7868</v>
      </c>
      <c r="E80" t="s">
        <v>7490</v>
      </c>
      <c r="F80" t="s">
        <v>7491</v>
      </c>
      <c r="H80" s="9" t="str">
        <f t="shared" si="1"/>
        <v/>
      </c>
    </row>
    <row r="81" spans="1:8" x14ac:dyDescent="0.25">
      <c r="A81" t="s">
        <v>7706</v>
      </c>
      <c r="B81">
        <v>1133014</v>
      </c>
      <c r="C81" t="s">
        <v>7735</v>
      </c>
      <c r="D81" t="s">
        <v>7869</v>
      </c>
      <c r="E81" t="s">
        <v>7492</v>
      </c>
      <c r="F81" t="s">
        <v>7493</v>
      </c>
      <c r="H81" s="9" t="str">
        <f t="shared" si="1"/>
        <v/>
      </c>
    </row>
    <row r="82" spans="1:8" x14ac:dyDescent="0.25">
      <c r="A82" t="s">
        <v>7706</v>
      </c>
      <c r="B82">
        <v>1133015</v>
      </c>
      <c r="C82" t="s">
        <v>7736</v>
      </c>
      <c r="D82" t="s">
        <v>7870</v>
      </c>
      <c r="E82" t="s">
        <v>7494</v>
      </c>
      <c r="F82" t="s">
        <v>7495</v>
      </c>
      <c r="H82" s="9" t="str">
        <f t="shared" si="1"/>
        <v/>
      </c>
    </row>
    <row r="83" spans="1:8" x14ac:dyDescent="0.25">
      <c r="A83" t="s">
        <v>7706</v>
      </c>
      <c r="B83">
        <v>1133016</v>
      </c>
      <c r="C83" t="s">
        <v>7737</v>
      </c>
      <c r="D83" t="s">
        <v>7871</v>
      </c>
      <c r="E83" t="s">
        <v>7496</v>
      </c>
      <c r="F83" t="s">
        <v>7497</v>
      </c>
      <c r="H83" s="9" t="str">
        <f t="shared" si="1"/>
        <v/>
      </c>
    </row>
    <row r="84" spans="1:8" x14ac:dyDescent="0.25">
      <c r="A84" t="s">
        <v>7706</v>
      </c>
      <c r="B84">
        <v>1133017</v>
      </c>
      <c r="C84" t="s">
        <v>7738</v>
      </c>
      <c r="D84" t="s">
        <v>7872</v>
      </c>
      <c r="E84" t="s">
        <v>7498</v>
      </c>
      <c r="F84" t="s">
        <v>7499</v>
      </c>
      <c r="H84" s="9" t="str">
        <f t="shared" si="1"/>
        <v/>
      </c>
    </row>
    <row r="85" spans="1:8" x14ac:dyDescent="0.25">
      <c r="A85" t="s">
        <v>7706</v>
      </c>
      <c r="B85">
        <v>1133018</v>
      </c>
      <c r="C85" t="s">
        <v>7739</v>
      </c>
      <c r="D85" t="s">
        <v>7873</v>
      </c>
      <c r="E85" t="s">
        <v>7500</v>
      </c>
      <c r="F85" t="s">
        <v>7501</v>
      </c>
      <c r="H85" s="9" t="str">
        <f t="shared" si="1"/>
        <v/>
      </c>
    </row>
    <row r="86" spans="1:8" x14ac:dyDescent="0.25">
      <c r="A86" t="s">
        <v>7706</v>
      </c>
      <c r="B86">
        <v>1133019</v>
      </c>
      <c r="C86" t="s">
        <v>7740</v>
      </c>
      <c r="D86" t="s">
        <v>7874</v>
      </c>
      <c r="E86" t="s">
        <v>7502</v>
      </c>
      <c r="F86" t="s">
        <v>7503</v>
      </c>
      <c r="H86" s="9" t="str">
        <f t="shared" si="1"/>
        <v/>
      </c>
    </row>
    <row r="87" spans="1:8" x14ac:dyDescent="0.25">
      <c r="A87" t="s">
        <v>7706</v>
      </c>
      <c r="B87">
        <v>1133020</v>
      </c>
      <c r="C87" t="s">
        <v>7741</v>
      </c>
      <c r="D87" t="s">
        <v>7875</v>
      </c>
      <c r="E87" t="s">
        <v>7504</v>
      </c>
      <c r="F87" t="s">
        <v>7505</v>
      </c>
      <c r="H87" s="9" t="str">
        <f t="shared" si="1"/>
        <v/>
      </c>
    </row>
    <row r="88" spans="1:8" x14ac:dyDescent="0.25">
      <c r="A88" t="s">
        <v>7706</v>
      </c>
      <c r="B88">
        <v>1133021</v>
      </c>
      <c r="C88" t="s">
        <v>7742</v>
      </c>
      <c r="D88" t="s">
        <v>7876</v>
      </c>
      <c r="E88" t="s">
        <v>7506</v>
      </c>
      <c r="F88" t="s">
        <v>7507</v>
      </c>
      <c r="H88" s="9" t="str">
        <f t="shared" si="1"/>
        <v/>
      </c>
    </row>
    <row r="89" spans="1:8" x14ac:dyDescent="0.25">
      <c r="A89" t="s">
        <v>7706</v>
      </c>
      <c r="B89">
        <v>1133022</v>
      </c>
      <c r="C89" t="s">
        <v>7743</v>
      </c>
      <c r="D89" t="s">
        <v>7877</v>
      </c>
      <c r="E89" t="s">
        <v>7508</v>
      </c>
      <c r="F89" t="s">
        <v>7509</v>
      </c>
      <c r="H89" s="9" t="str">
        <f t="shared" si="1"/>
        <v/>
      </c>
    </row>
    <row r="90" spans="1:8" x14ac:dyDescent="0.25">
      <c r="A90" t="s">
        <v>7706</v>
      </c>
      <c r="B90">
        <v>1133023</v>
      </c>
      <c r="C90" t="s">
        <v>7744</v>
      </c>
      <c r="D90" t="s">
        <v>7878</v>
      </c>
      <c r="E90" t="s">
        <v>7510</v>
      </c>
      <c r="F90" t="s">
        <v>7511</v>
      </c>
      <c r="H90" s="9" t="str">
        <f t="shared" si="1"/>
        <v/>
      </c>
    </row>
    <row r="91" spans="1:8" x14ac:dyDescent="0.25">
      <c r="A91" t="s">
        <v>7706</v>
      </c>
      <c r="B91">
        <v>1133024</v>
      </c>
      <c r="C91" t="s">
        <v>7745</v>
      </c>
      <c r="D91" t="s">
        <v>7879</v>
      </c>
      <c r="E91" t="s">
        <v>7512</v>
      </c>
      <c r="F91" t="s">
        <v>7513</v>
      </c>
      <c r="H91" s="9" t="str">
        <f t="shared" si="1"/>
        <v/>
      </c>
    </row>
    <row r="92" spans="1:8" x14ac:dyDescent="0.25">
      <c r="A92" t="s">
        <v>7706</v>
      </c>
      <c r="B92">
        <v>1133025</v>
      </c>
      <c r="C92" t="s">
        <v>7746</v>
      </c>
      <c r="D92" t="s">
        <v>7880</v>
      </c>
      <c r="E92" t="s">
        <v>7514</v>
      </c>
      <c r="F92" t="s">
        <v>7515</v>
      </c>
      <c r="H92" s="9" t="str">
        <f t="shared" si="1"/>
        <v/>
      </c>
    </row>
    <row r="93" spans="1:8" x14ac:dyDescent="0.25">
      <c r="A93" t="s">
        <v>7706</v>
      </c>
      <c r="B93">
        <v>1133026</v>
      </c>
      <c r="C93" t="s">
        <v>7747</v>
      </c>
      <c r="D93" t="s">
        <v>7881</v>
      </c>
      <c r="E93" t="s">
        <v>7516</v>
      </c>
      <c r="F93" t="s">
        <v>7517</v>
      </c>
      <c r="H93" s="9" t="str">
        <f t="shared" si="1"/>
        <v/>
      </c>
    </row>
    <row r="94" spans="1:8" x14ac:dyDescent="0.25">
      <c r="A94" t="s">
        <v>7706</v>
      </c>
      <c r="B94">
        <v>1133027</v>
      </c>
      <c r="C94" t="s">
        <v>7748</v>
      </c>
      <c r="D94" t="s">
        <v>7882</v>
      </c>
      <c r="E94" t="s">
        <v>7518</v>
      </c>
      <c r="F94" t="s">
        <v>7519</v>
      </c>
      <c r="H94" s="9" t="str">
        <f t="shared" si="1"/>
        <v/>
      </c>
    </row>
    <row r="95" spans="1:8" x14ac:dyDescent="0.25">
      <c r="A95" t="s">
        <v>7706</v>
      </c>
      <c r="B95">
        <v>1133028</v>
      </c>
      <c r="C95" t="s">
        <v>7749</v>
      </c>
      <c r="D95" t="s">
        <v>7883</v>
      </c>
      <c r="E95" t="s">
        <v>7520</v>
      </c>
      <c r="F95" t="s">
        <v>7521</v>
      </c>
      <c r="H95" s="9" t="str">
        <f t="shared" si="1"/>
        <v/>
      </c>
    </row>
    <row r="96" spans="1:8" x14ac:dyDescent="0.25">
      <c r="A96" t="s">
        <v>7706</v>
      </c>
      <c r="B96">
        <v>1133029</v>
      </c>
      <c r="C96" t="s">
        <v>7750</v>
      </c>
      <c r="D96" t="s">
        <v>7884</v>
      </c>
      <c r="E96" t="s">
        <v>7522</v>
      </c>
      <c r="F96" t="s">
        <v>7523</v>
      </c>
      <c r="H96" s="9" t="str">
        <f t="shared" si="1"/>
        <v/>
      </c>
    </row>
    <row r="97" spans="1:8" x14ac:dyDescent="0.25">
      <c r="A97" t="s">
        <v>7706</v>
      </c>
      <c r="B97">
        <v>1133030</v>
      </c>
      <c r="C97" t="s">
        <v>7751</v>
      </c>
      <c r="D97" t="s">
        <v>7885</v>
      </c>
      <c r="E97" t="s">
        <v>7524</v>
      </c>
      <c r="F97" t="s">
        <v>7525</v>
      </c>
      <c r="H97" s="9" t="str">
        <f t="shared" si="1"/>
        <v/>
      </c>
    </row>
    <row r="98" spans="1:8" x14ac:dyDescent="0.25">
      <c r="A98" t="s">
        <v>7706</v>
      </c>
      <c r="B98">
        <v>1133031</v>
      </c>
      <c r="C98" t="s">
        <v>7752</v>
      </c>
      <c r="D98" t="s">
        <v>7886</v>
      </c>
      <c r="E98" t="s">
        <v>7526</v>
      </c>
      <c r="F98" t="s">
        <v>7527</v>
      </c>
      <c r="H98" s="9" t="str">
        <f t="shared" si="1"/>
        <v/>
      </c>
    </row>
    <row r="99" spans="1:8" x14ac:dyDescent="0.25">
      <c r="A99" t="s">
        <v>7706</v>
      </c>
      <c r="B99">
        <v>1133032</v>
      </c>
      <c r="C99" t="s">
        <v>7753</v>
      </c>
      <c r="D99" t="s">
        <v>7887</v>
      </c>
      <c r="E99" t="s">
        <v>7528</v>
      </c>
      <c r="F99" t="s">
        <v>7529</v>
      </c>
      <c r="H99" s="9" t="str">
        <f t="shared" si="1"/>
        <v/>
      </c>
    </row>
    <row r="100" spans="1:8" x14ac:dyDescent="0.25">
      <c r="A100" t="s">
        <v>7706</v>
      </c>
      <c r="B100">
        <v>1133033</v>
      </c>
      <c r="C100" t="s">
        <v>7754</v>
      </c>
      <c r="D100" t="s">
        <v>7888</v>
      </c>
      <c r="E100" t="s">
        <v>7530</v>
      </c>
      <c r="F100" t="s">
        <v>7531</v>
      </c>
      <c r="H100" s="9" t="str">
        <f t="shared" si="1"/>
        <v/>
      </c>
    </row>
    <row r="101" spans="1:8" x14ac:dyDescent="0.25">
      <c r="A101" t="s">
        <v>7706</v>
      </c>
      <c r="B101">
        <v>1133034</v>
      </c>
      <c r="C101" t="s">
        <v>7755</v>
      </c>
      <c r="D101" t="s">
        <v>7889</v>
      </c>
      <c r="E101" t="s">
        <v>7532</v>
      </c>
      <c r="F101" t="s">
        <v>7533</v>
      </c>
      <c r="H101" s="9" t="str">
        <f t="shared" si="1"/>
        <v/>
      </c>
    </row>
    <row r="102" spans="1:8" x14ac:dyDescent="0.25">
      <c r="A102" t="s">
        <v>7706</v>
      </c>
      <c r="B102">
        <v>1133035</v>
      </c>
      <c r="C102" t="s">
        <v>7756</v>
      </c>
      <c r="D102" t="s">
        <v>7890</v>
      </c>
      <c r="E102" t="s">
        <v>7534</v>
      </c>
      <c r="F102" t="s">
        <v>7535</v>
      </c>
      <c r="H102" s="9" t="str">
        <f t="shared" si="1"/>
        <v/>
      </c>
    </row>
    <row r="103" spans="1:8" x14ac:dyDescent="0.25">
      <c r="A103" t="s">
        <v>7706</v>
      </c>
      <c r="B103">
        <v>1133036</v>
      </c>
      <c r="C103" t="s">
        <v>7757</v>
      </c>
      <c r="D103" t="s">
        <v>7891</v>
      </c>
      <c r="E103" t="s">
        <v>7536</v>
      </c>
      <c r="F103" t="s">
        <v>7537</v>
      </c>
      <c r="H103" s="9" t="str">
        <f t="shared" si="1"/>
        <v/>
      </c>
    </row>
    <row r="104" spans="1:8" x14ac:dyDescent="0.25">
      <c r="A104" t="s">
        <v>7706</v>
      </c>
      <c r="B104">
        <v>1133037</v>
      </c>
      <c r="C104" t="s">
        <v>7758</v>
      </c>
      <c r="D104" t="s">
        <v>7892</v>
      </c>
      <c r="E104" t="s">
        <v>7538</v>
      </c>
      <c r="F104" t="s">
        <v>7539</v>
      </c>
      <c r="H104" s="9" t="str">
        <f t="shared" si="1"/>
        <v/>
      </c>
    </row>
    <row r="105" spans="1:8" x14ac:dyDescent="0.25">
      <c r="A105" t="s">
        <v>7706</v>
      </c>
      <c r="B105">
        <v>1133038</v>
      </c>
      <c r="C105" t="s">
        <v>7759</v>
      </c>
      <c r="D105" t="s">
        <v>7893</v>
      </c>
      <c r="E105" t="s">
        <v>7540</v>
      </c>
      <c r="F105" t="s">
        <v>7541</v>
      </c>
      <c r="H105" s="9" t="str">
        <f t="shared" si="1"/>
        <v/>
      </c>
    </row>
    <row r="106" spans="1:8" x14ac:dyDescent="0.25">
      <c r="A106" t="s">
        <v>7706</v>
      </c>
      <c r="B106">
        <v>1133039</v>
      </c>
      <c r="C106" t="s">
        <v>7760</v>
      </c>
      <c r="D106" t="s">
        <v>7894</v>
      </c>
      <c r="E106" t="s">
        <v>7542</v>
      </c>
      <c r="F106" t="s">
        <v>7543</v>
      </c>
      <c r="H106" s="9" t="str">
        <f t="shared" si="1"/>
        <v/>
      </c>
    </row>
    <row r="107" spans="1:8" x14ac:dyDescent="0.25">
      <c r="A107" t="s">
        <v>7706</v>
      </c>
      <c r="B107">
        <v>1133040</v>
      </c>
      <c r="C107" t="s">
        <v>7761</v>
      </c>
      <c r="D107" t="s">
        <v>7895</v>
      </c>
      <c r="E107" t="s">
        <v>7544</v>
      </c>
      <c r="F107" t="s">
        <v>7545</v>
      </c>
      <c r="H107" s="9" t="str">
        <f t="shared" si="1"/>
        <v/>
      </c>
    </row>
    <row r="108" spans="1:8" x14ac:dyDescent="0.25">
      <c r="A108" t="s">
        <v>7706</v>
      </c>
      <c r="B108">
        <v>1133041</v>
      </c>
      <c r="C108" t="s">
        <v>7762</v>
      </c>
      <c r="D108" t="s">
        <v>7896</v>
      </c>
      <c r="E108" t="s">
        <v>7546</v>
      </c>
      <c r="F108" t="s">
        <v>7547</v>
      </c>
      <c r="H108" s="9" t="str">
        <f t="shared" si="1"/>
        <v/>
      </c>
    </row>
    <row r="109" spans="1:8" x14ac:dyDescent="0.25">
      <c r="A109" t="s">
        <v>7706</v>
      </c>
      <c r="B109">
        <v>1133042</v>
      </c>
      <c r="C109" t="s">
        <v>7763</v>
      </c>
      <c r="D109" t="s">
        <v>7897</v>
      </c>
      <c r="E109" t="s">
        <v>7548</v>
      </c>
      <c r="F109" t="s">
        <v>7549</v>
      </c>
      <c r="H109" s="9" t="str">
        <f t="shared" si="1"/>
        <v/>
      </c>
    </row>
    <row r="110" spans="1:8" x14ac:dyDescent="0.25">
      <c r="A110" t="s">
        <v>7706</v>
      </c>
      <c r="B110">
        <v>1133043</v>
      </c>
      <c r="C110" t="s">
        <v>7764</v>
      </c>
      <c r="D110" t="s">
        <v>7898</v>
      </c>
      <c r="E110" t="s">
        <v>7550</v>
      </c>
      <c r="F110" t="s">
        <v>7551</v>
      </c>
      <c r="H110" s="9" t="str">
        <f t="shared" si="1"/>
        <v/>
      </c>
    </row>
    <row r="111" spans="1:8" x14ac:dyDescent="0.25">
      <c r="A111" t="s">
        <v>7706</v>
      </c>
      <c r="B111">
        <v>1133044</v>
      </c>
      <c r="C111" t="s">
        <v>7765</v>
      </c>
      <c r="D111" t="s">
        <v>7899</v>
      </c>
      <c r="E111" t="s">
        <v>7552</v>
      </c>
      <c r="F111" t="s">
        <v>7553</v>
      </c>
      <c r="H111" s="9" t="str">
        <f t="shared" si="1"/>
        <v/>
      </c>
    </row>
    <row r="112" spans="1:8" x14ac:dyDescent="0.25">
      <c r="A112" t="s">
        <v>7706</v>
      </c>
      <c r="B112">
        <v>1133045</v>
      </c>
      <c r="C112" t="s">
        <v>7766</v>
      </c>
      <c r="D112" t="s">
        <v>7900</v>
      </c>
      <c r="E112" t="s">
        <v>7554</v>
      </c>
      <c r="F112" t="s">
        <v>7555</v>
      </c>
      <c r="H112" s="9" t="str">
        <f t="shared" si="1"/>
        <v/>
      </c>
    </row>
    <row r="113" spans="1:8" x14ac:dyDescent="0.25">
      <c r="A113" t="s">
        <v>7706</v>
      </c>
      <c r="B113">
        <v>1133046</v>
      </c>
      <c r="C113" t="s">
        <v>7767</v>
      </c>
      <c r="D113" t="s">
        <v>7901</v>
      </c>
      <c r="E113" t="s">
        <v>7556</v>
      </c>
      <c r="F113" t="s">
        <v>7557</v>
      </c>
      <c r="H113" s="9" t="str">
        <f t="shared" si="1"/>
        <v/>
      </c>
    </row>
    <row r="114" spans="1:8" x14ac:dyDescent="0.25">
      <c r="A114" t="s">
        <v>7706</v>
      </c>
      <c r="B114">
        <v>1133047</v>
      </c>
      <c r="C114" t="s">
        <v>7768</v>
      </c>
      <c r="D114" t="s">
        <v>7902</v>
      </c>
      <c r="E114" t="s">
        <v>7558</v>
      </c>
      <c r="F114" t="s">
        <v>7559</v>
      </c>
      <c r="H114" s="9" t="str">
        <f t="shared" si="1"/>
        <v/>
      </c>
    </row>
    <row r="115" spans="1:8" x14ac:dyDescent="0.25">
      <c r="A115" t="s">
        <v>7706</v>
      </c>
      <c r="B115">
        <v>1133048</v>
      </c>
      <c r="C115" t="s">
        <v>7769</v>
      </c>
      <c r="D115" t="s">
        <v>7903</v>
      </c>
      <c r="E115" t="s">
        <v>7560</v>
      </c>
      <c r="F115" t="s">
        <v>7561</v>
      </c>
      <c r="H115" s="9" t="str">
        <f t="shared" si="1"/>
        <v/>
      </c>
    </row>
    <row r="116" spans="1:8" x14ac:dyDescent="0.25">
      <c r="A116" t="s">
        <v>7706</v>
      </c>
      <c r="B116">
        <v>1133049</v>
      </c>
      <c r="C116" t="s">
        <v>7770</v>
      </c>
      <c r="D116" t="s">
        <v>7904</v>
      </c>
      <c r="E116" t="s">
        <v>7562</v>
      </c>
      <c r="F116" t="s">
        <v>7563</v>
      </c>
      <c r="H116" s="9" t="str">
        <f t="shared" si="1"/>
        <v/>
      </c>
    </row>
    <row r="117" spans="1:8" x14ac:dyDescent="0.25">
      <c r="A117" t="s">
        <v>7706</v>
      </c>
      <c r="B117">
        <v>1133050</v>
      </c>
      <c r="C117" t="s">
        <v>7771</v>
      </c>
      <c r="D117" t="s">
        <v>7905</v>
      </c>
      <c r="E117" t="s">
        <v>7564</v>
      </c>
      <c r="F117" t="s">
        <v>7565</v>
      </c>
      <c r="H117" s="9" t="str">
        <f t="shared" si="1"/>
        <v/>
      </c>
    </row>
    <row r="118" spans="1:8" x14ac:dyDescent="0.25">
      <c r="A118" t="s">
        <v>7706</v>
      </c>
      <c r="B118">
        <v>1133051</v>
      </c>
      <c r="C118" t="s">
        <v>7772</v>
      </c>
      <c r="D118" t="s">
        <v>7906</v>
      </c>
      <c r="E118" t="s">
        <v>7566</v>
      </c>
      <c r="F118" t="s">
        <v>7567</v>
      </c>
      <c r="H118" s="9" t="str">
        <f t="shared" si="1"/>
        <v/>
      </c>
    </row>
    <row r="119" spans="1:8" x14ac:dyDescent="0.25">
      <c r="A119" t="s">
        <v>7706</v>
      </c>
      <c r="B119">
        <v>1133052</v>
      </c>
      <c r="C119" t="s">
        <v>7773</v>
      </c>
      <c r="D119" t="s">
        <v>7907</v>
      </c>
      <c r="E119" t="s">
        <v>7568</v>
      </c>
      <c r="F119" t="s">
        <v>7569</v>
      </c>
      <c r="H119" s="9" t="str">
        <f t="shared" si="1"/>
        <v/>
      </c>
    </row>
    <row r="120" spans="1:8" x14ac:dyDescent="0.25">
      <c r="A120" t="s">
        <v>7706</v>
      </c>
      <c r="B120">
        <v>1133053</v>
      </c>
      <c r="C120" t="s">
        <v>7774</v>
      </c>
      <c r="D120" t="s">
        <v>7908</v>
      </c>
      <c r="E120" t="s">
        <v>7570</v>
      </c>
      <c r="F120" t="s">
        <v>7571</v>
      </c>
      <c r="H120" s="9" t="str">
        <f t="shared" si="1"/>
        <v/>
      </c>
    </row>
    <row r="121" spans="1:8" x14ac:dyDescent="0.25">
      <c r="A121" t="s">
        <v>7706</v>
      </c>
      <c r="B121">
        <v>1133054</v>
      </c>
      <c r="C121" t="s">
        <v>7775</v>
      </c>
      <c r="D121" t="s">
        <v>7909</v>
      </c>
      <c r="E121" t="s">
        <v>7572</v>
      </c>
      <c r="F121" t="s">
        <v>7573</v>
      </c>
      <c r="H121" s="9" t="str">
        <f t="shared" si="1"/>
        <v/>
      </c>
    </row>
    <row r="122" spans="1:8" x14ac:dyDescent="0.25">
      <c r="A122" t="s">
        <v>7706</v>
      </c>
      <c r="B122">
        <v>1133055</v>
      </c>
      <c r="C122" t="s">
        <v>7776</v>
      </c>
      <c r="D122" t="s">
        <v>7910</v>
      </c>
      <c r="E122" t="s">
        <v>7574</v>
      </c>
      <c r="F122" t="s">
        <v>7575</v>
      </c>
      <c r="H122" s="9" t="str">
        <f t="shared" si="1"/>
        <v/>
      </c>
    </row>
    <row r="123" spans="1:8" x14ac:dyDescent="0.25">
      <c r="A123" t="s">
        <v>7706</v>
      </c>
      <c r="B123">
        <v>1133056</v>
      </c>
      <c r="C123" t="s">
        <v>7777</v>
      </c>
      <c r="D123" t="s">
        <v>7911</v>
      </c>
      <c r="E123" t="s">
        <v>7576</v>
      </c>
      <c r="F123" t="s">
        <v>7577</v>
      </c>
      <c r="H123" s="9" t="str">
        <f t="shared" si="1"/>
        <v/>
      </c>
    </row>
    <row r="124" spans="1:8" x14ac:dyDescent="0.25">
      <c r="A124" t="s">
        <v>7706</v>
      </c>
      <c r="B124">
        <v>1133057</v>
      </c>
      <c r="C124" t="s">
        <v>7778</v>
      </c>
      <c r="D124" t="s">
        <v>7912</v>
      </c>
      <c r="E124" t="s">
        <v>7578</v>
      </c>
      <c r="F124" t="s">
        <v>7579</v>
      </c>
      <c r="H124" s="9" t="str">
        <f t="shared" si="1"/>
        <v/>
      </c>
    </row>
    <row r="125" spans="1:8" x14ac:dyDescent="0.25">
      <c r="A125" t="s">
        <v>7706</v>
      </c>
      <c r="B125">
        <v>1133058</v>
      </c>
      <c r="C125" t="s">
        <v>7779</v>
      </c>
      <c r="D125" t="s">
        <v>7913</v>
      </c>
      <c r="E125" t="s">
        <v>7580</v>
      </c>
      <c r="F125" t="s">
        <v>7581</v>
      </c>
      <c r="H125" s="9" t="str">
        <f t="shared" si="1"/>
        <v/>
      </c>
    </row>
    <row r="126" spans="1:8" x14ac:dyDescent="0.25">
      <c r="A126" t="s">
        <v>7706</v>
      </c>
      <c r="B126">
        <v>1133059</v>
      </c>
      <c r="C126" t="s">
        <v>7780</v>
      </c>
      <c r="D126" t="s">
        <v>7914</v>
      </c>
      <c r="E126" t="s">
        <v>7582</v>
      </c>
      <c r="F126" t="s">
        <v>7583</v>
      </c>
      <c r="H126" s="9" t="str">
        <f t="shared" si="1"/>
        <v/>
      </c>
    </row>
    <row r="127" spans="1:8" x14ac:dyDescent="0.25">
      <c r="A127" t="s">
        <v>7706</v>
      </c>
      <c r="B127">
        <v>1133060</v>
      </c>
      <c r="C127" t="s">
        <v>7781</v>
      </c>
      <c r="D127" t="s">
        <v>7915</v>
      </c>
      <c r="E127" t="s">
        <v>7584</v>
      </c>
      <c r="F127" t="s">
        <v>7585</v>
      </c>
      <c r="H127" s="9" t="str">
        <f t="shared" si="1"/>
        <v/>
      </c>
    </row>
    <row r="128" spans="1:8" x14ac:dyDescent="0.25">
      <c r="A128" t="s">
        <v>7706</v>
      </c>
      <c r="B128">
        <v>1133061</v>
      </c>
      <c r="C128" t="s">
        <v>7782</v>
      </c>
      <c r="D128" t="s">
        <v>7916</v>
      </c>
      <c r="E128" t="s">
        <v>7586</v>
      </c>
      <c r="F128" t="s">
        <v>7587</v>
      </c>
      <c r="H128" s="9" t="str">
        <f t="shared" si="1"/>
        <v/>
      </c>
    </row>
    <row r="129" spans="1:8" x14ac:dyDescent="0.25">
      <c r="A129" t="s">
        <v>7706</v>
      </c>
      <c r="B129">
        <v>1133062</v>
      </c>
      <c r="C129" t="s">
        <v>7783</v>
      </c>
      <c r="D129" t="s">
        <v>7917</v>
      </c>
      <c r="E129" t="s">
        <v>7588</v>
      </c>
      <c r="F129" t="s">
        <v>7589</v>
      </c>
      <c r="H129" s="9" t="str">
        <f t="shared" si="1"/>
        <v/>
      </c>
    </row>
    <row r="130" spans="1:8" x14ac:dyDescent="0.25">
      <c r="A130" t="s">
        <v>7706</v>
      </c>
      <c r="B130">
        <v>1133063</v>
      </c>
      <c r="C130" t="s">
        <v>7784</v>
      </c>
      <c r="D130" t="s">
        <v>7918</v>
      </c>
      <c r="E130" t="s">
        <v>7590</v>
      </c>
      <c r="F130" t="s">
        <v>7591</v>
      </c>
      <c r="H130" s="9" t="str">
        <f t="shared" si="1"/>
        <v/>
      </c>
    </row>
    <row r="131" spans="1:8" x14ac:dyDescent="0.25">
      <c r="A131" t="s">
        <v>7706</v>
      </c>
      <c r="B131">
        <v>1133064</v>
      </c>
      <c r="C131" t="s">
        <v>7785</v>
      </c>
      <c r="D131" t="s">
        <v>7919</v>
      </c>
      <c r="E131" t="s">
        <v>7592</v>
      </c>
      <c r="F131" t="s">
        <v>7593</v>
      </c>
      <c r="H131" s="9" t="str">
        <f t="shared" si="1"/>
        <v/>
      </c>
    </row>
    <row r="132" spans="1:8" x14ac:dyDescent="0.25">
      <c r="A132" t="s">
        <v>7706</v>
      </c>
      <c r="B132">
        <v>1133065</v>
      </c>
      <c r="C132" t="s">
        <v>7786</v>
      </c>
      <c r="D132" t="s">
        <v>7920</v>
      </c>
      <c r="E132" t="s">
        <v>7594</v>
      </c>
      <c r="F132" t="s">
        <v>7595</v>
      </c>
      <c r="H132" s="9" t="str">
        <f t="shared" ref="H132:H187" si="2">IF(A132="N",H131,IF(H131="",B132,H131&amp;";"&amp;B132))</f>
        <v/>
      </c>
    </row>
    <row r="133" spans="1:8" x14ac:dyDescent="0.25">
      <c r="A133" t="s">
        <v>7706</v>
      </c>
      <c r="B133">
        <v>1133066</v>
      </c>
      <c r="C133" t="s">
        <v>7787</v>
      </c>
      <c r="D133" t="s">
        <v>7921</v>
      </c>
      <c r="E133" t="s">
        <v>7596</v>
      </c>
      <c r="F133" t="s">
        <v>7597</v>
      </c>
      <c r="H133" s="9" t="str">
        <f t="shared" si="2"/>
        <v/>
      </c>
    </row>
    <row r="134" spans="1:8" x14ac:dyDescent="0.25">
      <c r="A134" t="s">
        <v>7706</v>
      </c>
      <c r="B134">
        <v>1133067</v>
      </c>
      <c r="C134" t="s">
        <v>7788</v>
      </c>
      <c r="D134" t="s">
        <v>7922</v>
      </c>
      <c r="E134" t="s">
        <v>7598</v>
      </c>
      <c r="F134" t="s">
        <v>7599</v>
      </c>
      <c r="H134" s="9" t="str">
        <f t="shared" si="2"/>
        <v/>
      </c>
    </row>
    <row r="135" spans="1:8" x14ac:dyDescent="0.25">
      <c r="A135" t="s">
        <v>7706</v>
      </c>
      <c r="B135">
        <v>1133068</v>
      </c>
      <c r="C135" t="s">
        <v>7789</v>
      </c>
      <c r="D135" t="s">
        <v>7923</v>
      </c>
      <c r="E135" t="s">
        <v>7600</v>
      </c>
      <c r="F135" t="s">
        <v>7601</v>
      </c>
      <c r="H135" s="9" t="str">
        <f t="shared" si="2"/>
        <v/>
      </c>
    </row>
    <row r="136" spans="1:8" x14ac:dyDescent="0.25">
      <c r="A136" t="s">
        <v>7706</v>
      </c>
      <c r="B136">
        <v>1133069</v>
      </c>
      <c r="C136" t="s">
        <v>7790</v>
      </c>
      <c r="D136" t="s">
        <v>7924</v>
      </c>
      <c r="E136" t="s">
        <v>7602</v>
      </c>
      <c r="F136" t="s">
        <v>7603</v>
      </c>
      <c r="H136" s="9" t="str">
        <f t="shared" si="2"/>
        <v/>
      </c>
    </row>
    <row r="137" spans="1:8" x14ac:dyDescent="0.25">
      <c r="A137" t="s">
        <v>7706</v>
      </c>
      <c r="B137">
        <v>1133070</v>
      </c>
      <c r="C137" t="s">
        <v>7791</v>
      </c>
      <c r="D137" t="s">
        <v>7925</v>
      </c>
      <c r="E137" t="s">
        <v>7604</v>
      </c>
      <c r="F137" t="s">
        <v>7605</v>
      </c>
      <c r="H137" s="9" t="str">
        <f t="shared" si="2"/>
        <v/>
      </c>
    </row>
    <row r="138" spans="1:8" x14ac:dyDescent="0.25">
      <c r="A138" t="s">
        <v>7706</v>
      </c>
      <c r="B138">
        <v>1133071</v>
      </c>
      <c r="C138" t="s">
        <v>7792</v>
      </c>
      <c r="D138" t="s">
        <v>7926</v>
      </c>
      <c r="E138" t="s">
        <v>7606</v>
      </c>
      <c r="F138" t="s">
        <v>7607</v>
      </c>
      <c r="H138" s="9" t="str">
        <f t="shared" si="2"/>
        <v/>
      </c>
    </row>
    <row r="139" spans="1:8" x14ac:dyDescent="0.25">
      <c r="A139" t="s">
        <v>7706</v>
      </c>
      <c r="B139">
        <v>1133072</v>
      </c>
      <c r="C139" t="s">
        <v>7793</v>
      </c>
      <c r="D139" t="s">
        <v>7927</v>
      </c>
      <c r="E139" t="s">
        <v>7608</v>
      </c>
      <c r="F139" t="s">
        <v>7609</v>
      </c>
      <c r="H139" s="9" t="str">
        <f t="shared" si="2"/>
        <v/>
      </c>
    </row>
    <row r="140" spans="1:8" x14ac:dyDescent="0.25">
      <c r="A140" t="s">
        <v>7706</v>
      </c>
      <c r="B140">
        <v>1133073</v>
      </c>
      <c r="C140" t="s">
        <v>7794</v>
      </c>
      <c r="D140" t="s">
        <v>7928</v>
      </c>
      <c r="E140" t="s">
        <v>7610</v>
      </c>
      <c r="F140" t="s">
        <v>7611</v>
      </c>
      <c r="H140" s="9" t="str">
        <f t="shared" si="2"/>
        <v/>
      </c>
    </row>
    <row r="141" spans="1:8" x14ac:dyDescent="0.25">
      <c r="A141" t="s">
        <v>7706</v>
      </c>
      <c r="B141">
        <v>1133074</v>
      </c>
      <c r="C141" t="s">
        <v>7795</v>
      </c>
      <c r="D141" t="s">
        <v>7929</v>
      </c>
      <c r="E141" t="s">
        <v>7612</v>
      </c>
      <c r="F141" t="s">
        <v>7613</v>
      </c>
      <c r="H141" s="9" t="str">
        <f t="shared" si="2"/>
        <v/>
      </c>
    </row>
    <row r="142" spans="1:8" x14ac:dyDescent="0.25">
      <c r="A142" t="s">
        <v>7706</v>
      </c>
      <c r="B142">
        <v>1133075</v>
      </c>
      <c r="C142" t="s">
        <v>7796</v>
      </c>
      <c r="D142" t="s">
        <v>7930</v>
      </c>
      <c r="E142" t="s">
        <v>7614</v>
      </c>
      <c r="F142" t="s">
        <v>7615</v>
      </c>
      <c r="H142" s="9" t="str">
        <f t="shared" si="2"/>
        <v/>
      </c>
    </row>
    <row r="143" spans="1:8" x14ac:dyDescent="0.25">
      <c r="A143" t="s">
        <v>7706</v>
      </c>
      <c r="B143">
        <v>1133076</v>
      </c>
      <c r="C143" t="s">
        <v>7797</v>
      </c>
      <c r="D143" t="s">
        <v>7931</v>
      </c>
      <c r="E143" t="s">
        <v>7616</v>
      </c>
      <c r="F143" t="s">
        <v>7617</v>
      </c>
      <c r="H143" s="9" t="str">
        <f t="shared" si="2"/>
        <v/>
      </c>
    </row>
    <row r="144" spans="1:8" x14ac:dyDescent="0.25">
      <c r="A144" t="s">
        <v>7706</v>
      </c>
      <c r="B144">
        <v>1133077</v>
      </c>
      <c r="C144" t="s">
        <v>7798</v>
      </c>
      <c r="D144" t="s">
        <v>7932</v>
      </c>
      <c r="E144" t="s">
        <v>7618</v>
      </c>
      <c r="F144" t="s">
        <v>7619</v>
      </c>
      <c r="H144" s="9" t="str">
        <f t="shared" si="2"/>
        <v/>
      </c>
    </row>
    <row r="145" spans="1:8" x14ac:dyDescent="0.25">
      <c r="A145" t="s">
        <v>7706</v>
      </c>
      <c r="B145">
        <v>1133078</v>
      </c>
      <c r="C145" t="s">
        <v>7799</v>
      </c>
      <c r="D145" t="s">
        <v>7933</v>
      </c>
      <c r="E145" t="s">
        <v>7620</v>
      </c>
      <c r="F145" t="s">
        <v>7621</v>
      </c>
      <c r="H145" s="9" t="str">
        <f t="shared" si="2"/>
        <v/>
      </c>
    </row>
    <row r="146" spans="1:8" x14ac:dyDescent="0.25">
      <c r="A146" t="s">
        <v>7706</v>
      </c>
      <c r="B146">
        <v>1133079</v>
      </c>
      <c r="C146" t="s">
        <v>7800</v>
      </c>
      <c r="D146" t="s">
        <v>7934</v>
      </c>
      <c r="E146" t="s">
        <v>7622</v>
      </c>
      <c r="F146" t="s">
        <v>7623</v>
      </c>
      <c r="H146" s="9" t="str">
        <f t="shared" si="2"/>
        <v/>
      </c>
    </row>
    <row r="147" spans="1:8" x14ac:dyDescent="0.25">
      <c r="A147" t="s">
        <v>7706</v>
      </c>
      <c r="B147">
        <v>1133080</v>
      </c>
      <c r="C147" t="s">
        <v>7801</v>
      </c>
      <c r="D147" t="s">
        <v>7935</v>
      </c>
      <c r="E147" t="s">
        <v>7624</v>
      </c>
      <c r="F147" t="s">
        <v>7625</v>
      </c>
      <c r="H147" s="9" t="str">
        <f t="shared" si="2"/>
        <v/>
      </c>
    </row>
    <row r="148" spans="1:8" x14ac:dyDescent="0.25">
      <c r="A148" t="s">
        <v>7706</v>
      </c>
      <c r="B148">
        <v>1133081</v>
      </c>
      <c r="C148" t="s">
        <v>7802</v>
      </c>
      <c r="D148" t="s">
        <v>7936</v>
      </c>
      <c r="E148" t="s">
        <v>7626</v>
      </c>
      <c r="F148" t="s">
        <v>7627</v>
      </c>
      <c r="H148" s="9" t="str">
        <f t="shared" si="2"/>
        <v/>
      </c>
    </row>
    <row r="149" spans="1:8" x14ac:dyDescent="0.25">
      <c r="A149" t="s">
        <v>7706</v>
      </c>
      <c r="B149">
        <v>1133082</v>
      </c>
      <c r="C149" t="s">
        <v>7803</v>
      </c>
      <c r="D149" t="s">
        <v>7937</v>
      </c>
      <c r="E149" t="s">
        <v>7628</v>
      </c>
      <c r="F149" t="s">
        <v>7629</v>
      </c>
      <c r="H149" s="9" t="str">
        <f t="shared" si="2"/>
        <v/>
      </c>
    </row>
    <row r="150" spans="1:8" x14ac:dyDescent="0.25">
      <c r="A150" t="s">
        <v>7706</v>
      </c>
      <c r="B150">
        <v>1133083</v>
      </c>
      <c r="C150" t="s">
        <v>7804</v>
      </c>
      <c r="D150" t="s">
        <v>7938</v>
      </c>
      <c r="E150" t="s">
        <v>7630</v>
      </c>
      <c r="F150" t="s">
        <v>7631</v>
      </c>
      <c r="H150" s="9" t="str">
        <f t="shared" si="2"/>
        <v/>
      </c>
    </row>
    <row r="151" spans="1:8" x14ac:dyDescent="0.25">
      <c r="A151" t="s">
        <v>7706</v>
      </c>
      <c r="B151">
        <v>1133084</v>
      </c>
      <c r="C151" t="s">
        <v>7805</v>
      </c>
      <c r="D151" t="s">
        <v>7939</v>
      </c>
      <c r="E151" t="s">
        <v>7632</v>
      </c>
      <c r="F151" t="s">
        <v>7633</v>
      </c>
      <c r="H151" s="9" t="str">
        <f t="shared" si="2"/>
        <v/>
      </c>
    </row>
    <row r="152" spans="1:8" x14ac:dyDescent="0.25">
      <c r="A152" t="s">
        <v>7706</v>
      </c>
      <c r="B152">
        <v>1133085</v>
      </c>
      <c r="C152" t="s">
        <v>7806</v>
      </c>
      <c r="D152" t="s">
        <v>7940</v>
      </c>
      <c r="E152" t="s">
        <v>7634</v>
      </c>
      <c r="F152" t="s">
        <v>7635</v>
      </c>
      <c r="H152" s="9" t="str">
        <f t="shared" si="2"/>
        <v/>
      </c>
    </row>
    <row r="153" spans="1:8" x14ac:dyDescent="0.25">
      <c r="A153" t="s">
        <v>7706</v>
      </c>
      <c r="B153">
        <v>12020101</v>
      </c>
      <c r="C153" t="s">
        <v>7807</v>
      </c>
      <c r="D153" t="s">
        <v>7941</v>
      </c>
      <c r="E153" t="s">
        <v>7636</v>
      </c>
      <c r="F153" t="s">
        <v>7637</v>
      </c>
      <c r="H153" s="9" t="str">
        <f t="shared" si="2"/>
        <v/>
      </c>
    </row>
    <row r="154" spans="1:8" x14ac:dyDescent="0.25">
      <c r="A154" t="s">
        <v>7706</v>
      </c>
      <c r="B154">
        <v>12020201</v>
      </c>
      <c r="C154" t="s">
        <v>7808</v>
      </c>
      <c r="D154" t="s">
        <v>7942</v>
      </c>
      <c r="E154" t="s">
        <v>7638</v>
      </c>
      <c r="F154" t="s">
        <v>7639</v>
      </c>
      <c r="H154" s="9" t="str">
        <f t="shared" si="2"/>
        <v/>
      </c>
    </row>
    <row r="155" spans="1:8" x14ac:dyDescent="0.25">
      <c r="A155" t="s">
        <v>7706</v>
      </c>
      <c r="B155">
        <v>12020301</v>
      </c>
      <c r="C155" t="s">
        <v>7809</v>
      </c>
      <c r="D155" t="s">
        <v>7943</v>
      </c>
      <c r="E155" t="s">
        <v>7640</v>
      </c>
      <c r="F155" t="s">
        <v>7641</v>
      </c>
      <c r="H155" s="9" t="str">
        <f t="shared" si="2"/>
        <v/>
      </c>
    </row>
    <row r="156" spans="1:8" x14ac:dyDescent="0.25">
      <c r="A156" t="s">
        <v>7706</v>
      </c>
      <c r="B156">
        <v>12020401</v>
      </c>
      <c r="C156" t="s">
        <v>7810</v>
      </c>
      <c r="D156" t="s">
        <v>7944</v>
      </c>
      <c r="E156" t="s">
        <v>7642</v>
      </c>
      <c r="F156" t="s">
        <v>7643</v>
      </c>
      <c r="H156" s="9" t="str">
        <f t="shared" si="2"/>
        <v/>
      </c>
    </row>
    <row r="157" spans="1:8" x14ac:dyDescent="0.25">
      <c r="A157" t="s">
        <v>7706</v>
      </c>
      <c r="B157">
        <v>12020501</v>
      </c>
      <c r="C157" t="s">
        <v>7742</v>
      </c>
      <c r="D157" t="s">
        <v>7945</v>
      </c>
      <c r="E157" t="s">
        <v>7644</v>
      </c>
      <c r="F157" t="s">
        <v>7645</v>
      </c>
      <c r="H157" s="9" t="str">
        <f t="shared" si="2"/>
        <v/>
      </c>
    </row>
    <row r="158" spans="1:8" x14ac:dyDescent="0.25">
      <c r="A158" t="s">
        <v>7706</v>
      </c>
      <c r="B158">
        <v>12020601</v>
      </c>
      <c r="C158" t="s">
        <v>7811</v>
      </c>
      <c r="D158" t="s">
        <v>7946</v>
      </c>
      <c r="E158" t="s">
        <v>7646</v>
      </c>
      <c r="F158" t="s">
        <v>7647</v>
      </c>
      <c r="H158" s="9" t="str">
        <f t="shared" si="2"/>
        <v/>
      </c>
    </row>
    <row r="159" spans="1:8" x14ac:dyDescent="0.25">
      <c r="A159" t="s">
        <v>7706</v>
      </c>
      <c r="B159">
        <v>12020701</v>
      </c>
      <c r="C159" t="s">
        <v>7812</v>
      </c>
      <c r="D159" t="s">
        <v>7947</v>
      </c>
      <c r="E159" t="s">
        <v>7648</v>
      </c>
      <c r="F159" t="s">
        <v>7649</v>
      </c>
      <c r="H159" s="9" t="str">
        <f t="shared" si="2"/>
        <v/>
      </c>
    </row>
    <row r="160" spans="1:8" x14ac:dyDescent="0.25">
      <c r="A160" t="s">
        <v>7706</v>
      </c>
      <c r="B160">
        <v>12020801</v>
      </c>
      <c r="C160" t="s">
        <v>7813</v>
      </c>
      <c r="D160" t="s">
        <v>7948</v>
      </c>
      <c r="E160" t="s">
        <v>7650</v>
      </c>
      <c r="F160" t="s">
        <v>7651</v>
      </c>
      <c r="H160" s="9" t="str">
        <f t="shared" si="2"/>
        <v/>
      </c>
    </row>
    <row r="161" spans="1:8" x14ac:dyDescent="0.25">
      <c r="A161" t="s">
        <v>7706</v>
      </c>
      <c r="B161">
        <v>12020901</v>
      </c>
      <c r="C161" t="s">
        <v>7814</v>
      </c>
      <c r="D161" t="s">
        <v>7949</v>
      </c>
      <c r="E161" t="s">
        <v>7652</v>
      </c>
      <c r="F161" t="s">
        <v>7653</v>
      </c>
      <c r="H161" s="9" t="str">
        <f t="shared" si="2"/>
        <v/>
      </c>
    </row>
    <row r="162" spans="1:8" x14ac:dyDescent="0.25">
      <c r="A162" t="s">
        <v>7706</v>
      </c>
      <c r="B162">
        <v>12021001</v>
      </c>
      <c r="C162" t="s">
        <v>7815</v>
      </c>
      <c r="D162" t="s">
        <v>7950</v>
      </c>
      <c r="E162" t="s">
        <v>7654</v>
      </c>
      <c r="F162" t="s">
        <v>7655</v>
      </c>
      <c r="H162" s="9" t="str">
        <f t="shared" si="2"/>
        <v/>
      </c>
    </row>
    <row r="163" spans="1:8" x14ac:dyDescent="0.25">
      <c r="A163" t="s">
        <v>7706</v>
      </c>
      <c r="B163">
        <v>12021101</v>
      </c>
      <c r="C163" t="s">
        <v>7816</v>
      </c>
      <c r="D163" t="s">
        <v>7951</v>
      </c>
      <c r="E163" t="s">
        <v>7656</v>
      </c>
      <c r="F163" t="s">
        <v>7657</v>
      </c>
      <c r="H163" s="9" t="str">
        <f t="shared" si="2"/>
        <v/>
      </c>
    </row>
    <row r="164" spans="1:8" x14ac:dyDescent="0.25">
      <c r="A164" t="s">
        <v>7706</v>
      </c>
      <c r="B164">
        <v>12021201</v>
      </c>
      <c r="C164" t="s">
        <v>7817</v>
      </c>
      <c r="D164" t="s">
        <v>7952</v>
      </c>
      <c r="E164" t="s">
        <v>7658</v>
      </c>
      <c r="F164" t="s">
        <v>7659</v>
      </c>
      <c r="H164" s="9" t="str">
        <f t="shared" si="2"/>
        <v/>
      </c>
    </row>
    <row r="165" spans="1:8" x14ac:dyDescent="0.25">
      <c r="A165" t="s">
        <v>7706</v>
      </c>
      <c r="B165">
        <v>12021301</v>
      </c>
      <c r="C165" t="s">
        <v>7818</v>
      </c>
      <c r="D165" t="s">
        <v>7953</v>
      </c>
      <c r="E165" t="s">
        <v>7660</v>
      </c>
      <c r="F165" t="s">
        <v>7661</v>
      </c>
      <c r="H165" s="9" t="str">
        <f t="shared" si="2"/>
        <v/>
      </c>
    </row>
    <row r="166" spans="1:8" x14ac:dyDescent="0.25">
      <c r="A166" t="s">
        <v>7706</v>
      </c>
      <c r="B166">
        <v>12021401</v>
      </c>
      <c r="C166" t="s">
        <v>7819</v>
      </c>
      <c r="D166" t="s">
        <v>7954</v>
      </c>
      <c r="E166" t="s">
        <v>7662</v>
      </c>
      <c r="F166" t="s">
        <v>7663</v>
      </c>
      <c r="H166" s="9" t="str">
        <f t="shared" si="2"/>
        <v/>
      </c>
    </row>
    <row r="167" spans="1:8" x14ac:dyDescent="0.25">
      <c r="A167" t="s">
        <v>7706</v>
      </c>
      <c r="B167">
        <v>12021501</v>
      </c>
      <c r="C167" t="s">
        <v>7820</v>
      </c>
      <c r="D167" t="s">
        <v>7955</v>
      </c>
      <c r="E167" t="s">
        <v>7664</v>
      </c>
      <c r="F167" t="s">
        <v>7665</v>
      </c>
      <c r="H167" s="9" t="str">
        <f t="shared" si="2"/>
        <v/>
      </c>
    </row>
    <row r="168" spans="1:8" x14ac:dyDescent="0.25">
      <c r="A168" t="s">
        <v>7706</v>
      </c>
      <c r="B168">
        <v>12021601</v>
      </c>
      <c r="C168" t="s">
        <v>7821</v>
      </c>
      <c r="D168" t="s">
        <v>7956</v>
      </c>
      <c r="E168" t="s">
        <v>7666</v>
      </c>
      <c r="F168" t="s">
        <v>7667</v>
      </c>
      <c r="H168" s="9" t="str">
        <f t="shared" si="2"/>
        <v/>
      </c>
    </row>
    <row r="169" spans="1:8" x14ac:dyDescent="0.25">
      <c r="A169" t="s">
        <v>7706</v>
      </c>
      <c r="B169">
        <v>12021701</v>
      </c>
      <c r="C169" t="s">
        <v>7822</v>
      </c>
      <c r="D169" t="s">
        <v>7957</v>
      </c>
      <c r="E169" t="s">
        <v>7668</v>
      </c>
      <c r="F169" t="s">
        <v>7669</v>
      </c>
      <c r="H169" s="9" t="str">
        <f t="shared" si="2"/>
        <v/>
      </c>
    </row>
    <row r="170" spans="1:8" x14ac:dyDescent="0.25">
      <c r="A170" t="s">
        <v>7706</v>
      </c>
      <c r="B170">
        <v>12021801</v>
      </c>
      <c r="C170" t="s">
        <v>7823</v>
      </c>
      <c r="D170" t="s">
        <v>7958</v>
      </c>
      <c r="E170" t="s">
        <v>7670</v>
      </c>
      <c r="F170" t="s">
        <v>7671</v>
      </c>
      <c r="H170" s="9" t="str">
        <f t="shared" si="2"/>
        <v/>
      </c>
    </row>
    <row r="171" spans="1:8" x14ac:dyDescent="0.25">
      <c r="A171" t="s">
        <v>7706</v>
      </c>
      <c r="B171">
        <v>12021901</v>
      </c>
      <c r="C171" t="s">
        <v>7824</v>
      </c>
      <c r="D171" t="s">
        <v>7959</v>
      </c>
      <c r="E171" t="s">
        <v>7672</v>
      </c>
      <c r="F171" t="s">
        <v>7673</v>
      </c>
      <c r="H171" s="9" t="str">
        <f t="shared" si="2"/>
        <v/>
      </c>
    </row>
    <row r="172" spans="1:8" x14ac:dyDescent="0.25">
      <c r="A172" t="s">
        <v>7706</v>
      </c>
      <c r="B172">
        <v>12022001</v>
      </c>
      <c r="C172" t="s">
        <v>7825</v>
      </c>
      <c r="D172" t="s">
        <v>7960</v>
      </c>
      <c r="E172" t="s">
        <v>7674</v>
      </c>
      <c r="F172" t="s">
        <v>7675</v>
      </c>
      <c r="H172" s="9" t="str">
        <f t="shared" si="2"/>
        <v/>
      </c>
    </row>
    <row r="173" spans="1:8" x14ac:dyDescent="0.25">
      <c r="A173" t="s">
        <v>7706</v>
      </c>
      <c r="B173">
        <v>12022101</v>
      </c>
      <c r="C173" t="s">
        <v>7826</v>
      </c>
      <c r="D173" t="s">
        <v>7961</v>
      </c>
      <c r="E173" t="s">
        <v>7676</v>
      </c>
      <c r="F173" t="s">
        <v>7677</v>
      </c>
      <c r="H173" s="9" t="str">
        <f t="shared" si="2"/>
        <v/>
      </c>
    </row>
    <row r="174" spans="1:8" x14ac:dyDescent="0.25">
      <c r="A174" t="s">
        <v>7706</v>
      </c>
      <c r="B174">
        <v>12022201</v>
      </c>
      <c r="C174" t="s">
        <v>7827</v>
      </c>
      <c r="D174" t="s">
        <v>7962</v>
      </c>
      <c r="E174" t="s">
        <v>7678</v>
      </c>
      <c r="F174" t="s">
        <v>7679</v>
      </c>
      <c r="H174" s="9" t="str">
        <f t="shared" si="2"/>
        <v/>
      </c>
    </row>
    <row r="175" spans="1:8" x14ac:dyDescent="0.25">
      <c r="A175" t="s">
        <v>7706</v>
      </c>
      <c r="B175">
        <v>12022301</v>
      </c>
      <c r="C175" t="s">
        <v>7828</v>
      </c>
      <c r="D175" t="s">
        <v>7963</v>
      </c>
      <c r="E175" t="s">
        <v>7680</v>
      </c>
      <c r="F175" t="s">
        <v>7681</v>
      </c>
      <c r="H175" s="9" t="str">
        <f t="shared" si="2"/>
        <v/>
      </c>
    </row>
    <row r="176" spans="1:8" x14ac:dyDescent="0.25">
      <c r="A176" t="s">
        <v>7706</v>
      </c>
      <c r="B176">
        <v>12022401</v>
      </c>
      <c r="C176" t="s">
        <v>7829</v>
      </c>
      <c r="D176" t="s">
        <v>7964</v>
      </c>
      <c r="E176" t="s">
        <v>7682</v>
      </c>
      <c r="F176" t="s">
        <v>7683</v>
      </c>
      <c r="H176" s="9" t="str">
        <f t="shared" si="2"/>
        <v/>
      </c>
    </row>
    <row r="177" spans="1:8" x14ac:dyDescent="0.25">
      <c r="A177" t="s">
        <v>7706</v>
      </c>
      <c r="B177">
        <v>12022501</v>
      </c>
      <c r="C177" t="s">
        <v>7830</v>
      </c>
      <c r="D177" t="s">
        <v>7965</v>
      </c>
      <c r="E177" t="s">
        <v>7684</v>
      </c>
      <c r="F177" t="s">
        <v>7685</v>
      </c>
      <c r="H177" s="9" t="str">
        <f t="shared" si="2"/>
        <v/>
      </c>
    </row>
    <row r="178" spans="1:8" x14ac:dyDescent="0.25">
      <c r="A178" t="s">
        <v>7706</v>
      </c>
      <c r="B178">
        <v>12022601</v>
      </c>
      <c r="C178" t="s">
        <v>7831</v>
      </c>
      <c r="D178" t="s">
        <v>7966</v>
      </c>
      <c r="E178" t="s">
        <v>7686</v>
      </c>
      <c r="F178" t="s">
        <v>7687</v>
      </c>
      <c r="H178" s="9" t="str">
        <f t="shared" si="2"/>
        <v/>
      </c>
    </row>
    <row r="179" spans="1:8" x14ac:dyDescent="0.25">
      <c r="A179" t="s">
        <v>7706</v>
      </c>
      <c r="B179">
        <v>12022701</v>
      </c>
      <c r="C179" t="s">
        <v>7832</v>
      </c>
      <c r="D179" t="s">
        <v>7967</v>
      </c>
      <c r="E179" t="s">
        <v>7688</v>
      </c>
      <c r="F179" t="s">
        <v>7689</v>
      </c>
      <c r="H179" s="9" t="str">
        <f t="shared" si="2"/>
        <v/>
      </c>
    </row>
    <row r="180" spans="1:8" x14ac:dyDescent="0.25">
      <c r="A180" t="s">
        <v>7706</v>
      </c>
      <c r="B180">
        <v>12022801</v>
      </c>
      <c r="C180" t="s">
        <v>7833</v>
      </c>
      <c r="D180" t="s">
        <v>7968</v>
      </c>
      <c r="E180" t="s">
        <v>7690</v>
      </c>
      <c r="F180" t="s">
        <v>7691</v>
      </c>
      <c r="H180" s="9" t="str">
        <f t="shared" si="2"/>
        <v/>
      </c>
    </row>
    <row r="181" spans="1:8" x14ac:dyDescent="0.25">
      <c r="A181" t="s">
        <v>7706</v>
      </c>
      <c r="B181">
        <v>12022901</v>
      </c>
      <c r="C181" t="s">
        <v>7834</v>
      </c>
      <c r="D181" t="s">
        <v>7969</v>
      </c>
      <c r="E181" t="s">
        <v>7692</v>
      </c>
      <c r="F181" t="s">
        <v>7693</v>
      </c>
      <c r="H181" s="9" t="str">
        <f t="shared" si="2"/>
        <v/>
      </c>
    </row>
    <row r="182" spans="1:8" x14ac:dyDescent="0.25">
      <c r="A182" t="s">
        <v>7706</v>
      </c>
      <c r="B182">
        <v>12023001</v>
      </c>
      <c r="C182" t="s">
        <v>7835</v>
      </c>
      <c r="D182" t="s">
        <v>7970</v>
      </c>
      <c r="E182" t="s">
        <v>7694</v>
      </c>
      <c r="F182" t="s">
        <v>7695</v>
      </c>
      <c r="H182" s="9" t="str">
        <f t="shared" si="2"/>
        <v/>
      </c>
    </row>
    <row r="183" spans="1:8" x14ac:dyDescent="0.25">
      <c r="A183" t="s">
        <v>7706</v>
      </c>
      <c r="B183">
        <v>12023101</v>
      </c>
      <c r="C183" t="s">
        <v>7836</v>
      </c>
      <c r="D183" t="s">
        <v>7836</v>
      </c>
      <c r="E183" t="s">
        <v>7696</v>
      </c>
      <c r="F183" t="s">
        <v>7696</v>
      </c>
      <c r="H183" s="9" t="str">
        <f t="shared" si="2"/>
        <v/>
      </c>
    </row>
    <row r="184" spans="1:8" x14ac:dyDescent="0.25">
      <c r="A184" t="s">
        <v>7706</v>
      </c>
      <c r="B184">
        <v>12023201</v>
      </c>
      <c r="C184" t="s">
        <v>7837</v>
      </c>
      <c r="D184" t="s">
        <v>7971</v>
      </c>
      <c r="E184" t="s">
        <v>7697</v>
      </c>
      <c r="F184" t="s">
        <v>7698</v>
      </c>
      <c r="H184" s="9" t="str">
        <f t="shared" si="2"/>
        <v/>
      </c>
    </row>
    <row r="185" spans="1:8" x14ac:dyDescent="0.25">
      <c r="A185" t="s">
        <v>7706</v>
      </c>
      <c r="B185">
        <v>12023301</v>
      </c>
      <c r="C185" t="s">
        <v>7838</v>
      </c>
      <c r="D185" t="s">
        <v>7972</v>
      </c>
      <c r="E185" t="s">
        <v>7699</v>
      </c>
      <c r="F185" t="s">
        <v>7700</v>
      </c>
      <c r="H185" s="9" t="str">
        <f t="shared" si="2"/>
        <v/>
      </c>
    </row>
    <row r="186" spans="1:8" x14ac:dyDescent="0.25">
      <c r="A186" t="s">
        <v>7706</v>
      </c>
      <c r="B186">
        <v>12023401</v>
      </c>
      <c r="C186" t="s">
        <v>7839</v>
      </c>
      <c r="D186" t="s">
        <v>7973</v>
      </c>
      <c r="E186" t="s">
        <v>7701</v>
      </c>
      <c r="F186" t="s">
        <v>7702</v>
      </c>
      <c r="H186" s="9" t="str">
        <f t="shared" si="2"/>
        <v/>
      </c>
    </row>
    <row r="187" spans="1:8" x14ac:dyDescent="0.25">
      <c r="A187" t="s">
        <v>7706</v>
      </c>
      <c r="B187">
        <v>12023501</v>
      </c>
      <c r="C187" t="s">
        <v>7840</v>
      </c>
      <c r="D187" t="s">
        <v>7974</v>
      </c>
      <c r="E187" t="s">
        <v>7703</v>
      </c>
      <c r="F187" t="s">
        <v>7704</v>
      </c>
      <c r="H187" s="9" t="str">
        <f t="shared" si="2"/>
        <v/>
      </c>
    </row>
  </sheetData>
  <autoFilter ref="A1:F187" xr:uid="{6E7C30DD-83FC-4527-B73C-2B6641A41BA3}"/>
  <dataValidations count="1">
    <dataValidation type="list" allowBlank="1" showInputMessage="1" showErrorMessage="1" sqref="A2:A187" xr:uid="{81ECC6A0-2D43-4167-B85D-DF6DBAAF1BEA}">
      <formula1>"Y,N"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1" sqref="A11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6372</v>
      </c>
    </row>
    <row r="2" spans="1:2" x14ac:dyDescent="0.25">
      <c r="A2" s="10" t="s">
        <v>701</v>
      </c>
      <c r="B2" s="10" t="s">
        <v>6335</v>
      </c>
    </row>
    <row r="3" spans="1:2" x14ac:dyDescent="0.25">
      <c r="A3" t="s">
        <v>6864</v>
      </c>
      <c r="B3" s="225" t="s">
        <v>6863</v>
      </c>
    </row>
    <row r="4" spans="1:2" x14ac:dyDescent="0.25">
      <c r="A4" t="s">
        <v>6322</v>
      </c>
      <c r="B4" s="225" t="s">
        <v>5642</v>
      </c>
    </row>
    <row r="5" spans="1:2" x14ac:dyDescent="0.25">
      <c r="A5" t="s">
        <v>6323</v>
      </c>
      <c r="B5" s="226" t="s">
        <v>6324</v>
      </c>
    </row>
    <row r="6" spans="1:2" x14ac:dyDescent="0.25">
      <c r="A6" t="s">
        <v>6325</v>
      </c>
      <c r="B6" s="225" t="s">
        <v>6326</v>
      </c>
    </row>
    <row r="7" spans="1:2" x14ac:dyDescent="0.25">
      <c r="A7" t="s">
        <v>6327</v>
      </c>
      <c r="B7" s="225" t="s">
        <v>6328</v>
      </c>
    </row>
    <row r="8" spans="1:2" x14ac:dyDescent="0.25">
      <c r="A8" t="s">
        <v>6329</v>
      </c>
      <c r="B8" s="225" t="s">
        <v>6330</v>
      </c>
    </row>
    <row r="9" spans="1:2" x14ac:dyDescent="0.25">
      <c r="A9" t="s">
        <v>6331</v>
      </c>
      <c r="B9" s="225" t="s">
        <v>6332</v>
      </c>
    </row>
    <row r="10" spans="1:2" x14ac:dyDescent="0.25">
      <c r="A10" t="s">
        <v>6333</v>
      </c>
      <c r="B10" s="225" t="s">
        <v>6334</v>
      </c>
    </row>
    <row r="11" spans="1:2" x14ac:dyDescent="0.25">
      <c r="A11" t="s">
        <v>6862</v>
      </c>
      <c r="B11" s="225" t="s">
        <v>6861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6338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5515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5514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5513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6390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6389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6877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6388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6458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6339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6340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6527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6341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6321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6374</v>
      </c>
      <c r="D22" s="177">
        <v>5</v>
      </c>
      <c r="E22" s="178" t="s">
        <v>5</v>
      </c>
      <c r="F22" s="180" t="s">
        <v>5640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6377</v>
      </c>
      <c r="O22" s="178" t="s">
        <v>6381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6386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6619</v>
      </c>
      <c r="C24" t="s">
        <v>5513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6382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6383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6337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6336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6880</v>
      </c>
      <c r="C29" t="s">
        <v>5514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6878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6874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6879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6876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6875</v>
      </c>
      <c r="C34" t="s">
        <v>5515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6321</v>
      </c>
      <c r="D39" s="173">
        <v>5</v>
      </c>
      <c r="E39" s="174" t="s">
        <v>3</v>
      </c>
      <c r="F39" s="175" t="s">
        <v>6101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6336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6337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6338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6339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6340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6341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6374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6377</v>
      </c>
      <c r="O77" s="178" t="s">
        <v>6381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6382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6377</v>
      </c>
      <c r="W83" s="182" t="s">
        <v>6381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6383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6386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6874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6377</v>
      </c>
      <c r="W98" s="182" t="s">
        <v>6381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6875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6377</v>
      </c>
      <c r="W102" s="178" t="s">
        <v>6381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6377</v>
      </c>
      <c r="W103" s="182" t="s">
        <v>6381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6878</v>
      </c>
      <c r="D104" s="173">
        <v>5</v>
      </c>
      <c r="E104" s="174" t="s">
        <v>5</v>
      </c>
      <c r="F104" s="175" t="s">
        <v>4718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5677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5677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6377</v>
      </c>
      <c r="O108" s="182" t="s">
        <v>6381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6879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5677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5640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6377</v>
      </c>
      <c r="O111" s="178" t="s">
        <v>6381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6400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2143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6880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6377</v>
      </c>
      <c r="O114" s="178" t="s">
        <v>6381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4718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5677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2143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6876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5677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6388</v>
      </c>
      <c r="D124" s="173">
        <v>4</v>
      </c>
      <c r="E124" s="174" t="s">
        <v>3</v>
      </c>
      <c r="F124" s="175" t="s">
        <v>5692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5499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5677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5677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6389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5754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5754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5716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6387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6877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6377</v>
      </c>
      <c r="W137" s="178" t="s">
        <v>6381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6377</v>
      </c>
      <c r="W138" s="182" t="s">
        <v>6381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6390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6377</v>
      </c>
      <c r="O142" s="178" t="s">
        <v>6381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6458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6377</v>
      </c>
      <c r="O147" s="178" t="s">
        <v>6381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6527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6377</v>
      </c>
      <c r="O149" s="178" t="s">
        <v>6381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6619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5679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6886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5680</v>
      </c>
      <c r="C4" t="s">
        <v>5680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6865</v>
      </c>
      <c r="O4" s="180" t="s">
        <v>6866</v>
      </c>
      <c r="Q4" s="192"/>
      <c r="S4" s="161">
        <v>3</v>
      </c>
      <c r="T4" s="161"/>
      <c r="U4" s="161"/>
    </row>
    <row r="5" spans="1:21" x14ac:dyDescent="0.25">
      <c r="A5" t="s">
        <v>6889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6342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6343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6344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6376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6375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6890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6889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6865</v>
      </c>
      <c r="O13" s="180" t="s">
        <v>6866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6342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6865</v>
      </c>
      <c r="O22" s="180" t="s">
        <v>6866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6343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6865</v>
      </c>
      <c r="O31" s="180" t="s">
        <v>6866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6344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6865</v>
      </c>
      <c r="O40" s="180" t="s">
        <v>6866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6376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6865</v>
      </c>
      <c r="O49" s="180" t="s">
        <v>6866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6375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6865</v>
      </c>
      <c r="O58" s="180" t="s">
        <v>6866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6890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6870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1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320</v>
      </c>
      <c r="L10" s="39">
        <f>Main!G63-'G&amp;K Stat Calc'!AJ11</f>
        <v>488</v>
      </c>
      <c r="M10" s="39">
        <f>Main!F63-'G&amp;K Stat Calc'!AK11</f>
        <v>324</v>
      </c>
      <c r="N10" s="39">
        <f>Main!E63-'G&amp;K Stat Calc'!AL11</f>
        <v>293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  <row r="11" spans="1:33" x14ac:dyDescent="0.25">
      <c r="A11" s="1" t="str">
        <f>IF(Main!A64="","",10019)</f>
        <v/>
      </c>
      <c r="B11" s="263">
        <v>1019</v>
      </c>
      <c r="C11" s="263">
        <f>VLOOKUP(D11,'Exp Tables'!$I$3:$K$102,3,FALSE)</f>
        <v>15000000</v>
      </c>
      <c r="D11" s="263">
        <v>100</v>
      </c>
      <c r="E11" s="263">
        <v>5</v>
      </c>
      <c r="F11" s="263">
        <v>10</v>
      </c>
      <c r="G11" s="263">
        <v>100</v>
      </c>
      <c r="H11" s="263">
        <v>0</v>
      </c>
      <c r="I11" s="263">
        <v>10</v>
      </c>
      <c r="J11" s="263">
        <v>10</v>
      </c>
      <c r="K11" s="264">
        <v>0</v>
      </c>
      <c r="L11" s="264">
        <v>0</v>
      </c>
      <c r="M11" s="264">
        <v>0</v>
      </c>
      <c r="N11" s="264">
        <v>0</v>
      </c>
      <c r="O11" s="264">
        <v>0</v>
      </c>
      <c r="P11" s="264">
        <v>0</v>
      </c>
      <c r="Q11" s="264">
        <v>0</v>
      </c>
      <c r="R11" s="264">
        <v>0</v>
      </c>
      <c r="S11" s="264">
        <v>0</v>
      </c>
      <c r="T11" s="264">
        <v>0</v>
      </c>
      <c r="U11" s="264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IF(Main!A69="X",2&amp;Main!B69,"")</f>
        <v/>
      </c>
      <c r="B11" s="50">
        <v>562858</v>
      </c>
      <c r="C11" s="50">
        <f>INDEX('SF Data'!$A:$A,MATCH(Main!C69,'SF Data'!$C:$C,0))</f>
        <v>1006</v>
      </c>
      <c r="D11" s="50">
        <f>VLOOKUP(E11,'Exp Tables'!$M$3:$O$102,3,FALSE)</f>
        <v>3255500</v>
      </c>
      <c r="E11" s="50">
        <f>Main!D69</f>
        <v>100</v>
      </c>
      <c r="F11" s="50">
        <f>Main!E69</f>
        <v>5</v>
      </c>
      <c r="G11" s="50">
        <f>Main!F69</f>
        <v>4</v>
      </c>
      <c r="H11" s="50">
        <v>100</v>
      </c>
      <c r="I11" s="50">
        <v>0</v>
      </c>
      <c r="J11" s="50">
        <v>0</v>
      </c>
      <c r="K11" s="50">
        <f>Main!H69</f>
        <v>10</v>
      </c>
      <c r="L11" s="50">
        <f>Main!I69</f>
        <v>10</v>
      </c>
      <c r="M11" s="50">
        <f>Main!J69</f>
        <v>5</v>
      </c>
      <c r="N11" s="50">
        <f>IF(Main!E69&gt;=4,Main!K69,0)</f>
        <v>5</v>
      </c>
      <c r="O11" s="50">
        <f>IF(Main!L69="",0,INDEX('SF Chip Data'!$A:$A,MATCH(Main!L69,'SF Chip Data'!$B:$B,0)))</f>
        <v>0</v>
      </c>
      <c r="P11" s="50">
        <f>IF(AND(Main!E69&gt;=4,Main!M69&lt;&gt;""),INDEX('SF Chip Data'!$A:$A,MATCH(Main!M69,'SF Chip Data'!$B:$B,0)),0)</f>
        <v>0</v>
      </c>
      <c r="Q11" s="50">
        <v>0</v>
      </c>
      <c r="R11" s="50">
        <f>Main!G69*10000</f>
        <v>1000000</v>
      </c>
      <c r="S11" s="50">
        <f>IF(Main!G69&lt;=100,1000000,1500000)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IF(Main!G69&gt;100,1,0)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IF(Main!A70="X",2&amp;Main!B70,"")</f>
        <v/>
      </c>
      <c r="B12" s="50">
        <v>562858</v>
      </c>
      <c r="C12" s="50">
        <f>INDEX('SF Data'!$A:$A,MATCH(Main!C70,'SF Data'!$C:$C,0))</f>
        <v>1005</v>
      </c>
      <c r="D12" s="50">
        <f>VLOOKUP(E12,'Exp Tables'!$M$3:$O$102,3,FALSE)</f>
        <v>3255500</v>
      </c>
      <c r="E12" s="50">
        <f>Main!D70</f>
        <v>100</v>
      </c>
      <c r="F12" s="50">
        <f>Main!E70</f>
        <v>5</v>
      </c>
      <c r="G12" s="50">
        <f>Main!F70</f>
        <v>4</v>
      </c>
      <c r="H12" s="50">
        <v>100</v>
      </c>
      <c r="I12" s="50">
        <v>0</v>
      </c>
      <c r="J12" s="50">
        <v>0</v>
      </c>
      <c r="K12" s="50">
        <f>Main!H70</f>
        <v>10</v>
      </c>
      <c r="L12" s="50">
        <f>Main!I70</f>
        <v>10</v>
      </c>
      <c r="M12" s="50">
        <f>Main!J70</f>
        <v>5</v>
      </c>
      <c r="N12" s="50">
        <f>IF(Main!E70&gt;=4,Main!K70,0)</f>
        <v>5</v>
      </c>
      <c r="O12" s="50">
        <f>IF(Main!L70="",0,INDEX('SF Chip Data'!$A:$A,MATCH(Main!L70,'SF Chip Data'!$B:$B,0)))</f>
        <v>0</v>
      </c>
      <c r="P12" s="50">
        <f>IF(AND(Main!E70&gt;=4,Main!M70&lt;&gt;""),INDEX('SF Chip Data'!$A:$A,MATCH(Main!M70,'SF Chip Data'!$B:$B,0)),0)</f>
        <v>0</v>
      </c>
      <c r="Q12" s="50">
        <v>0</v>
      </c>
      <c r="R12" s="50">
        <f>Main!G70*10000</f>
        <v>1000000</v>
      </c>
      <c r="S12" s="50">
        <f>IF(Main!G70&lt;=100,1000000,1500000)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IF(Main!G70&gt;100,1,0)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IF(Main!A71="X",2&amp;Main!B71,"")</f>
        <v/>
      </c>
      <c r="B13" s="50">
        <v>562858</v>
      </c>
      <c r="C13" s="50">
        <f>INDEX('SF Data'!$A:$A,MATCH(Main!C71,'SF Data'!$C:$C,0))</f>
        <v>1009</v>
      </c>
      <c r="D13" s="50">
        <f>VLOOKUP(E13,'Exp Tables'!$M$3:$O$102,3,FALSE)</f>
        <v>3255500</v>
      </c>
      <c r="E13" s="50">
        <f>Main!D71</f>
        <v>100</v>
      </c>
      <c r="F13" s="50">
        <f>Main!E71</f>
        <v>5</v>
      </c>
      <c r="G13" s="50">
        <f>Main!F71</f>
        <v>4</v>
      </c>
      <c r="H13" s="50">
        <v>100</v>
      </c>
      <c r="I13" s="50">
        <v>0</v>
      </c>
      <c r="J13" s="50">
        <v>0</v>
      </c>
      <c r="K13" s="50">
        <f>Main!H71</f>
        <v>10</v>
      </c>
      <c r="L13" s="50">
        <f>Main!I71</f>
        <v>10</v>
      </c>
      <c r="M13" s="50">
        <f>Main!J71</f>
        <v>5</v>
      </c>
      <c r="N13" s="50">
        <f>IF(Main!E71&gt;=4,Main!K71,0)</f>
        <v>5</v>
      </c>
      <c r="O13" s="50">
        <f>IF(Main!L71="",0,INDEX('SF Chip Data'!$A:$A,MATCH(Main!L71,'SF Chip Data'!$B:$B,0)))</f>
        <v>0</v>
      </c>
      <c r="P13" s="50">
        <f>IF(AND(Main!E71&gt;=4,Main!M71&lt;&gt;""),INDEX('SF Chip Data'!$A:$A,MATCH(Main!M71,'SF Chip Data'!$B:$B,0)),0)</f>
        <v>0</v>
      </c>
      <c r="Q13" s="50">
        <v>0</v>
      </c>
      <c r="R13" s="50">
        <f>Main!G71*10000</f>
        <v>1000000</v>
      </c>
      <c r="S13" s="50">
        <f>IF(Main!G71&lt;=100,1000000,1500000)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IF(Main!G71&gt;100,1,0)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IF(Main!A72="X",2&amp;Main!B72,"")</f>
        <v/>
      </c>
      <c r="B14" s="50">
        <v>562858</v>
      </c>
      <c r="C14" s="50">
        <f>INDEX('SF Data'!$A:$A,MATCH(Main!C72,'SF Data'!$C:$C,0))</f>
        <v>1014</v>
      </c>
      <c r="D14" s="50">
        <f>VLOOKUP(E14,'Exp Tables'!$M$3:$O$102,3,FALSE)</f>
        <v>3255500</v>
      </c>
      <c r="E14" s="50">
        <f>Main!D72</f>
        <v>100</v>
      </c>
      <c r="F14" s="50">
        <f>Main!E72</f>
        <v>5</v>
      </c>
      <c r="G14" s="50">
        <f>Main!F72</f>
        <v>4</v>
      </c>
      <c r="H14" s="50">
        <v>100</v>
      </c>
      <c r="I14" s="50">
        <v>0</v>
      </c>
      <c r="J14" s="50">
        <v>0</v>
      </c>
      <c r="K14" s="50">
        <f>Main!H72</f>
        <v>10</v>
      </c>
      <c r="L14" s="50">
        <f>Main!I72</f>
        <v>10</v>
      </c>
      <c r="M14" s="50">
        <f>Main!J72</f>
        <v>5</v>
      </c>
      <c r="N14" s="50">
        <f>IF(Main!E72&gt;=4,Main!K72,0)</f>
        <v>5</v>
      </c>
      <c r="O14" s="50">
        <f>IF(Main!L72="",0,INDEX('SF Chip Data'!$A:$A,MATCH(Main!L72,'SF Chip Data'!$B:$B,0)))</f>
        <v>0</v>
      </c>
      <c r="P14" s="50">
        <f>IF(AND(Main!E72&gt;=4,Main!M72&lt;&gt;""),INDEX('SF Chip Data'!$A:$A,MATCH(Main!M72,'SF Chip Data'!$B:$B,0)),0)</f>
        <v>0</v>
      </c>
      <c r="Q14" s="50">
        <v>0</v>
      </c>
      <c r="R14" s="50">
        <f>Main!G72*10000</f>
        <v>1000000</v>
      </c>
      <c r="S14" s="50">
        <f>IF(Main!G72&lt;=100,1000000,1500000)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IF(Main!G72&gt;100,1,0)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IF(Main!A73="X",2&amp;Main!B73,"")</f>
        <v/>
      </c>
      <c r="B15" s="50">
        <v>562858</v>
      </c>
      <c r="C15" s="50">
        <f>INDEX('SF Data'!$A:$A,MATCH(Main!C73,'SF Data'!$C:$C,0))</f>
        <v>1013</v>
      </c>
      <c r="D15" s="50">
        <f>VLOOKUP(E15,'Exp Tables'!$M$3:$O$102,3,FALSE)</f>
        <v>3255500</v>
      </c>
      <c r="E15" s="50">
        <f>Main!D73</f>
        <v>100</v>
      </c>
      <c r="F15" s="50">
        <f>Main!E73</f>
        <v>5</v>
      </c>
      <c r="G15" s="50">
        <f>Main!F73</f>
        <v>4</v>
      </c>
      <c r="H15" s="50">
        <v>100</v>
      </c>
      <c r="I15" s="50">
        <v>0</v>
      </c>
      <c r="J15" s="50">
        <v>0</v>
      </c>
      <c r="K15" s="50">
        <f>Main!H73</f>
        <v>10</v>
      </c>
      <c r="L15" s="50">
        <f>Main!I73</f>
        <v>10</v>
      </c>
      <c r="M15" s="50">
        <f>Main!J73</f>
        <v>5</v>
      </c>
      <c r="N15" s="50">
        <f>IF(Main!E73&gt;=4,Main!K73,0)</f>
        <v>5</v>
      </c>
      <c r="O15" s="50">
        <f>IF(Main!L73="",0,INDEX('SF Chip Data'!$A:$A,MATCH(Main!L73,'SF Chip Data'!$B:$B,0)))</f>
        <v>0</v>
      </c>
      <c r="P15" s="50">
        <f>IF(AND(Main!E73&gt;=4,Main!M73&lt;&gt;""),INDEX('SF Chip Data'!$A:$A,MATCH(Main!M73,'SF Chip Data'!$B:$B,0)),0)</f>
        <v>0</v>
      </c>
      <c r="Q15" s="50">
        <v>0</v>
      </c>
      <c r="R15" s="50">
        <f>Main!G73*10000</f>
        <v>1000000</v>
      </c>
      <c r="S15" s="50">
        <f>IF(Main!G73&lt;=100,1000000,1500000)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IF(Main!G73&gt;100,1,0)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IF(Main!A74="X",2&amp;Main!B74,"")</f>
        <v/>
      </c>
      <c r="B16" s="50">
        <v>562858</v>
      </c>
      <c r="C16" s="50">
        <f>INDEX('SF Data'!$A:$A,MATCH(Main!C74,'SF Data'!$C:$C,0))</f>
        <v>1022</v>
      </c>
      <c r="D16" s="50">
        <f>VLOOKUP(E16,'Exp Tables'!$M$3:$O$102,3,FALSE)</f>
        <v>3255500</v>
      </c>
      <c r="E16" s="50">
        <f>Main!D74</f>
        <v>100</v>
      </c>
      <c r="F16" s="50">
        <f>Main!E74</f>
        <v>5</v>
      </c>
      <c r="G16" s="50">
        <f>Main!F74</f>
        <v>4</v>
      </c>
      <c r="H16" s="50">
        <v>100</v>
      </c>
      <c r="I16" s="50">
        <v>0</v>
      </c>
      <c r="J16" s="50">
        <v>0</v>
      </c>
      <c r="K16" s="50">
        <f>Main!H74</f>
        <v>10</v>
      </c>
      <c r="L16" s="50">
        <f>Main!I74</f>
        <v>10</v>
      </c>
      <c r="M16" s="50">
        <f>Main!J74</f>
        <v>5</v>
      </c>
      <c r="N16" s="50">
        <f>IF(Main!E74&gt;=4,Main!K74,0)</f>
        <v>5</v>
      </c>
      <c r="O16" s="50">
        <f>IF(Main!L74="",0,INDEX('SF Chip Data'!$A:$A,MATCH(Main!L74,'SF Chip Data'!$B:$B,0)))</f>
        <v>0</v>
      </c>
      <c r="P16" s="50">
        <f>IF(AND(Main!E74&gt;=4,Main!M74&lt;&gt;""),INDEX('SF Chip Data'!$A:$A,MATCH(Main!M74,'SF Chip Data'!$B:$B,0)),0)</f>
        <v>0</v>
      </c>
      <c r="Q16" s="50">
        <v>0</v>
      </c>
      <c r="R16" s="50">
        <f>Main!G74*10000</f>
        <v>1000000</v>
      </c>
      <c r="S16" s="50">
        <f>IF(Main!G74&lt;=100,1000000,1500000)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IF(Main!G74&gt;100,1,0)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Data'!A:A,MATCH(Main!L69,'SF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Data'!A:A,MATCH(Main!L70,'SF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Data'!A:A,MATCH(Main!L71,'SF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Data'!A:A,MATCH(Main!L72,'SF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Data'!A:A,MATCH(Main!L73,'SF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Data'!A:A,MATCH(Main!L74,'SF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Data'!A:A,MATCH(Main!M69,'SF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Data'!A:A,MATCH(Main!M70,'SF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Data'!A:A,MATCH(Main!M71,'SF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Data'!A:A,MATCH(Main!M72,'SF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Data'!A:A,MATCH(Main!M73,'SF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Data'!A:A,MATCH(Main!M74,'SF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IF(Main!A69="X",ROW(),"")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IF(Main!A70="X",ROW(),"")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IF(Main!A71="X",ROW(),"")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IF(Main!A72="X",ROW(),"")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IF(Main!A73="X",ROW(),"")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IF(Main!A74="X",ROW(),"")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7"/>
  <sheetViews>
    <sheetView workbookViewId="0">
      <selection activeCell="B1" sqref="B1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6472</v>
      </c>
      <c r="B3" s="1">
        <f>IF(DayNight="Day",26,28)</f>
        <v>26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29</v>
      </c>
      <c r="C4" s="9" t="str">
        <f>IF(EchType="G&amp;K",'Misc Inputs'!C18,'Misc Inputs'!C8)</f>
        <v>"fairy_skill_on_team": "[]",</v>
      </c>
    </row>
    <row r="5" spans="1:3" x14ac:dyDescent="0.25">
      <c r="A5" t="s">
        <v>7106</v>
      </c>
      <c r="B5" s="1">
        <f>IF(DayNight="Day",7,5)</f>
        <v>7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64</v>
      </c>
      <c r="C6" s="9" t="str">
        <f>CHAR(34)&amp;A6&amp;CHAR(34)&amp;": "&amp;CHAR(34)&amp;Main!$B$10&amp;CHAR(34)&amp;","</f>
        <v>"turn": "8",</v>
      </c>
    </row>
    <row r="7" spans="1:3" x14ac:dyDescent="0.25">
      <c r="A7" t="s">
        <v>7332</v>
      </c>
      <c r="B7" s="1">
        <f>IF(DayNight="Day",83,79)</f>
        <v>83</v>
      </c>
      <c r="C7" s="9" t="str">
        <f>CHAR(34)&amp;A7&amp;CHAR(34)&amp;": "&amp;CHAR(34)&amp;INDEX('Mapwide Buffs'!H:H,COUNTA('Mapwide Buffs'!A:A))&amp;CHAR(34)</f>
        <v>"fight_environment_group": ""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Team'!$D$3:$D$8,--(Main!$A$69:$A$74="X"),--(Main!$N$69:$N$74=A2))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Team'!$D$3:$D$8,--(Main!$A$69:$A$74="X"),--(Main!$N$69:$N$74=A3))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Team'!$D$3:$D$8,--(Main!$A$69:$A$74="X"),--(Main!$N$69:$N$74=A4))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Team'!$D$3:$D$8,--(Main!$A$69:$A$74="X"),--(Main!$N$69:$N$74=A5))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Team'!$D$3:$D$8,--(Main!$A$69:$A$74="X"),--(Main!$N$69:$N$74=A6))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Team'!$D$3:$D$8,--(Main!$A$69:$A$74="X"),--(Main!$N$69:$N$74=A7))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Team'!$D$3:$D$8,--(Main!$A$69:$A$74="X"),--(Main!$N$69:$N$74=A8))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Team'!$D$3:$D$8,--(Main!$A$69:$A$74="X"),--(Main!$N$69:$N$74=A9))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6528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  <c r="M1" s="1"/>
      <c r="T1" s="98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Team'!$D$3:$D$7,--(Main!$A$69:$A$73="X"),--(Main!$N$69:$N$73=A2))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Team'!$D$3:$D$7,--(Main!$A$69:$A$73="X"),--(Main!$N$69:$N$73=A3))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Team'!$D$3:$D$7,--(Main!$A$69:$A$73="X"),--(Main!$N$69:$N$73=A4))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Team'!$D$3:$D$7,--(Main!$A$69:$A$73="X"),--(Main!$N$69:$N$73=A5))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Team'!$D$3:$D$7,--(Main!$A$69:$A$73="X"),--(Main!$N$69:$N$73=A6))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Team'!$D$3:$D$7,--(Main!$A$69:$A$73="X"),--(Main!$N$69:$N$73=A7))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Team'!$D$3:$D$7,--(Main!$A$69:$A$73="X"),--(Main!$N$69:$N$73=A8))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Team'!$D$3:$D$7,--(Main!$A$69:$A$73="X"),--(Main!$N$69:$N$73=A9))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Team'!$D$3:$D$7,--(Main!$A$69:$A$73="X"),--(Main!$N$69:$N$73=A10))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Team'!$D$3:$D$7,--(Main!$A$69:$A$73="X"),--(Main!$N$69:$N$73=A11))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Team'!$D$3:$D$7,--(Main!$A$69:$A$73="X"),--(Main!$N$69:$N$73=A12))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Team'!$D$3:$D$7,--(Main!$A$69:$A$73="X"),--(Main!$N$69:$N$73=A13))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Team'!$D$3:$D$7,--(Main!$A$69:$A$73="X"),--(Main!$N$69:$N$73=A14))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Team'!$D$3:$D$7,--(Main!$A$69:$A$73="X"),--(Main!$N$69:$N$73=A15))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Team'!$D$3:$D$7,--(Main!$A$69:$A$73="X"),--(Main!$N$69:$N$73=A16))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Team'!$D$3:$D$7,--(Main!$A$69:$A$73="X"),--(Main!$N$69:$N$73=A17))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Team'!$D$3:$D$7,--(Main!$A$69:$A$73="X"),--(Main!$N$69:$N$73=A18))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Team'!$D$3:$D$7,--(Main!$A$69:$A$73="X"),--(Main!$N$69:$N$73=A19))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Team'!$D$3:$D$7,--(Main!$A$69:$A$73="X"),--(Main!$N$69:$N$73=A20))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Team'!$D$3:$D$7,--(Main!$A$69:$A$73="X"),--(Main!$N$69:$N$73=A21))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Team'!$D$3:$D$7,--(Main!$A$69:$A$73="X"),--(Main!$N$69:$N$73=A22))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Team'!$D$3:$D$7,--(Main!$A$69:$A$73="X"),--(Main!$N$69:$N$73=A23))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Team'!$D$3:$D$7,--(Main!$A$69:$A$73="X"),--(Main!$N$69:$N$73=A24))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Team'!$D$3:$D$7,--(Main!$A$69:$A$73="X"),--(Main!$N$69:$N$73=A25))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Team'!$D$3:$D$7,--(Main!$A$69:$A$73="X"),--(Main!$N$69:$N$73=A26))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Team'!$D$3:$D$7,--(Main!$A$69:$A$73="X"),--(Main!$N$69:$N$73=A27))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Team'!$D$3:$D$7,--(Main!$A$69:$A$73="X"),--(Main!$N$69:$N$73=A28))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Team'!$D$3:$D$7,--(Main!$A$69:$A$73="X"),--(Main!$N$69:$N$73=A29))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Team'!$D$3:$D$7,--(Main!$A$69:$A$73="X"),--(Main!$N$69:$N$73=A30))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Team'!$D$3:$D$7,--(Main!$A$69:$A$73="X"),--(Main!$N$69:$N$73=A31))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6528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10"/>
  <sheetViews>
    <sheetView workbookViewId="0">
      <selection activeCell="C10" sqref="C10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310,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1784</v>
      </c>
      <c r="B8" s="1">
        <v>13</v>
      </c>
      <c r="C8" s="9" t="str">
        <f>CHAR(34)&amp;A8&amp;CHAR(34)&amp;": ["&amp;EnemyID&amp;"]"&amp;","</f>
        <v>"target_train_teams": [310],</v>
      </c>
    </row>
    <row r="9" spans="1:3" x14ac:dyDescent="0.25">
      <c r="A9" t="s">
        <v>7332</v>
      </c>
      <c r="B9" s="1">
        <v>14</v>
      </c>
      <c r="C9" s="9" t="str">
        <f>CHAR(34)&amp;A9&amp;CHAR(34)&amp;": "&amp;CHAR(34)&amp;INDEX('Mapwide Buffs'!H:H,COUNTA('Mapwide Buffs'!A:A))&amp;CHAR(34)&amp;","</f>
        <v>"fight_environment_group": "",</v>
      </c>
    </row>
    <row r="10" spans="1:3" x14ac:dyDescent="0.25">
      <c r="A10" t="s">
        <v>7333</v>
      </c>
      <c r="B10" s="1">
        <v>15</v>
      </c>
      <c r="C10" s="9" t="str">
        <f>CHAR(34)&amp;A10&amp;CHAR(34)&amp;": "&amp;EnemyHPPercent/100</f>
        <v>"enemy_hp_percent": 1</v>
      </c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6777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Main!D69</f>
        <v>100</v>
      </c>
      <c r="K12" s="69">
        <v>3</v>
      </c>
      <c r="L12" s="69">
        <f>Main!E69</f>
        <v>5</v>
      </c>
      <c r="M12" s="69">
        <f>Main!F69</f>
        <v>4</v>
      </c>
      <c r="N12" s="69" t="s">
        <v>1049</v>
      </c>
      <c r="O12" s="68">
        <f>(INDEX('SF Data'!$M:$M,MATCH(Main!C69,'SF Data'!$C:$C,0))&amp;"0"&amp;M12)*1</f>
        <v>10604</v>
      </c>
      <c r="P12" s="69">
        <v>100</v>
      </c>
      <c r="Q12" s="69">
        <f>INDEX('SF Data'!AE:AE,MATCH(Main!C69,'SF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Data'!L:L,MATCH(Main!C69,'SF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Main!D70</f>
        <v>100</v>
      </c>
      <c r="K13" s="76">
        <v>3</v>
      </c>
      <c r="L13" s="76">
        <f>Main!E70</f>
        <v>5</v>
      </c>
      <c r="M13" s="76">
        <f>Main!F70</f>
        <v>4</v>
      </c>
      <c r="N13" s="76" t="s">
        <v>1049</v>
      </c>
      <c r="O13" s="75">
        <f>(INDEX('SF Data'!$M:$M,MATCH(Main!C70,'SF Data'!$C:$C,0))&amp;"0"&amp;M13)*1</f>
        <v>10504</v>
      </c>
      <c r="P13" s="76">
        <v>100</v>
      </c>
      <c r="Q13" s="76">
        <f>INDEX('SF Data'!AE:AE,MATCH(Main!C70,'SF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Data'!L:L,MATCH(Main!C70,'SF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Main!D71</f>
        <v>100</v>
      </c>
      <c r="K14" s="76">
        <v>3</v>
      </c>
      <c r="L14" s="76">
        <f>Main!E71</f>
        <v>5</v>
      </c>
      <c r="M14" s="76">
        <f>Main!F71</f>
        <v>4</v>
      </c>
      <c r="N14" s="76" t="s">
        <v>1049</v>
      </c>
      <c r="O14" s="75">
        <f>(INDEX('SF Data'!$M:$M,MATCH(Main!C71,'SF Data'!$C:$C,0))&amp;"0"&amp;M14)*1</f>
        <v>10904</v>
      </c>
      <c r="P14" s="76">
        <v>100</v>
      </c>
      <c r="Q14" s="76">
        <f>INDEX('SF Data'!AE:AE,MATCH(Main!C71,'SF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Data'!L:L,MATCH(Main!C71,'SF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Main!D72</f>
        <v>100</v>
      </c>
      <c r="K15" s="76">
        <v>3</v>
      </c>
      <c r="L15" s="76">
        <f>Main!E72</f>
        <v>5</v>
      </c>
      <c r="M15" s="76">
        <f>Main!F72</f>
        <v>4</v>
      </c>
      <c r="N15" s="76" t="s">
        <v>1049</v>
      </c>
      <c r="O15" s="75">
        <f>(INDEX('SF Data'!$M:$M,MATCH(Main!C72,'SF Data'!$C:$C,0))&amp;"0"&amp;M15)*1</f>
        <v>11404</v>
      </c>
      <c r="P15" s="76">
        <v>100</v>
      </c>
      <c r="Q15" s="76">
        <f>INDEX('SF Data'!AE:AE,MATCH(Main!C72,'SF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Data'!L:L,MATCH(Main!C72,'SF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Main!D73</f>
        <v>100</v>
      </c>
      <c r="K16" s="76">
        <v>3</v>
      </c>
      <c r="L16" s="76">
        <f>Main!E73</f>
        <v>5</v>
      </c>
      <c r="M16" s="76">
        <f>Main!F73</f>
        <v>4</v>
      </c>
      <c r="N16" s="76" t="s">
        <v>1049</v>
      </c>
      <c r="O16" s="75">
        <f>(INDEX('SF Data'!$M:$M,MATCH(Main!C73,'SF Data'!$C:$C,0))&amp;"0"&amp;M16)*1</f>
        <v>11304</v>
      </c>
      <c r="P16" s="76">
        <v>100</v>
      </c>
      <c r="Q16" s="76">
        <f>INDEX('SF Data'!AE:AE,MATCH(Main!C73,'SF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Data'!L:L,MATCH(Main!C73,'SF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Main!D74</f>
        <v>100</v>
      </c>
      <c r="K17" s="83">
        <v>3</v>
      </c>
      <c r="L17" s="83">
        <f>Main!E74</f>
        <v>5</v>
      </c>
      <c r="M17" s="83">
        <f>Main!F74</f>
        <v>4</v>
      </c>
      <c r="N17" s="83" t="s">
        <v>1049</v>
      </c>
      <c r="O17" s="82">
        <f>(INDEX('SF Data'!$M:$M,MATCH(Main!C74,'SF Data'!$C:$C,0))&amp;"0"&amp;M17)*1</f>
        <v>12204</v>
      </c>
      <c r="P17" s="83">
        <v>100</v>
      </c>
      <c r="Q17" s="83">
        <f>INDEX('SF Data'!AE:AE,MATCH(Main!C74,'SF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Data'!L:L,MATCH(Main!C74,'SF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6384</v>
      </c>
      <c r="T20" s="19"/>
      <c r="U20" s="11"/>
      <c r="X20" s="1"/>
      <c r="Y20" s="29"/>
    </row>
    <row r="21" spans="1:25" x14ac:dyDescent="0.25">
      <c r="A21" s="147" t="s">
        <v>6385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2"/>
  <sheetViews>
    <sheetView zoomScaleNormal="100" workbookViewId="0">
      <pane ySplit="1" topLeftCell="A2" activePane="bottomLeft" state="frozen"/>
      <selection pane="bottomLeft" activeCell="C40" sqref="C40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7105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33</v>
      </c>
      <c r="B26" t="s">
        <v>7325</v>
      </c>
      <c r="C26" s="1">
        <v>6</v>
      </c>
      <c r="D26" t="s">
        <v>7326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11</v>
      </c>
      <c r="B27" t="s">
        <v>646</v>
      </c>
      <c r="C27" s="1">
        <v>5</v>
      </c>
      <c r="D27" t="s">
        <v>594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2</v>
      </c>
      <c r="K27" s="1">
        <v>0</v>
      </c>
    </row>
    <row r="28" spans="1:11" x14ac:dyDescent="0.25">
      <c r="A28" s="1">
        <v>1006</v>
      </c>
      <c r="B28" t="s">
        <v>664</v>
      </c>
      <c r="C28" s="1">
        <v>2</v>
      </c>
      <c r="D28" t="s">
        <v>622</v>
      </c>
      <c r="E28" s="99">
        <v>0</v>
      </c>
      <c r="F28" s="99">
        <v>100</v>
      </c>
      <c r="G28" s="99">
        <v>200</v>
      </c>
      <c r="H28" s="99">
        <v>350</v>
      </c>
      <c r="I28" s="99">
        <v>550</v>
      </c>
      <c r="J28" s="1">
        <v>1</v>
      </c>
      <c r="K28" s="1">
        <v>1</v>
      </c>
    </row>
    <row r="29" spans="1:11" x14ac:dyDescent="0.25">
      <c r="A29" s="1">
        <v>26</v>
      </c>
      <c r="B29" t="s">
        <v>659</v>
      </c>
      <c r="C29" s="1">
        <v>1</v>
      </c>
      <c r="D29" t="s">
        <v>611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10</v>
      </c>
      <c r="B30" t="s">
        <v>645</v>
      </c>
      <c r="C30" s="1">
        <v>5</v>
      </c>
      <c r="D30" t="s">
        <v>593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16</v>
      </c>
      <c r="B31" t="s">
        <v>651</v>
      </c>
      <c r="C31" s="1">
        <v>1</v>
      </c>
      <c r="D31" t="s">
        <v>600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1</v>
      </c>
      <c r="K31" s="1">
        <v>0</v>
      </c>
    </row>
    <row r="32" spans="1:11" x14ac:dyDescent="0.25">
      <c r="A32" s="1">
        <v>13</v>
      </c>
      <c r="B32" t="s">
        <v>648</v>
      </c>
      <c r="C32" s="1">
        <v>6</v>
      </c>
      <c r="D32" t="s">
        <v>597</v>
      </c>
      <c r="E32" s="99">
        <v>0</v>
      </c>
      <c r="F32" s="99">
        <v>100</v>
      </c>
      <c r="G32" s="99">
        <v>500</v>
      </c>
      <c r="H32" s="99">
        <v>1500</v>
      </c>
      <c r="I32" s="99">
        <v>3000</v>
      </c>
      <c r="J32" s="1">
        <v>2</v>
      </c>
      <c r="K32" s="1">
        <v>0</v>
      </c>
    </row>
    <row r="33" spans="1:11" x14ac:dyDescent="0.25">
      <c r="A33" s="1">
        <v>1001</v>
      </c>
      <c r="B33" t="s">
        <v>236</v>
      </c>
      <c r="C33" s="1">
        <v>4</v>
      </c>
      <c r="D33" t="s">
        <v>615</v>
      </c>
      <c r="E33" s="99">
        <v>0</v>
      </c>
      <c r="F33" s="99">
        <v>100</v>
      </c>
      <c r="G33" s="99">
        <v>200</v>
      </c>
      <c r="H33" s="99">
        <v>350</v>
      </c>
      <c r="I33" s="99">
        <v>550</v>
      </c>
      <c r="J33" s="1">
        <v>1</v>
      </c>
      <c r="K33" s="1">
        <v>1</v>
      </c>
    </row>
    <row r="34" spans="1:11" x14ac:dyDescent="0.25">
      <c r="A34" s="1">
        <v>1005</v>
      </c>
      <c r="B34" t="s">
        <v>665</v>
      </c>
      <c r="C34" s="1">
        <v>2</v>
      </c>
      <c r="D34" t="s">
        <v>621</v>
      </c>
      <c r="E34" s="99">
        <v>0</v>
      </c>
      <c r="F34" s="99">
        <v>100</v>
      </c>
      <c r="G34" s="99">
        <v>200</v>
      </c>
      <c r="H34" s="99">
        <v>350</v>
      </c>
      <c r="I34" s="99">
        <v>550</v>
      </c>
      <c r="J34" s="1">
        <v>1</v>
      </c>
      <c r="K34" s="1">
        <v>1</v>
      </c>
    </row>
    <row r="35" spans="1:11" x14ac:dyDescent="0.25">
      <c r="A35" s="1">
        <v>4</v>
      </c>
      <c r="B35" t="s">
        <v>639</v>
      </c>
      <c r="C35" s="1">
        <v>3</v>
      </c>
      <c r="D35" t="s">
        <v>587</v>
      </c>
      <c r="E35" s="99">
        <v>0</v>
      </c>
      <c r="F35" s="99">
        <v>100</v>
      </c>
      <c r="G35" s="99">
        <v>500</v>
      </c>
      <c r="H35" s="99">
        <v>1500</v>
      </c>
      <c r="I35" s="99">
        <v>3000</v>
      </c>
      <c r="J35" s="1">
        <v>1</v>
      </c>
      <c r="K35" s="1">
        <v>0</v>
      </c>
    </row>
    <row r="36" spans="1:11" x14ac:dyDescent="0.25">
      <c r="A36" s="1">
        <v>7</v>
      </c>
      <c r="B36" t="s">
        <v>642</v>
      </c>
      <c r="C36" s="1">
        <v>4</v>
      </c>
      <c r="D36" t="s">
        <v>590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1004</v>
      </c>
      <c r="B37" t="s">
        <v>663</v>
      </c>
      <c r="C37" s="1">
        <v>6</v>
      </c>
      <c r="D37" t="s">
        <v>620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1</v>
      </c>
    </row>
    <row r="38" spans="1:11" x14ac:dyDescent="0.25">
      <c r="A38" s="1">
        <v>6</v>
      </c>
      <c r="B38" t="s">
        <v>641</v>
      </c>
      <c r="C38" s="1">
        <v>3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31</v>
      </c>
      <c r="B39" t="s">
        <v>5785</v>
      </c>
      <c r="C39" s="1">
        <v>6</v>
      </c>
      <c r="D39" t="s">
        <v>5784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2</v>
      </c>
      <c r="K39" s="1">
        <v>0</v>
      </c>
    </row>
    <row r="40" spans="1:11" x14ac:dyDescent="0.25">
      <c r="A40" s="1">
        <v>25</v>
      </c>
      <c r="B40" t="s">
        <v>658</v>
      </c>
      <c r="C40" s="1">
        <v>3</v>
      </c>
      <c r="D40" t="s">
        <v>610</v>
      </c>
      <c r="E40" s="99">
        <v>0</v>
      </c>
      <c r="F40" s="99">
        <v>100</v>
      </c>
      <c r="G40" s="99">
        <v>500</v>
      </c>
      <c r="H40" s="99">
        <v>1500</v>
      </c>
      <c r="I40" s="99">
        <v>3000</v>
      </c>
      <c r="J40" s="1">
        <v>1</v>
      </c>
      <c r="K40" s="1">
        <v>0</v>
      </c>
    </row>
    <row r="41" spans="1:11" x14ac:dyDescent="0.25">
      <c r="A41" s="1">
        <v>1</v>
      </c>
      <c r="B41" t="s">
        <v>647</v>
      </c>
      <c r="C41" s="1">
        <v>2</v>
      </c>
      <c r="D41" t="s">
        <v>584</v>
      </c>
      <c r="E41" s="99">
        <v>0</v>
      </c>
      <c r="F41" s="99">
        <v>100</v>
      </c>
      <c r="G41" s="99">
        <v>500</v>
      </c>
      <c r="H41" s="99">
        <v>1500</v>
      </c>
      <c r="I41" s="99">
        <v>3000</v>
      </c>
      <c r="J41" s="1">
        <v>1</v>
      </c>
      <c r="K41" s="1">
        <v>0</v>
      </c>
    </row>
    <row r="42" spans="1:11" x14ac:dyDescent="0.25">
      <c r="A42" s="1">
        <v>30</v>
      </c>
      <c r="B42" t="s">
        <v>1724</v>
      </c>
      <c r="C42" s="1">
        <v>6</v>
      </c>
      <c r="D42" t="s">
        <v>1725</v>
      </c>
      <c r="E42" s="99">
        <v>0</v>
      </c>
      <c r="F42" s="99">
        <v>100</v>
      </c>
      <c r="G42" s="99">
        <v>200</v>
      </c>
      <c r="H42" s="99">
        <v>350</v>
      </c>
      <c r="I42" s="99">
        <v>550</v>
      </c>
      <c r="J42" s="1">
        <v>1</v>
      </c>
      <c r="K42" s="1">
        <v>1</v>
      </c>
    </row>
  </sheetData>
  <autoFilter ref="A1:K38" xr:uid="{E8DDA3D5-6745-4184-9D68-AAC802051D8B}">
    <sortState ref="A2:K42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26"/>
  <sheetViews>
    <sheetView workbookViewId="0"/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6601</v>
      </c>
      <c r="B1" s="43" t="s">
        <v>942</v>
      </c>
      <c r="C1" s="43" t="s">
        <v>943</v>
      </c>
      <c r="E1" s="43" t="s">
        <v>6602</v>
      </c>
      <c r="F1" s="43" t="s">
        <v>942</v>
      </c>
      <c r="G1" s="43" t="s">
        <v>943</v>
      </c>
    </row>
    <row r="2" spans="1:7" x14ac:dyDescent="0.25">
      <c r="A2" s="9" t="s">
        <v>6615</v>
      </c>
      <c r="B2" s="1">
        <v>50008</v>
      </c>
      <c r="C2" s="1">
        <v>30011</v>
      </c>
      <c r="E2" s="9" t="s">
        <v>6618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6604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6603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6616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t="s">
        <v>7327</v>
      </c>
      <c r="B12" s="1">
        <v>6580005</v>
      </c>
      <c r="C12" s="1">
        <v>65800</v>
      </c>
      <c r="E12" s="9"/>
      <c r="F12" s="1"/>
      <c r="G12" s="1"/>
    </row>
    <row r="13" spans="1:7" x14ac:dyDescent="0.25">
      <c r="A13" t="s">
        <v>7328</v>
      </c>
      <c r="B13" s="1">
        <v>6580007</v>
      </c>
      <c r="C13" s="1">
        <v>65800</v>
      </c>
      <c r="E13" s="9"/>
      <c r="F13" s="1"/>
      <c r="G13" s="1"/>
    </row>
    <row r="14" spans="1:7" x14ac:dyDescent="0.25">
      <c r="A14" t="s">
        <v>7329</v>
      </c>
      <c r="B14" s="1">
        <v>6580008</v>
      </c>
      <c r="C14" s="1">
        <v>65800</v>
      </c>
      <c r="E14" s="9"/>
      <c r="F14" s="1"/>
      <c r="G14" s="1"/>
    </row>
    <row r="15" spans="1:7" x14ac:dyDescent="0.25">
      <c r="A15" t="s">
        <v>7330</v>
      </c>
      <c r="B15" s="1">
        <v>6580009</v>
      </c>
      <c r="C15" s="1">
        <v>65800</v>
      </c>
      <c r="E15" s="9"/>
      <c r="F15" s="1"/>
      <c r="G15" s="1"/>
    </row>
    <row r="16" spans="1:7" x14ac:dyDescent="0.25">
      <c r="A16" t="s">
        <v>7331</v>
      </c>
      <c r="B16" s="1">
        <v>580121</v>
      </c>
      <c r="C16" s="1">
        <v>580120</v>
      </c>
    </row>
    <row r="17" spans="1:3" x14ac:dyDescent="0.25">
      <c r="A17" s="9" t="s">
        <v>652</v>
      </c>
      <c r="B17" s="1">
        <v>15</v>
      </c>
      <c r="C17" s="1">
        <v>15</v>
      </c>
    </row>
    <row r="18" spans="1:3" x14ac:dyDescent="0.25">
      <c r="A18" s="9" t="s">
        <v>1707</v>
      </c>
      <c r="B18" s="1">
        <v>50005</v>
      </c>
      <c r="C18" s="1">
        <v>30007</v>
      </c>
    </row>
    <row r="19" spans="1:3" x14ac:dyDescent="0.25">
      <c r="A19" s="9" t="s">
        <v>6473</v>
      </c>
      <c r="B19" s="1">
        <v>50007</v>
      </c>
      <c r="C19" s="1">
        <v>30009</v>
      </c>
    </row>
    <row r="20" spans="1:3" x14ac:dyDescent="0.25">
      <c r="A20" s="9" t="s">
        <v>7991</v>
      </c>
      <c r="B20" s="1">
        <v>6540000</v>
      </c>
      <c r="C20" s="1">
        <v>6540001</v>
      </c>
    </row>
    <row r="21" spans="1:3" x14ac:dyDescent="0.25">
      <c r="A21" s="9" t="s">
        <v>7992</v>
      </c>
      <c r="B21" s="1">
        <v>6540003</v>
      </c>
      <c r="C21" s="1">
        <v>6540001</v>
      </c>
    </row>
    <row r="22" spans="1:3" x14ac:dyDescent="0.25">
      <c r="A22" s="9" t="s">
        <v>7993</v>
      </c>
      <c r="B22" s="1">
        <v>6540006</v>
      </c>
      <c r="C22" s="1">
        <v>6540001</v>
      </c>
    </row>
    <row r="23" spans="1:3" x14ac:dyDescent="0.25">
      <c r="A23" s="9" t="s">
        <v>7994</v>
      </c>
      <c r="B23" s="1">
        <v>6540010</v>
      </c>
      <c r="C23" s="1">
        <v>6540001</v>
      </c>
    </row>
    <row r="24" spans="1:3" x14ac:dyDescent="0.25">
      <c r="A24" s="9" t="s">
        <v>6617</v>
      </c>
      <c r="B24" s="1">
        <v>10086</v>
      </c>
      <c r="C24" s="1">
        <v>9</v>
      </c>
    </row>
    <row r="25" spans="1:3" x14ac:dyDescent="0.25">
      <c r="A25" s="9" t="s">
        <v>648</v>
      </c>
      <c r="B25" s="1">
        <v>2300</v>
      </c>
      <c r="C25" s="1">
        <v>23</v>
      </c>
    </row>
    <row r="26" spans="1:3" x14ac:dyDescent="0.25">
      <c r="A26" s="9" t="s">
        <v>663</v>
      </c>
      <c r="B26" s="1">
        <v>1004</v>
      </c>
      <c r="C26" s="1">
        <v>1004</v>
      </c>
    </row>
  </sheetData>
  <sortState ref="A2:C26">
    <sortCondition ref="A2:A26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46"/>
  <sheetViews>
    <sheetView topLeftCell="Y1" workbookViewId="0">
      <pane ySplit="1" topLeftCell="A321" activePane="bottomLeft" state="frozen"/>
      <selection activeCell="AG341" sqref="AG341:AG342"/>
      <selection pane="bottomLeft" activeCell="AG343" sqref="AG343:AG346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1785</v>
      </c>
      <c r="C1" s="43" t="s">
        <v>1786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1809</v>
      </c>
      <c r="W1" s="43" t="s">
        <v>1787</v>
      </c>
      <c r="X1" s="43" t="s">
        <v>1788</v>
      </c>
      <c r="Y1" s="43" t="s">
        <v>1789</v>
      </c>
      <c r="Z1" s="43" t="s">
        <v>1790</v>
      </c>
      <c r="AA1" s="43" t="s">
        <v>1791</v>
      </c>
      <c r="AB1" s="43" t="s">
        <v>1792</v>
      </c>
      <c r="AC1" s="43" t="s">
        <v>1793</v>
      </c>
      <c r="AD1" s="43" t="s">
        <v>1794</v>
      </c>
      <c r="AE1" s="43" t="s">
        <v>1795</v>
      </c>
      <c r="AF1" s="43" t="s">
        <v>1796</v>
      </c>
      <c r="AG1" s="246" t="s">
        <v>322</v>
      </c>
      <c r="AH1" s="43" t="s">
        <v>323</v>
      </c>
      <c r="AI1" s="43" t="s">
        <v>1797</v>
      </c>
      <c r="AJ1" s="43" t="s">
        <v>1798</v>
      </c>
      <c r="AK1" s="43" t="s">
        <v>324</v>
      </c>
      <c r="AL1" s="43" t="s">
        <v>1799</v>
      </c>
      <c r="AM1" s="43" t="s">
        <v>1800</v>
      </c>
      <c r="AN1" s="43" t="s">
        <v>1801</v>
      </c>
      <c r="AO1" s="43" t="s">
        <v>1802</v>
      </c>
      <c r="AP1" s="43" t="s">
        <v>1803</v>
      </c>
      <c r="AQ1" s="43" t="s">
        <v>1804</v>
      </c>
      <c r="AR1" s="43" t="s">
        <v>1473</v>
      </c>
      <c r="AS1" s="43" t="s">
        <v>1805</v>
      </c>
      <c r="AT1" s="10" t="s">
        <v>630</v>
      </c>
      <c r="AU1" s="10" t="s">
        <v>1806</v>
      </c>
      <c r="AV1" s="10" t="s">
        <v>1807</v>
      </c>
      <c r="AW1" s="10" t="s">
        <v>1808</v>
      </c>
    </row>
    <row r="2" spans="1:49" x14ac:dyDescent="0.25">
      <c r="A2" s="1">
        <v>1</v>
      </c>
      <c r="B2" s="1" t="s">
        <v>1810</v>
      </c>
      <c r="C2" s="1" t="s">
        <v>1811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1812</v>
      </c>
      <c r="AJ2" s="1">
        <v>0</v>
      </c>
      <c r="AK2" s="1" t="s">
        <v>329</v>
      </c>
      <c r="AL2" s="1" t="s">
        <v>1813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1815</v>
      </c>
      <c r="C3" s="1" t="s">
        <v>1816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1812</v>
      </c>
      <c r="AJ3" s="1">
        <v>0</v>
      </c>
      <c r="AK3" s="1" t="s">
        <v>329</v>
      </c>
      <c r="AL3" s="1" t="s">
        <v>1817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1814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1818</v>
      </c>
      <c r="C4" s="1" t="s">
        <v>1819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1812</v>
      </c>
      <c r="AJ4" s="1">
        <v>0</v>
      </c>
      <c r="AK4" s="1" t="s">
        <v>329</v>
      </c>
      <c r="AL4" s="1" t="s">
        <v>1820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1814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1821</v>
      </c>
      <c r="C5" s="1" t="s">
        <v>1822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1812</v>
      </c>
      <c r="AJ5" s="1">
        <v>0</v>
      </c>
      <c r="AK5" s="1" t="s">
        <v>329</v>
      </c>
      <c r="AL5" s="1" t="s">
        <v>1823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1814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1824</v>
      </c>
      <c r="C6" s="1" t="s">
        <v>1825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1827</v>
      </c>
      <c r="C7" s="1" t="s">
        <v>1828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1814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1830</v>
      </c>
      <c r="C8" s="1" t="s">
        <v>1831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1814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1833</v>
      </c>
      <c r="C9" s="1" t="s">
        <v>1834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1814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1836</v>
      </c>
      <c r="C10" s="1" t="s">
        <v>1837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6378</v>
      </c>
      <c r="AH10" s="1">
        <v>600</v>
      </c>
      <c r="AI10" s="1" t="s">
        <v>1838</v>
      </c>
      <c r="AJ10" s="1">
        <v>0</v>
      </c>
      <c r="AK10" s="1" t="s">
        <v>329</v>
      </c>
      <c r="AL10" s="1" t="s">
        <v>1839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1840</v>
      </c>
      <c r="C11" s="1" t="s">
        <v>1841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6379</v>
      </c>
      <c r="AH11" s="1">
        <v>1500</v>
      </c>
      <c r="AI11" s="1" t="s">
        <v>1838</v>
      </c>
      <c r="AJ11" s="1">
        <v>0</v>
      </c>
      <c r="AK11" s="1" t="s">
        <v>329</v>
      </c>
      <c r="AL11" s="1" t="s">
        <v>1842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1814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1843</v>
      </c>
      <c r="C12" s="1" t="s">
        <v>1844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6380</v>
      </c>
      <c r="AH12" s="1">
        <v>2400</v>
      </c>
      <c r="AI12" s="1" t="s">
        <v>1838</v>
      </c>
      <c r="AJ12" s="1">
        <v>0</v>
      </c>
      <c r="AK12" s="1" t="s">
        <v>329</v>
      </c>
      <c r="AL12" s="1" t="s">
        <v>1845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1814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1846</v>
      </c>
      <c r="C13" s="1" t="s">
        <v>1847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6381</v>
      </c>
      <c r="AH13" s="1">
        <v>3000</v>
      </c>
      <c r="AI13" s="1" t="s">
        <v>1838</v>
      </c>
      <c r="AJ13" s="1">
        <v>0</v>
      </c>
      <c r="AK13" s="1" t="s">
        <v>329</v>
      </c>
      <c r="AL13" s="1" t="s">
        <v>1848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1814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1849</v>
      </c>
      <c r="C14" s="1" t="s">
        <v>1850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1851</v>
      </c>
      <c r="AJ14" s="1">
        <v>0</v>
      </c>
      <c r="AK14" s="1" t="s">
        <v>329</v>
      </c>
      <c r="AL14" s="1" t="s">
        <v>1852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1853</v>
      </c>
      <c r="C15" s="1" t="s">
        <v>1854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1851</v>
      </c>
      <c r="AJ15" s="1">
        <v>0</v>
      </c>
      <c r="AK15" s="1" t="s">
        <v>329</v>
      </c>
      <c r="AL15" s="1" t="s">
        <v>1855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1856</v>
      </c>
      <c r="C16" s="1" t="s">
        <v>1857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1851</v>
      </c>
      <c r="AJ16" s="1">
        <v>0</v>
      </c>
      <c r="AK16" s="1" t="s">
        <v>329</v>
      </c>
      <c r="AL16" s="1" t="s">
        <v>1858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1859</v>
      </c>
      <c r="C17" s="1" t="s">
        <v>1860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1851</v>
      </c>
      <c r="AJ17" s="1">
        <v>0</v>
      </c>
      <c r="AK17" s="1" t="s">
        <v>329</v>
      </c>
      <c r="AL17" s="1" t="s">
        <v>1861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1862</v>
      </c>
      <c r="C18" s="1" t="s">
        <v>1863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1851</v>
      </c>
      <c r="AJ18" s="1">
        <v>0</v>
      </c>
      <c r="AK18" s="1" t="s">
        <v>329</v>
      </c>
      <c r="AL18" s="1" t="s">
        <v>1864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1865</v>
      </c>
      <c r="C19" s="1" t="s">
        <v>1866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1851</v>
      </c>
      <c r="AJ19" s="1">
        <v>0</v>
      </c>
      <c r="AK19" s="1" t="s">
        <v>329</v>
      </c>
      <c r="AL19" s="1" t="s">
        <v>1867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1814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1868</v>
      </c>
      <c r="C20" s="1" t="s">
        <v>1869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1851</v>
      </c>
      <c r="AJ20" s="1">
        <v>0</v>
      </c>
      <c r="AK20" s="1" t="s">
        <v>329</v>
      </c>
      <c r="AL20" s="1" t="s">
        <v>1870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1814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1871</v>
      </c>
      <c r="C21" s="1" t="s">
        <v>1872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1851</v>
      </c>
      <c r="AJ21" s="1">
        <v>0</v>
      </c>
      <c r="AK21" s="1" t="s">
        <v>329</v>
      </c>
      <c r="AL21" s="1" t="s">
        <v>1873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1814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5518</v>
      </c>
      <c r="C22" s="1" t="s">
        <v>5519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5520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5521</v>
      </c>
      <c r="C23" s="1" t="s">
        <v>5522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5523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5525</v>
      </c>
      <c r="C24" s="1" t="s">
        <v>5526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4917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5528</v>
      </c>
      <c r="C25" s="1" t="s">
        <v>5529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5530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5531</v>
      </c>
      <c r="C26" s="1" t="s">
        <v>5532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4931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5534</v>
      </c>
      <c r="C27" s="1" t="s">
        <v>5535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5536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5538</v>
      </c>
      <c r="C28" s="1" t="s">
        <v>5539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5540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5541</v>
      </c>
      <c r="C29" s="1" t="s">
        <v>5542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4923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1874</v>
      </c>
      <c r="C30" s="1" t="s">
        <v>1875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1876</v>
      </c>
      <c r="AJ30" s="1">
        <v>0</v>
      </c>
      <c r="AK30" s="1" t="s">
        <v>329</v>
      </c>
      <c r="AL30" s="1" t="s">
        <v>1877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1878</v>
      </c>
      <c r="C31" s="1" t="s">
        <v>1879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1876</v>
      </c>
      <c r="AJ31" s="1">
        <v>0</v>
      </c>
      <c r="AK31" s="1" t="s">
        <v>329</v>
      </c>
      <c r="AL31" s="1" t="s">
        <v>1880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1814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1881</v>
      </c>
      <c r="C32" s="1" t="s">
        <v>1882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1876</v>
      </c>
      <c r="AJ32" s="1">
        <v>0</v>
      </c>
      <c r="AK32" s="1" t="s">
        <v>329</v>
      </c>
      <c r="AL32" s="1" t="s">
        <v>1883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1814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1884</v>
      </c>
      <c r="C33" s="1" t="s">
        <v>1885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1876</v>
      </c>
      <c r="AJ33" s="1">
        <v>0</v>
      </c>
      <c r="AK33" s="1" t="s">
        <v>329</v>
      </c>
      <c r="AL33" s="1" t="s">
        <v>1886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1814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5544</v>
      </c>
      <c r="C34" s="1" t="s">
        <v>5545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5012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5547</v>
      </c>
      <c r="C35" s="1" t="s">
        <v>5548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5549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5550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5551</v>
      </c>
      <c r="C36" s="1" t="s">
        <v>5552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5424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5554</v>
      </c>
      <c r="C37" s="1" t="s">
        <v>5555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1887</v>
      </c>
      <c r="C38" s="1" t="s">
        <v>1888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1851</v>
      </c>
      <c r="AJ38" s="1">
        <v>0</v>
      </c>
      <c r="AK38" s="1" t="s">
        <v>329</v>
      </c>
      <c r="AL38" s="1" t="s">
        <v>1889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1890</v>
      </c>
      <c r="C39" s="1" t="s">
        <v>1891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1851</v>
      </c>
      <c r="AJ39" s="1">
        <v>0</v>
      </c>
      <c r="AK39" s="1" t="s">
        <v>329</v>
      </c>
      <c r="AL39" s="1" t="s">
        <v>1892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1814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1893</v>
      </c>
      <c r="C40" s="1" t="s">
        <v>1894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1851</v>
      </c>
      <c r="AJ40" s="1">
        <v>0</v>
      </c>
      <c r="AK40" s="1" t="s">
        <v>329</v>
      </c>
      <c r="AL40" s="1" t="s">
        <v>1895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1814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1896</v>
      </c>
      <c r="C41" s="1" t="s">
        <v>1897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1851</v>
      </c>
      <c r="AJ41" s="1">
        <v>0</v>
      </c>
      <c r="AK41" s="1" t="s">
        <v>329</v>
      </c>
      <c r="AL41" s="1" t="s">
        <v>1898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1814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1899</v>
      </c>
      <c r="C42" s="1" t="s">
        <v>1900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1851</v>
      </c>
      <c r="AJ42" s="1">
        <v>0</v>
      </c>
      <c r="AK42" s="1" t="s">
        <v>329</v>
      </c>
      <c r="AL42" s="1" t="s">
        <v>1901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1814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1902</v>
      </c>
      <c r="C43" s="1" t="s">
        <v>1903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1851</v>
      </c>
      <c r="AJ43" s="1">
        <v>0</v>
      </c>
      <c r="AK43" s="1" t="s">
        <v>329</v>
      </c>
      <c r="AL43" s="1" t="s">
        <v>1904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1814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1905</v>
      </c>
      <c r="C44" s="1" t="s">
        <v>1906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1851</v>
      </c>
      <c r="AJ44" s="1">
        <v>0</v>
      </c>
      <c r="AK44" s="1" t="s">
        <v>329</v>
      </c>
      <c r="AL44" s="1" t="s">
        <v>1907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1814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5558</v>
      </c>
      <c r="C45" s="1" t="s">
        <v>5559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5560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5562</v>
      </c>
      <c r="C46" s="1" t="s">
        <v>5563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5565</v>
      </c>
      <c r="C47" s="1" t="s">
        <v>5566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5567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5569</v>
      </c>
      <c r="C48" s="1" t="s">
        <v>5570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5572</v>
      </c>
      <c r="C49" s="1" t="s">
        <v>5573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5574</v>
      </c>
      <c r="AH49" s="1">
        <v>3120</v>
      </c>
      <c r="AI49" s="1" t="s">
        <v>1926</v>
      </c>
      <c r="AJ49" s="1">
        <v>0</v>
      </c>
      <c r="AK49" s="1" t="s">
        <v>329</v>
      </c>
      <c r="AL49" s="1" t="s">
        <v>5575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5576</v>
      </c>
      <c r="C50" s="1" t="s">
        <v>5577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5579</v>
      </c>
      <c r="AH50" s="1">
        <v>3420</v>
      </c>
      <c r="AI50" s="1" t="s">
        <v>1926</v>
      </c>
      <c r="AJ50" s="1">
        <v>0</v>
      </c>
      <c r="AK50" s="1" t="s">
        <v>329</v>
      </c>
      <c r="AL50" s="1" t="s">
        <v>5580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1814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5581</v>
      </c>
      <c r="C51" s="1" t="s">
        <v>5582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4889</v>
      </c>
      <c r="AH51" s="1">
        <v>960</v>
      </c>
      <c r="AI51" s="1" t="s">
        <v>1851</v>
      </c>
      <c r="AJ51" s="1">
        <v>0</v>
      </c>
      <c r="AK51" s="1" t="s">
        <v>329</v>
      </c>
      <c r="AL51" s="1" t="s">
        <v>5584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5585</v>
      </c>
      <c r="C52" s="1" t="s">
        <v>5586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1851</v>
      </c>
      <c r="AJ52" s="1">
        <v>0</v>
      </c>
      <c r="AK52" s="1" t="s">
        <v>329</v>
      </c>
      <c r="AL52" s="1" t="s">
        <v>5588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5589</v>
      </c>
      <c r="C53" s="1" t="s">
        <v>5590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4960</v>
      </c>
      <c r="AH53" s="1">
        <v>2760</v>
      </c>
      <c r="AI53" s="1" t="s">
        <v>1851</v>
      </c>
      <c r="AJ53" s="1">
        <v>0</v>
      </c>
      <c r="AK53" s="1" t="s">
        <v>329</v>
      </c>
      <c r="AL53" s="1" t="s">
        <v>5592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5593</v>
      </c>
      <c r="C54" s="1" t="s">
        <v>5594</v>
      </c>
      <c r="D54" s="1">
        <v>5</v>
      </c>
      <c r="E54" s="1">
        <v>2</v>
      </c>
      <c r="F54" s="1">
        <v>5</v>
      </c>
      <c r="G54" s="1" t="s">
        <v>5595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1851</v>
      </c>
      <c r="AJ54" s="1">
        <v>0</v>
      </c>
      <c r="AK54" s="1" t="s">
        <v>329</v>
      </c>
      <c r="AL54" s="1" t="s">
        <v>5597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1908</v>
      </c>
      <c r="C55" s="1" t="s">
        <v>1909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1851</v>
      </c>
      <c r="AJ55" s="1">
        <v>0</v>
      </c>
      <c r="AK55" s="1" t="s">
        <v>329</v>
      </c>
      <c r="AL55" s="1" t="s">
        <v>1910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1911</v>
      </c>
      <c r="C56" s="1" t="s">
        <v>1912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1851</v>
      </c>
      <c r="AJ56" s="1">
        <v>0</v>
      </c>
      <c r="AK56" s="1" t="s">
        <v>329</v>
      </c>
      <c r="AL56" s="1" t="s">
        <v>1913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1814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1914</v>
      </c>
      <c r="C57" s="1" t="s">
        <v>1915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1851</v>
      </c>
      <c r="AJ57" s="1">
        <v>0</v>
      </c>
      <c r="AK57" s="1" t="s">
        <v>329</v>
      </c>
      <c r="AL57" s="1" t="s">
        <v>1916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1814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1917</v>
      </c>
      <c r="C58" s="1" t="s">
        <v>1918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1851</v>
      </c>
      <c r="AJ58" s="1">
        <v>0</v>
      </c>
      <c r="AK58" s="1" t="s">
        <v>329</v>
      </c>
      <c r="AL58" s="1" t="s">
        <v>1919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1814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1920</v>
      </c>
      <c r="C59" s="1" t="s">
        <v>1921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1922</v>
      </c>
      <c r="AJ59" s="1">
        <v>0</v>
      </c>
      <c r="AK59" s="1" t="s">
        <v>358</v>
      </c>
      <c r="AL59" s="1" t="s">
        <v>1923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1814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1924</v>
      </c>
      <c r="C60" s="1" t="s">
        <v>1925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1926</v>
      </c>
      <c r="AJ60" s="1">
        <v>0</v>
      </c>
      <c r="AK60" s="1" t="s">
        <v>378</v>
      </c>
      <c r="AL60" s="1" t="s">
        <v>1927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1814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1928</v>
      </c>
      <c r="C61" s="1" t="s">
        <v>1929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1926</v>
      </c>
      <c r="AJ61" s="1">
        <v>0</v>
      </c>
      <c r="AK61" s="1" t="s">
        <v>381</v>
      </c>
      <c r="AL61" s="1" t="s">
        <v>1930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1814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1931</v>
      </c>
      <c r="C62" s="1" t="s">
        <v>1932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1926</v>
      </c>
      <c r="AJ62" s="1">
        <v>0</v>
      </c>
      <c r="AK62" s="1" t="s">
        <v>384</v>
      </c>
      <c r="AL62" s="1" t="s">
        <v>1933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1814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1934</v>
      </c>
      <c r="C63" s="1" t="s">
        <v>1935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1936</v>
      </c>
      <c r="AJ63" s="1">
        <v>0</v>
      </c>
      <c r="AK63" s="1" t="s">
        <v>329</v>
      </c>
      <c r="AL63" s="1" t="s">
        <v>1937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1938</v>
      </c>
      <c r="C64" s="1" t="s">
        <v>1939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1936</v>
      </c>
      <c r="AJ64" s="1">
        <v>0</v>
      </c>
      <c r="AK64" s="1" t="s">
        <v>329</v>
      </c>
      <c r="AL64" s="1" t="s">
        <v>1940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1814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1941</v>
      </c>
      <c r="C65" s="1" t="s">
        <v>1942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1936</v>
      </c>
      <c r="AJ65" s="1">
        <v>0</v>
      </c>
      <c r="AK65" s="1" t="s">
        <v>329</v>
      </c>
      <c r="AL65" s="1" t="s">
        <v>1943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1814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1944</v>
      </c>
      <c r="C66" s="1" t="s">
        <v>1945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1936</v>
      </c>
      <c r="AJ66" s="1">
        <v>0</v>
      </c>
      <c r="AK66" s="1" t="s">
        <v>329</v>
      </c>
      <c r="AL66" s="1" t="s">
        <v>1946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1814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1947</v>
      </c>
      <c r="C67" s="1" t="s">
        <v>1948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1851</v>
      </c>
      <c r="AJ67" s="1">
        <v>0</v>
      </c>
      <c r="AK67" s="1" t="s">
        <v>329</v>
      </c>
      <c r="AL67" s="1" t="s">
        <v>1949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1814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1950</v>
      </c>
      <c r="C68" s="1" t="s">
        <v>1951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1851</v>
      </c>
      <c r="AJ68" s="1">
        <v>0</v>
      </c>
      <c r="AK68" s="1" t="s">
        <v>329</v>
      </c>
      <c r="AL68" s="1" t="s">
        <v>1952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1814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1953</v>
      </c>
      <c r="C69" s="1" t="s">
        <v>1954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1955</v>
      </c>
      <c r="AJ69" s="1">
        <v>0</v>
      </c>
      <c r="AK69" s="1" t="s">
        <v>329</v>
      </c>
      <c r="AL69" s="1" t="s">
        <v>1956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1957</v>
      </c>
      <c r="C70" s="1" t="s">
        <v>1958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1955</v>
      </c>
      <c r="AJ70" s="1">
        <v>0</v>
      </c>
      <c r="AK70" s="1" t="s">
        <v>329</v>
      </c>
      <c r="AL70" s="1" t="s">
        <v>1959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1814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1960</v>
      </c>
      <c r="C71" s="1" t="s">
        <v>1961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1955</v>
      </c>
      <c r="AJ71" s="1">
        <v>0</v>
      </c>
      <c r="AK71" s="1" t="s">
        <v>329</v>
      </c>
      <c r="AL71" s="1" t="s">
        <v>1962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1814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1963</v>
      </c>
      <c r="C72" s="1" t="s">
        <v>1964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1955</v>
      </c>
      <c r="AJ72" s="1">
        <v>0</v>
      </c>
      <c r="AK72" s="1" t="s">
        <v>329</v>
      </c>
      <c r="AL72" s="1" t="s">
        <v>1965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1814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1966</v>
      </c>
      <c r="C73" s="1" t="s">
        <v>1967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1851</v>
      </c>
      <c r="AJ73" s="1">
        <v>0</v>
      </c>
      <c r="AK73" s="1" t="s">
        <v>329</v>
      </c>
      <c r="AL73" s="1" t="s">
        <v>1968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1969</v>
      </c>
      <c r="C74" s="1" t="s">
        <v>1970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1851</v>
      </c>
      <c r="AJ74" s="1">
        <v>0</v>
      </c>
      <c r="AK74" s="1" t="s">
        <v>329</v>
      </c>
      <c r="AL74" s="1" t="s">
        <v>1971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1814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1972</v>
      </c>
      <c r="C75" s="1" t="s">
        <v>1973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1851</v>
      </c>
      <c r="AJ75" s="1">
        <v>0</v>
      </c>
      <c r="AK75" s="1" t="s">
        <v>329</v>
      </c>
      <c r="AL75" s="1" t="s">
        <v>1974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1814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1975</v>
      </c>
      <c r="C76" s="1" t="s">
        <v>1976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1851</v>
      </c>
      <c r="AJ76" s="1">
        <v>0</v>
      </c>
      <c r="AK76" s="1" t="s">
        <v>329</v>
      </c>
      <c r="AL76" s="1" t="s">
        <v>1977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1814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1978</v>
      </c>
      <c r="C77" s="1" t="s">
        <v>1979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1851</v>
      </c>
      <c r="AJ77" s="1">
        <v>0</v>
      </c>
      <c r="AK77" s="1" t="s">
        <v>329</v>
      </c>
      <c r="AL77" s="1" t="s">
        <v>1980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1981</v>
      </c>
      <c r="C78" s="1" t="s">
        <v>1982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1851</v>
      </c>
      <c r="AJ78" s="1">
        <v>0</v>
      </c>
      <c r="AK78" s="1" t="s">
        <v>329</v>
      </c>
      <c r="AL78" s="1" t="s">
        <v>1983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1814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1984</v>
      </c>
      <c r="C79" s="1" t="s">
        <v>1985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1851</v>
      </c>
      <c r="AJ79" s="1">
        <v>0</v>
      </c>
      <c r="AK79" s="1" t="s">
        <v>329</v>
      </c>
      <c r="AL79" s="1" t="s">
        <v>1986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1814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1987</v>
      </c>
      <c r="C80" s="1" t="s">
        <v>1988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1851</v>
      </c>
      <c r="AJ80" s="1">
        <v>0</v>
      </c>
      <c r="AK80" s="1" t="s">
        <v>329</v>
      </c>
      <c r="AL80" s="1" t="s">
        <v>1989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1814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5598</v>
      </c>
      <c r="C81" s="1" t="s">
        <v>5599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5600</v>
      </c>
      <c r="AH81" s="1">
        <v>3060</v>
      </c>
      <c r="AI81" s="1" t="s">
        <v>1926</v>
      </c>
      <c r="AJ81" s="1">
        <v>0</v>
      </c>
      <c r="AK81" s="1" t="s">
        <v>329</v>
      </c>
      <c r="AL81" s="1" t="s">
        <v>5601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1814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5602</v>
      </c>
      <c r="C82" s="1" t="s">
        <v>5603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5604</v>
      </c>
      <c r="AH82" s="1">
        <v>3240</v>
      </c>
      <c r="AI82" s="1" t="s">
        <v>1926</v>
      </c>
      <c r="AJ82" s="1">
        <v>0</v>
      </c>
      <c r="AK82" s="1" t="s">
        <v>329</v>
      </c>
      <c r="AL82" s="1" t="s">
        <v>5605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1814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1990</v>
      </c>
      <c r="C83" s="1" t="s">
        <v>1991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1992</v>
      </c>
      <c r="AJ83" s="1">
        <v>0</v>
      </c>
      <c r="AK83" s="1" t="s">
        <v>396</v>
      </c>
      <c r="AL83" s="1" t="s">
        <v>1993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1814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1994</v>
      </c>
      <c r="C84" s="1" t="s">
        <v>1995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1992</v>
      </c>
      <c r="AJ84" s="1">
        <v>0</v>
      </c>
      <c r="AK84" s="1" t="s">
        <v>396</v>
      </c>
      <c r="AL84" s="1" t="s">
        <v>1996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1814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1997</v>
      </c>
      <c r="C85" s="1" t="s">
        <v>1998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1992</v>
      </c>
      <c r="AJ85" s="1">
        <v>0</v>
      </c>
      <c r="AK85" s="1" t="s">
        <v>396</v>
      </c>
      <c r="AL85" s="1" t="s">
        <v>1999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1814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2000</v>
      </c>
      <c r="C86" s="1" t="s">
        <v>2001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1926</v>
      </c>
      <c r="AJ86" s="1">
        <v>0</v>
      </c>
      <c r="AK86" s="1" t="s">
        <v>401</v>
      </c>
      <c r="AL86" s="1" t="s">
        <v>2002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1814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2003</v>
      </c>
      <c r="C87" s="1" t="s">
        <v>2004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1851</v>
      </c>
      <c r="AJ87" s="1">
        <v>0</v>
      </c>
      <c r="AK87" s="1" t="s">
        <v>329</v>
      </c>
      <c r="AL87" s="1" t="s">
        <v>2005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2006</v>
      </c>
      <c r="C88" s="1" t="s">
        <v>2007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1851</v>
      </c>
      <c r="AJ88" s="1">
        <v>0</v>
      </c>
      <c r="AK88" s="1" t="s">
        <v>329</v>
      </c>
      <c r="AL88" s="1" t="s">
        <v>2008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1814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2009</v>
      </c>
      <c r="C89" s="1" t="s">
        <v>2010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1851</v>
      </c>
      <c r="AJ89" s="1">
        <v>0</v>
      </c>
      <c r="AK89" s="1" t="s">
        <v>329</v>
      </c>
      <c r="AL89" s="1" t="s">
        <v>2011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1814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2012</v>
      </c>
      <c r="C90" s="1" t="s">
        <v>2013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1851</v>
      </c>
      <c r="AJ90" s="1">
        <v>0</v>
      </c>
      <c r="AK90" s="1" t="s">
        <v>329</v>
      </c>
      <c r="AL90" s="1" t="s">
        <v>2014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1814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2015</v>
      </c>
      <c r="C91" s="1" t="s">
        <v>2016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2017</v>
      </c>
      <c r="AJ91" s="1">
        <v>0</v>
      </c>
      <c r="AK91" s="1" t="s">
        <v>372</v>
      </c>
      <c r="AL91" s="1" t="s">
        <v>2018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1814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2019</v>
      </c>
      <c r="C92" s="1" t="s">
        <v>2020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1851</v>
      </c>
      <c r="AJ92" s="1">
        <v>0</v>
      </c>
      <c r="AK92" s="1" t="s">
        <v>406</v>
      </c>
      <c r="AL92" s="1" t="s">
        <v>2021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1814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2022</v>
      </c>
      <c r="C93" s="1" t="s">
        <v>2023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2024</v>
      </c>
      <c r="AJ93" s="1">
        <v>0</v>
      </c>
      <c r="AK93" s="1" t="s">
        <v>408</v>
      </c>
      <c r="AL93" s="1" t="s">
        <v>2025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1814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2026</v>
      </c>
      <c r="C94" s="1" t="s">
        <v>2027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1926</v>
      </c>
      <c r="AJ94" s="1">
        <v>0</v>
      </c>
      <c r="AK94" s="1" t="s">
        <v>410</v>
      </c>
      <c r="AL94" s="1" t="s">
        <v>2028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1814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5606</v>
      </c>
      <c r="C95" s="1" t="s">
        <v>5607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5608</v>
      </c>
      <c r="AH95" s="1">
        <v>3180</v>
      </c>
      <c r="AI95" s="1" t="s">
        <v>1926</v>
      </c>
      <c r="AJ95" s="1">
        <v>0</v>
      </c>
      <c r="AK95" s="1" t="s">
        <v>329</v>
      </c>
      <c r="AL95" s="1" t="s">
        <v>5609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1814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5610</v>
      </c>
      <c r="C96" s="1" t="s">
        <v>5611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5612</v>
      </c>
      <c r="AH96" s="1">
        <v>3360</v>
      </c>
      <c r="AI96" s="1" t="s">
        <v>1926</v>
      </c>
      <c r="AJ96" s="1">
        <v>0</v>
      </c>
      <c r="AK96" s="1" t="s">
        <v>329</v>
      </c>
      <c r="AL96" s="1" t="s">
        <v>5613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1814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5614</v>
      </c>
      <c r="C97" s="1" t="s">
        <v>5615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5557</v>
      </c>
      <c r="AH97" s="1">
        <v>3600</v>
      </c>
      <c r="AI97" s="1" t="s">
        <v>329</v>
      </c>
      <c r="AJ97" s="1">
        <v>0</v>
      </c>
      <c r="AK97" s="1" t="s">
        <v>5617</v>
      </c>
      <c r="AL97" s="1" t="s">
        <v>5618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1814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5619</v>
      </c>
      <c r="C98" s="1" t="s">
        <v>5620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5517</v>
      </c>
      <c r="AH98" s="1">
        <v>3600</v>
      </c>
      <c r="AI98" s="1" t="s">
        <v>329</v>
      </c>
      <c r="AJ98" s="1">
        <v>0</v>
      </c>
      <c r="AK98" s="1" t="s">
        <v>5617</v>
      </c>
      <c r="AL98" s="1" t="s">
        <v>5621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1814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2029</v>
      </c>
      <c r="C99" s="1" t="s">
        <v>2030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1926</v>
      </c>
      <c r="AJ99" s="1">
        <v>0</v>
      </c>
      <c r="AK99" s="1" t="s">
        <v>412</v>
      </c>
      <c r="AL99" s="1" t="s">
        <v>2031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1814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2032</v>
      </c>
      <c r="C100" s="1" t="s">
        <v>2033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1926</v>
      </c>
      <c r="AJ100" s="1">
        <v>0</v>
      </c>
      <c r="AK100" s="1" t="s">
        <v>413</v>
      </c>
      <c r="AL100" s="1" t="s">
        <v>2034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1814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2035</v>
      </c>
      <c r="C101" s="1" t="s">
        <v>2036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2037</v>
      </c>
      <c r="AJ101" s="1">
        <v>0</v>
      </c>
      <c r="AK101" s="1" t="s">
        <v>415</v>
      </c>
      <c r="AL101" s="1" t="s">
        <v>2038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1814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2039</v>
      </c>
      <c r="C102" s="1" t="s">
        <v>2040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2041</v>
      </c>
      <c r="AJ102" s="1">
        <v>0</v>
      </c>
      <c r="AK102" s="1" t="s">
        <v>417</v>
      </c>
      <c r="AL102" s="1" t="s">
        <v>2042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1814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2043</v>
      </c>
      <c r="C103" s="1" t="s">
        <v>2044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2045</v>
      </c>
      <c r="AJ103" s="1">
        <v>0</v>
      </c>
      <c r="AK103" s="1" t="s">
        <v>418</v>
      </c>
      <c r="AL103" s="1" t="s">
        <v>2046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1814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2047</v>
      </c>
      <c r="C104" s="1" t="s">
        <v>2048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2049</v>
      </c>
      <c r="AJ104" s="1">
        <v>0</v>
      </c>
      <c r="AK104" s="1" t="s">
        <v>419</v>
      </c>
      <c r="AL104" s="1" t="s">
        <v>2050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1814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2051</v>
      </c>
      <c r="C105" s="1" t="s">
        <v>2052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2053</v>
      </c>
      <c r="AJ105" s="1">
        <v>0</v>
      </c>
      <c r="AK105" s="1" t="s">
        <v>368</v>
      </c>
      <c r="AL105" s="1" t="s">
        <v>2054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1814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2055</v>
      </c>
      <c r="C106" s="1" t="s">
        <v>2056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1926</v>
      </c>
      <c r="AJ106" s="1">
        <v>0</v>
      </c>
      <c r="AK106" s="1" t="s">
        <v>421</v>
      </c>
      <c r="AL106" s="1" t="s">
        <v>2057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1814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2058</v>
      </c>
      <c r="C107" s="1" t="s">
        <v>2059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1926</v>
      </c>
      <c r="AJ107" s="1">
        <v>0</v>
      </c>
      <c r="AK107" s="1" t="s">
        <v>424</v>
      </c>
      <c r="AL107" s="1" t="s">
        <v>2060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1814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2061</v>
      </c>
      <c r="C108" s="1" t="s">
        <v>2062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1926</v>
      </c>
      <c r="AJ108" s="1">
        <v>0</v>
      </c>
      <c r="AK108" s="1" t="s">
        <v>425</v>
      </c>
      <c r="AL108" s="1" t="s">
        <v>2063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1814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5622</v>
      </c>
      <c r="C109" s="1" t="s">
        <v>5623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5624</v>
      </c>
      <c r="AH109" s="1">
        <v>3600</v>
      </c>
      <c r="AI109" s="1" t="s">
        <v>1926</v>
      </c>
      <c r="AJ109" s="1">
        <v>0</v>
      </c>
      <c r="AK109" s="1" t="s">
        <v>329</v>
      </c>
      <c r="AL109" s="1" t="s">
        <v>5625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1814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5626</v>
      </c>
      <c r="C110" s="1" t="s">
        <v>5627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5628</v>
      </c>
      <c r="AH110" s="1">
        <v>3600</v>
      </c>
      <c r="AI110" s="1" t="s">
        <v>1926</v>
      </c>
      <c r="AJ110" s="1">
        <v>0</v>
      </c>
      <c r="AK110" s="1" t="s">
        <v>329</v>
      </c>
      <c r="AL110" s="1" t="s">
        <v>5629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1814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2064</v>
      </c>
      <c r="C111" s="1" t="s">
        <v>2065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2066</v>
      </c>
      <c r="AJ111" s="1">
        <v>0</v>
      </c>
      <c r="AK111" s="1" t="s">
        <v>427</v>
      </c>
      <c r="AL111" s="1" t="s">
        <v>2067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1814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2068</v>
      </c>
      <c r="C112" s="1" t="s">
        <v>2069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2070</v>
      </c>
      <c r="AJ112" s="1">
        <v>0</v>
      </c>
      <c r="AK112" s="1" t="s">
        <v>428</v>
      </c>
      <c r="AL112" s="1" t="s">
        <v>2071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1814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2072</v>
      </c>
      <c r="C113" s="1" t="s">
        <v>2073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2074</v>
      </c>
      <c r="AJ113" s="1">
        <v>0</v>
      </c>
      <c r="AK113" s="1" t="s">
        <v>429</v>
      </c>
      <c r="AL113" s="1" t="s">
        <v>2075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1814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2076</v>
      </c>
      <c r="C114" s="1" t="s">
        <v>2077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2078</v>
      </c>
      <c r="AJ114" s="1">
        <v>0</v>
      </c>
      <c r="AK114" s="1" t="s">
        <v>430</v>
      </c>
      <c r="AL114" s="1" t="s">
        <v>2079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1814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2080</v>
      </c>
      <c r="C115" s="1" t="s">
        <v>2081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2082</v>
      </c>
      <c r="AJ115" s="1">
        <v>0</v>
      </c>
      <c r="AK115" s="1" t="s">
        <v>431</v>
      </c>
      <c r="AL115" s="1" t="s">
        <v>2083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1814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2084</v>
      </c>
      <c r="C116" s="1" t="s">
        <v>2085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2086</v>
      </c>
      <c r="AJ116" s="1">
        <v>0</v>
      </c>
      <c r="AK116" s="1" t="s">
        <v>432</v>
      </c>
      <c r="AL116" s="1" t="s">
        <v>2087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2088</v>
      </c>
      <c r="C117" s="1" t="s">
        <v>2089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2086</v>
      </c>
      <c r="AJ117" s="1">
        <v>0</v>
      </c>
      <c r="AK117" s="1" t="s">
        <v>433</v>
      </c>
      <c r="AL117" s="1" t="s">
        <v>2090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2091</v>
      </c>
      <c r="C118" s="1" t="s">
        <v>2092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2093</v>
      </c>
      <c r="AJ118" s="1">
        <v>0</v>
      </c>
      <c r="AK118" s="1" t="s">
        <v>434</v>
      </c>
      <c r="AL118" s="1" t="s">
        <v>2094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1814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5630</v>
      </c>
      <c r="C119" s="1" t="s">
        <v>5631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5632</v>
      </c>
      <c r="AH119" s="1">
        <v>3600</v>
      </c>
      <c r="AI119" s="1" t="s">
        <v>1926</v>
      </c>
      <c r="AJ119" s="1">
        <v>0</v>
      </c>
      <c r="AK119" s="1" t="s">
        <v>329</v>
      </c>
      <c r="AL119" s="1" t="s">
        <v>5633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1814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5634</v>
      </c>
      <c r="C120" s="1" t="s">
        <v>5635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5636</v>
      </c>
      <c r="AH120" s="1">
        <v>3600</v>
      </c>
      <c r="AI120" s="1" t="s">
        <v>1926</v>
      </c>
      <c r="AJ120" s="1">
        <v>0</v>
      </c>
      <c r="AK120" s="1" t="s">
        <v>329</v>
      </c>
      <c r="AL120" s="1" t="s">
        <v>5637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1814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2095</v>
      </c>
      <c r="C121" s="1" t="s">
        <v>2096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2070</v>
      </c>
      <c r="AJ121" s="1">
        <v>0</v>
      </c>
      <c r="AK121" s="1" t="s">
        <v>436</v>
      </c>
      <c r="AL121" s="1" t="s">
        <v>2097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1814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2098</v>
      </c>
      <c r="C122" s="1" t="s">
        <v>2099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2100</v>
      </c>
      <c r="AJ122" s="1">
        <v>0</v>
      </c>
      <c r="AK122" s="1" t="s">
        <v>437</v>
      </c>
      <c r="AL122" s="1" t="s">
        <v>2101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1814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2102</v>
      </c>
      <c r="C123" s="1" t="s">
        <v>2103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2104</v>
      </c>
      <c r="AJ123" s="1">
        <v>0</v>
      </c>
      <c r="AK123" s="1" t="s">
        <v>438</v>
      </c>
      <c r="AL123" s="1" t="s">
        <v>2105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1814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2106</v>
      </c>
      <c r="C124" s="1" t="s">
        <v>2107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2108</v>
      </c>
      <c r="AJ124" s="1">
        <v>0</v>
      </c>
      <c r="AK124" s="1" t="s">
        <v>440</v>
      </c>
      <c r="AL124" s="1" t="s">
        <v>2109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1814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2110</v>
      </c>
      <c r="C125" s="1" t="s">
        <v>2111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2108</v>
      </c>
      <c r="AJ125" s="1">
        <v>0</v>
      </c>
      <c r="AK125" s="1" t="s">
        <v>442</v>
      </c>
      <c r="AL125" s="1" t="s">
        <v>2112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1814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2113</v>
      </c>
      <c r="C126" s="1" t="s">
        <v>2114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2115</v>
      </c>
      <c r="AJ126" s="1">
        <v>0</v>
      </c>
      <c r="AK126" s="1" t="s">
        <v>443</v>
      </c>
      <c r="AL126" s="1" t="s">
        <v>2116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1814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2117</v>
      </c>
      <c r="C127" s="1" t="s">
        <v>2118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2119</v>
      </c>
      <c r="AJ127" s="1">
        <v>0</v>
      </c>
      <c r="AK127" s="1" t="s">
        <v>444</v>
      </c>
      <c r="AL127" s="1" t="s">
        <v>2120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1814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2121</v>
      </c>
      <c r="C128" s="1" t="s">
        <v>2122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2123</v>
      </c>
      <c r="AJ128" s="1">
        <v>0</v>
      </c>
      <c r="AK128" s="1" t="s">
        <v>445</v>
      </c>
      <c r="AL128" s="1" t="s">
        <v>2124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1814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2125</v>
      </c>
      <c r="C129" s="1" t="s">
        <v>2126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2127</v>
      </c>
      <c r="AJ129" s="1">
        <v>0</v>
      </c>
      <c r="AK129" s="1" t="s">
        <v>446</v>
      </c>
      <c r="AL129" s="1" t="s">
        <v>2128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1814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2129</v>
      </c>
      <c r="C130" s="1" t="s">
        <v>2130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2131</v>
      </c>
      <c r="AJ130" s="1">
        <v>0</v>
      </c>
      <c r="AK130" s="1" t="s">
        <v>448</v>
      </c>
      <c r="AL130" s="1" t="s">
        <v>2132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1814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2133</v>
      </c>
      <c r="C131" s="1" t="s">
        <v>2134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2131</v>
      </c>
      <c r="AJ131" s="1">
        <v>0</v>
      </c>
      <c r="AK131" s="1" t="s">
        <v>933</v>
      </c>
      <c r="AL131" s="1" t="s">
        <v>2135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1814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2136</v>
      </c>
      <c r="C132" s="1" t="s">
        <v>2137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2138</v>
      </c>
      <c r="AJ132" s="1">
        <v>0</v>
      </c>
      <c r="AK132" s="1" t="s">
        <v>450</v>
      </c>
      <c r="AL132" s="1" t="s">
        <v>2139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2140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2141</v>
      </c>
      <c r="C133" s="1" t="s">
        <v>2142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2143</v>
      </c>
      <c r="AJ133" s="1">
        <v>0</v>
      </c>
      <c r="AK133" s="1" t="s">
        <v>452</v>
      </c>
      <c r="AL133" s="1" t="s">
        <v>2144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1814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2145</v>
      </c>
      <c r="C134" s="1" t="s">
        <v>2146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2147</v>
      </c>
      <c r="AJ134" s="1">
        <v>0</v>
      </c>
      <c r="AK134" s="1" t="s">
        <v>454</v>
      </c>
      <c r="AL134" s="1" t="s">
        <v>2148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1814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2149</v>
      </c>
      <c r="C135" s="1" t="s">
        <v>2150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2151</v>
      </c>
      <c r="AJ135" s="1">
        <v>0</v>
      </c>
      <c r="AK135" s="1" t="s">
        <v>455</v>
      </c>
      <c r="AL135" s="1" t="s">
        <v>2152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1814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2153</v>
      </c>
      <c r="C136" s="1" t="s">
        <v>2154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2155</v>
      </c>
      <c r="AJ136" s="1">
        <v>0</v>
      </c>
      <c r="AK136" s="1" t="s">
        <v>456</v>
      </c>
      <c r="AL136" s="1" t="s">
        <v>2156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2158</v>
      </c>
      <c r="C137" s="1" t="s">
        <v>2159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2155</v>
      </c>
      <c r="AJ137" s="1">
        <v>0</v>
      </c>
      <c r="AK137" s="1" t="s">
        <v>456</v>
      </c>
      <c r="AL137" s="1" t="s">
        <v>2160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2162</v>
      </c>
      <c r="C138" s="1" t="s">
        <v>2163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2155</v>
      </c>
      <c r="AJ138" s="1">
        <v>0</v>
      </c>
      <c r="AK138" s="1" t="s">
        <v>456</v>
      </c>
      <c r="AL138" s="1" t="s">
        <v>2164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2166</v>
      </c>
      <c r="C139" s="1" t="s">
        <v>2167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2155</v>
      </c>
      <c r="AJ139" s="1">
        <v>0</v>
      </c>
      <c r="AK139" s="1" t="s">
        <v>456</v>
      </c>
      <c r="AL139" s="1" t="s">
        <v>2168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2170</v>
      </c>
      <c r="C140" s="1" t="s">
        <v>2171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2155</v>
      </c>
      <c r="AJ140" s="1">
        <v>0</v>
      </c>
      <c r="AK140" s="1" t="s">
        <v>456</v>
      </c>
      <c r="AL140" s="1" t="s">
        <v>2172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2174</v>
      </c>
      <c r="C141" s="1" t="s">
        <v>2175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2155</v>
      </c>
      <c r="AJ141" s="1">
        <v>0</v>
      </c>
      <c r="AK141" s="1" t="s">
        <v>456</v>
      </c>
      <c r="AL141" s="1" t="s">
        <v>2176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2178</v>
      </c>
      <c r="C142" s="1" t="s">
        <v>2179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2155</v>
      </c>
      <c r="AJ142" s="1">
        <v>0</v>
      </c>
      <c r="AK142" s="1" t="s">
        <v>456</v>
      </c>
      <c r="AL142" s="1" t="s">
        <v>2180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2182</v>
      </c>
      <c r="C143" s="1" t="s">
        <v>2183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2155</v>
      </c>
      <c r="AJ143" s="1">
        <v>0</v>
      </c>
      <c r="AK143" s="1" t="s">
        <v>456</v>
      </c>
      <c r="AL143" s="1" t="s">
        <v>2184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2186</v>
      </c>
      <c r="C144" s="1" t="s">
        <v>2187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2188</v>
      </c>
      <c r="AJ144" s="1">
        <v>0</v>
      </c>
      <c r="AK144" s="1" t="s">
        <v>457</v>
      </c>
      <c r="AL144" s="1" t="s">
        <v>2189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1814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2190</v>
      </c>
      <c r="C145" s="1" t="s">
        <v>2191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2188</v>
      </c>
      <c r="AJ145" s="1">
        <v>0</v>
      </c>
      <c r="AK145" s="1" t="s">
        <v>458</v>
      </c>
      <c r="AL145" s="1" t="s">
        <v>2192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1814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2193</v>
      </c>
      <c r="C146" s="1" t="s">
        <v>2194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2188</v>
      </c>
      <c r="AJ146" s="1">
        <v>0</v>
      </c>
      <c r="AK146" s="1" t="s">
        <v>459</v>
      </c>
      <c r="AL146" s="1" t="s">
        <v>2195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1814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2196</v>
      </c>
      <c r="C147" s="1" t="s">
        <v>2197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2188</v>
      </c>
      <c r="AJ147" s="1">
        <v>0</v>
      </c>
      <c r="AK147" s="1" t="s">
        <v>460</v>
      </c>
      <c r="AL147" s="1" t="s">
        <v>2198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1814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2199</v>
      </c>
      <c r="C148" s="1" t="s">
        <v>2200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2188</v>
      </c>
      <c r="AJ148" s="1">
        <v>0</v>
      </c>
      <c r="AK148" s="1" t="s">
        <v>461</v>
      </c>
      <c r="AL148" s="1" t="s">
        <v>2201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1814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2202</v>
      </c>
      <c r="C149" s="1" t="s">
        <v>2203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2127</v>
      </c>
      <c r="AJ149" s="1">
        <v>0</v>
      </c>
      <c r="AK149" s="1" t="s">
        <v>462</v>
      </c>
      <c r="AL149" s="1" t="s">
        <v>2204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1814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2205</v>
      </c>
      <c r="C150" s="1" t="s">
        <v>2206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2207</v>
      </c>
      <c r="AJ150" s="1">
        <v>0</v>
      </c>
      <c r="AK150" s="1" t="s">
        <v>463</v>
      </c>
      <c r="AL150" s="1" t="s">
        <v>2208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1814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2209</v>
      </c>
      <c r="C151" s="1" t="s">
        <v>2210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2211</v>
      </c>
      <c r="AJ151" s="1">
        <v>0</v>
      </c>
      <c r="AK151" s="1" t="s">
        <v>464</v>
      </c>
      <c r="AL151" s="1" t="s">
        <v>2212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1814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2213</v>
      </c>
      <c r="C152" s="1" t="s">
        <v>2214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2215</v>
      </c>
      <c r="AJ152" s="1">
        <v>0</v>
      </c>
      <c r="AK152" s="1" t="s">
        <v>371</v>
      </c>
      <c r="AL152" s="1" t="s">
        <v>2216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1814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2217</v>
      </c>
      <c r="C153" s="1" t="s">
        <v>2218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2219</v>
      </c>
      <c r="AJ153" s="1">
        <v>0</v>
      </c>
      <c r="AK153" s="1" t="s">
        <v>466</v>
      </c>
      <c r="AL153" s="1" t="s">
        <v>2220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1814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2221</v>
      </c>
      <c r="C154" s="1" t="s">
        <v>2222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2223</v>
      </c>
      <c r="AJ154" s="1">
        <v>0</v>
      </c>
      <c r="AK154" s="1" t="s">
        <v>468</v>
      </c>
      <c r="AL154" s="1" t="s">
        <v>2224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1814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2225</v>
      </c>
      <c r="C155" s="1" t="s">
        <v>2226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1838</v>
      </c>
      <c r="AJ155" s="1">
        <v>0</v>
      </c>
      <c r="AK155" s="1" t="s">
        <v>469</v>
      </c>
      <c r="AL155" s="1" t="s">
        <v>2227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1814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2228</v>
      </c>
      <c r="C156" s="1" t="s">
        <v>2229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2017</v>
      </c>
      <c r="AJ156" s="1">
        <v>0</v>
      </c>
      <c r="AK156" s="1" t="s">
        <v>384</v>
      </c>
      <c r="AL156" s="1" t="s">
        <v>2230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1814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2231</v>
      </c>
      <c r="C157" s="1" t="s">
        <v>2232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2233</v>
      </c>
      <c r="AJ157" s="1">
        <v>0</v>
      </c>
      <c r="AK157" s="1" t="s">
        <v>472</v>
      </c>
      <c r="AL157" s="1" t="s">
        <v>2234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1814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2235</v>
      </c>
      <c r="C158" s="1" t="s">
        <v>2236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2237</v>
      </c>
      <c r="AJ158" s="1">
        <v>0</v>
      </c>
      <c r="AK158" s="1" t="s">
        <v>421</v>
      </c>
      <c r="AL158" s="1" t="s">
        <v>2238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1814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2239</v>
      </c>
      <c r="C159" s="1" t="s">
        <v>2240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2241</v>
      </c>
      <c r="AJ159" s="1">
        <v>0</v>
      </c>
      <c r="AK159" s="1" t="s">
        <v>473</v>
      </c>
      <c r="AL159" s="1" t="s">
        <v>2242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1814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2243</v>
      </c>
      <c r="C160" s="1" t="s">
        <v>2244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2245</v>
      </c>
      <c r="AJ160" s="1">
        <v>0</v>
      </c>
      <c r="AK160" s="1" t="s">
        <v>474</v>
      </c>
      <c r="AL160" s="1" t="s">
        <v>2246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1814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2247</v>
      </c>
      <c r="C161" s="1" t="s">
        <v>2248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2249</v>
      </c>
      <c r="AJ161" s="1">
        <v>0</v>
      </c>
      <c r="AK161" s="1" t="s">
        <v>475</v>
      </c>
      <c r="AL161" s="1" t="s">
        <v>2250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1814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2251</v>
      </c>
      <c r="C162" s="1" t="s">
        <v>2252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2253</v>
      </c>
      <c r="AJ162" s="1">
        <v>0</v>
      </c>
      <c r="AK162" s="1" t="s">
        <v>476</v>
      </c>
      <c r="AL162" s="1" t="s">
        <v>2254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1814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2255</v>
      </c>
      <c r="C163" s="1" t="s">
        <v>2256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2257</v>
      </c>
      <c r="AJ163" s="1">
        <v>0</v>
      </c>
      <c r="AK163" s="1" t="s">
        <v>477</v>
      </c>
      <c r="AL163" s="1" t="s">
        <v>2258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1814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2259</v>
      </c>
      <c r="C164" s="1" t="s">
        <v>2260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2261</v>
      </c>
      <c r="AJ164" s="1">
        <v>0</v>
      </c>
      <c r="AK164" s="1" t="s">
        <v>478</v>
      </c>
      <c r="AL164" s="1" t="s">
        <v>2262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1814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2263</v>
      </c>
      <c r="C165" s="1" t="s">
        <v>2264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2265</v>
      </c>
      <c r="AJ165" s="1">
        <v>0</v>
      </c>
      <c r="AK165" s="1" t="s">
        <v>479</v>
      </c>
      <c r="AL165" s="1" t="s">
        <v>2266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1814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2267</v>
      </c>
      <c r="C166" s="1" t="s">
        <v>2268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2115</v>
      </c>
      <c r="AJ166" s="1">
        <v>0</v>
      </c>
      <c r="AK166" s="1" t="s">
        <v>480</v>
      </c>
      <c r="AL166" s="1" t="s">
        <v>2269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1814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2270</v>
      </c>
      <c r="C167" s="1" t="s">
        <v>2271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2272</v>
      </c>
      <c r="AJ167" s="1">
        <v>0</v>
      </c>
      <c r="AK167" s="1" t="s">
        <v>481</v>
      </c>
      <c r="AL167" s="1" t="s">
        <v>2273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1814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2274</v>
      </c>
      <c r="C168" s="1" t="s">
        <v>2275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2276</v>
      </c>
      <c r="AJ168" s="1">
        <v>0</v>
      </c>
      <c r="AK168" s="1" t="s">
        <v>482</v>
      </c>
      <c r="AL168" s="1" t="s">
        <v>2277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1814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2278</v>
      </c>
      <c r="C169" s="1" t="s">
        <v>2279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2280</v>
      </c>
      <c r="AJ169" s="1">
        <v>0</v>
      </c>
      <c r="AK169" s="1" t="s">
        <v>483</v>
      </c>
      <c r="AL169" s="1" t="s">
        <v>2281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1814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2282</v>
      </c>
      <c r="C170" s="1" t="s">
        <v>2283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2284</v>
      </c>
      <c r="AJ170" s="1">
        <v>0</v>
      </c>
      <c r="AK170" s="1" t="s">
        <v>484</v>
      </c>
      <c r="AL170" s="1" t="s">
        <v>2285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1814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2286</v>
      </c>
      <c r="C171" s="1" t="s">
        <v>2287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2288</v>
      </c>
      <c r="AJ171" s="1">
        <v>0</v>
      </c>
      <c r="AK171" s="1" t="s">
        <v>485</v>
      </c>
      <c r="AL171" s="1" t="s">
        <v>2289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1814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2290</v>
      </c>
      <c r="C172" s="1" t="s">
        <v>2291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2292</v>
      </c>
      <c r="AJ172" s="1">
        <v>0</v>
      </c>
      <c r="AK172" s="1" t="s">
        <v>486</v>
      </c>
      <c r="AL172" s="1" t="s">
        <v>2293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1814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2294</v>
      </c>
      <c r="C173" s="1" t="s">
        <v>2295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2296</v>
      </c>
      <c r="AJ173" s="1">
        <v>0</v>
      </c>
      <c r="AK173" s="1" t="s">
        <v>487</v>
      </c>
      <c r="AL173" s="1" t="s">
        <v>2297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2298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2299</v>
      </c>
      <c r="C174" s="1" t="s">
        <v>2300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1814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2302</v>
      </c>
      <c r="C175" s="1" t="s">
        <v>2303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1851</v>
      </c>
      <c r="AJ175" s="1">
        <v>0</v>
      </c>
      <c r="AK175" s="1" t="s">
        <v>490</v>
      </c>
      <c r="AL175" s="1" t="s">
        <v>2304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1814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2305</v>
      </c>
      <c r="C176" s="1" t="s">
        <v>2306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2307</v>
      </c>
      <c r="AJ176" s="1">
        <v>0</v>
      </c>
      <c r="AK176" s="1" t="s">
        <v>491</v>
      </c>
      <c r="AL176" s="1" t="s">
        <v>2308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1814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2309</v>
      </c>
      <c r="C177" s="1" t="s">
        <v>2310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1851</v>
      </c>
      <c r="AJ177" s="1">
        <v>0</v>
      </c>
      <c r="AK177" s="1" t="s">
        <v>492</v>
      </c>
      <c r="AL177" s="1" t="s">
        <v>2311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1814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2312</v>
      </c>
      <c r="C178" s="1" t="s">
        <v>2313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1851</v>
      </c>
      <c r="AJ178" s="1">
        <v>0</v>
      </c>
      <c r="AK178" s="1" t="s">
        <v>493</v>
      </c>
      <c r="AL178" s="1" t="s">
        <v>2314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1814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2315</v>
      </c>
      <c r="C179" s="1" t="s">
        <v>2316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2317</v>
      </c>
      <c r="AJ179" s="1">
        <v>0</v>
      </c>
      <c r="AK179" s="1" t="s">
        <v>934</v>
      </c>
      <c r="AL179" s="1" t="s">
        <v>2318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1814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2319</v>
      </c>
      <c r="C180" s="1" t="s">
        <v>2320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2321</v>
      </c>
      <c r="AJ180" s="1">
        <v>0</v>
      </c>
      <c r="AK180" s="1" t="s">
        <v>354</v>
      </c>
      <c r="AL180" s="1" t="s">
        <v>2322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1814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2323</v>
      </c>
      <c r="C181" s="1" t="s">
        <v>2324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2053</v>
      </c>
      <c r="AJ181" s="1">
        <v>0</v>
      </c>
      <c r="AK181" s="1" t="s">
        <v>495</v>
      </c>
      <c r="AL181" s="1" t="s">
        <v>2325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1814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2326</v>
      </c>
      <c r="C182" s="1" t="s">
        <v>2327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1851</v>
      </c>
      <c r="AJ182" s="1">
        <v>0</v>
      </c>
      <c r="AK182" s="1" t="s">
        <v>496</v>
      </c>
      <c r="AL182" s="1" t="s">
        <v>2328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1814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2329</v>
      </c>
      <c r="C183" s="1" t="s">
        <v>2330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1851</v>
      </c>
      <c r="AJ183" s="1">
        <v>0</v>
      </c>
      <c r="AK183" s="1" t="s">
        <v>497</v>
      </c>
      <c r="AL183" s="1" t="s">
        <v>2331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1814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2332</v>
      </c>
      <c r="C184" s="1" t="s">
        <v>2333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1851</v>
      </c>
      <c r="AJ184" s="1">
        <v>0</v>
      </c>
      <c r="AK184" s="1" t="s">
        <v>498</v>
      </c>
      <c r="AL184" s="1" t="s">
        <v>2334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2335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2336</v>
      </c>
      <c r="C185" s="1" t="s">
        <v>2337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1851</v>
      </c>
      <c r="AJ185" s="1">
        <v>0</v>
      </c>
      <c r="AK185" s="1" t="s">
        <v>500</v>
      </c>
      <c r="AL185" s="1" t="s">
        <v>2338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1814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2339</v>
      </c>
      <c r="C186" s="1" t="s">
        <v>2340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1851</v>
      </c>
      <c r="AJ186" s="1">
        <v>0</v>
      </c>
      <c r="AK186" s="1" t="s">
        <v>501</v>
      </c>
      <c r="AL186" s="1" t="s">
        <v>2341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1814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2342</v>
      </c>
      <c r="C187" s="1" t="s">
        <v>2343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1851</v>
      </c>
      <c r="AJ187" s="1">
        <v>0</v>
      </c>
      <c r="AK187" s="1" t="s">
        <v>498</v>
      </c>
      <c r="AL187" s="1" t="s">
        <v>2344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2345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2346</v>
      </c>
      <c r="C188" s="1" t="s">
        <v>2347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1851</v>
      </c>
      <c r="AJ188" s="1">
        <v>0</v>
      </c>
      <c r="AK188" s="1" t="s">
        <v>498</v>
      </c>
      <c r="AL188" s="1" t="s">
        <v>2348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2349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2350</v>
      </c>
      <c r="C189" s="1" t="s">
        <v>2351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2352</v>
      </c>
      <c r="AJ189" s="1">
        <v>0</v>
      </c>
      <c r="AK189" s="1" t="s">
        <v>502</v>
      </c>
      <c r="AL189" s="1" t="s">
        <v>2353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1814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2354</v>
      </c>
      <c r="C190" s="1" t="s">
        <v>2355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2307</v>
      </c>
      <c r="AJ190" s="1">
        <v>0</v>
      </c>
      <c r="AK190" s="1" t="s">
        <v>503</v>
      </c>
      <c r="AL190" s="1" t="s">
        <v>2356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1814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2357</v>
      </c>
      <c r="C191" s="1" t="s">
        <v>2358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1851</v>
      </c>
      <c r="AJ191" s="1">
        <v>0</v>
      </c>
      <c r="AK191" s="1" t="s">
        <v>504</v>
      </c>
      <c r="AL191" s="1" t="s">
        <v>2359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1814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2360</v>
      </c>
      <c r="C192" s="1" t="s">
        <v>2361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1851</v>
      </c>
      <c r="AJ192" s="1">
        <v>0</v>
      </c>
      <c r="AK192" s="1" t="s">
        <v>505</v>
      </c>
      <c r="AL192" s="1" t="s">
        <v>2362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1814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2363</v>
      </c>
      <c r="C193" s="1" t="s">
        <v>2364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1851</v>
      </c>
      <c r="AJ193" s="1">
        <v>0</v>
      </c>
      <c r="AK193" s="1" t="s">
        <v>506</v>
      </c>
      <c r="AL193" s="1" t="s">
        <v>2365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1814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2366</v>
      </c>
      <c r="C194" s="1" t="s">
        <v>2367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1955</v>
      </c>
      <c r="AJ194" s="1">
        <v>0</v>
      </c>
      <c r="AK194" s="1" t="s">
        <v>507</v>
      </c>
      <c r="AL194" s="1" t="s">
        <v>2368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1814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2369</v>
      </c>
      <c r="C195" s="1" t="s">
        <v>2370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1851</v>
      </c>
      <c r="AJ195" s="1">
        <v>0</v>
      </c>
      <c r="AK195" s="1" t="s">
        <v>508</v>
      </c>
      <c r="AL195" s="1" t="s">
        <v>2371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1814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2372</v>
      </c>
      <c r="C196" s="1" t="s">
        <v>2373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1851</v>
      </c>
      <c r="AJ196" s="1">
        <v>0</v>
      </c>
      <c r="AK196" s="1" t="s">
        <v>509</v>
      </c>
      <c r="AL196" s="1" t="s">
        <v>2374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1814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2375</v>
      </c>
      <c r="C197" s="1" t="s">
        <v>2376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1851</v>
      </c>
      <c r="AJ197" s="1">
        <v>0</v>
      </c>
      <c r="AK197" s="1" t="s">
        <v>510</v>
      </c>
      <c r="AL197" s="1" t="s">
        <v>2377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1814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2378</v>
      </c>
      <c r="C198" s="1" t="s">
        <v>2379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2380</v>
      </c>
      <c r="AJ198" s="1">
        <v>0</v>
      </c>
      <c r="AK198" s="1" t="s">
        <v>511</v>
      </c>
      <c r="AL198" s="1" t="s">
        <v>2381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2382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2383</v>
      </c>
      <c r="C199" s="1" t="s">
        <v>2384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2385</v>
      </c>
      <c r="AJ199" s="1">
        <v>0</v>
      </c>
      <c r="AK199" s="1" t="s">
        <v>511</v>
      </c>
      <c r="AL199" s="1" t="s">
        <v>2386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2387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2388</v>
      </c>
      <c r="C200" s="1" t="s">
        <v>2389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2385</v>
      </c>
      <c r="AJ200" s="1">
        <v>0</v>
      </c>
      <c r="AK200" s="1" t="s">
        <v>511</v>
      </c>
      <c r="AL200" s="1" t="s">
        <v>2390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2391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2392</v>
      </c>
      <c r="C201" s="1" t="s">
        <v>2393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2394</v>
      </c>
      <c r="AJ201" s="1">
        <v>0</v>
      </c>
      <c r="AK201" s="1" t="s">
        <v>512</v>
      </c>
      <c r="AL201" s="1" t="s">
        <v>2395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2396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2397</v>
      </c>
      <c r="C202" s="1" t="s">
        <v>2398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2385</v>
      </c>
      <c r="AJ202" s="1">
        <v>0</v>
      </c>
      <c r="AK202" s="1" t="s">
        <v>512</v>
      </c>
      <c r="AL202" s="1" t="s">
        <v>2399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2400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2401</v>
      </c>
      <c r="C203" s="1" t="s">
        <v>2402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2385</v>
      </c>
      <c r="AJ203" s="1">
        <v>0</v>
      </c>
      <c r="AK203" s="1" t="s">
        <v>512</v>
      </c>
      <c r="AL203" s="1" t="s">
        <v>2403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2404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2405</v>
      </c>
      <c r="C204" s="1" t="s">
        <v>2406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2407</v>
      </c>
      <c r="AJ204" s="1">
        <v>0</v>
      </c>
      <c r="AK204" s="1" t="s">
        <v>513</v>
      </c>
      <c r="AL204" s="1" t="s">
        <v>2408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1814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2409</v>
      </c>
      <c r="C205" s="1" t="s">
        <v>2410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1851</v>
      </c>
      <c r="AJ205" s="1">
        <v>0</v>
      </c>
      <c r="AK205" s="1" t="s">
        <v>514</v>
      </c>
      <c r="AL205" s="1" t="s">
        <v>2411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1814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2412</v>
      </c>
      <c r="C206" s="1" t="s">
        <v>2413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2414</v>
      </c>
      <c r="AJ206" s="1">
        <v>0</v>
      </c>
      <c r="AK206" s="1" t="s">
        <v>515</v>
      </c>
      <c r="AL206" s="1" t="s">
        <v>2415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2416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2417</v>
      </c>
      <c r="C207" s="1" t="s">
        <v>2418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1851</v>
      </c>
      <c r="AJ207" s="1">
        <v>0</v>
      </c>
      <c r="AK207" s="1" t="s">
        <v>516</v>
      </c>
      <c r="AL207" s="1" t="s">
        <v>2419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1814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2420</v>
      </c>
      <c r="C208" s="1" t="s">
        <v>2421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1851</v>
      </c>
      <c r="AJ208" s="1">
        <v>0</v>
      </c>
      <c r="AK208" s="1" t="s">
        <v>517</v>
      </c>
      <c r="AL208" s="1" t="s">
        <v>2422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1814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2423</v>
      </c>
      <c r="C209" s="1" t="s">
        <v>2424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2070</v>
      </c>
      <c r="AJ209" s="1">
        <v>0</v>
      </c>
      <c r="AK209" s="1" t="s">
        <v>518</v>
      </c>
      <c r="AL209" s="1" t="s">
        <v>2425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1814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2426</v>
      </c>
      <c r="C210" s="1" t="s">
        <v>2427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1851</v>
      </c>
      <c r="AJ210" s="1">
        <v>0</v>
      </c>
      <c r="AK210" s="1" t="s">
        <v>519</v>
      </c>
      <c r="AL210" s="1" t="s">
        <v>2428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2429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2430</v>
      </c>
      <c r="C211" s="1" t="s">
        <v>2431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1851</v>
      </c>
      <c r="AJ211" s="1">
        <v>0</v>
      </c>
      <c r="AK211" s="1" t="s">
        <v>888</v>
      </c>
      <c r="AL211" s="1" t="s">
        <v>2432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1814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2433</v>
      </c>
      <c r="C212" s="1" t="s">
        <v>2434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1851</v>
      </c>
      <c r="AJ212" s="1">
        <v>0</v>
      </c>
      <c r="AK212" s="1" t="s">
        <v>889</v>
      </c>
      <c r="AL212" s="1" t="s">
        <v>2435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2436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2437</v>
      </c>
      <c r="C213" s="1" t="s">
        <v>2438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1851</v>
      </c>
      <c r="AJ213" s="1">
        <v>0</v>
      </c>
      <c r="AK213" s="1" t="s">
        <v>890</v>
      </c>
      <c r="AL213" s="1" t="s">
        <v>2439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1814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2440</v>
      </c>
      <c r="C214" s="1" t="s">
        <v>2441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1851</v>
      </c>
      <c r="AJ214" s="1">
        <v>0</v>
      </c>
      <c r="AK214" s="1" t="s">
        <v>891</v>
      </c>
      <c r="AL214" s="1" t="s">
        <v>2442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1814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2443</v>
      </c>
      <c r="C215" s="1" t="s">
        <v>2444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1851</v>
      </c>
      <c r="AJ215" s="1">
        <v>0</v>
      </c>
      <c r="AK215" s="1" t="s">
        <v>892</v>
      </c>
      <c r="AL215" s="1" t="s">
        <v>2445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2446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2447</v>
      </c>
      <c r="C216" s="1" t="s">
        <v>2448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2449</v>
      </c>
      <c r="AJ216" s="1">
        <v>0</v>
      </c>
      <c r="AK216" s="1" t="s">
        <v>887</v>
      </c>
      <c r="AL216" s="1" t="s">
        <v>2450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1814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2451</v>
      </c>
      <c r="C217" s="1" t="s">
        <v>2452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1851</v>
      </c>
      <c r="AJ217" s="1">
        <v>0</v>
      </c>
      <c r="AK217" s="1" t="s">
        <v>898</v>
      </c>
      <c r="AL217" s="1" t="s">
        <v>2453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2454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2455</v>
      </c>
      <c r="C218" s="1" t="s">
        <v>2456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1851</v>
      </c>
      <c r="AJ218" s="1">
        <v>0</v>
      </c>
      <c r="AK218" s="1" t="s">
        <v>893</v>
      </c>
      <c r="AL218" s="1" t="s">
        <v>2457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1814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2458</v>
      </c>
      <c r="C219" s="1" t="s">
        <v>2459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1851</v>
      </c>
      <c r="AJ219" s="1">
        <v>0</v>
      </c>
      <c r="AK219" s="1" t="s">
        <v>899</v>
      </c>
      <c r="AL219" s="1" t="s">
        <v>2460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1814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2461</v>
      </c>
      <c r="C220" s="1" t="s">
        <v>2462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1926</v>
      </c>
      <c r="AJ220" s="1">
        <v>0</v>
      </c>
      <c r="AK220" s="1" t="s">
        <v>935</v>
      </c>
      <c r="AL220" s="1" t="s">
        <v>2463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1814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2464</v>
      </c>
      <c r="C221" s="1" t="s">
        <v>2465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2131</v>
      </c>
      <c r="AJ221" s="1">
        <v>0</v>
      </c>
      <c r="AK221" s="1" t="s">
        <v>329</v>
      </c>
      <c r="AL221" s="1" t="s">
        <v>2466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1814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2467</v>
      </c>
      <c r="C222" s="1" t="s">
        <v>2468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2131</v>
      </c>
      <c r="AJ222" s="1">
        <v>0</v>
      </c>
      <c r="AK222" s="1" t="s">
        <v>329</v>
      </c>
      <c r="AL222" s="1" t="s">
        <v>2469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1814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2470</v>
      </c>
      <c r="C223" s="1" t="s">
        <v>2471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2131</v>
      </c>
      <c r="AJ223" s="1">
        <v>0</v>
      </c>
      <c r="AK223" s="1" t="s">
        <v>329</v>
      </c>
      <c r="AL223" s="1" t="s">
        <v>2472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1814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2473</v>
      </c>
      <c r="C224" s="1" t="s">
        <v>2474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1851</v>
      </c>
      <c r="AJ224" s="1">
        <v>0</v>
      </c>
      <c r="AK224" s="1" t="s">
        <v>329</v>
      </c>
      <c r="AL224" s="1" t="s">
        <v>2475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2477</v>
      </c>
      <c r="C225" s="1" t="s">
        <v>2478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5678</v>
      </c>
      <c r="AH225" s="1">
        <v>2400</v>
      </c>
      <c r="AI225" s="1" t="s">
        <v>1851</v>
      </c>
      <c r="AJ225" s="1">
        <v>0</v>
      </c>
      <c r="AK225" s="1" t="s">
        <v>329</v>
      </c>
      <c r="AL225" s="1" t="s">
        <v>2479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1814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2480</v>
      </c>
      <c r="C226" s="1" t="s">
        <v>2481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5677</v>
      </c>
      <c r="AH226" s="1">
        <v>3000</v>
      </c>
      <c r="AI226" s="1" t="s">
        <v>1851</v>
      </c>
      <c r="AJ226" s="1">
        <v>0</v>
      </c>
      <c r="AK226" s="1" t="s">
        <v>329</v>
      </c>
      <c r="AL226" s="1" t="s">
        <v>2482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1814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2483</v>
      </c>
      <c r="C227" s="1" t="s">
        <v>2484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1851</v>
      </c>
      <c r="AJ227" s="1">
        <v>0</v>
      </c>
      <c r="AK227" s="1" t="s">
        <v>329</v>
      </c>
      <c r="AL227" s="1" t="s">
        <v>2485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1814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2486</v>
      </c>
      <c r="C228" s="1" t="s">
        <v>2487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1851</v>
      </c>
      <c r="AJ228" s="1">
        <v>0</v>
      </c>
      <c r="AK228" s="1" t="s">
        <v>329</v>
      </c>
      <c r="AL228" s="1" t="s">
        <v>2488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1814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2489</v>
      </c>
      <c r="C229" s="1" t="s">
        <v>2490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1851</v>
      </c>
      <c r="AJ229" s="1">
        <v>0</v>
      </c>
      <c r="AK229" s="1" t="s">
        <v>329</v>
      </c>
      <c r="AL229" s="1" t="s">
        <v>2491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1814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2492</v>
      </c>
      <c r="C230" s="1" t="s">
        <v>2493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1851</v>
      </c>
      <c r="AJ230" s="1">
        <v>0</v>
      </c>
      <c r="AK230" s="1" t="s">
        <v>329</v>
      </c>
      <c r="AL230" s="1" t="s">
        <v>2494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1814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2495</v>
      </c>
      <c r="C231" s="1" t="s">
        <v>2496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1851</v>
      </c>
      <c r="AJ231" s="1">
        <v>0</v>
      </c>
      <c r="AK231" s="1" t="s">
        <v>329</v>
      </c>
      <c r="AL231" s="1" t="s">
        <v>2497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1814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2498</v>
      </c>
      <c r="C232" s="1" t="s">
        <v>2499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1851</v>
      </c>
      <c r="AJ232" s="1">
        <v>0</v>
      </c>
      <c r="AK232" s="1" t="s">
        <v>329</v>
      </c>
      <c r="AL232" s="1" t="s">
        <v>2500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1814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2501</v>
      </c>
      <c r="C233" s="1" t="s">
        <v>2502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1851</v>
      </c>
      <c r="AJ233" s="1">
        <v>0</v>
      </c>
      <c r="AK233" s="1" t="s">
        <v>329</v>
      </c>
      <c r="AL233" s="1" t="s">
        <v>2503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1814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2504</v>
      </c>
      <c r="C234" s="1" t="s">
        <v>2505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1851</v>
      </c>
      <c r="AJ234" s="1">
        <v>0</v>
      </c>
      <c r="AK234" s="1" t="s">
        <v>329</v>
      </c>
      <c r="AL234" s="1" t="s">
        <v>2506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2507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2508</v>
      </c>
      <c r="C235" s="1" t="s">
        <v>2509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2510</v>
      </c>
      <c r="AJ235" s="1">
        <v>0</v>
      </c>
      <c r="AK235" s="1" t="s">
        <v>907</v>
      </c>
      <c r="AL235" s="1" t="s">
        <v>2511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2512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2513</v>
      </c>
      <c r="C236" s="1" t="s">
        <v>2514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1851</v>
      </c>
      <c r="AJ236" s="1">
        <v>0</v>
      </c>
      <c r="AK236" s="1" t="s">
        <v>937</v>
      </c>
      <c r="AL236" s="1" t="s">
        <v>2515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2516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2517</v>
      </c>
      <c r="C237" s="1" t="s">
        <v>2518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2519</v>
      </c>
      <c r="AJ237" s="1">
        <v>0</v>
      </c>
      <c r="AK237" s="1" t="s">
        <v>934</v>
      </c>
      <c r="AL237" s="1" t="s">
        <v>2520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2476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2521</v>
      </c>
      <c r="C238" s="1" t="s">
        <v>2522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2523</v>
      </c>
      <c r="AJ238" s="1">
        <v>0</v>
      </c>
      <c r="AK238" s="1" t="s">
        <v>933</v>
      </c>
      <c r="AL238" s="1" t="s">
        <v>2524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2525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2526</v>
      </c>
      <c r="C239" s="1" t="s">
        <v>2527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1851</v>
      </c>
      <c r="AJ239" s="1">
        <v>0</v>
      </c>
      <c r="AK239" s="1" t="s">
        <v>939</v>
      </c>
      <c r="AL239" s="1" t="s">
        <v>2528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1814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2529</v>
      </c>
      <c r="C240" s="1" t="s">
        <v>2530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1851</v>
      </c>
      <c r="AJ240" s="1">
        <v>0</v>
      </c>
      <c r="AK240" s="1" t="s">
        <v>940</v>
      </c>
      <c r="AL240" s="1" t="s">
        <v>2531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1814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2532</v>
      </c>
      <c r="C241" s="1" t="s">
        <v>2533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1851</v>
      </c>
      <c r="AJ241" s="1">
        <v>0</v>
      </c>
      <c r="AK241" s="1" t="s">
        <v>1594</v>
      </c>
      <c r="AL241" s="1" t="s">
        <v>2534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2535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2536</v>
      </c>
      <c r="C242" s="1" t="s">
        <v>2537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2049</v>
      </c>
      <c r="AJ242" s="1">
        <v>0</v>
      </c>
      <c r="AK242" s="1" t="s">
        <v>1595</v>
      </c>
      <c r="AL242" s="1" t="s">
        <v>2538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1814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2539</v>
      </c>
      <c r="C243" s="1" t="s">
        <v>2540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1851</v>
      </c>
      <c r="AJ243" s="1">
        <v>0</v>
      </c>
      <c r="AK243" s="1" t="s">
        <v>1479</v>
      </c>
      <c r="AL243" s="1" t="s">
        <v>2541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1814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2542</v>
      </c>
      <c r="C244" s="1" t="s">
        <v>2543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2544</v>
      </c>
      <c r="AJ244" s="1">
        <v>0</v>
      </c>
      <c r="AK244" s="1" t="s">
        <v>1598</v>
      </c>
      <c r="AL244" s="1" t="s">
        <v>2545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1814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2546</v>
      </c>
      <c r="C245" s="1" t="s">
        <v>2547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2548</v>
      </c>
      <c r="AJ245" s="1">
        <v>0</v>
      </c>
      <c r="AK245" s="1" t="s">
        <v>1600</v>
      </c>
      <c r="AL245" s="1" t="s">
        <v>2549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2550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2551</v>
      </c>
      <c r="C246" s="1" t="s">
        <v>2552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2553</v>
      </c>
      <c r="AJ246" s="1">
        <v>0</v>
      </c>
      <c r="AK246" s="1" t="s">
        <v>1379</v>
      </c>
      <c r="AL246" s="1" t="s">
        <v>2554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1814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2555</v>
      </c>
      <c r="C247" s="1" t="s">
        <v>2556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1851</v>
      </c>
      <c r="AJ247" s="1">
        <v>0</v>
      </c>
      <c r="AK247" s="1" t="s">
        <v>408</v>
      </c>
      <c r="AL247" s="1" t="s">
        <v>2557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2558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2559</v>
      </c>
      <c r="C248" s="1" t="s">
        <v>2560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1851</v>
      </c>
      <c r="AJ248" s="1">
        <v>0</v>
      </c>
      <c r="AK248" s="1" t="s">
        <v>1728</v>
      </c>
      <c r="AL248" s="1" t="s">
        <v>2561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1814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2562</v>
      </c>
      <c r="C249" s="1" t="s">
        <v>2563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2510</v>
      </c>
      <c r="AJ249" s="1">
        <v>0</v>
      </c>
      <c r="AK249" s="1" t="s">
        <v>1730</v>
      </c>
      <c r="AL249" s="1" t="s">
        <v>2564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2565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2566</v>
      </c>
      <c r="C250" s="1" t="s">
        <v>2567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1851</v>
      </c>
      <c r="AJ250" s="1">
        <v>0</v>
      </c>
      <c r="AK250" s="1" t="s">
        <v>1604</v>
      </c>
      <c r="AL250" s="1" t="s">
        <v>2568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1814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2569</v>
      </c>
      <c r="C251" s="1" t="s">
        <v>2570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1851</v>
      </c>
      <c r="AJ251" s="1">
        <v>0</v>
      </c>
      <c r="AK251" s="1" t="s">
        <v>1605</v>
      </c>
      <c r="AL251" s="1" t="s">
        <v>2571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1814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2572</v>
      </c>
      <c r="C252" s="1" t="s">
        <v>2573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1851</v>
      </c>
      <c r="AJ252" s="1">
        <v>0</v>
      </c>
      <c r="AK252" s="1" t="s">
        <v>1606</v>
      </c>
      <c r="AL252" s="1" t="s">
        <v>2574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1814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2575</v>
      </c>
      <c r="C253" s="1" t="s">
        <v>2576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1851</v>
      </c>
      <c r="AJ253" s="1">
        <v>0</v>
      </c>
      <c r="AK253" s="1" t="s">
        <v>1607</v>
      </c>
      <c r="AL253" s="1" t="s">
        <v>2577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1814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2578</v>
      </c>
      <c r="C254" s="1" t="s">
        <v>2579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1851</v>
      </c>
      <c r="AJ254" s="1">
        <v>0</v>
      </c>
      <c r="AK254" s="1" t="s">
        <v>1608</v>
      </c>
      <c r="AL254" s="1" t="s">
        <v>2580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1814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2581</v>
      </c>
      <c r="C255" s="1" t="s">
        <v>2582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2583</v>
      </c>
      <c r="AJ255" s="1">
        <v>0</v>
      </c>
      <c r="AK255" s="1" t="s">
        <v>1743</v>
      </c>
      <c r="AL255" s="1" t="s">
        <v>2584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1814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2585</v>
      </c>
      <c r="C256" s="1" t="s">
        <v>2586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2587</v>
      </c>
      <c r="AJ256" s="1">
        <v>0</v>
      </c>
      <c r="AK256" s="1" t="s">
        <v>1732</v>
      </c>
      <c r="AL256" s="1" t="s">
        <v>2588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1814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2589</v>
      </c>
      <c r="C257" s="1" t="s">
        <v>2590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1851</v>
      </c>
      <c r="AJ257" s="1">
        <v>0</v>
      </c>
      <c r="AK257" s="1" t="s">
        <v>1746</v>
      </c>
      <c r="AL257" s="1" t="s">
        <v>2591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1814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2592</v>
      </c>
      <c r="C258" s="1" t="s">
        <v>2593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1851</v>
      </c>
      <c r="AJ258" s="1">
        <v>0</v>
      </c>
      <c r="AK258" s="1" t="s">
        <v>1747</v>
      </c>
      <c r="AL258" s="1" t="s">
        <v>2594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2595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2596</v>
      </c>
      <c r="C259" s="1" t="s">
        <v>2597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6387</v>
      </c>
      <c r="AH259" s="1">
        <v>3120</v>
      </c>
      <c r="AI259" s="1" t="s">
        <v>1851</v>
      </c>
      <c r="AJ259" s="1">
        <v>0</v>
      </c>
      <c r="AK259" s="1" t="s">
        <v>1763</v>
      </c>
      <c r="AL259" s="1" t="s">
        <v>2598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1814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2599</v>
      </c>
      <c r="C260" s="1" t="s">
        <v>2600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1851</v>
      </c>
      <c r="AJ260" s="1">
        <v>0</v>
      </c>
      <c r="AK260" s="1" t="s">
        <v>1765</v>
      </c>
      <c r="AL260" s="1" t="s">
        <v>2601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1814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2602</v>
      </c>
      <c r="C261" s="1" t="s">
        <v>2603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1851</v>
      </c>
      <c r="AJ261" s="1">
        <v>0</v>
      </c>
      <c r="AK261" s="1" t="s">
        <v>1767</v>
      </c>
      <c r="AL261" s="1" t="s">
        <v>2604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1814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2605</v>
      </c>
      <c r="C262" s="1" t="s">
        <v>2606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2607</v>
      </c>
      <c r="AJ262" s="1">
        <v>0</v>
      </c>
      <c r="AK262" s="1" t="s">
        <v>1769</v>
      </c>
      <c r="AL262" s="1" t="s">
        <v>2608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2476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2609</v>
      </c>
      <c r="C263" s="1" t="s">
        <v>2610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1851</v>
      </c>
      <c r="AJ263" s="1">
        <v>0</v>
      </c>
      <c r="AK263" s="1" t="s">
        <v>2611</v>
      </c>
      <c r="AL263" s="1" t="s">
        <v>2612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5638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5501</v>
      </c>
      <c r="C264" s="1" t="s">
        <v>5502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5503</v>
      </c>
      <c r="AJ264" s="1">
        <v>0</v>
      </c>
      <c r="AK264" s="1" t="s">
        <v>5504</v>
      </c>
      <c r="AL264" s="1" t="s">
        <v>5505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5506</v>
      </c>
      <c r="AS264" s="1">
        <v>0</v>
      </c>
      <c r="AT264" s="1" t="s">
        <v>5507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5508</v>
      </c>
      <c r="C265" s="1" t="s">
        <v>5509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5510</v>
      </c>
      <c r="AJ265" s="1">
        <v>0</v>
      </c>
      <c r="AK265" s="1" t="s">
        <v>5413</v>
      </c>
      <c r="AL265" s="1" t="s">
        <v>5511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5512</v>
      </c>
      <c r="AS265" s="1">
        <v>0</v>
      </c>
      <c r="AT265" s="1" t="s">
        <v>1814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5644</v>
      </c>
      <c r="C266" s="1" t="s">
        <v>5645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1851</v>
      </c>
      <c r="AJ266" s="1">
        <v>0</v>
      </c>
      <c r="AK266" s="1" t="s">
        <v>5149</v>
      </c>
      <c r="AL266" s="1" t="s">
        <v>5646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1814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5647</v>
      </c>
      <c r="C267" s="1" t="s">
        <v>5648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1851</v>
      </c>
      <c r="AJ267" s="1">
        <v>0</v>
      </c>
      <c r="AK267" s="1" t="s">
        <v>5066</v>
      </c>
      <c r="AL267" s="1" t="s">
        <v>5649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1814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5650</v>
      </c>
      <c r="C268" s="1" t="s">
        <v>5651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5652</v>
      </c>
      <c r="AJ268" s="1">
        <v>0</v>
      </c>
      <c r="AK268" s="1" t="s">
        <v>5653</v>
      </c>
      <c r="AL268" s="1" t="s">
        <v>5654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1814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5655</v>
      </c>
      <c r="C269" s="1" t="s">
        <v>5656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5657</v>
      </c>
      <c r="AJ269" s="1">
        <v>0</v>
      </c>
      <c r="AK269" s="1" t="s">
        <v>5658</v>
      </c>
      <c r="AL269" s="1" t="s">
        <v>5659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5660</v>
      </c>
      <c r="AS269" s="1">
        <v>0</v>
      </c>
      <c r="AT269" s="1" t="s">
        <v>1814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5762</v>
      </c>
      <c r="C270" s="1" t="s">
        <v>5763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1851</v>
      </c>
      <c r="AJ270" s="1">
        <v>0</v>
      </c>
      <c r="AK270" s="1" t="s">
        <v>4798</v>
      </c>
      <c r="AL270" s="1" t="s">
        <v>5764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1814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5765</v>
      </c>
      <c r="C271" s="1" t="s">
        <v>5766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5730</v>
      </c>
      <c r="AH271" s="1">
        <v>3600</v>
      </c>
      <c r="AI271" s="1" t="s">
        <v>1851</v>
      </c>
      <c r="AJ271" s="1">
        <v>0</v>
      </c>
      <c r="AK271" s="1" t="s">
        <v>5761</v>
      </c>
      <c r="AL271" s="1" t="s">
        <v>5767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1814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5768</v>
      </c>
      <c r="C272" s="1" t="s">
        <v>5769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5745</v>
      </c>
      <c r="AH272" s="1">
        <v>3600</v>
      </c>
      <c r="AI272" s="1" t="s">
        <v>5652</v>
      </c>
      <c r="AJ272" s="1">
        <v>0</v>
      </c>
      <c r="AK272" s="1" t="s">
        <v>5770</v>
      </c>
      <c r="AL272" s="1" t="s">
        <v>5771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1814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5772</v>
      </c>
      <c r="C273" s="1" t="s">
        <v>5773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5738</v>
      </c>
      <c r="AH273" s="1">
        <v>3600</v>
      </c>
      <c r="AI273" s="1" t="s">
        <v>1851</v>
      </c>
      <c r="AJ273" s="1">
        <v>0</v>
      </c>
      <c r="AK273" s="1" t="s">
        <v>5775</v>
      </c>
      <c r="AL273" s="1" t="s">
        <v>5776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5777</v>
      </c>
      <c r="AS273" s="1">
        <v>0</v>
      </c>
      <c r="AT273" s="1" t="s">
        <v>1814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5778</v>
      </c>
      <c r="C274" s="1" t="s">
        <v>5779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5754</v>
      </c>
      <c r="AH274" s="1">
        <v>3060</v>
      </c>
      <c r="AI274" s="1" t="s">
        <v>2414</v>
      </c>
      <c r="AJ274" s="1">
        <v>0</v>
      </c>
      <c r="AK274" s="1" t="s">
        <v>5780</v>
      </c>
      <c r="AL274" s="1" t="s">
        <v>5781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5782</v>
      </c>
      <c r="AS274" s="1">
        <v>0</v>
      </c>
      <c r="AT274" s="1" t="s">
        <v>1814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6317</v>
      </c>
      <c r="C275" s="1" t="s">
        <v>6318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2237</v>
      </c>
      <c r="AJ275" s="1">
        <v>0</v>
      </c>
      <c r="AK275" s="1" t="s">
        <v>6319</v>
      </c>
      <c r="AL275" s="1" t="s">
        <v>6320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1814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6353</v>
      </c>
      <c r="C276" s="1" t="s">
        <v>6354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6355</v>
      </c>
      <c r="AJ276" s="1">
        <v>0</v>
      </c>
      <c r="AK276" s="1" t="s">
        <v>5384</v>
      </c>
      <c r="AL276" s="1" t="s">
        <v>6356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6357</v>
      </c>
      <c r="AS276" s="1">
        <v>0</v>
      </c>
      <c r="AT276" s="1" t="s">
        <v>1814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6414</v>
      </c>
      <c r="C277" s="1" t="s">
        <v>6415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2223</v>
      </c>
      <c r="AJ277" s="1">
        <v>0</v>
      </c>
      <c r="AK277" s="1" t="s">
        <v>5422</v>
      </c>
      <c r="AL277" s="1" t="s">
        <v>6416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1814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6417</v>
      </c>
      <c r="C278" s="1" t="s">
        <v>6418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1851</v>
      </c>
      <c r="AJ278" s="1">
        <v>0</v>
      </c>
      <c r="AK278" s="1" t="s">
        <v>5549</v>
      </c>
      <c r="AL278" s="1" t="s">
        <v>6419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1814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6420</v>
      </c>
      <c r="C279" s="1" t="s">
        <v>6421</v>
      </c>
      <c r="D279" s="1">
        <v>5</v>
      </c>
      <c r="E279" s="1">
        <v>2</v>
      </c>
      <c r="F279" s="1">
        <v>19</v>
      </c>
      <c r="G279" s="1" t="s">
        <v>6422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6423</v>
      </c>
      <c r="AJ279" s="1">
        <v>0</v>
      </c>
      <c r="AK279" s="1" t="s">
        <v>5237</v>
      </c>
      <c r="AL279" s="1" t="s">
        <v>6424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6425</v>
      </c>
      <c r="AS279" s="1">
        <v>0</v>
      </c>
      <c r="AT279" s="1" t="s">
        <v>1814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6426</v>
      </c>
      <c r="C280" s="1" t="s">
        <v>6427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1851</v>
      </c>
      <c r="AJ280" s="1">
        <v>0</v>
      </c>
      <c r="AK280" s="1" t="s">
        <v>6428</v>
      </c>
      <c r="AL280" s="1" t="s">
        <v>6429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1814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6430</v>
      </c>
      <c r="C281" s="1" t="s">
        <v>6431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1851</v>
      </c>
      <c r="AJ281" s="1">
        <v>0</v>
      </c>
      <c r="AK281" s="1" t="s">
        <v>5423</v>
      </c>
      <c r="AL281" s="1" t="s">
        <v>6432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1814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6460</v>
      </c>
      <c r="C282" s="1" t="s">
        <v>6461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2215</v>
      </c>
      <c r="AJ282" s="1">
        <v>0</v>
      </c>
      <c r="AK282" s="1" t="s">
        <v>5411</v>
      </c>
      <c r="AL282" s="1" t="s">
        <v>6462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1814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6506</v>
      </c>
      <c r="C283" s="1" t="s">
        <v>6507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6476</v>
      </c>
      <c r="AH283" s="1">
        <v>3600</v>
      </c>
      <c r="AI283" s="1" t="s">
        <v>1851</v>
      </c>
      <c r="AJ283" s="1">
        <v>0</v>
      </c>
      <c r="AK283" s="1" t="s">
        <v>6504</v>
      </c>
      <c r="AL283" s="1" t="s">
        <v>6508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2476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6509</v>
      </c>
      <c r="C284" s="1" t="s">
        <v>6510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6484</v>
      </c>
      <c r="AH284" s="1">
        <v>3600</v>
      </c>
      <c r="AI284" s="1" t="s">
        <v>1851</v>
      </c>
      <c r="AJ284" s="1">
        <v>0</v>
      </c>
      <c r="AK284" s="1" t="s">
        <v>6503</v>
      </c>
      <c r="AL284" s="1" t="s">
        <v>6511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1814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6512</v>
      </c>
      <c r="C285" s="1" t="s">
        <v>6513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6522</v>
      </c>
      <c r="AH285" s="1">
        <v>3600</v>
      </c>
      <c r="AI285" s="1" t="s">
        <v>6514</v>
      </c>
      <c r="AJ285" s="1">
        <v>0</v>
      </c>
      <c r="AK285" s="1" t="s">
        <v>6505</v>
      </c>
      <c r="AL285" s="1" t="s">
        <v>6515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6516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6517</v>
      </c>
      <c r="C286" s="1" t="s">
        <v>6518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6497</v>
      </c>
      <c r="AH286" s="1">
        <v>2700</v>
      </c>
      <c r="AI286" s="1" t="s">
        <v>6519</v>
      </c>
      <c r="AJ286" s="1">
        <v>0</v>
      </c>
      <c r="AK286" s="1" t="s">
        <v>6520</v>
      </c>
      <c r="AL286" s="1" t="s">
        <v>6521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1814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6529</v>
      </c>
      <c r="C287" s="1" t="s">
        <v>6530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6531</v>
      </c>
      <c r="AL287" s="1" t="s">
        <v>6532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6533</v>
      </c>
      <c r="AS287" s="1">
        <v>0</v>
      </c>
      <c r="AT287" s="1" t="s">
        <v>6534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6552</v>
      </c>
      <c r="C288" t="s">
        <v>6553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2215</v>
      </c>
      <c r="AJ288">
        <v>0</v>
      </c>
      <c r="AK288" s="1" t="s">
        <v>6554</v>
      </c>
      <c r="AL288" s="1" t="s">
        <v>6555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6556</v>
      </c>
      <c r="AS288">
        <v>0</v>
      </c>
      <c r="AT288" t="s">
        <v>1814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6557</v>
      </c>
      <c r="C289" t="s">
        <v>6558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6559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1851</v>
      </c>
      <c r="AJ289">
        <v>0</v>
      </c>
      <c r="AK289" s="1" t="s">
        <v>6560</v>
      </c>
      <c r="AL289" s="1" t="s">
        <v>6561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6562</v>
      </c>
      <c r="AS289">
        <v>0</v>
      </c>
      <c r="AT289" t="s">
        <v>1814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6563</v>
      </c>
      <c r="C290" t="s">
        <v>6564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1851</v>
      </c>
      <c r="AJ290">
        <v>0</v>
      </c>
      <c r="AK290" s="1" t="s">
        <v>6565</v>
      </c>
      <c r="AL290" s="1" t="s">
        <v>6566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5660</v>
      </c>
      <c r="AS290">
        <v>0</v>
      </c>
      <c r="AT290" t="s">
        <v>1814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6567</v>
      </c>
      <c r="C291" t="s">
        <v>6568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6569</v>
      </c>
      <c r="AJ291">
        <v>0</v>
      </c>
      <c r="AK291" s="1" t="s">
        <v>6570</v>
      </c>
      <c r="AL291" s="1" t="s">
        <v>6571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5506</v>
      </c>
      <c r="AS291">
        <v>0</v>
      </c>
      <c r="AT291" t="s">
        <v>6572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6626</v>
      </c>
      <c r="C292" t="s">
        <v>6627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1851</v>
      </c>
      <c r="AJ292">
        <v>0</v>
      </c>
      <c r="AK292" s="1" t="s">
        <v>6628</v>
      </c>
      <c r="AL292" s="1" t="s">
        <v>6629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6630</v>
      </c>
      <c r="AS292">
        <v>0</v>
      </c>
      <c r="AT292" t="s">
        <v>1814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6631</v>
      </c>
      <c r="C293" t="s">
        <v>6632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1851</v>
      </c>
      <c r="AJ293">
        <v>0</v>
      </c>
      <c r="AK293" s="1" t="s">
        <v>6633</v>
      </c>
      <c r="AL293" s="1" t="s">
        <v>6634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6635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6638</v>
      </c>
      <c r="C294" t="s">
        <v>6639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6640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6641</v>
      </c>
      <c r="AJ294">
        <v>0</v>
      </c>
      <c r="AK294" s="1" t="s">
        <v>6642</v>
      </c>
      <c r="AL294" s="1" t="s">
        <v>6643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6644</v>
      </c>
      <c r="AS294">
        <v>0</v>
      </c>
      <c r="AT294" t="s">
        <v>6645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6748</v>
      </c>
      <c r="C295" t="s">
        <v>6749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6771</v>
      </c>
      <c r="AH295" s="1">
        <v>3600</v>
      </c>
      <c r="AI295" t="s">
        <v>1851</v>
      </c>
      <c r="AJ295">
        <v>0</v>
      </c>
      <c r="AK295" s="1" t="s">
        <v>6750</v>
      </c>
      <c r="AL295" s="1" t="s">
        <v>6751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2476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6752</v>
      </c>
      <c r="C296" t="s">
        <v>6753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6640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6772</v>
      </c>
      <c r="AH296" s="1">
        <v>3360</v>
      </c>
      <c r="AI296" t="s">
        <v>1851</v>
      </c>
      <c r="AJ296">
        <v>0</v>
      </c>
      <c r="AK296" s="1" t="s">
        <v>6746</v>
      </c>
      <c r="AL296" s="1" t="s">
        <v>6754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6755</v>
      </c>
      <c r="AS296">
        <v>0</v>
      </c>
      <c r="AT296" t="s">
        <v>1814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6756</v>
      </c>
      <c r="C297" t="s">
        <v>6757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6758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6773</v>
      </c>
      <c r="AH297" s="1">
        <v>3300</v>
      </c>
      <c r="AI297" t="s">
        <v>1851</v>
      </c>
      <c r="AJ297">
        <v>0</v>
      </c>
      <c r="AK297" s="1" t="s">
        <v>6747</v>
      </c>
      <c r="AL297" s="1" t="s">
        <v>6759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6760</v>
      </c>
      <c r="AS297">
        <v>0</v>
      </c>
      <c r="AT297" t="s">
        <v>1814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6761</v>
      </c>
      <c r="C298" t="s">
        <v>6762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6775</v>
      </c>
      <c r="AH298" s="1">
        <v>3060</v>
      </c>
      <c r="AI298" t="s">
        <v>1851</v>
      </c>
      <c r="AJ298">
        <v>0</v>
      </c>
      <c r="AK298" s="1" t="s">
        <v>6763</v>
      </c>
      <c r="AL298" s="1" t="s">
        <v>6764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6765</v>
      </c>
      <c r="AS298">
        <v>0</v>
      </c>
      <c r="AT298" t="s">
        <v>1814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6766</v>
      </c>
      <c r="C299" t="s">
        <v>6767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6768</v>
      </c>
      <c r="AJ299">
        <v>0</v>
      </c>
      <c r="AK299" s="1" t="s">
        <v>6769</v>
      </c>
      <c r="AL299" s="1" t="s">
        <v>6770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1814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6779</v>
      </c>
      <c r="C300" t="s">
        <v>6780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1851</v>
      </c>
      <c r="AJ300">
        <v>0</v>
      </c>
      <c r="AK300" s="1" t="s">
        <v>5567</v>
      </c>
      <c r="AL300" s="1" t="s">
        <v>6781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1814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6782</v>
      </c>
      <c r="C301" t="s">
        <v>6783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6784</v>
      </c>
      <c r="AJ301">
        <v>0</v>
      </c>
      <c r="AK301" s="1" t="s">
        <v>6785</v>
      </c>
      <c r="AL301" s="1" t="s">
        <v>6786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1814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6787</v>
      </c>
      <c r="C302" t="s">
        <v>6788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3186</v>
      </c>
      <c r="AH302" s="1">
        <v>2820</v>
      </c>
      <c r="AI302" t="s">
        <v>2407</v>
      </c>
      <c r="AJ302">
        <v>0</v>
      </c>
      <c r="AK302" s="1" t="s">
        <v>6789</v>
      </c>
      <c r="AL302" s="1" t="s">
        <v>6790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1814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6791</v>
      </c>
      <c r="C303" t="s">
        <v>6792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6793</v>
      </c>
      <c r="AJ303">
        <v>0</v>
      </c>
      <c r="AK303" s="1" t="s">
        <v>6794</v>
      </c>
      <c r="AL303" s="1" t="s">
        <v>6795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6796</v>
      </c>
      <c r="AS303">
        <v>0</v>
      </c>
      <c r="AT303" t="s">
        <v>6797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6808</v>
      </c>
      <c r="C304" t="s">
        <v>6809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6810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6855</v>
      </c>
      <c r="AH304" s="1">
        <v>3060</v>
      </c>
      <c r="AI304" t="s">
        <v>1851</v>
      </c>
      <c r="AJ304">
        <v>0</v>
      </c>
      <c r="AK304" s="1" t="s">
        <v>329</v>
      </c>
      <c r="AL304" s="1" t="s">
        <v>6811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6812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6813</v>
      </c>
      <c r="C305" t="s">
        <v>6814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6856</v>
      </c>
      <c r="AH305" s="1">
        <v>1800</v>
      </c>
      <c r="AI305" t="s">
        <v>1851</v>
      </c>
      <c r="AJ305">
        <v>0</v>
      </c>
      <c r="AK305" s="1" t="s">
        <v>329</v>
      </c>
      <c r="AL305" s="1" t="s">
        <v>6815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6816</v>
      </c>
      <c r="AS305">
        <v>0</v>
      </c>
      <c r="AT305" t="s">
        <v>1814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6817</v>
      </c>
      <c r="C306" t="s">
        <v>6818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6857</v>
      </c>
      <c r="AH306" s="1">
        <v>2640</v>
      </c>
      <c r="AI306" t="s">
        <v>1851</v>
      </c>
      <c r="AJ306">
        <v>0</v>
      </c>
      <c r="AK306" s="1" t="s">
        <v>329</v>
      </c>
      <c r="AL306" s="1" t="s">
        <v>6819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6820</v>
      </c>
      <c r="AS306">
        <v>0</v>
      </c>
      <c r="AT306" t="s">
        <v>1814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6821</v>
      </c>
      <c r="C307" t="s">
        <v>6822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6858</v>
      </c>
      <c r="AH307" s="1">
        <v>3360</v>
      </c>
      <c r="AI307" t="s">
        <v>1851</v>
      </c>
      <c r="AJ307">
        <v>0</v>
      </c>
      <c r="AK307" s="1" t="s">
        <v>329</v>
      </c>
      <c r="AL307" s="1" t="s">
        <v>6823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6824</v>
      </c>
      <c r="AS307">
        <v>0</v>
      </c>
      <c r="AT307" t="s">
        <v>1814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6825</v>
      </c>
      <c r="C308" t="s">
        <v>6826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6827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6948</v>
      </c>
      <c r="AH308" s="1">
        <v>3120</v>
      </c>
      <c r="AI308" t="s">
        <v>1851</v>
      </c>
      <c r="AJ308">
        <v>0</v>
      </c>
      <c r="AK308" s="1" t="s">
        <v>329</v>
      </c>
      <c r="AL308" s="1" t="s">
        <v>6828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1814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6829</v>
      </c>
      <c r="C309" t="s">
        <v>6830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6859</v>
      </c>
      <c r="AH309" s="1">
        <v>2580</v>
      </c>
      <c r="AI309" t="s">
        <v>6784</v>
      </c>
      <c r="AJ309">
        <v>0</v>
      </c>
      <c r="AK309" s="1" t="s">
        <v>329</v>
      </c>
      <c r="AL309" s="1" t="s">
        <v>6831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6832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6833</v>
      </c>
      <c r="C310" t="s">
        <v>6834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6860</v>
      </c>
      <c r="AH310" s="1">
        <v>3600</v>
      </c>
      <c r="AI310" t="s">
        <v>1851</v>
      </c>
      <c r="AJ310">
        <v>0</v>
      </c>
      <c r="AK310" s="1" t="s">
        <v>329</v>
      </c>
      <c r="AL310" s="1" t="s">
        <v>6835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6836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6837</v>
      </c>
      <c r="C311" t="s">
        <v>6838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6949</v>
      </c>
      <c r="AH311" s="1">
        <v>1920</v>
      </c>
      <c r="AI311" t="s">
        <v>1851</v>
      </c>
      <c r="AJ311">
        <v>0</v>
      </c>
      <c r="AK311" s="1" t="s">
        <v>329</v>
      </c>
      <c r="AL311" s="1" t="s">
        <v>6839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6840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6841</v>
      </c>
      <c r="C312" t="s">
        <v>6842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6950</v>
      </c>
      <c r="AH312" s="1">
        <v>2940</v>
      </c>
      <c r="AI312" t="s">
        <v>1851</v>
      </c>
      <c r="AJ312">
        <v>0</v>
      </c>
      <c r="AK312" s="1" t="s">
        <v>329</v>
      </c>
      <c r="AL312" s="1" t="s">
        <v>6843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6844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6845</v>
      </c>
      <c r="C313" t="s">
        <v>6846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6951</v>
      </c>
      <c r="AH313" s="1">
        <v>3540</v>
      </c>
      <c r="AI313" t="s">
        <v>1851</v>
      </c>
      <c r="AJ313">
        <v>0</v>
      </c>
      <c r="AK313" s="1" t="s">
        <v>329</v>
      </c>
      <c r="AL313" s="1" t="s">
        <v>6847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6848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6849</v>
      </c>
      <c r="C314" t="s">
        <v>6850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1851</v>
      </c>
      <c r="AJ314">
        <v>0</v>
      </c>
      <c r="AK314" s="1" t="s">
        <v>6851</v>
      </c>
      <c r="AL314" s="1" t="s">
        <v>6852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6853</v>
      </c>
      <c r="AS314">
        <v>0</v>
      </c>
      <c r="AT314" t="s">
        <v>6854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6881</v>
      </c>
      <c r="C315" t="s">
        <v>6882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2414</v>
      </c>
      <c r="AJ315">
        <v>0</v>
      </c>
      <c r="AK315" s="1" t="s">
        <v>6883</v>
      </c>
      <c r="AL315" s="1" t="s">
        <v>6884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6885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6925</v>
      </c>
      <c r="C316" t="s">
        <v>6926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6919</v>
      </c>
      <c r="AH316" s="1">
        <v>3600</v>
      </c>
      <c r="AI316" t="s">
        <v>1851</v>
      </c>
      <c r="AJ316">
        <v>0</v>
      </c>
      <c r="AK316" s="1" t="s">
        <v>6927</v>
      </c>
      <c r="AL316" s="1" t="s">
        <v>6928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1814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6929</v>
      </c>
      <c r="C317" t="s">
        <v>6930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6931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6911</v>
      </c>
      <c r="AH317" s="1">
        <v>3600</v>
      </c>
      <c r="AI317" t="s">
        <v>1851</v>
      </c>
      <c r="AJ317">
        <v>0</v>
      </c>
      <c r="AK317" s="1" t="s">
        <v>6932</v>
      </c>
      <c r="AL317" s="1" t="s">
        <v>6933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6934</v>
      </c>
      <c r="AS317">
        <v>0</v>
      </c>
      <c r="AT317" t="s">
        <v>1814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6944</v>
      </c>
      <c r="C318" t="s">
        <v>6945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1851</v>
      </c>
      <c r="AJ318">
        <v>0</v>
      </c>
      <c r="AK318" s="1" t="s">
        <v>5208</v>
      </c>
      <c r="AL318" s="1" t="s">
        <v>6946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6947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6952</v>
      </c>
      <c r="C319" t="s">
        <v>6953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1851</v>
      </c>
      <c r="AJ319">
        <v>0</v>
      </c>
      <c r="AK319" s="1" t="s">
        <v>6954</v>
      </c>
      <c r="AL319" s="1" t="s">
        <v>6955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6956</v>
      </c>
      <c r="AS319">
        <v>0</v>
      </c>
      <c r="AT319" t="s">
        <v>1814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6957</v>
      </c>
      <c r="C320" t="s">
        <v>6958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6959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1851</v>
      </c>
      <c r="AJ320">
        <v>0</v>
      </c>
      <c r="AK320" s="1" t="s">
        <v>5398</v>
      </c>
      <c r="AL320" s="1" t="s">
        <v>6960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6961</v>
      </c>
      <c r="AS320">
        <v>0</v>
      </c>
      <c r="AT320" t="s">
        <v>6962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6963</v>
      </c>
      <c r="C321" t="s">
        <v>6964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1851</v>
      </c>
      <c r="AJ321">
        <v>0</v>
      </c>
      <c r="AK321" s="1" t="s">
        <v>6965</v>
      </c>
      <c r="AL321" s="1" t="s">
        <v>6966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1814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6967</v>
      </c>
      <c r="C322" t="s">
        <v>6968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6969</v>
      </c>
      <c r="AJ322">
        <v>0</v>
      </c>
      <c r="AK322" s="1" t="s">
        <v>6970</v>
      </c>
      <c r="AL322" s="1" t="s">
        <v>6971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1814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6972</v>
      </c>
      <c r="C323" t="s">
        <v>6973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6559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1851</v>
      </c>
      <c r="AJ323">
        <v>0</v>
      </c>
      <c r="AK323" s="1" t="s">
        <v>6974</v>
      </c>
      <c r="AL323" s="1" t="s">
        <v>6975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6562</v>
      </c>
      <c r="AS323">
        <v>0</v>
      </c>
      <c r="AT323" t="s">
        <v>1814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7070</v>
      </c>
      <c r="C324" t="s">
        <v>7071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7072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1851</v>
      </c>
      <c r="AJ324">
        <v>0</v>
      </c>
      <c r="AK324" s="1" t="s">
        <v>7073</v>
      </c>
      <c r="AL324" s="1" t="s">
        <v>7074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1814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7075</v>
      </c>
      <c r="C325" t="s">
        <v>7076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7029</v>
      </c>
      <c r="AH325" s="1">
        <v>2700</v>
      </c>
      <c r="AI325" t="s">
        <v>1851</v>
      </c>
      <c r="AJ325">
        <v>0</v>
      </c>
      <c r="AK325" s="1" t="s">
        <v>7077</v>
      </c>
      <c r="AL325" s="1" t="s">
        <v>7078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1814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7079</v>
      </c>
      <c r="C326" t="s">
        <v>7080</v>
      </c>
      <c r="D326">
        <v>5</v>
      </c>
      <c r="E326">
        <v>2</v>
      </c>
      <c r="F326">
        <v>19</v>
      </c>
      <c r="G326" s="1" t="s">
        <v>390</v>
      </c>
      <c r="H326" s="1" t="s">
        <v>7081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6988</v>
      </c>
      <c r="AH326" s="1">
        <v>3600</v>
      </c>
      <c r="AI326" t="s">
        <v>1851</v>
      </c>
      <c r="AJ326">
        <v>0</v>
      </c>
      <c r="AK326" s="1" t="s">
        <v>7082</v>
      </c>
      <c r="AL326" s="1" t="s">
        <v>7083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1814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7084</v>
      </c>
      <c r="C327" t="s">
        <v>7085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6998</v>
      </c>
      <c r="AH327" s="1">
        <v>3600</v>
      </c>
      <c r="AI327" t="s">
        <v>1851</v>
      </c>
      <c r="AJ327">
        <v>0</v>
      </c>
      <c r="AK327" s="1" t="s">
        <v>7086</v>
      </c>
      <c r="AL327" s="1" t="s">
        <v>7087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2476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7088</v>
      </c>
      <c r="C328" t="s">
        <v>7089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7013</v>
      </c>
      <c r="AH328" s="1">
        <v>3060</v>
      </c>
      <c r="AI328" t="s">
        <v>1851</v>
      </c>
      <c r="AJ328">
        <v>0</v>
      </c>
      <c r="AK328" s="1" t="s">
        <v>7090</v>
      </c>
      <c r="AL328" s="1" t="s">
        <v>7091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1814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7092</v>
      </c>
      <c r="C329" t="s">
        <v>7093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7022</v>
      </c>
      <c r="AH329" s="1">
        <v>3060</v>
      </c>
      <c r="AI329" t="s">
        <v>1851</v>
      </c>
      <c r="AJ329">
        <v>0</v>
      </c>
      <c r="AK329" s="1" t="s">
        <v>7094</v>
      </c>
      <c r="AL329" s="1" t="s">
        <v>7095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7096</v>
      </c>
      <c r="AS329">
        <v>0</v>
      </c>
      <c r="AT329" t="s">
        <v>1814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7097</v>
      </c>
      <c r="C330" t="s">
        <v>7098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7037</v>
      </c>
      <c r="AH330" s="1">
        <v>3060</v>
      </c>
      <c r="AI330" t="s">
        <v>1851</v>
      </c>
      <c r="AJ330">
        <v>0</v>
      </c>
      <c r="AK330" s="1" t="s">
        <v>7099</v>
      </c>
      <c r="AL330" s="1" t="s">
        <v>7100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7101</v>
      </c>
      <c r="AS330">
        <v>0</v>
      </c>
      <c r="AT330" t="s">
        <v>1814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7117</v>
      </c>
      <c r="C331" t="s">
        <v>7118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7119</v>
      </c>
      <c r="AJ331">
        <v>0</v>
      </c>
      <c r="AK331" s="1" t="s">
        <v>7120</v>
      </c>
      <c r="AL331" s="1" t="s">
        <v>7121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7122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7191</v>
      </c>
      <c r="C332" t="s">
        <v>7192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8" t="s">
        <v>7161</v>
      </c>
      <c r="AH332" s="1">
        <v>3540</v>
      </c>
      <c r="AI332" t="s">
        <v>1851</v>
      </c>
      <c r="AJ332">
        <v>0</v>
      </c>
      <c r="AK332" s="1" t="s">
        <v>7190</v>
      </c>
      <c r="AL332" s="1" t="s">
        <v>7193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1480</v>
      </c>
      <c r="AS332">
        <v>0</v>
      </c>
      <c r="AT332" t="s">
        <v>6848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7194</v>
      </c>
      <c r="C333" t="s">
        <v>7195</v>
      </c>
      <c r="D333">
        <v>5</v>
      </c>
      <c r="E333">
        <v>3</v>
      </c>
      <c r="F333">
        <v>20</v>
      </c>
      <c r="G333" s="1" t="s">
        <v>1614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8" t="s">
        <v>7168</v>
      </c>
      <c r="AH333" s="1">
        <v>3120</v>
      </c>
      <c r="AI333" t="s">
        <v>1851</v>
      </c>
      <c r="AJ333">
        <v>0</v>
      </c>
      <c r="AK333" s="1" t="s">
        <v>7196</v>
      </c>
      <c r="AL333" s="1" t="s">
        <v>7197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1485</v>
      </c>
      <c r="AS333">
        <v>0</v>
      </c>
      <c r="AT333" t="s">
        <v>1814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7198</v>
      </c>
      <c r="C334" t="s">
        <v>7199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8" t="s">
        <v>7212</v>
      </c>
      <c r="AH334" s="1">
        <v>3600</v>
      </c>
      <c r="AI334" t="s">
        <v>6514</v>
      </c>
      <c r="AJ334">
        <v>0</v>
      </c>
      <c r="AK334" s="1" t="s">
        <v>7189</v>
      </c>
      <c r="AL334" s="1" t="s">
        <v>7200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1500</v>
      </c>
      <c r="AS334">
        <v>0</v>
      </c>
      <c r="AT334" t="s">
        <v>6516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7201</v>
      </c>
      <c r="C335" t="s">
        <v>7202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7203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8" t="s">
        <v>7183</v>
      </c>
      <c r="AH335" s="1">
        <v>3060</v>
      </c>
      <c r="AI335" t="s">
        <v>1851</v>
      </c>
      <c r="AJ335">
        <v>0</v>
      </c>
      <c r="AK335" s="1" t="s">
        <v>7204</v>
      </c>
      <c r="AL335" s="1" t="s">
        <v>7205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1592</v>
      </c>
      <c r="AS335">
        <v>0</v>
      </c>
      <c r="AT335" t="s">
        <v>7206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7207</v>
      </c>
      <c r="C336" t="s">
        <v>7208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8" t="s">
        <v>795</v>
      </c>
      <c r="AH336" s="1">
        <v>3300</v>
      </c>
      <c r="AI336" t="s">
        <v>1851</v>
      </c>
      <c r="AJ336">
        <v>0</v>
      </c>
      <c r="AK336" s="1" t="s">
        <v>7209</v>
      </c>
      <c r="AL336" s="1" t="s">
        <v>7210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1559</v>
      </c>
      <c r="AS336">
        <v>0</v>
      </c>
      <c r="AT336" t="s">
        <v>7211</v>
      </c>
      <c r="AU336">
        <v>10</v>
      </c>
      <c r="AV336">
        <v>19053</v>
      </c>
      <c r="AW336">
        <v>0</v>
      </c>
      <c r="AX336">
        <v>0</v>
      </c>
    </row>
    <row r="337" spans="1:50" x14ac:dyDescent="0.25">
      <c r="A337">
        <v>337</v>
      </c>
      <c r="B337" t="s">
        <v>7300</v>
      </c>
      <c r="C337" t="s">
        <v>7301</v>
      </c>
      <c r="D337">
        <v>5</v>
      </c>
      <c r="E337">
        <v>2</v>
      </c>
      <c r="F337">
        <v>19</v>
      </c>
      <c r="G337" s="1" t="s">
        <v>329</v>
      </c>
      <c r="H337" s="1" t="s">
        <v>329</v>
      </c>
      <c r="I337" s="1" t="s">
        <v>329</v>
      </c>
      <c r="J337" s="1" t="s">
        <v>329</v>
      </c>
      <c r="K337" s="1" t="s">
        <v>471</v>
      </c>
      <c r="L337" s="1" t="s">
        <v>329</v>
      </c>
      <c r="M337" s="1" t="s">
        <v>329</v>
      </c>
      <c r="N337" s="1" t="s">
        <v>6931</v>
      </c>
      <c r="O337" s="1" t="s">
        <v>329</v>
      </c>
      <c r="P337" s="1" t="s">
        <v>329</v>
      </c>
      <c r="Q337" s="1" t="s">
        <v>329</v>
      </c>
      <c r="R337" s="1" t="s">
        <v>329</v>
      </c>
      <c r="S337" s="1" t="s">
        <v>329</v>
      </c>
      <c r="T337" s="1" t="s">
        <v>329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4</v>
      </c>
      <c r="AE337" s="1">
        <v>2</v>
      </c>
      <c r="AF337" s="1">
        <v>3</v>
      </c>
      <c r="AG337" s="248" t="s">
        <v>7322</v>
      </c>
      <c r="AH337" s="1">
        <v>3300</v>
      </c>
      <c r="AI337" t="s">
        <v>1851</v>
      </c>
      <c r="AJ337">
        <v>0</v>
      </c>
      <c r="AK337" s="1" t="s">
        <v>7302</v>
      </c>
      <c r="AL337" s="1" t="s">
        <v>7303</v>
      </c>
      <c r="AM337" s="1">
        <v>0.08</v>
      </c>
      <c r="AN337" s="1">
        <v>0.5</v>
      </c>
      <c r="AO337" s="1">
        <v>0.3</v>
      </c>
      <c r="AP337" s="1">
        <v>0.3</v>
      </c>
      <c r="AQ337" s="1">
        <v>3</v>
      </c>
      <c r="AR337" t="s">
        <v>7304</v>
      </c>
      <c r="AS337">
        <v>0</v>
      </c>
      <c r="AT337" t="s">
        <v>7305</v>
      </c>
      <c r="AU337">
        <v>10</v>
      </c>
      <c r="AV337">
        <v>19053</v>
      </c>
      <c r="AW337">
        <v>3</v>
      </c>
      <c r="AX337">
        <v>0</v>
      </c>
    </row>
    <row r="338" spans="1:50" x14ac:dyDescent="0.25">
      <c r="A338">
        <v>338</v>
      </c>
      <c r="B338" t="s">
        <v>7306</v>
      </c>
      <c r="C338" t="s">
        <v>7307</v>
      </c>
      <c r="D338">
        <v>5</v>
      </c>
      <c r="E338">
        <v>1</v>
      </c>
      <c r="F338">
        <v>16</v>
      </c>
      <c r="G338" s="1" t="s">
        <v>329</v>
      </c>
      <c r="H338" s="1" t="s">
        <v>329</v>
      </c>
      <c r="I338" s="1" t="s">
        <v>329</v>
      </c>
      <c r="J338" s="1" t="s">
        <v>329</v>
      </c>
      <c r="K338" s="1" t="s">
        <v>471</v>
      </c>
      <c r="L338" s="1" t="s">
        <v>329</v>
      </c>
      <c r="M338" s="1" t="s">
        <v>6640</v>
      </c>
      <c r="N338" s="1" t="s">
        <v>329</v>
      </c>
      <c r="O338" s="1" t="s">
        <v>329</v>
      </c>
      <c r="P338" s="1" t="s">
        <v>329</v>
      </c>
      <c r="Q338" s="1" t="s">
        <v>329</v>
      </c>
      <c r="R338" s="1" t="s">
        <v>329</v>
      </c>
      <c r="S338" s="1" t="s">
        <v>329</v>
      </c>
      <c r="T338" s="1" t="s">
        <v>329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4</v>
      </c>
      <c r="AD338" s="1">
        <v>1</v>
      </c>
      <c r="AE338" s="1">
        <v>4</v>
      </c>
      <c r="AF338" s="1">
        <v>1</v>
      </c>
      <c r="AG338" s="248" t="s">
        <v>7323</v>
      </c>
      <c r="AH338" s="1">
        <v>3600</v>
      </c>
      <c r="AI338" t="s">
        <v>1926</v>
      </c>
      <c r="AJ338">
        <v>0</v>
      </c>
      <c r="AK338" s="1" t="s">
        <v>7308</v>
      </c>
      <c r="AL338" s="1" t="s">
        <v>7309</v>
      </c>
      <c r="AM338" s="1">
        <v>0.5</v>
      </c>
      <c r="AN338" s="1">
        <v>0.25</v>
      </c>
      <c r="AO338" s="1">
        <v>0.55000000000000004</v>
      </c>
      <c r="AP338" s="1">
        <v>0.15</v>
      </c>
      <c r="AQ338" s="1">
        <v>3</v>
      </c>
      <c r="AR338" t="s">
        <v>7310</v>
      </c>
      <c r="AS338">
        <v>0</v>
      </c>
      <c r="AT338" t="s">
        <v>7311</v>
      </c>
      <c r="AU338">
        <v>10</v>
      </c>
      <c r="AV338">
        <v>18114</v>
      </c>
      <c r="AW338">
        <v>4</v>
      </c>
      <c r="AX338">
        <v>0</v>
      </c>
    </row>
    <row r="339" spans="1:50" x14ac:dyDescent="0.25">
      <c r="A339">
        <v>340</v>
      </c>
      <c r="B339" t="s">
        <v>7312</v>
      </c>
      <c r="C339" t="s">
        <v>7313</v>
      </c>
      <c r="D339">
        <v>5</v>
      </c>
      <c r="E339">
        <v>2</v>
      </c>
      <c r="F339">
        <v>19</v>
      </c>
      <c r="G339" s="1" t="s">
        <v>365</v>
      </c>
      <c r="H339" s="1" t="s">
        <v>329</v>
      </c>
      <c r="I339" s="1" t="s">
        <v>329</v>
      </c>
      <c r="J339" s="1" t="s">
        <v>329</v>
      </c>
      <c r="K339" s="1" t="s">
        <v>329</v>
      </c>
      <c r="L339" s="1" t="s">
        <v>329</v>
      </c>
      <c r="M339" s="1" t="s">
        <v>329</v>
      </c>
      <c r="N339" s="1" t="s">
        <v>7314</v>
      </c>
      <c r="O339" s="1" t="s">
        <v>329</v>
      </c>
      <c r="P339" s="1" t="s">
        <v>329</v>
      </c>
      <c r="Q339" s="1" t="s">
        <v>329</v>
      </c>
      <c r="R339" s="1" t="s">
        <v>329</v>
      </c>
      <c r="S339" s="1" t="s">
        <v>329</v>
      </c>
      <c r="T339" s="1" t="s">
        <v>329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4</v>
      </c>
      <c r="AE339" s="1">
        <v>2</v>
      </c>
      <c r="AF339" s="1">
        <v>3</v>
      </c>
      <c r="AG339" s="248" t="s">
        <v>7324</v>
      </c>
      <c r="AH339" s="1">
        <v>3300</v>
      </c>
      <c r="AI339" t="s">
        <v>1851</v>
      </c>
      <c r="AJ339">
        <v>0</v>
      </c>
      <c r="AK339" s="1" t="s">
        <v>381</v>
      </c>
      <c r="AL339" s="1" t="s">
        <v>7315</v>
      </c>
      <c r="AM339" s="1">
        <v>0.08</v>
      </c>
      <c r="AN339" s="1">
        <v>0.5</v>
      </c>
      <c r="AO339" s="1">
        <v>0.3</v>
      </c>
      <c r="AP339" s="1">
        <v>0.3</v>
      </c>
      <c r="AQ339" s="1">
        <v>3</v>
      </c>
      <c r="AR339" t="s">
        <v>6961</v>
      </c>
      <c r="AS339">
        <v>0</v>
      </c>
      <c r="AT339" t="s">
        <v>7316</v>
      </c>
      <c r="AU339">
        <v>10</v>
      </c>
      <c r="AV339">
        <v>19055</v>
      </c>
      <c r="AW339">
        <v>0</v>
      </c>
      <c r="AX339">
        <v>0</v>
      </c>
    </row>
    <row r="340" spans="1:50" x14ac:dyDescent="0.25">
      <c r="A340">
        <v>341</v>
      </c>
      <c r="B340" t="s">
        <v>7317</v>
      </c>
      <c r="C340" t="s">
        <v>7318</v>
      </c>
      <c r="D340">
        <v>5</v>
      </c>
      <c r="E340">
        <v>2</v>
      </c>
      <c r="F340">
        <v>19</v>
      </c>
      <c r="G340" s="1" t="s">
        <v>471</v>
      </c>
      <c r="H340" s="1" t="s">
        <v>329</v>
      </c>
      <c r="I340" s="1" t="s">
        <v>329</v>
      </c>
      <c r="J340" s="1" t="s">
        <v>329</v>
      </c>
      <c r="K340" s="1" t="s">
        <v>329</v>
      </c>
      <c r="L340" s="1" t="s">
        <v>329</v>
      </c>
      <c r="M340" s="1" t="s">
        <v>329</v>
      </c>
      <c r="N340" s="1" t="s">
        <v>7319</v>
      </c>
      <c r="O340" s="1" t="s">
        <v>329</v>
      </c>
      <c r="P340" s="1" t="s">
        <v>329</v>
      </c>
      <c r="Q340" s="1" t="s">
        <v>329</v>
      </c>
      <c r="R340" s="1" t="s">
        <v>329</v>
      </c>
      <c r="S340" s="1" t="s">
        <v>329</v>
      </c>
      <c r="T340" s="1" t="s">
        <v>329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4</v>
      </c>
      <c r="AE340" s="1">
        <v>2</v>
      </c>
      <c r="AF340" s="1">
        <v>3</v>
      </c>
      <c r="AG340" s="248" t="s">
        <v>1658</v>
      </c>
      <c r="AH340" s="1">
        <v>3300</v>
      </c>
      <c r="AI340" t="s">
        <v>1851</v>
      </c>
      <c r="AJ340">
        <v>0</v>
      </c>
      <c r="AK340" s="1" t="s">
        <v>6996</v>
      </c>
      <c r="AL340" s="1" t="s">
        <v>7320</v>
      </c>
      <c r="AM340" s="1">
        <v>0.08</v>
      </c>
      <c r="AN340" s="1">
        <v>0.5</v>
      </c>
      <c r="AO340" s="1">
        <v>0.3</v>
      </c>
      <c r="AP340" s="1">
        <v>0.3</v>
      </c>
      <c r="AQ340" s="1">
        <v>3</v>
      </c>
      <c r="AR340" t="s">
        <v>6961</v>
      </c>
      <c r="AS340">
        <v>0</v>
      </c>
      <c r="AT340" t="s">
        <v>7321</v>
      </c>
      <c r="AU340">
        <v>10</v>
      </c>
      <c r="AV340">
        <v>19056</v>
      </c>
      <c r="AW340">
        <v>0</v>
      </c>
      <c r="AX340">
        <v>0</v>
      </c>
    </row>
    <row r="341" spans="1:50" x14ac:dyDescent="0.25">
      <c r="A341">
        <v>342</v>
      </c>
      <c r="B341" t="s">
        <v>7979</v>
      </c>
      <c r="C341" t="s">
        <v>7980</v>
      </c>
      <c r="D341">
        <v>5</v>
      </c>
      <c r="E341">
        <v>2</v>
      </c>
      <c r="F341">
        <v>19</v>
      </c>
      <c r="G341" s="1" t="s">
        <v>329</v>
      </c>
      <c r="H341" s="1" t="s">
        <v>339</v>
      </c>
      <c r="I341" s="1" t="s">
        <v>329</v>
      </c>
      <c r="J341" s="1" t="s">
        <v>329</v>
      </c>
      <c r="K341" s="1" t="s">
        <v>329</v>
      </c>
      <c r="L341" s="1" t="s">
        <v>329</v>
      </c>
      <c r="M341" s="1" t="s">
        <v>329</v>
      </c>
      <c r="N341" s="1" t="s">
        <v>329</v>
      </c>
      <c r="O341" s="1" t="s">
        <v>329</v>
      </c>
      <c r="P341" s="1" t="s">
        <v>329</v>
      </c>
      <c r="Q341" s="1" t="s">
        <v>329</v>
      </c>
      <c r="R341" s="1" t="s">
        <v>329</v>
      </c>
      <c r="S341" s="1" t="s">
        <v>329</v>
      </c>
      <c r="T341" s="1" t="s">
        <v>329</v>
      </c>
      <c r="U341" s="1">
        <v>0</v>
      </c>
      <c r="V341" s="1">
        <v>150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4</v>
      </c>
      <c r="AD341" s="1">
        <v>4</v>
      </c>
      <c r="AE341" s="1">
        <v>0</v>
      </c>
      <c r="AF341" s="1">
        <v>2</v>
      </c>
      <c r="AG341" s="248" t="s">
        <v>7990</v>
      </c>
      <c r="AH341" s="1">
        <v>3600</v>
      </c>
      <c r="AI341" t="s">
        <v>1851</v>
      </c>
      <c r="AJ341">
        <v>0</v>
      </c>
      <c r="AK341" s="1" t="s">
        <v>7981</v>
      </c>
      <c r="AL341" s="1" t="s">
        <v>7982</v>
      </c>
      <c r="AM341" s="1">
        <v>0.48</v>
      </c>
      <c r="AN341" s="1">
        <v>0.48</v>
      </c>
      <c r="AO341" s="1">
        <v>0.08</v>
      </c>
      <c r="AP341" s="1">
        <v>0.25</v>
      </c>
      <c r="AQ341" s="1">
        <v>3</v>
      </c>
      <c r="AR341" t="s">
        <v>1477</v>
      </c>
      <c r="AS341">
        <v>0</v>
      </c>
      <c r="AT341" t="s">
        <v>7983</v>
      </c>
      <c r="AU341">
        <v>10</v>
      </c>
      <c r="AV341">
        <v>19057</v>
      </c>
      <c r="AW341">
        <v>5</v>
      </c>
      <c r="AX341">
        <v>0</v>
      </c>
    </row>
    <row r="342" spans="1:50" x14ac:dyDescent="0.25">
      <c r="A342">
        <v>343</v>
      </c>
      <c r="B342" t="s">
        <v>7984</v>
      </c>
      <c r="C342" t="s">
        <v>7985</v>
      </c>
      <c r="D342">
        <v>5</v>
      </c>
      <c r="E342">
        <v>2</v>
      </c>
      <c r="F342">
        <v>19</v>
      </c>
      <c r="G342" s="1" t="s">
        <v>329</v>
      </c>
      <c r="H342" s="1" t="s">
        <v>339</v>
      </c>
      <c r="I342" s="1" t="s">
        <v>329</v>
      </c>
      <c r="J342" s="1" t="s">
        <v>329</v>
      </c>
      <c r="K342" s="1" t="s">
        <v>329</v>
      </c>
      <c r="L342" s="1" t="s">
        <v>329</v>
      </c>
      <c r="M342" s="1" t="s">
        <v>329</v>
      </c>
      <c r="N342" s="1" t="s">
        <v>329</v>
      </c>
      <c r="O342" s="1" t="s">
        <v>329</v>
      </c>
      <c r="P342" s="1" t="s">
        <v>329</v>
      </c>
      <c r="Q342" s="1" t="s">
        <v>329</v>
      </c>
      <c r="R342" s="1" t="s">
        <v>329</v>
      </c>
      <c r="S342" s="1" t="s">
        <v>329</v>
      </c>
      <c r="T342" s="1" t="s">
        <v>329</v>
      </c>
      <c r="U342" s="1">
        <v>0</v>
      </c>
      <c r="V342" s="1">
        <v>150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4</v>
      </c>
      <c r="AD342" s="1">
        <v>4</v>
      </c>
      <c r="AE342" s="1">
        <v>0</v>
      </c>
      <c r="AF342" s="1">
        <v>2</v>
      </c>
      <c r="AG342" s="248" t="s">
        <v>7989</v>
      </c>
      <c r="AH342" s="1">
        <v>3600</v>
      </c>
      <c r="AI342" t="s">
        <v>1851</v>
      </c>
      <c r="AJ342">
        <v>0</v>
      </c>
      <c r="AK342" s="1" t="s">
        <v>7986</v>
      </c>
      <c r="AL342" s="1" t="s">
        <v>7987</v>
      </c>
      <c r="AM342" s="1">
        <v>0.48</v>
      </c>
      <c r="AN342" s="1">
        <v>0.48</v>
      </c>
      <c r="AO342" s="1">
        <v>0.08</v>
      </c>
      <c r="AP342" s="1">
        <v>0.25</v>
      </c>
      <c r="AQ342" s="1">
        <v>3</v>
      </c>
      <c r="AR342" t="s">
        <v>1477</v>
      </c>
      <c r="AS342">
        <v>0</v>
      </c>
      <c r="AT342" t="s">
        <v>7988</v>
      </c>
      <c r="AU342">
        <v>10</v>
      </c>
      <c r="AV342">
        <v>19058</v>
      </c>
      <c r="AW342">
        <v>6</v>
      </c>
      <c r="AX342">
        <v>0</v>
      </c>
    </row>
    <row r="343" spans="1:50" x14ac:dyDescent="0.25">
      <c r="A343">
        <v>344</v>
      </c>
      <c r="B343" t="s">
        <v>7995</v>
      </c>
      <c r="C343" t="s">
        <v>7996</v>
      </c>
      <c r="D343">
        <v>5</v>
      </c>
      <c r="E343">
        <v>1</v>
      </c>
      <c r="F343">
        <v>18</v>
      </c>
      <c r="G343" s="1" t="s">
        <v>329</v>
      </c>
      <c r="H343" s="1" t="s">
        <v>329</v>
      </c>
      <c r="I343" s="1" t="s">
        <v>414</v>
      </c>
      <c r="J343" s="1" t="s">
        <v>329</v>
      </c>
      <c r="K343" s="1" t="s">
        <v>329</v>
      </c>
      <c r="L343" s="1" t="s">
        <v>329</v>
      </c>
      <c r="M343" s="1" t="s">
        <v>489</v>
      </c>
      <c r="N343" s="1" t="s">
        <v>329</v>
      </c>
      <c r="O343" s="1" t="s">
        <v>329</v>
      </c>
      <c r="P343" s="1" t="s">
        <v>329</v>
      </c>
      <c r="Q343" s="1" t="s">
        <v>329</v>
      </c>
      <c r="R343" s="1" t="s">
        <v>329</v>
      </c>
      <c r="S343" s="1" t="s">
        <v>329</v>
      </c>
      <c r="T343" s="1" t="s">
        <v>329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4</v>
      </c>
      <c r="AD343" s="1">
        <v>2</v>
      </c>
      <c r="AE343" s="1">
        <v>2</v>
      </c>
      <c r="AF343" s="1">
        <v>2</v>
      </c>
      <c r="AG343" s="248" t="s">
        <v>3221</v>
      </c>
      <c r="AH343" s="1">
        <v>3540</v>
      </c>
      <c r="AI343" t="s">
        <v>1851</v>
      </c>
      <c r="AJ343">
        <v>0</v>
      </c>
      <c r="AK343" s="1" t="s">
        <v>7997</v>
      </c>
      <c r="AL343" s="1" t="s">
        <v>7998</v>
      </c>
      <c r="AM343" s="1">
        <v>0.45</v>
      </c>
      <c r="AN343" s="1">
        <v>0.15</v>
      </c>
      <c r="AO343" s="1">
        <v>0.3</v>
      </c>
      <c r="AP343" s="1">
        <v>0.15</v>
      </c>
      <c r="AQ343" s="1">
        <v>3</v>
      </c>
      <c r="AR343" t="s">
        <v>1573</v>
      </c>
      <c r="AS343">
        <v>0</v>
      </c>
      <c r="AT343" t="s">
        <v>1814</v>
      </c>
      <c r="AU343">
        <v>10</v>
      </c>
      <c r="AV343">
        <v>18114</v>
      </c>
      <c r="AW343">
        <v>0</v>
      </c>
      <c r="AX343">
        <v>0</v>
      </c>
    </row>
    <row r="344" spans="1:50" x14ac:dyDescent="0.25">
      <c r="A344">
        <v>345</v>
      </c>
      <c r="B344" t="s">
        <v>7999</v>
      </c>
      <c r="C344" t="s">
        <v>8000</v>
      </c>
      <c r="D344">
        <v>5</v>
      </c>
      <c r="E344">
        <v>1</v>
      </c>
      <c r="F344">
        <v>18</v>
      </c>
      <c r="G344" s="1" t="s">
        <v>336</v>
      </c>
      <c r="H344" s="1" t="s">
        <v>329</v>
      </c>
      <c r="I344" s="1" t="s">
        <v>329</v>
      </c>
      <c r="J344" s="1" t="s">
        <v>329</v>
      </c>
      <c r="K344" s="1" t="s">
        <v>329</v>
      </c>
      <c r="L344" s="1" t="s">
        <v>329</v>
      </c>
      <c r="M344" s="1" t="s">
        <v>364</v>
      </c>
      <c r="N344" s="1" t="s">
        <v>329</v>
      </c>
      <c r="O344" s="1" t="s">
        <v>329</v>
      </c>
      <c r="P344" s="1" t="s">
        <v>329</v>
      </c>
      <c r="Q344" s="1" t="s">
        <v>329</v>
      </c>
      <c r="R344" s="1" t="s">
        <v>329</v>
      </c>
      <c r="S344" s="1" t="s">
        <v>329</v>
      </c>
      <c r="T344" s="1" t="s">
        <v>329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4</v>
      </c>
      <c r="AD344" s="1">
        <v>0</v>
      </c>
      <c r="AE344" s="1">
        <v>3</v>
      </c>
      <c r="AF344" s="1">
        <v>2</v>
      </c>
      <c r="AG344" s="248" t="s">
        <v>789</v>
      </c>
      <c r="AH344" s="1">
        <v>2700</v>
      </c>
      <c r="AI344" t="s">
        <v>1851</v>
      </c>
      <c r="AJ344">
        <v>0</v>
      </c>
      <c r="AK344" s="1" t="s">
        <v>5424</v>
      </c>
      <c r="AL344" s="1" t="s">
        <v>8001</v>
      </c>
      <c r="AM344" s="1">
        <v>0.45</v>
      </c>
      <c r="AN344" s="1">
        <v>0.15</v>
      </c>
      <c r="AO344" s="1">
        <v>0.3</v>
      </c>
      <c r="AP344" s="1">
        <v>0.15</v>
      </c>
      <c r="AQ344" s="1">
        <v>3</v>
      </c>
      <c r="AR344" t="s">
        <v>1528</v>
      </c>
      <c r="AS344">
        <v>0</v>
      </c>
      <c r="AT344" t="s">
        <v>1814</v>
      </c>
      <c r="AU344">
        <v>10</v>
      </c>
      <c r="AV344">
        <v>18115</v>
      </c>
      <c r="AW344">
        <v>0</v>
      </c>
      <c r="AX344">
        <v>0</v>
      </c>
    </row>
    <row r="345" spans="1:50" x14ac:dyDescent="0.25">
      <c r="A345">
        <v>346</v>
      </c>
      <c r="B345" t="s">
        <v>8002</v>
      </c>
      <c r="C345" t="s">
        <v>8003</v>
      </c>
      <c r="D345">
        <v>5</v>
      </c>
      <c r="E345">
        <v>2</v>
      </c>
      <c r="F345">
        <v>19</v>
      </c>
      <c r="G345" s="1" t="s">
        <v>403</v>
      </c>
      <c r="H345" s="1" t="s">
        <v>329</v>
      </c>
      <c r="I345" s="1" t="s">
        <v>329</v>
      </c>
      <c r="J345" s="1" t="s">
        <v>329</v>
      </c>
      <c r="K345" s="1" t="s">
        <v>329</v>
      </c>
      <c r="L345" s="1" t="s">
        <v>329</v>
      </c>
      <c r="M345" s="1" t="s">
        <v>329</v>
      </c>
      <c r="N345" s="1" t="s">
        <v>387</v>
      </c>
      <c r="O345" s="1" t="s">
        <v>329</v>
      </c>
      <c r="P345" s="1" t="s">
        <v>329</v>
      </c>
      <c r="Q345" s="1" t="s">
        <v>329</v>
      </c>
      <c r="R345" s="1" t="s">
        <v>329</v>
      </c>
      <c r="S345" s="1" t="s">
        <v>329</v>
      </c>
      <c r="T345" s="1" t="s">
        <v>329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4</v>
      </c>
      <c r="AD345" s="1">
        <v>4</v>
      </c>
      <c r="AE345" s="1">
        <v>0</v>
      </c>
      <c r="AF345" s="1">
        <v>2</v>
      </c>
      <c r="AG345" s="248" t="s">
        <v>66</v>
      </c>
      <c r="AH345" s="1">
        <v>3600</v>
      </c>
      <c r="AI345" t="s">
        <v>1851</v>
      </c>
      <c r="AJ345">
        <v>0</v>
      </c>
      <c r="AK345" s="1" t="s">
        <v>4866</v>
      </c>
      <c r="AL345" s="1" t="s">
        <v>8004</v>
      </c>
      <c r="AM345" s="1">
        <v>0.48</v>
      </c>
      <c r="AN345" s="1">
        <v>0.48</v>
      </c>
      <c r="AO345" s="1">
        <v>0.08</v>
      </c>
      <c r="AP345" s="1">
        <v>0.25</v>
      </c>
      <c r="AQ345" s="1">
        <v>3</v>
      </c>
      <c r="AR345" t="s">
        <v>1480</v>
      </c>
      <c r="AS345">
        <v>0</v>
      </c>
      <c r="AT345" t="s">
        <v>1814</v>
      </c>
      <c r="AU345">
        <v>10</v>
      </c>
      <c r="AV345">
        <v>19059</v>
      </c>
      <c r="AW345">
        <v>0</v>
      </c>
      <c r="AX345">
        <v>0</v>
      </c>
    </row>
    <row r="346" spans="1:50" x14ac:dyDescent="0.25">
      <c r="A346">
        <v>347</v>
      </c>
      <c r="B346" t="s">
        <v>8005</v>
      </c>
      <c r="C346" t="s">
        <v>8006</v>
      </c>
      <c r="D346">
        <v>5</v>
      </c>
      <c r="E346">
        <v>3</v>
      </c>
      <c r="F346">
        <v>20</v>
      </c>
      <c r="G346" s="1" t="s">
        <v>329</v>
      </c>
      <c r="H346" s="1" t="s">
        <v>329</v>
      </c>
      <c r="I346" s="1" t="s">
        <v>329</v>
      </c>
      <c r="J346" s="1" t="s">
        <v>330</v>
      </c>
      <c r="K346" s="1" t="s">
        <v>329</v>
      </c>
      <c r="L346" s="1" t="s">
        <v>329</v>
      </c>
      <c r="M346" s="1" t="s">
        <v>329</v>
      </c>
      <c r="N346" s="1" t="s">
        <v>329</v>
      </c>
      <c r="O346" s="1" t="s">
        <v>4833</v>
      </c>
      <c r="P346" s="1" t="s">
        <v>329</v>
      </c>
      <c r="Q346" s="1" t="s">
        <v>329</v>
      </c>
      <c r="R346" s="1" t="s">
        <v>329</v>
      </c>
      <c r="S346" s="1" t="s">
        <v>329</v>
      </c>
      <c r="T346" s="1" t="s">
        <v>329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2</v>
      </c>
      <c r="AD346" s="1">
        <v>2</v>
      </c>
      <c r="AE346" s="1">
        <v>3</v>
      </c>
      <c r="AF346" s="1">
        <v>3</v>
      </c>
      <c r="AG346" s="248" t="s">
        <v>145</v>
      </c>
      <c r="AH346" s="1">
        <v>3060</v>
      </c>
      <c r="AI346" t="s">
        <v>1851</v>
      </c>
      <c r="AJ346">
        <v>0</v>
      </c>
      <c r="AK346" s="1" t="s">
        <v>8007</v>
      </c>
      <c r="AL346" s="1" t="s">
        <v>8008</v>
      </c>
      <c r="AM346" s="1">
        <v>0.23</v>
      </c>
      <c r="AN346" s="1">
        <v>0.23</v>
      </c>
      <c r="AO346" s="1">
        <v>0.33</v>
      </c>
      <c r="AP346" s="1">
        <v>0.38</v>
      </c>
      <c r="AQ346" s="1">
        <v>3</v>
      </c>
      <c r="AR346" t="s">
        <v>8009</v>
      </c>
      <c r="AS346">
        <v>0</v>
      </c>
      <c r="AT346" t="s">
        <v>8010</v>
      </c>
      <c r="AU346">
        <v>10</v>
      </c>
      <c r="AV346">
        <v>20058</v>
      </c>
      <c r="AW346">
        <v>0</v>
      </c>
      <c r="AX346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606"/>
  <sheetViews>
    <sheetView topLeftCell="B1" workbookViewId="0">
      <pane ySplit="1" topLeftCell="A133" activePane="bottomLeft" state="frozen"/>
      <selection activeCell="AG332" sqref="AG332:AG336"/>
      <selection pane="bottomLeft" activeCell="C147" sqref="C147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1785</v>
      </c>
      <c r="C1" s="246" t="s">
        <v>6776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2617</v>
      </c>
      <c r="N1" s="43" t="s">
        <v>2618</v>
      </c>
      <c r="O1" s="43" t="s">
        <v>2619</v>
      </c>
      <c r="P1" s="43" t="s">
        <v>2620</v>
      </c>
      <c r="Q1" s="43" t="s">
        <v>2621</v>
      </c>
      <c r="R1" s="43" t="s">
        <v>2622</v>
      </c>
      <c r="S1" s="43" t="s">
        <v>2623</v>
      </c>
      <c r="T1" s="43" t="s">
        <v>2624</v>
      </c>
      <c r="U1" s="43" t="s">
        <v>1113</v>
      </c>
      <c r="V1" s="43" t="s">
        <v>1114</v>
      </c>
      <c r="W1" s="43" t="s">
        <v>1115</v>
      </c>
      <c r="X1" s="43" t="s">
        <v>2625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2626</v>
      </c>
      <c r="AD1" s="43" t="s">
        <v>2627</v>
      </c>
      <c r="AE1" s="43" t="s">
        <v>1119</v>
      </c>
      <c r="AF1" s="43" t="s">
        <v>2628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2629</v>
      </c>
      <c r="AM1" s="43" t="s">
        <v>2630</v>
      </c>
      <c r="AN1" s="43" t="s">
        <v>2631</v>
      </c>
      <c r="AO1" s="43" t="s">
        <v>2632</v>
      </c>
      <c r="AP1" s="43" t="s">
        <v>2633</v>
      </c>
      <c r="AQ1" s="43" t="s">
        <v>1122</v>
      </c>
      <c r="AR1" s="43" t="s">
        <v>1123</v>
      </c>
      <c r="AS1" s="43" t="s">
        <v>1124</v>
      </c>
      <c r="AT1" t="s">
        <v>2634</v>
      </c>
      <c r="AU1" t="s">
        <v>2635</v>
      </c>
      <c r="AV1" t="s">
        <v>583</v>
      </c>
      <c r="AW1" t="s">
        <v>2636</v>
      </c>
      <c r="AX1" t="s">
        <v>2637</v>
      </c>
      <c r="AY1" t="s">
        <v>2638</v>
      </c>
      <c r="AZ1" t="s">
        <v>2639</v>
      </c>
      <c r="BA1" t="s">
        <v>2640</v>
      </c>
      <c r="BB1" t="s">
        <v>2641</v>
      </c>
      <c r="BC1" t="s">
        <v>2642</v>
      </c>
      <c r="BD1" t="s">
        <v>2643</v>
      </c>
      <c r="BE1" t="s">
        <v>6636</v>
      </c>
      <c r="BF1" t="s">
        <v>6637</v>
      </c>
    </row>
    <row r="2" spans="1:60" x14ac:dyDescent="0.25">
      <c r="A2" s="1">
        <v>1</v>
      </c>
      <c r="B2" s="1" t="s">
        <v>2644</v>
      </c>
      <c r="C2" s="247" t="s">
        <v>19</v>
      </c>
      <c r="D2" s="1" t="s">
        <v>2645</v>
      </c>
      <c r="E2" s="1"/>
      <c r="F2" s="1"/>
      <c r="G2" s="1" t="s">
        <v>2646</v>
      </c>
      <c r="H2" s="1" t="s">
        <v>2647</v>
      </c>
      <c r="I2" s="1" t="s">
        <v>2648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1814</v>
      </c>
      <c r="AN2" s="1" t="s">
        <v>4748</v>
      </c>
      <c r="AO2" s="1" t="s">
        <v>4749</v>
      </c>
      <c r="AP2" s="1">
        <v>0</v>
      </c>
      <c r="AQ2" s="1" t="s">
        <v>4750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4500</v>
      </c>
      <c r="AX2" s="1" t="s">
        <v>471</v>
      </c>
      <c r="AY2" s="1">
        <v>4</v>
      </c>
      <c r="AZ2" s="1">
        <v>0</v>
      </c>
      <c r="BA2" s="1" t="s">
        <v>4751</v>
      </c>
      <c r="BB2" s="1" t="s">
        <v>371</v>
      </c>
      <c r="BC2" s="1" t="s">
        <v>4728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2649</v>
      </c>
      <c r="C3" s="247" t="s">
        <v>62</v>
      </c>
      <c r="D3" s="1" t="s">
        <v>62</v>
      </c>
      <c r="E3" s="1"/>
      <c r="F3" s="1"/>
      <c r="G3" s="1" t="s">
        <v>2650</v>
      </c>
      <c r="H3" s="1" t="s">
        <v>2651</v>
      </c>
      <c r="I3" s="1" t="s">
        <v>2652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1814</v>
      </c>
      <c r="AN3" s="1" t="s">
        <v>4748</v>
      </c>
      <c r="AO3" s="1" t="s">
        <v>4752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4500</v>
      </c>
      <c r="AX3" s="1" t="s">
        <v>471</v>
      </c>
      <c r="AY3" s="1">
        <v>2</v>
      </c>
      <c r="AZ3" s="1">
        <v>0</v>
      </c>
      <c r="BA3" s="1" t="s">
        <v>4753</v>
      </c>
      <c r="BB3" s="1" t="s">
        <v>4754</v>
      </c>
      <c r="BC3" s="1" t="s">
        <v>4728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2653</v>
      </c>
      <c r="C4" s="247" t="s">
        <v>63</v>
      </c>
      <c r="D4" s="1" t="s">
        <v>63</v>
      </c>
      <c r="E4" s="1"/>
      <c r="F4" s="1"/>
      <c r="G4" s="1" t="s">
        <v>2654</v>
      </c>
      <c r="H4" s="1" t="s">
        <v>2655</v>
      </c>
      <c r="I4" s="1" t="s">
        <v>2656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1814</v>
      </c>
      <c r="AN4" s="1" t="s">
        <v>4755</v>
      </c>
      <c r="AO4" s="1" t="s">
        <v>4756</v>
      </c>
      <c r="AP4" s="1">
        <v>0</v>
      </c>
      <c r="AQ4" s="1" t="s">
        <v>4750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4500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4757</v>
      </c>
      <c r="BC4" s="1" t="s">
        <v>4728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2657</v>
      </c>
      <c r="C5" s="247" t="s">
        <v>64</v>
      </c>
      <c r="D5" s="1" t="s">
        <v>64</v>
      </c>
      <c r="E5" s="1"/>
      <c r="F5" s="1"/>
      <c r="G5" s="1" t="s">
        <v>2658</v>
      </c>
      <c r="H5" s="1" t="s">
        <v>2659</v>
      </c>
      <c r="I5" s="1" t="s">
        <v>2660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1814</v>
      </c>
      <c r="AN5" s="1" t="s">
        <v>4758</v>
      </c>
      <c r="AO5" s="1" t="s">
        <v>4759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4760</v>
      </c>
      <c r="AX5" s="1" t="s">
        <v>4761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2661</v>
      </c>
      <c r="C6" s="247" t="s">
        <v>65</v>
      </c>
      <c r="D6" s="1" t="s">
        <v>65</v>
      </c>
      <c r="E6" s="1"/>
      <c r="F6" s="1"/>
      <c r="G6" s="1" t="s">
        <v>2662</v>
      </c>
      <c r="H6" s="1" t="s">
        <v>2663</v>
      </c>
      <c r="I6" s="1" t="s">
        <v>2664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1814</v>
      </c>
      <c r="AN6" s="1" t="s">
        <v>4762</v>
      </c>
      <c r="AO6" s="1" t="s">
        <v>4763</v>
      </c>
      <c r="AP6" s="1">
        <v>0</v>
      </c>
      <c r="AQ6" s="1" t="s">
        <v>4750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4500</v>
      </c>
      <c r="AX6" s="1" t="s">
        <v>471</v>
      </c>
      <c r="AY6" s="1">
        <v>2</v>
      </c>
      <c r="AZ6" s="1">
        <v>0</v>
      </c>
      <c r="BA6" s="1" t="s">
        <v>4753</v>
      </c>
      <c r="BB6" s="1" t="s">
        <v>4764</v>
      </c>
      <c r="BC6" s="1" t="s">
        <v>4765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2665</v>
      </c>
      <c r="C7" s="247" t="s">
        <v>66</v>
      </c>
      <c r="D7" s="1" t="s">
        <v>2666</v>
      </c>
      <c r="E7" s="1"/>
      <c r="F7" s="1"/>
      <c r="G7" s="1" t="s">
        <v>2667</v>
      </c>
      <c r="H7" s="1" t="s">
        <v>2668</v>
      </c>
      <c r="I7" s="1" t="s">
        <v>2669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4766</v>
      </c>
      <c r="AK7" s="1" t="s">
        <v>329</v>
      </c>
      <c r="AL7" s="1">
        <v>13</v>
      </c>
      <c r="AM7" s="1" t="s">
        <v>1814</v>
      </c>
      <c r="AN7" s="1" t="s">
        <v>4755</v>
      </c>
      <c r="AO7" s="1" t="s">
        <v>4752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4500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4767</v>
      </c>
      <c r="BC7" s="1" t="s">
        <v>4765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2670</v>
      </c>
      <c r="C8" s="247" t="s">
        <v>67</v>
      </c>
      <c r="D8" s="1" t="s">
        <v>2671</v>
      </c>
      <c r="E8" s="1"/>
      <c r="F8" s="1"/>
      <c r="G8" s="1" t="s">
        <v>2672</v>
      </c>
      <c r="H8" s="1" t="s">
        <v>2673</v>
      </c>
      <c r="I8" s="1" t="s">
        <v>2674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1814</v>
      </c>
      <c r="AN8" s="1" t="s">
        <v>4755</v>
      </c>
      <c r="AO8" s="1" t="s">
        <v>4768</v>
      </c>
      <c r="AP8" s="1">
        <v>0</v>
      </c>
      <c r="AQ8" s="1" t="s">
        <v>4750</v>
      </c>
      <c r="AR8" s="1" t="s">
        <v>1126</v>
      </c>
      <c r="AS8" s="1" t="s">
        <v>4769</v>
      </c>
      <c r="AT8" s="1" t="s">
        <v>329</v>
      </c>
      <c r="AU8" s="1">
        <v>7</v>
      </c>
      <c r="AV8" s="1">
        <v>0</v>
      </c>
      <c r="AW8" s="1" t="s">
        <v>4500</v>
      </c>
      <c r="AX8" s="1" t="s">
        <v>4770</v>
      </c>
      <c r="AY8" s="1">
        <v>4</v>
      </c>
      <c r="AZ8" s="1">
        <v>0</v>
      </c>
      <c r="BA8" s="1" t="s">
        <v>4751</v>
      </c>
      <c r="BB8" s="1" t="s">
        <v>485</v>
      </c>
      <c r="BC8" s="1" t="s">
        <v>4765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2675</v>
      </c>
      <c r="C9" s="247" t="s">
        <v>68</v>
      </c>
      <c r="D9" s="1" t="s">
        <v>2676</v>
      </c>
      <c r="E9" s="1"/>
      <c r="F9" s="1"/>
      <c r="G9" s="1" t="s">
        <v>2677</v>
      </c>
      <c r="H9" s="1" t="s">
        <v>2678</v>
      </c>
      <c r="I9" s="1" t="s">
        <v>2679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1814</v>
      </c>
      <c r="AN9" s="1" t="s">
        <v>4771</v>
      </c>
      <c r="AO9" s="1" t="s">
        <v>4772</v>
      </c>
      <c r="AP9" s="1">
        <v>0</v>
      </c>
      <c r="AQ9" s="1" t="s">
        <v>4750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4500</v>
      </c>
      <c r="AX9" s="1" t="s">
        <v>471</v>
      </c>
      <c r="AY9" s="1">
        <v>3</v>
      </c>
      <c r="AZ9" s="1">
        <v>0</v>
      </c>
      <c r="BA9" s="1" t="s">
        <v>4773</v>
      </c>
      <c r="BB9" s="1" t="s">
        <v>4774</v>
      </c>
      <c r="BC9" s="1" t="s">
        <v>4765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2680</v>
      </c>
      <c r="C10" s="247" t="s">
        <v>69</v>
      </c>
      <c r="D10" s="1" t="s">
        <v>69</v>
      </c>
      <c r="E10" s="1"/>
      <c r="F10" s="1"/>
      <c r="G10" s="1" t="s">
        <v>2681</v>
      </c>
      <c r="H10" s="1" t="s">
        <v>2682</v>
      </c>
      <c r="I10" s="1" t="s">
        <v>2683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1814</v>
      </c>
      <c r="AN10" s="1" t="s">
        <v>4755</v>
      </c>
      <c r="AO10" s="1" t="s">
        <v>4775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4500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4776</v>
      </c>
      <c r="BC10" s="1" t="s">
        <v>4777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2684</v>
      </c>
      <c r="C11" s="247" t="s">
        <v>70</v>
      </c>
      <c r="D11" s="1" t="s">
        <v>70</v>
      </c>
      <c r="E11" s="1"/>
      <c r="F11" s="1"/>
      <c r="G11" s="1" t="s">
        <v>2685</v>
      </c>
      <c r="H11" s="1" t="s">
        <v>2686</v>
      </c>
      <c r="I11" s="1" t="s">
        <v>2687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4778</v>
      </c>
      <c r="AK11" s="1" t="s">
        <v>329</v>
      </c>
      <c r="AL11" s="1">
        <v>13</v>
      </c>
      <c r="AM11" s="1" t="s">
        <v>1814</v>
      </c>
      <c r="AN11" s="1" t="s">
        <v>4771</v>
      </c>
      <c r="AO11" s="1" t="s">
        <v>4779</v>
      </c>
      <c r="AP11" s="1">
        <v>0</v>
      </c>
      <c r="AQ11" s="1" t="s">
        <v>4750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4500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4780</v>
      </c>
      <c r="BC11" s="1" t="s">
        <v>4777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2688</v>
      </c>
      <c r="C12" s="247" t="s">
        <v>71</v>
      </c>
      <c r="D12" s="1" t="s">
        <v>71</v>
      </c>
      <c r="E12" s="1"/>
      <c r="F12" s="1"/>
      <c r="G12" s="1" t="s">
        <v>2689</v>
      </c>
      <c r="H12" s="1" t="s">
        <v>2690</v>
      </c>
      <c r="I12" s="1" t="s">
        <v>2691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1814</v>
      </c>
      <c r="AN12" s="1" t="s">
        <v>4781</v>
      </c>
      <c r="AO12" s="1" t="s">
        <v>4782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4500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4783</v>
      </c>
      <c r="BC12" s="1" t="s">
        <v>4777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2692</v>
      </c>
      <c r="C13" s="247" t="s">
        <v>72</v>
      </c>
      <c r="D13" s="1" t="s">
        <v>72</v>
      </c>
      <c r="E13" s="1"/>
      <c r="F13" s="1"/>
      <c r="G13" s="1" t="s">
        <v>2693</v>
      </c>
      <c r="H13" s="1" t="s">
        <v>2694</v>
      </c>
      <c r="I13" s="1" t="s">
        <v>2695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1814</v>
      </c>
      <c r="AN13" s="1" t="s">
        <v>4784</v>
      </c>
      <c r="AO13" s="1" t="s">
        <v>4785</v>
      </c>
      <c r="AP13" s="1">
        <v>0</v>
      </c>
      <c r="AQ13" s="1" t="s">
        <v>4750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4500</v>
      </c>
      <c r="AX13" s="1" t="s">
        <v>471</v>
      </c>
      <c r="AY13" s="1">
        <v>3</v>
      </c>
      <c r="AZ13" s="1">
        <v>0</v>
      </c>
      <c r="BA13" s="1" t="s">
        <v>4773</v>
      </c>
      <c r="BB13" s="1" t="s">
        <v>4786</v>
      </c>
      <c r="BC13" s="1" t="s">
        <v>4777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2696</v>
      </c>
      <c r="C14" s="247" t="s">
        <v>73</v>
      </c>
      <c r="D14" s="1" t="s">
        <v>2697</v>
      </c>
      <c r="E14" s="1"/>
      <c r="F14" s="1"/>
      <c r="G14" s="1" t="s">
        <v>2698</v>
      </c>
      <c r="H14" s="1" t="s">
        <v>2699</v>
      </c>
      <c r="I14" s="1" t="s">
        <v>2700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4787</v>
      </c>
      <c r="AK14" s="1" t="s">
        <v>329</v>
      </c>
      <c r="AL14" s="1">
        <v>13</v>
      </c>
      <c r="AM14" s="1" t="s">
        <v>1814</v>
      </c>
      <c r="AN14" s="1" t="s">
        <v>4788</v>
      </c>
      <c r="AO14" s="1" t="s">
        <v>4789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4500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4790</v>
      </c>
      <c r="BC14" s="1" t="s">
        <v>4791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2701</v>
      </c>
      <c r="C15" s="247" t="s">
        <v>74</v>
      </c>
      <c r="D15" s="1" t="s">
        <v>2702</v>
      </c>
      <c r="E15" s="1"/>
      <c r="F15" s="1"/>
      <c r="G15" s="1" t="s">
        <v>2703</v>
      </c>
      <c r="H15" s="1" t="s">
        <v>2704</v>
      </c>
      <c r="I15" s="1" t="s">
        <v>2705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1814</v>
      </c>
      <c r="AN15" s="1" t="s">
        <v>4792</v>
      </c>
      <c r="AO15" s="1" t="s">
        <v>4793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4500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2706</v>
      </c>
      <c r="C16" s="247" t="s">
        <v>75</v>
      </c>
      <c r="D16" s="1" t="s">
        <v>2707</v>
      </c>
      <c r="E16" s="1"/>
      <c r="F16" s="1"/>
      <c r="G16" s="1" t="s">
        <v>2708</v>
      </c>
      <c r="H16" s="1" t="s">
        <v>2709</v>
      </c>
      <c r="I16" s="1" t="s">
        <v>2710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1814</v>
      </c>
      <c r="AN16" s="1" t="s">
        <v>4795</v>
      </c>
      <c r="AO16" s="1" t="s">
        <v>4785</v>
      </c>
      <c r="AP16" s="1">
        <v>0</v>
      </c>
      <c r="AQ16" s="1" t="s">
        <v>4750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4500</v>
      </c>
      <c r="AX16" s="1" t="s">
        <v>4796</v>
      </c>
      <c r="AY16" s="1">
        <v>3</v>
      </c>
      <c r="AZ16" s="1">
        <v>0</v>
      </c>
      <c r="BA16" s="1" t="s">
        <v>329</v>
      </c>
      <c r="BB16" s="1" t="s">
        <v>4797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2711</v>
      </c>
      <c r="C17" s="247" t="s">
        <v>76</v>
      </c>
      <c r="D17" s="1" t="s">
        <v>2712</v>
      </c>
      <c r="E17" s="1"/>
      <c r="F17" s="1"/>
      <c r="G17" s="1" t="s">
        <v>2713</v>
      </c>
      <c r="H17" s="1" t="s">
        <v>2714</v>
      </c>
      <c r="I17" s="1" t="s">
        <v>2715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4798</v>
      </c>
      <c r="AN17" s="1" t="s">
        <v>389</v>
      </c>
      <c r="AO17" s="1" t="s">
        <v>4799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4500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4800</v>
      </c>
      <c r="BC17" s="1" t="s">
        <v>4728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2716</v>
      </c>
      <c r="C18" s="247" t="s">
        <v>77</v>
      </c>
      <c r="D18" s="1" t="s">
        <v>77</v>
      </c>
      <c r="E18" s="1"/>
      <c r="F18" s="1"/>
      <c r="G18" s="1" t="s">
        <v>2717</v>
      </c>
      <c r="H18" s="1" t="s">
        <v>2718</v>
      </c>
      <c r="I18" s="1" t="s">
        <v>2719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4798</v>
      </c>
      <c r="AN18" s="1" t="s">
        <v>4801</v>
      </c>
      <c r="AO18" s="1" t="s">
        <v>4802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4500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2720</v>
      </c>
      <c r="C19" s="247" t="s">
        <v>78</v>
      </c>
      <c r="D19" s="1" t="s">
        <v>2721</v>
      </c>
      <c r="E19" s="1"/>
      <c r="F19" s="1"/>
      <c r="G19" s="1" t="s">
        <v>2722</v>
      </c>
      <c r="H19" s="1" t="s">
        <v>2723</v>
      </c>
      <c r="I19" s="1" t="s">
        <v>2724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4798</v>
      </c>
      <c r="AN19" s="1" t="s">
        <v>4803</v>
      </c>
      <c r="AO19" s="1" t="s">
        <v>4804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4500</v>
      </c>
      <c r="AX19" s="1" t="s">
        <v>4805</v>
      </c>
      <c r="AY19" s="1">
        <v>3</v>
      </c>
      <c r="AZ19" s="1">
        <v>0</v>
      </c>
      <c r="BA19" s="1" t="s">
        <v>329</v>
      </c>
      <c r="BB19" s="1" t="s">
        <v>4806</v>
      </c>
      <c r="BC19" s="1" t="s">
        <v>4728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2725</v>
      </c>
      <c r="C20" s="247" t="s">
        <v>1616</v>
      </c>
      <c r="D20" s="1" t="s">
        <v>1616</v>
      </c>
      <c r="E20" s="1"/>
      <c r="F20" s="1"/>
      <c r="G20" s="1" t="s">
        <v>2726</v>
      </c>
      <c r="H20" s="1" t="s">
        <v>2727</v>
      </c>
      <c r="I20" s="1" t="s">
        <v>2728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4798</v>
      </c>
      <c r="AN20" s="1" t="s">
        <v>389</v>
      </c>
      <c r="AO20" s="1" t="s">
        <v>4807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4500</v>
      </c>
      <c r="AX20" s="1" t="s">
        <v>4808</v>
      </c>
      <c r="AY20" s="1">
        <v>3</v>
      </c>
      <c r="AZ20" s="1">
        <v>0</v>
      </c>
      <c r="BA20" s="1" t="s">
        <v>329</v>
      </c>
      <c r="BB20" s="1" t="s">
        <v>4809</v>
      </c>
      <c r="BC20" s="1" t="s">
        <v>4728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2729</v>
      </c>
      <c r="C21" s="247" t="s">
        <v>79</v>
      </c>
      <c r="D21" s="1" t="s">
        <v>79</v>
      </c>
      <c r="E21" s="1"/>
      <c r="F21" s="1"/>
      <c r="G21" s="1" t="s">
        <v>2730</v>
      </c>
      <c r="H21" s="1" t="s">
        <v>2731</v>
      </c>
      <c r="I21" s="1" t="s">
        <v>2732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4798</v>
      </c>
      <c r="AN21" s="1" t="s">
        <v>4801</v>
      </c>
      <c r="AO21" s="1" t="s">
        <v>4810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4500</v>
      </c>
      <c r="AX21" s="1" t="s">
        <v>4805</v>
      </c>
      <c r="AY21" s="1">
        <v>5</v>
      </c>
      <c r="AZ21" s="1">
        <v>0</v>
      </c>
      <c r="BA21" s="1" t="s">
        <v>329</v>
      </c>
      <c r="BB21" s="1" t="s">
        <v>4811</v>
      </c>
      <c r="BC21" s="1" t="s">
        <v>4728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2733</v>
      </c>
      <c r="C22" s="247" t="s">
        <v>908</v>
      </c>
      <c r="D22" s="1" t="s">
        <v>2734</v>
      </c>
      <c r="E22" s="1"/>
      <c r="F22" s="1"/>
      <c r="G22" s="1" t="s">
        <v>2735</v>
      </c>
      <c r="H22" s="1" t="s">
        <v>2736</v>
      </c>
      <c r="I22" s="1" t="s">
        <v>2737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4798</v>
      </c>
      <c r="AN22" s="1" t="s">
        <v>465</v>
      </c>
      <c r="AO22" s="1" t="s">
        <v>4812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4500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4813</v>
      </c>
      <c r="BC22" s="1" t="s">
        <v>4765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2738</v>
      </c>
      <c r="C23" s="247" t="s">
        <v>1617</v>
      </c>
      <c r="D23" s="1" t="s">
        <v>1617</v>
      </c>
      <c r="E23" s="1"/>
      <c r="F23" s="1"/>
      <c r="G23" s="1" t="s">
        <v>2739</v>
      </c>
      <c r="H23" s="1" t="s">
        <v>2740</v>
      </c>
      <c r="I23" s="1" t="s">
        <v>2741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4798</v>
      </c>
      <c r="AN23" s="1" t="s">
        <v>4803</v>
      </c>
      <c r="AO23" s="1" t="s">
        <v>4804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4500</v>
      </c>
      <c r="AX23" s="1" t="s">
        <v>4805</v>
      </c>
      <c r="AY23" s="1">
        <v>3</v>
      </c>
      <c r="AZ23" s="1">
        <v>0</v>
      </c>
      <c r="BA23" s="1" t="s">
        <v>329</v>
      </c>
      <c r="BB23" s="1" t="s">
        <v>4814</v>
      </c>
      <c r="BC23" s="1" t="s">
        <v>4765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2742</v>
      </c>
      <c r="C24" s="247" t="s">
        <v>1618</v>
      </c>
      <c r="D24" s="1" t="s">
        <v>1618</v>
      </c>
      <c r="E24" s="1"/>
      <c r="F24" s="1"/>
      <c r="G24" s="1" t="s">
        <v>2743</v>
      </c>
      <c r="H24" s="1" t="s">
        <v>2744</v>
      </c>
      <c r="I24" s="1" t="s">
        <v>2745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4798</v>
      </c>
      <c r="AN24" s="1" t="s">
        <v>389</v>
      </c>
      <c r="AO24" s="1" t="s">
        <v>4815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4816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2746</v>
      </c>
      <c r="C25" s="247" t="s">
        <v>1140</v>
      </c>
      <c r="D25" s="1" t="s">
        <v>1140</v>
      </c>
      <c r="E25" s="1"/>
      <c r="F25" s="1"/>
      <c r="G25" s="1" t="s">
        <v>2747</v>
      </c>
      <c r="H25" s="1" t="s">
        <v>2748</v>
      </c>
      <c r="I25" s="1" t="s">
        <v>2749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4798</v>
      </c>
      <c r="AN25" s="1" t="s">
        <v>389</v>
      </c>
      <c r="AO25" s="1" t="s">
        <v>4817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4500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4818</v>
      </c>
      <c r="BC25" s="1" t="s">
        <v>4765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2750</v>
      </c>
      <c r="C26" s="247" t="s">
        <v>80</v>
      </c>
      <c r="D26" s="1" t="s">
        <v>80</v>
      </c>
      <c r="E26" s="1"/>
      <c r="F26" s="1"/>
      <c r="G26" s="1" t="s">
        <v>2751</v>
      </c>
      <c r="H26" s="1" t="s">
        <v>2752</v>
      </c>
      <c r="I26" s="1" t="s">
        <v>2753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4798</v>
      </c>
      <c r="AN26" s="1" t="s">
        <v>389</v>
      </c>
      <c r="AO26" s="1" t="s">
        <v>4789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4500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4819</v>
      </c>
      <c r="BC26" s="1" t="s">
        <v>4777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2754</v>
      </c>
      <c r="C27" s="247" t="s">
        <v>730</v>
      </c>
      <c r="D27" s="1" t="s">
        <v>730</v>
      </c>
      <c r="E27" s="1"/>
      <c r="F27" s="1"/>
      <c r="G27" s="1" t="s">
        <v>2755</v>
      </c>
      <c r="H27" s="1" t="s">
        <v>2756</v>
      </c>
      <c r="I27" s="1" t="s">
        <v>2757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4798</v>
      </c>
      <c r="AN27" s="1" t="s">
        <v>389</v>
      </c>
      <c r="AO27" s="1" t="s">
        <v>4820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4500</v>
      </c>
      <c r="AX27" s="1" t="s">
        <v>4805</v>
      </c>
      <c r="AY27" s="1">
        <v>4</v>
      </c>
      <c r="AZ27" s="1">
        <v>0</v>
      </c>
      <c r="BA27" s="1" t="s">
        <v>4751</v>
      </c>
      <c r="BB27" s="1" t="s">
        <v>4821</v>
      </c>
      <c r="BC27" s="1" t="s">
        <v>4777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2758</v>
      </c>
      <c r="C28" s="247" t="s">
        <v>81</v>
      </c>
      <c r="D28" s="1" t="s">
        <v>2759</v>
      </c>
      <c r="E28" s="1"/>
      <c r="F28" s="1"/>
      <c r="G28" s="1" t="s">
        <v>2760</v>
      </c>
      <c r="H28" s="1" t="s">
        <v>2761</v>
      </c>
      <c r="I28" s="1" t="s">
        <v>2762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4822</v>
      </c>
      <c r="AK28" s="1" t="s">
        <v>329</v>
      </c>
      <c r="AL28" s="1">
        <v>13</v>
      </c>
      <c r="AM28" s="1" t="s">
        <v>4798</v>
      </c>
      <c r="AN28" s="1" t="s">
        <v>4801</v>
      </c>
      <c r="AO28" s="1" t="s">
        <v>4823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4500</v>
      </c>
      <c r="AX28" s="1" t="s">
        <v>4805</v>
      </c>
      <c r="AY28" s="1">
        <v>3</v>
      </c>
      <c r="AZ28" s="1">
        <v>0</v>
      </c>
      <c r="BA28" s="1" t="s">
        <v>329</v>
      </c>
      <c r="BB28" s="1" t="s">
        <v>4824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2763</v>
      </c>
      <c r="C29" s="247" t="s">
        <v>82</v>
      </c>
      <c r="D29" s="1" t="s">
        <v>82</v>
      </c>
      <c r="E29" s="1"/>
      <c r="F29" s="1"/>
      <c r="G29" s="1" t="s">
        <v>2764</v>
      </c>
      <c r="H29" s="1" t="s">
        <v>2765</v>
      </c>
      <c r="I29" s="1" t="s">
        <v>2766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4798</v>
      </c>
      <c r="AN29" s="1" t="s">
        <v>4803</v>
      </c>
      <c r="AO29" s="1" t="s">
        <v>4825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4826</v>
      </c>
      <c r="AX29" s="1" t="s">
        <v>4827</v>
      </c>
      <c r="AY29" s="1">
        <v>5</v>
      </c>
      <c r="AZ29" s="1">
        <v>0</v>
      </c>
      <c r="BA29" s="1" t="s">
        <v>329</v>
      </c>
      <c r="BB29" s="1" t="s">
        <v>4828</v>
      </c>
      <c r="BC29" s="1" t="s">
        <v>4777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2767</v>
      </c>
      <c r="C30" s="247" t="s">
        <v>828</v>
      </c>
      <c r="D30" s="1" t="s">
        <v>2768</v>
      </c>
      <c r="E30" s="1"/>
      <c r="F30" s="1"/>
      <c r="G30" s="1" t="s">
        <v>2769</v>
      </c>
      <c r="H30" s="1" t="s">
        <v>2770</v>
      </c>
      <c r="I30" s="1" t="s">
        <v>2771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4798</v>
      </c>
      <c r="AN30" s="1" t="s">
        <v>4803</v>
      </c>
      <c r="AO30" s="1" t="s">
        <v>4829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4500</v>
      </c>
      <c r="AX30" s="1" t="s">
        <v>4805</v>
      </c>
      <c r="AY30" s="1">
        <v>3</v>
      </c>
      <c r="AZ30" s="1">
        <v>0</v>
      </c>
      <c r="BA30" s="1" t="s">
        <v>4773</v>
      </c>
      <c r="BB30" s="1" t="s">
        <v>4830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2772</v>
      </c>
      <c r="C31" s="247" t="s">
        <v>83</v>
      </c>
      <c r="D31" s="1" t="s">
        <v>2773</v>
      </c>
      <c r="E31" s="1"/>
      <c r="F31" s="1"/>
      <c r="G31" s="1" t="s">
        <v>2774</v>
      </c>
      <c r="H31" s="1" t="s">
        <v>2775</v>
      </c>
      <c r="I31" s="1" t="s">
        <v>2776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4798</v>
      </c>
      <c r="AN31" s="1" t="s">
        <v>389</v>
      </c>
      <c r="AO31" s="1" t="s">
        <v>4831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4500</v>
      </c>
      <c r="AX31" s="1" t="s">
        <v>471</v>
      </c>
      <c r="AY31" s="1">
        <v>2</v>
      </c>
      <c r="AZ31" s="1">
        <v>0</v>
      </c>
      <c r="BA31" s="1" t="s">
        <v>4753</v>
      </c>
      <c r="BB31" s="1" t="s">
        <v>329</v>
      </c>
      <c r="BC31" s="1" t="s">
        <v>4747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2777</v>
      </c>
      <c r="C32" s="247" t="s">
        <v>84</v>
      </c>
      <c r="D32" s="1" t="s">
        <v>2778</v>
      </c>
      <c r="E32" s="1"/>
      <c r="F32" s="1"/>
      <c r="G32" s="1" t="s">
        <v>2779</v>
      </c>
      <c r="H32" s="1" t="s">
        <v>2780</v>
      </c>
      <c r="I32" s="1" t="s">
        <v>2781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4798</v>
      </c>
      <c r="AN32" s="1" t="s">
        <v>465</v>
      </c>
      <c r="AO32" s="1" t="s">
        <v>4832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4500</v>
      </c>
      <c r="AX32" s="1" t="s">
        <v>4805</v>
      </c>
      <c r="AY32" s="1">
        <v>3</v>
      </c>
      <c r="AZ32" s="1">
        <v>0</v>
      </c>
      <c r="BA32" s="1" t="s">
        <v>4773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2782</v>
      </c>
      <c r="C33" s="247" t="s">
        <v>85</v>
      </c>
      <c r="D33" s="1" t="s">
        <v>85</v>
      </c>
      <c r="E33" s="1"/>
      <c r="F33" s="1"/>
      <c r="G33" s="1" t="s">
        <v>2783</v>
      </c>
      <c r="H33" s="1" t="s">
        <v>2784</v>
      </c>
      <c r="I33" s="1" t="s">
        <v>2785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4798</v>
      </c>
      <c r="AN33" s="1" t="s">
        <v>389</v>
      </c>
      <c r="AO33" s="1" t="s">
        <v>4793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4500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2786</v>
      </c>
      <c r="C34" s="247" t="s">
        <v>86</v>
      </c>
      <c r="D34" s="1" t="s">
        <v>2787</v>
      </c>
      <c r="E34" s="1"/>
      <c r="F34" s="1"/>
      <c r="G34" s="1" t="s">
        <v>2788</v>
      </c>
      <c r="H34" s="1" t="s">
        <v>2789</v>
      </c>
      <c r="I34" s="1" t="s">
        <v>2790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4770</v>
      </c>
      <c r="AN34" s="1" t="s">
        <v>476</v>
      </c>
      <c r="AO34" s="1" t="s">
        <v>4834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4500</v>
      </c>
      <c r="AX34" s="1" t="s">
        <v>4805</v>
      </c>
      <c r="AY34" s="1">
        <v>3</v>
      </c>
      <c r="AZ34" s="1">
        <v>0</v>
      </c>
      <c r="BA34" s="1" t="s">
        <v>329</v>
      </c>
      <c r="BB34" s="1" t="s">
        <v>4835</v>
      </c>
      <c r="BC34" s="1" t="s">
        <v>4728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2791</v>
      </c>
      <c r="C35" s="247" t="s">
        <v>789</v>
      </c>
      <c r="D35" s="1" t="s">
        <v>789</v>
      </c>
      <c r="E35" s="1"/>
      <c r="F35" s="1"/>
      <c r="G35" s="1" t="s">
        <v>2792</v>
      </c>
      <c r="H35" s="1" t="s">
        <v>2793</v>
      </c>
      <c r="I35" s="1" t="s">
        <v>2794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4770</v>
      </c>
      <c r="AN35" s="1" t="s">
        <v>465</v>
      </c>
      <c r="AO35" s="1" t="s">
        <v>4834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4836</v>
      </c>
      <c r="AX35" s="1" t="s">
        <v>4837</v>
      </c>
      <c r="AY35" s="1">
        <v>3</v>
      </c>
      <c r="AZ35" s="1">
        <v>0</v>
      </c>
      <c r="BA35" s="1" t="s">
        <v>329</v>
      </c>
      <c r="BB35" s="1" t="s">
        <v>4838</v>
      </c>
      <c r="BC35" s="1" t="s">
        <v>4728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2795</v>
      </c>
      <c r="C36" s="247" t="s">
        <v>87</v>
      </c>
      <c r="D36" s="1" t="s">
        <v>2796</v>
      </c>
      <c r="E36" s="1"/>
      <c r="F36" s="1"/>
      <c r="G36" s="1" t="s">
        <v>2797</v>
      </c>
      <c r="H36" s="1" t="s">
        <v>2798</v>
      </c>
      <c r="I36" s="1" t="s">
        <v>2799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4770</v>
      </c>
      <c r="AN36" s="1" t="s">
        <v>4839</v>
      </c>
      <c r="AO36" s="1" t="s">
        <v>4840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4500</v>
      </c>
      <c r="AX36" s="1" t="s">
        <v>4805</v>
      </c>
      <c r="AY36" s="1">
        <v>4</v>
      </c>
      <c r="AZ36" s="1">
        <v>0</v>
      </c>
      <c r="BA36" s="1" t="s">
        <v>329</v>
      </c>
      <c r="BB36" s="1" t="s">
        <v>4841</v>
      </c>
      <c r="BC36" s="1" t="s">
        <v>4728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2800</v>
      </c>
      <c r="C37" s="247" t="s">
        <v>88</v>
      </c>
      <c r="D37" s="1" t="s">
        <v>88</v>
      </c>
      <c r="E37" s="1"/>
      <c r="F37" s="1"/>
      <c r="G37" s="1" t="s">
        <v>2801</v>
      </c>
      <c r="H37" s="1" t="s">
        <v>2802</v>
      </c>
      <c r="I37" s="1" t="s">
        <v>2803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4770</v>
      </c>
      <c r="AN37" s="1" t="s">
        <v>4842</v>
      </c>
      <c r="AO37" s="1" t="s">
        <v>4834</v>
      </c>
      <c r="AP37" s="1">
        <v>0</v>
      </c>
      <c r="AQ37" s="1" t="s">
        <v>1147</v>
      </c>
      <c r="AR37" s="1" t="s">
        <v>4843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4500</v>
      </c>
      <c r="AX37" s="1" t="s">
        <v>4805</v>
      </c>
      <c r="AY37" s="1">
        <v>3</v>
      </c>
      <c r="AZ37" s="1">
        <v>0</v>
      </c>
      <c r="BA37" s="1" t="s">
        <v>4773</v>
      </c>
      <c r="BB37" s="1" t="s">
        <v>4844</v>
      </c>
      <c r="BC37" s="1" t="s">
        <v>4728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2804</v>
      </c>
      <c r="C38" s="247" t="s">
        <v>89</v>
      </c>
      <c r="D38" s="1" t="s">
        <v>89</v>
      </c>
      <c r="E38" s="1"/>
      <c r="F38" s="1"/>
      <c r="G38" s="1" t="s">
        <v>2805</v>
      </c>
      <c r="H38" s="1" t="s">
        <v>2806</v>
      </c>
      <c r="I38" s="1" t="s">
        <v>2807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4770</v>
      </c>
      <c r="AN38" s="1" t="s">
        <v>465</v>
      </c>
      <c r="AO38" s="1" t="s">
        <v>4834</v>
      </c>
      <c r="AP38" s="1">
        <v>0</v>
      </c>
      <c r="AQ38" s="1" t="s">
        <v>1147</v>
      </c>
      <c r="AR38" s="1" t="s">
        <v>4843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4500</v>
      </c>
      <c r="AX38" s="1" t="s">
        <v>4845</v>
      </c>
      <c r="AY38" s="1">
        <v>3</v>
      </c>
      <c r="AZ38" s="1">
        <v>0</v>
      </c>
      <c r="BA38" s="1" t="s">
        <v>329</v>
      </c>
      <c r="BB38" s="1" t="s">
        <v>4846</v>
      </c>
      <c r="BC38" s="1" t="s">
        <v>4728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2808</v>
      </c>
      <c r="C39" s="247" t="s">
        <v>729</v>
      </c>
      <c r="D39" s="1" t="s">
        <v>2809</v>
      </c>
      <c r="E39" s="1"/>
      <c r="F39" s="1"/>
      <c r="G39" s="1" t="s">
        <v>2810</v>
      </c>
      <c r="H39" s="1" t="s">
        <v>2811</v>
      </c>
      <c r="I39" s="1" t="s">
        <v>2812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4770</v>
      </c>
      <c r="AN39" s="1" t="s">
        <v>4818</v>
      </c>
      <c r="AO39" s="1" t="s">
        <v>4840</v>
      </c>
      <c r="AP39" s="1">
        <v>0</v>
      </c>
      <c r="AQ39" s="1" t="s">
        <v>1147</v>
      </c>
      <c r="AR39" s="1" t="s">
        <v>4843</v>
      </c>
      <c r="AS39" s="1" t="s">
        <v>4847</v>
      </c>
      <c r="AT39" s="1" t="s">
        <v>329</v>
      </c>
      <c r="AU39" s="1">
        <v>39</v>
      </c>
      <c r="AV39" s="1">
        <v>0</v>
      </c>
      <c r="AW39" s="1" t="s">
        <v>4500</v>
      </c>
      <c r="AX39" s="1" t="s">
        <v>4805</v>
      </c>
      <c r="AY39" s="1">
        <v>4</v>
      </c>
      <c r="AZ39" s="1">
        <v>0</v>
      </c>
      <c r="BA39" s="1" t="s">
        <v>4751</v>
      </c>
      <c r="BB39" s="1" t="s">
        <v>4848</v>
      </c>
      <c r="BC39" s="1" t="s">
        <v>4765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2813</v>
      </c>
      <c r="C40" s="247" t="s">
        <v>1619</v>
      </c>
      <c r="D40" s="1" t="s">
        <v>1619</v>
      </c>
      <c r="E40" s="1"/>
      <c r="F40" s="1"/>
      <c r="G40" s="1" t="s">
        <v>2814</v>
      </c>
      <c r="H40" s="1" t="s">
        <v>2815</v>
      </c>
      <c r="I40" s="1" t="s">
        <v>2816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4770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4500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2817</v>
      </c>
      <c r="C41" s="247" t="s">
        <v>90</v>
      </c>
      <c r="D41" s="1" t="s">
        <v>90</v>
      </c>
      <c r="E41" s="1"/>
      <c r="F41" s="1"/>
      <c r="G41" s="1" t="s">
        <v>2818</v>
      </c>
      <c r="H41" s="1" t="s">
        <v>2819</v>
      </c>
      <c r="I41" s="1" t="s">
        <v>2820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4770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4500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4849</v>
      </c>
      <c r="BC41" s="1" t="s">
        <v>4765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2821</v>
      </c>
      <c r="C42" s="247" t="s">
        <v>91</v>
      </c>
      <c r="D42" s="1" t="s">
        <v>91</v>
      </c>
      <c r="E42" s="1"/>
      <c r="F42" s="1"/>
      <c r="G42" s="1" t="s">
        <v>2822</v>
      </c>
      <c r="H42" s="1" t="s">
        <v>2823</v>
      </c>
      <c r="I42" s="1" t="s">
        <v>2824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4770</v>
      </c>
      <c r="AN42" s="1" t="s">
        <v>507</v>
      </c>
      <c r="AO42" s="1" t="s">
        <v>4840</v>
      </c>
      <c r="AP42" s="1">
        <v>0</v>
      </c>
      <c r="AQ42" s="1" t="s">
        <v>1147</v>
      </c>
      <c r="AR42" s="1" t="s">
        <v>1148</v>
      </c>
      <c r="AS42" s="1" t="s">
        <v>4847</v>
      </c>
      <c r="AT42" s="1" t="s">
        <v>329</v>
      </c>
      <c r="AU42" s="1">
        <v>42</v>
      </c>
      <c r="AV42" s="1">
        <v>0</v>
      </c>
      <c r="AW42" s="1" t="s">
        <v>4500</v>
      </c>
      <c r="AX42" s="1" t="s">
        <v>4805</v>
      </c>
      <c r="AY42" s="1">
        <v>4</v>
      </c>
      <c r="AZ42" s="1">
        <v>0</v>
      </c>
      <c r="BA42" s="1" t="s">
        <v>329</v>
      </c>
      <c r="BB42" s="1" t="s">
        <v>4754</v>
      </c>
      <c r="BC42" s="1" t="s">
        <v>4765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2825</v>
      </c>
      <c r="C43" s="247" t="s">
        <v>92</v>
      </c>
      <c r="D43" s="1" t="s">
        <v>92</v>
      </c>
      <c r="E43" s="1"/>
      <c r="F43" s="1"/>
      <c r="G43" s="1" t="s">
        <v>2826</v>
      </c>
      <c r="H43" s="1" t="s">
        <v>2827</v>
      </c>
      <c r="I43" s="1" t="s">
        <v>2828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4770</v>
      </c>
      <c r="AN43" s="1" t="s">
        <v>4842</v>
      </c>
      <c r="AO43" s="1" t="s">
        <v>4840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4850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4851</v>
      </c>
      <c r="BC43" s="1" t="s">
        <v>4765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2829</v>
      </c>
      <c r="C44" s="247" t="s">
        <v>1620</v>
      </c>
      <c r="D44" s="1" t="s">
        <v>1620</v>
      </c>
      <c r="E44" s="1"/>
      <c r="F44" s="1"/>
      <c r="G44" s="1" t="s">
        <v>2830</v>
      </c>
      <c r="H44" s="1" t="s">
        <v>2831</v>
      </c>
      <c r="I44" s="1" t="s">
        <v>2832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4770</v>
      </c>
      <c r="AN44" s="1" t="s">
        <v>466</v>
      </c>
      <c r="AO44" s="1" t="s">
        <v>4834</v>
      </c>
      <c r="AP44" s="1">
        <v>0</v>
      </c>
      <c r="AQ44" s="1" t="s">
        <v>1147</v>
      </c>
      <c r="AR44" s="1" t="s">
        <v>1148</v>
      </c>
      <c r="AS44" s="1" t="s">
        <v>4847</v>
      </c>
      <c r="AT44" s="1" t="s">
        <v>329</v>
      </c>
      <c r="AU44" s="1">
        <v>44</v>
      </c>
      <c r="AV44" s="1">
        <v>0</v>
      </c>
      <c r="AW44" s="1" t="s">
        <v>4500</v>
      </c>
      <c r="AX44" s="1" t="s">
        <v>4805</v>
      </c>
      <c r="AY44" s="1">
        <v>3</v>
      </c>
      <c r="AZ44" s="1">
        <v>0</v>
      </c>
      <c r="BA44" s="1" t="s">
        <v>4773</v>
      </c>
      <c r="BB44" s="1" t="s">
        <v>4852</v>
      </c>
      <c r="BC44" s="1" t="s">
        <v>4765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2833</v>
      </c>
      <c r="C45" s="247" t="s">
        <v>93</v>
      </c>
      <c r="D45" s="1" t="s">
        <v>2834</v>
      </c>
      <c r="E45" s="1"/>
      <c r="F45" s="1"/>
      <c r="G45" s="1" t="s">
        <v>2835</v>
      </c>
      <c r="H45" s="1" t="s">
        <v>2836</v>
      </c>
      <c r="I45" s="1" t="s">
        <v>2837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4770</v>
      </c>
      <c r="AN45" s="1" t="s">
        <v>4842</v>
      </c>
      <c r="AO45" s="1" t="s">
        <v>4853</v>
      </c>
      <c r="AP45" s="1">
        <v>0</v>
      </c>
      <c r="AQ45" s="1" t="s">
        <v>1147</v>
      </c>
      <c r="AR45" s="1" t="s">
        <v>4843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4500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4854</v>
      </c>
      <c r="BC45" s="1" t="s">
        <v>4777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2838</v>
      </c>
      <c r="C46" s="247" t="s">
        <v>94</v>
      </c>
      <c r="D46" s="1" t="s">
        <v>94</v>
      </c>
      <c r="E46" s="1"/>
      <c r="F46" s="1"/>
      <c r="G46" s="1" t="s">
        <v>2839</v>
      </c>
      <c r="H46" s="1" t="s">
        <v>2840</v>
      </c>
      <c r="I46" s="1" t="s">
        <v>2841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4770</v>
      </c>
      <c r="AN46" s="1" t="s">
        <v>4842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4500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4855</v>
      </c>
      <c r="BC46" s="1" t="s">
        <v>4777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2842</v>
      </c>
      <c r="C47" s="247" t="s">
        <v>95</v>
      </c>
      <c r="D47" s="1" t="s">
        <v>95</v>
      </c>
      <c r="E47" s="1"/>
      <c r="F47" s="1"/>
      <c r="G47" s="1" t="s">
        <v>2843</v>
      </c>
      <c r="H47" s="1" t="s">
        <v>2844</v>
      </c>
      <c r="I47" s="1" t="s">
        <v>2845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4770</v>
      </c>
      <c r="AN47" s="1" t="s">
        <v>476</v>
      </c>
      <c r="AO47" s="1" t="s">
        <v>4853</v>
      </c>
      <c r="AP47" s="1">
        <v>0</v>
      </c>
      <c r="AQ47" s="1" t="s">
        <v>1147</v>
      </c>
      <c r="AR47" s="1" t="s">
        <v>4843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4500</v>
      </c>
      <c r="AX47" s="1" t="s">
        <v>4805</v>
      </c>
      <c r="AY47" s="1">
        <v>5</v>
      </c>
      <c r="AZ47" s="1">
        <v>0</v>
      </c>
      <c r="BA47" s="1" t="s">
        <v>329</v>
      </c>
      <c r="BB47" s="1" t="s">
        <v>4798</v>
      </c>
      <c r="BC47" s="1" t="s">
        <v>4777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2846</v>
      </c>
      <c r="C48" s="247" t="s">
        <v>222</v>
      </c>
      <c r="D48" s="1" t="s">
        <v>2847</v>
      </c>
      <c r="E48" s="1"/>
      <c r="F48" s="1"/>
      <c r="G48" s="1" t="s">
        <v>2848</v>
      </c>
      <c r="H48" s="1" t="s">
        <v>2849</v>
      </c>
      <c r="I48" s="1" t="s">
        <v>2850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4770</v>
      </c>
      <c r="AN48" s="1" t="s">
        <v>465</v>
      </c>
      <c r="AO48" s="1" t="s">
        <v>4834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4856</v>
      </c>
      <c r="AX48" s="1" t="s">
        <v>4857</v>
      </c>
      <c r="AY48" s="1">
        <v>3</v>
      </c>
      <c r="AZ48" s="1">
        <v>0</v>
      </c>
      <c r="BA48" s="1" t="s">
        <v>4773</v>
      </c>
      <c r="BB48" s="1" t="s">
        <v>4858</v>
      </c>
      <c r="BC48" s="1" t="s">
        <v>4791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2851</v>
      </c>
      <c r="C49" s="247" t="s">
        <v>96</v>
      </c>
      <c r="D49" s="1" t="s">
        <v>2852</v>
      </c>
      <c r="E49" s="1"/>
      <c r="F49" s="1"/>
      <c r="G49" s="1" t="s">
        <v>2853</v>
      </c>
      <c r="H49" s="1" t="s">
        <v>2854</v>
      </c>
      <c r="I49" s="1" t="s">
        <v>2855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4770</v>
      </c>
      <c r="AN49" s="1" t="s">
        <v>465</v>
      </c>
      <c r="AO49" s="1" t="s">
        <v>4853</v>
      </c>
      <c r="AP49" s="1">
        <v>0</v>
      </c>
      <c r="AQ49" s="1" t="s">
        <v>1147</v>
      </c>
      <c r="AR49" s="1" t="s">
        <v>4843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4500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2856</v>
      </c>
      <c r="C50" s="247" t="s">
        <v>1159</v>
      </c>
      <c r="D50" s="1" t="s">
        <v>1159</v>
      </c>
      <c r="E50" s="1"/>
      <c r="F50" s="1"/>
      <c r="G50" s="1" t="s">
        <v>2857</v>
      </c>
      <c r="H50" s="1" t="s">
        <v>2858</v>
      </c>
      <c r="I50" s="1" t="s">
        <v>2859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4770</v>
      </c>
      <c r="AN50" s="1" t="s">
        <v>4842</v>
      </c>
      <c r="AO50" s="1" t="s">
        <v>339</v>
      </c>
      <c r="AP50" s="1">
        <v>0</v>
      </c>
      <c r="AQ50" s="1" t="s">
        <v>1147</v>
      </c>
      <c r="AR50" s="1" t="s">
        <v>4843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4500</v>
      </c>
      <c r="AX50" s="1" t="s">
        <v>471</v>
      </c>
      <c r="AY50" s="1">
        <v>2</v>
      </c>
      <c r="AZ50" s="1">
        <v>0</v>
      </c>
      <c r="BA50" s="1" t="s">
        <v>4753</v>
      </c>
      <c r="BB50" s="1" t="s">
        <v>4860</v>
      </c>
      <c r="BC50" s="1" t="s">
        <v>4861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2860</v>
      </c>
      <c r="C51" s="247" t="s">
        <v>97</v>
      </c>
      <c r="D51" s="1" t="s">
        <v>2861</v>
      </c>
      <c r="E51" s="1"/>
      <c r="F51" s="1"/>
      <c r="G51" s="1" t="s">
        <v>2862</v>
      </c>
      <c r="H51" s="1" t="s">
        <v>2863</v>
      </c>
      <c r="I51" s="1" t="s">
        <v>2864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4770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4843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4500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4862</v>
      </c>
      <c r="BC51" s="1" t="s">
        <v>4747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2865</v>
      </c>
      <c r="C52" s="247" t="s">
        <v>1621</v>
      </c>
      <c r="D52" s="1" t="s">
        <v>1621</v>
      </c>
      <c r="E52" s="1"/>
      <c r="F52" s="1"/>
      <c r="G52" s="1" t="s">
        <v>2866</v>
      </c>
      <c r="H52" s="1" t="s">
        <v>2867</v>
      </c>
      <c r="I52" s="1" t="s">
        <v>2868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4770</v>
      </c>
      <c r="AN52" s="1" t="s">
        <v>476</v>
      </c>
      <c r="AO52" s="1" t="s">
        <v>4853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4500</v>
      </c>
      <c r="AX52" s="1" t="s">
        <v>4499</v>
      </c>
      <c r="AY52" s="1">
        <v>5</v>
      </c>
      <c r="AZ52" s="1">
        <v>0</v>
      </c>
      <c r="BA52" s="1" t="s">
        <v>4863</v>
      </c>
      <c r="BB52" s="1" t="s">
        <v>4864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2869</v>
      </c>
      <c r="C53" s="247" t="s">
        <v>98</v>
      </c>
      <c r="D53" s="1" t="s">
        <v>98</v>
      </c>
      <c r="E53" s="1"/>
      <c r="F53" s="1"/>
      <c r="G53" s="1" t="s">
        <v>2870</v>
      </c>
      <c r="H53" s="1" t="s">
        <v>2871</v>
      </c>
      <c r="I53" s="1" t="s">
        <v>2872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4727</v>
      </c>
      <c r="AN53" s="1" t="s">
        <v>4755</v>
      </c>
      <c r="AO53" s="1" t="s">
        <v>4807</v>
      </c>
      <c r="AP53" s="1">
        <v>0</v>
      </c>
      <c r="AQ53" s="1" t="s">
        <v>1161</v>
      </c>
      <c r="AR53" s="1" t="s">
        <v>4865</v>
      </c>
      <c r="AS53" s="1" t="s">
        <v>4865</v>
      </c>
      <c r="AT53" s="1" t="s">
        <v>329</v>
      </c>
      <c r="AU53" s="1">
        <v>54</v>
      </c>
      <c r="AV53" s="1">
        <v>0</v>
      </c>
      <c r="AW53" s="1" t="s">
        <v>4500</v>
      </c>
      <c r="AX53" s="1" t="s">
        <v>4866</v>
      </c>
      <c r="AY53" s="1">
        <v>4</v>
      </c>
      <c r="AZ53" s="1">
        <v>0</v>
      </c>
      <c r="BA53" s="1" t="s">
        <v>329</v>
      </c>
      <c r="BB53" s="1" t="s">
        <v>4867</v>
      </c>
      <c r="BC53" s="1" t="s">
        <v>4868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2873</v>
      </c>
      <c r="C54" s="247" t="s">
        <v>22</v>
      </c>
      <c r="D54" s="1" t="s">
        <v>22</v>
      </c>
      <c r="E54" s="1"/>
      <c r="F54" s="1"/>
      <c r="G54" s="1" t="s">
        <v>2874</v>
      </c>
      <c r="H54" s="1" t="s">
        <v>2875</v>
      </c>
      <c r="I54" s="1" t="s">
        <v>2876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4798</v>
      </c>
      <c r="AN54" s="1" t="s">
        <v>4869</v>
      </c>
      <c r="AO54" s="1" t="s">
        <v>4870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4500</v>
      </c>
      <c r="AX54" s="1" t="s">
        <v>4866</v>
      </c>
      <c r="AY54" s="1">
        <v>4</v>
      </c>
      <c r="AZ54" s="1">
        <v>0</v>
      </c>
      <c r="BA54" s="1" t="s">
        <v>4751</v>
      </c>
      <c r="BB54" s="1" t="s">
        <v>4871</v>
      </c>
      <c r="BC54" s="1" t="s">
        <v>4868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2877</v>
      </c>
      <c r="C55" s="247" t="s">
        <v>99</v>
      </c>
      <c r="D55" s="1" t="s">
        <v>99</v>
      </c>
      <c r="E55" s="1"/>
      <c r="F55" s="1"/>
      <c r="G55" s="1" t="s">
        <v>2878</v>
      </c>
      <c r="H55" s="1" t="s">
        <v>2879</v>
      </c>
      <c r="I55" s="1" t="s">
        <v>2880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4727</v>
      </c>
      <c r="AN55" s="1" t="s">
        <v>4872</v>
      </c>
      <c r="AO55" s="1" t="s">
        <v>4873</v>
      </c>
      <c r="AP55" s="1">
        <v>0</v>
      </c>
      <c r="AQ55" s="1" t="s">
        <v>4874</v>
      </c>
      <c r="AR55" s="1" t="s">
        <v>4874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4500</v>
      </c>
      <c r="AX55" s="1" t="s">
        <v>4866</v>
      </c>
      <c r="AY55" s="1">
        <v>4</v>
      </c>
      <c r="AZ55" s="1">
        <v>0</v>
      </c>
      <c r="BA55" s="1" t="s">
        <v>4751</v>
      </c>
      <c r="BB55" s="1" t="s">
        <v>475</v>
      </c>
      <c r="BC55" s="1" t="s">
        <v>4868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2881</v>
      </c>
      <c r="C56" s="247" t="s">
        <v>1622</v>
      </c>
      <c r="D56" s="1" t="s">
        <v>2882</v>
      </c>
      <c r="E56" s="1"/>
      <c r="F56" s="1"/>
      <c r="G56" s="1" t="s">
        <v>2883</v>
      </c>
      <c r="H56" s="1" t="s">
        <v>2884</v>
      </c>
      <c r="I56" s="1" t="s">
        <v>2885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4727</v>
      </c>
      <c r="AN56" s="1" t="s">
        <v>4872</v>
      </c>
      <c r="AO56" s="1" t="s">
        <v>4875</v>
      </c>
      <c r="AP56" s="1">
        <v>0</v>
      </c>
      <c r="AQ56" s="1" t="s">
        <v>4874</v>
      </c>
      <c r="AR56" s="1" t="s">
        <v>4874</v>
      </c>
      <c r="AS56" s="1" t="s">
        <v>4876</v>
      </c>
      <c r="AT56" s="1" t="s">
        <v>329</v>
      </c>
      <c r="AU56" s="1">
        <v>57</v>
      </c>
      <c r="AV56" s="1">
        <v>0</v>
      </c>
      <c r="AW56" s="1" t="s">
        <v>4500</v>
      </c>
      <c r="AX56" s="1" t="s">
        <v>4866</v>
      </c>
      <c r="AY56" s="1">
        <v>4</v>
      </c>
      <c r="AZ56" s="1">
        <v>0</v>
      </c>
      <c r="BA56" s="1" t="s">
        <v>4751</v>
      </c>
      <c r="BB56" s="1" t="s">
        <v>4877</v>
      </c>
      <c r="BC56" s="1" t="s">
        <v>4868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2886</v>
      </c>
      <c r="C57" s="247" t="s">
        <v>1623</v>
      </c>
      <c r="D57" s="1" t="s">
        <v>1623</v>
      </c>
      <c r="E57" s="1"/>
      <c r="F57" s="1"/>
      <c r="G57" s="1" t="s">
        <v>2887</v>
      </c>
      <c r="H57" s="1" t="s">
        <v>2888</v>
      </c>
      <c r="I57" s="1" t="s">
        <v>2889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4878</v>
      </c>
      <c r="AK57" s="1" t="s">
        <v>329</v>
      </c>
      <c r="AL57" s="1">
        <v>13</v>
      </c>
      <c r="AM57" s="1" t="s">
        <v>4727</v>
      </c>
      <c r="AN57" s="1" t="s">
        <v>4818</v>
      </c>
      <c r="AO57" s="1" t="s">
        <v>4879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4500</v>
      </c>
      <c r="AX57" s="1" t="s">
        <v>4805</v>
      </c>
      <c r="AY57" s="1">
        <v>3</v>
      </c>
      <c r="AZ57" s="1">
        <v>0</v>
      </c>
      <c r="BA57" s="1" t="s">
        <v>329</v>
      </c>
      <c r="BB57" s="1" t="s">
        <v>4880</v>
      </c>
      <c r="BC57" s="1" t="s">
        <v>4765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2890</v>
      </c>
      <c r="C58" s="247" t="s">
        <v>1624</v>
      </c>
      <c r="D58" s="1" t="s">
        <v>2891</v>
      </c>
      <c r="E58" s="1"/>
      <c r="F58" s="1"/>
      <c r="G58" s="1" t="s">
        <v>2892</v>
      </c>
      <c r="H58" s="1" t="s">
        <v>2893</v>
      </c>
      <c r="I58" s="1" t="s">
        <v>2894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4881</v>
      </c>
      <c r="AK58" s="1" t="s">
        <v>4882</v>
      </c>
      <c r="AL58" s="1">
        <v>13</v>
      </c>
      <c r="AM58" s="1" t="s">
        <v>4798</v>
      </c>
      <c r="AN58" s="1" t="s">
        <v>4803</v>
      </c>
      <c r="AO58" s="1" t="s">
        <v>4883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4826</v>
      </c>
      <c r="AX58" s="1" t="s">
        <v>4884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2895</v>
      </c>
      <c r="C59" s="247" t="s">
        <v>101</v>
      </c>
      <c r="D59" s="1" t="s">
        <v>2896</v>
      </c>
      <c r="E59" s="1"/>
      <c r="F59" s="1"/>
      <c r="G59" s="1" t="s">
        <v>2897</v>
      </c>
      <c r="H59" s="1" t="s">
        <v>2898</v>
      </c>
      <c r="I59" s="1" t="s">
        <v>2899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4727</v>
      </c>
      <c r="AN59" s="1" t="s">
        <v>507</v>
      </c>
      <c r="AO59" s="1" t="s">
        <v>4885</v>
      </c>
      <c r="AP59" s="1">
        <v>0</v>
      </c>
      <c r="AQ59" s="1" t="s">
        <v>1137</v>
      </c>
      <c r="AR59" s="1" t="s">
        <v>4876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4500</v>
      </c>
      <c r="AX59" s="1" t="s">
        <v>4805</v>
      </c>
      <c r="AY59" s="1">
        <v>4</v>
      </c>
      <c r="AZ59" s="1">
        <v>0</v>
      </c>
      <c r="BA59" s="1" t="s">
        <v>4751</v>
      </c>
      <c r="BB59" s="1" t="s">
        <v>4886</v>
      </c>
      <c r="BC59" s="1" t="s">
        <v>4765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2900</v>
      </c>
      <c r="C60" s="247" t="s">
        <v>102</v>
      </c>
      <c r="D60" s="1" t="s">
        <v>2901</v>
      </c>
      <c r="E60" s="1"/>
      <c r="F60" s="1"/>
      <c r="G60" s="1" t="s">
        <v>2902</v>
      </c>
      <c r="H60" s="1" t="s">
        <v>2903</v>
      </c>
      <c r="I60" s="1" t="s">
        <v>2904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4727</v>
      </c>
      <c r="AN60" s="1" t="s">
        <v>476</v>
      </c>
      <c r="AO60" s="1" t="s">
        <v>4887</v>
      </c>
      <c r="AP60" s="1">
        <v>0</v>
      </c>
      <c r="AQ60" s="1" t="s">
        <v>1137</v>
      </c>
      <c r="AR60" s="1" t="s">
        <v>4876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4500</v>
      </c>
      <c r="AX60" s="1" t="s">
        <v>4805</v>
      </c>
      <c r="AY60" s="1">
        <v>3</v>
      </c>
      <c r="AZ60" s="1">
        <v>0</v>
      </c>
      <c r="BA60" s="1" t="s">
        <v>4773</v>
      </c>
      <c r="BB60" s="1" t="s">
        <v>4783</v>
      </c>
      <c r="BC60" s="1" t="s">
        <v>4777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2905</v>
      </c>
      <c r="C61" s="247" t="s">
        <v>735</v>
      </c>
      <c r="D61" s="1" t="s">
        <v>735</v>
      </c>
      <c r="E61" s="1"/>
      <c r="F61" s="1"/>
      <c r="G61" s="1" t="s">
        <v>2906</v>
      </c>
      <c r="H61" s="1" t="s">
        <v>2907</v>
      </c>
      <c r="I61" s="1" t="s">
        <v>2908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4727</v>
      </c>
      <c r="AN61" s="1" t="s">
        <v>4842</v>
      </c>
      <c r="AO61" s="1" t="s">
        <v>4888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4500</v>
      </c>
      <c r="AX61" s="1" t="s">
        <v>4499</v>
      </c>
      <c r="AY61" s="1">
        <v>5</v>
      </c>
      <c r="AZ61" s="1">
        <v>0</v>
      </c>
      <c r="BA61" s="1" t="s">
        <v>329</v>
      </c>
      <c r="BB61" s="1" t="s">
        <v>4889</v>
      </c>
      <c r="BC61" s="1" t="s">
        <v>4777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2909</v>
      </c>
      <c r="C62" s="247" t="s">
        <v>1168</v>
      </c>
      <c r="D62" s="1" t="s">
        <v>1168</v>
      </c>
      <c r="E62" s="1"/>
      <c r="F62" s="1"/>
      <c r="G62" s="1" t="s">
        <v>2910</v>
      </c>
      <c r="H62" s="1" t="s">
        <v>2911</v>
      </c>
      <c r="I62" s="1" t="s">
        <v>2912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4727</v>
      </c>
      <c r="AN62" s="1" t="s">
        <v>507</v>
      </c>
      <c r="AO62" s="1" t="s">
        <v>4890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4500</v>
      </c>
      <c r="AX62" s="1" t="s">
        <v>471</v>
      </c>
      <c r="AY62" s="1">
        <v>2</v>
      </c>
      <c r="AZ62" s="1">
        <v>0</v>
      </c>
      <c r="BA62" s="1" t="s">
        <v>4753</v>
      </c>
      <c r="BB62" s="1" t="s">
        <v>4891</v>
      </c>
      <c r="BC62" s="1" t="s">
        <v>4777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2913</v>
      </c>
      <c r="C63" s="247" t="s">
        <v>1169</v>
      </c>
      <c r="D63" s="1" t="s">
        <v>1169</v>
      </c>
      <c r="E63" s="1"/>
      <c r="F63" s="1"/>
      <c r="G63" s="1" t="s">
        <v>2914</v>
      </c>
      <c r="H63" s="1" t="s">
        <v>2915</v>
      </c>
      <c r="I63" s="1" t="s">
        <v>2916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4727</v>
      </c>
      <c r="AN63" s="1" t="s">
        <v>4892</v>
      </c>
      <c r="AO63" s="1" t="s">
        <v>4893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4500</v>
      </c>
      <c r="AX63" s="1" t="s">
        <v>332</v>
      </c>
      <c r="AY63" s="1">
        <v>4</v>
      </c>
      <c r="AZ63" s="1">
        <v>0</v>
      </c>
      <c r="BA63" s="1" t="s">
        <v>4751</v>
      </c>
      <c r="BB63" s="1" t="s">
        <v>4894</v>
      </c>
      <c r="BC63" s="1" t="s">
        <v>4777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2917</v>
      </c>
      <c r="C64" s="247" t="s">
        <v>223</v>
      </c>
      <c r="D64" s="1" t="s">
        <v>223</v>
      </c>
      <c r="E64" s="1"/>
      <c r="F64" s="1"/>
      <c r="G64" s="1" t="s">
        <v>2918</v>
      </c>
      <c r="H64" s="1" t="s">
        <v>2919</v>
      </c>
      <c r="I64" s="1" t="s">
        <v>2920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4727</v>
      </c>
      <c r="AN64" s="1" t="s">
        <v>476</v>
      </c>
      <c r="AO64" s="1" t="s">
        <v>4895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4500</v>
      </c>
      <c r="AX64" s="1" t="s">
        <v>4805</v>
      </c>
      <c r="AY64" s="1">
        <v>5</v>
      </c>
      <c r="AZ64" s="1">
        <v>0</v>
      </c>
      <c r="BA64" s="1" t="s">
        <v>4863</v>
      </c>
      <c r="BB64" s="1" t="s">
        <v>4896</v>
      </c>
      <c r="BC64" s="1" t="s">
        <v>4897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2921</v>
      </c>
      <c r="C65" s="247" t="s">
        <v>6774</v>
      </c>
      <c r="D65" s="1" t="s">
        <v>2922</v>
      </c>
      <c r="E65" s="1"/>
      <c r="F65" s="1"/>
      <c r="G65" s="1" t="s">
        <v>2923</v>
      </c>
      <c r="H65" s="1" t="s">
        <v>2924</v>
      </c>
      <c r="I65" s="1" t="s">
        <v>2925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4727</v>
      </c>
      <c r="AN65" s="1" t="s">
        <v>476</v>
      </c>
      <c r="AO65" s="1" t="s">
        <v>4898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4500</v>
      </c>
      <c r="AX65" s="1" t="s">
        <v>4805</v>
      </c>
      <c r="AY65" s="1">
        <v>4</v>
      </c>
      <c r="AZ65" s="1">
        <v>0</v>
      </c>
      <c r="BA65" s="1" t="s">
        <v>329</v>
      </c>
      <c r="BB65" s="1" t="s">
        <v>4899</v>
      </c>
      <c r="BC65" s="1" t="s">
        <v>4791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2926</v>
      </c>
      <c r="C66" s="247" t="s">
        <v>103</v>
      </c>
      <c r="D66" s="1" t="s">
        <v>103</v>
      </c>
      <c r="E66" s="1"/>
      <c r="F66" s="1"/>
      <c r="G66" s="1" t="s">
        <v>2927</v>
      </c>
      <c r="H66" s="1" t="s">
        <v>2928</v>
      </c>
      <c r="I66" s="1" t="s">
        <v>2929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4727</v>
      </c>
      <c r="AN66" s="1" t="s">
        <v>507</v>
      </c>
      <c r="AO66" s="1" t="s">
        <v>4900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4500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2930</v>
      </c>
      <c r="C67" s="247" t="s">
        <v>711</v>
      </c>
      <c r="D67" s="1" t="s">
        <v>711</v>
      </c>
      <c r="E67" s="1"/>
      <c r="F67" s="1"/>
      <c r="G67" s="1" t="s">
        <v>2931</v>
      </c>
      <c r="H67" s="1" t="s">
        <v>2932</v>
      </c>
      <c r="I67" s="1" t="s">
        <v>2933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4727</v>
      </c>
      <c r="AN67" s="1" t="s">
        <v>466</v>
      </c>
      <c r="AO67" s="1" t="s">
        <v>4902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4500</v>
      </c>
      <c r="AX67" s="1" t="s">
        <v>4805</v>
      </c>
      <c r="AY67" s="1">
        <v>4</v>
      </c>
      <c r="AZ67" s="1">
        <v>0</v>
      </c>
      <c r="BA67" s="1" t="s">
        <v>329</v>
      </c>
      <c r="BB67" s="1" t="s">
        <v>4903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2934</v>
      </c>
      <c r="C68" s="247" t="s">
        <v>1172</v>
      </c>
      <c r="D68" s="1" t="s">
        <v>2935</v>
      </c>
      <c r="E68" s="1"/>
      <c r="F68" s="1"/>
      <c r="G68" s="1" t="s">
        <v>2936</v>
      </c>
      <c r="H68" s="1" t="s">
        <v>2937</v>
      </c>
      <c r="I68" s="1" t="s">
        <v>2938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4904</v>
      </c>
      <c r="AK68" s="1" t="s">
        <v>329</v>
      </c>
      <c r="AL68" s="1">
        <v>13</v>
      </c>
      <c r="AM68" s="1" t="s">
        <v>4727</v>
      </c>
      <c r="AN68" s="1" t="s">
        <v>4839</v>
      </c>
      <c r="AO68" s="1" t="s">
        <v>4873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4500</v>
      </c>
      <c r="AX68" s="1" t="s">
        <v>4805</v>
      </c>
      <c r="AY68" s="1">
        <v>3</v>
      </c>
      <c r="AZ68" s="1">
        <v>0</v>
      </c>
      <c r="BA68" s="1" t="s">
        <v>329</v>
      </c>
      <c r="BB68" s="1" t="s">
        <v>4905</v>
      </c>
      <c r="BC68" s="1" t="s">
        <v>4861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2939</v>
      </c>
      <c r="C69" s="247" t="s">
        <v>840</v>
      </c>
      <c r="D69" s="1" t="s">
        <v>2</v>
      </c>
      <c r="E69" s="1"/>
      <c r="F69" s="1"/>
      <c r="G69" s="1" t="s">
        <v>2940</v>
      </c>
      <c r="H69" s="1" t="s">
        <v>2941</v>
      </c>
      <c r="I69" s="1" t="s">
        <v>2942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4727</v>
      </c>
      <c r="AN69" s="1" t="s">
        <v>476</v>
      </c>
      <c r="AO69" s="1" t="s">
        <v>4906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4500</v>
      </c>
      <c r="AX69" s="1" t="s">
        <v>471</v>
      </c>
      <c r="AY69" s="1">
        <v>2</v>
      </c>
      <c r="AZ69" s="1">
        <v>0</v>
      </c>
      <c r="BA69" s="1" t="s">
        <v>4753</v>
      </c>
      <c r="BB69" s="1" t="s">
        <v>4907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2943</v>
      </c>
      <c r="C70" s="247" t="s">
        <v>739</v>
      </c>
      <c r="D70" s="1" t="s">
        <v>739</v>
      </c>
      <c r="E70" s="1"/>
      <c r="F70" s="1"/>
      <c r="G70" s="1" t="s">
        <v>2944</v>
      </c>
      <c r="H70" s="1" t="s">
        <v>2945</v>
      </c>
      <c r="I70" s="1" t="s">
        <v>2946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4727</v>
      </c>
      <c r="AN70" s="1" t="s">
        <v>4842</v>
      </c>
      <c r="AO70" s="1" t="s">
        <v>4879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4500</v>
      </c>
      <c r="AX70" s="1" t="s">
        <v>4805</v>
      </c>
      <c r="AY70" s="1">
        <v>4</v>
      </c>
      <c r="AZ70" s="1">
        <v>0</v>
      </c>
      <c r="BA70" s="1" t="s">
        <v>329</v>
      </c>
      <c r="BB70" s="1" t="s">
        <v>4908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2947</v>
      </c>
      <c r="C71" s="247" t="s">
        <v>104</v>
      </c>
      <c r="D71" s="1" t="s">
        <v>104</v>
      </c>
      <c r="E71" s="1"/>
      <c r="F71" s="1"/>
      <c r="G71" s="1" t="s">
        <v>2948</v>
      </c>
      <c r="H71" s="1" t="s">
        <v>2949</v>
      </c>
      <c r="I71" s="1" t="s">
        <v>2950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4909</v>
      </c>
      <c r="AK71" s="1" t="s">
        <v>329</v>
      </c>
      <c r="AL71" s="1">
        <v>13</v>
      </c>
      <c r="AM71" s="1" t="s">
        <v>1814</v>
      </c>
      <c r="AN71" s="1" t="s">
        <v>4910</v>
      </c>
      <c r="AO71" s="1" t="s">
        <v>4911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4912</v>
      </c>
      <c r="AX71" s="1" t="s">
        <v>4913</v>
      </c>
      <c r="AY71" s="1">
        <v>5</v>
      </c>
      <c r="AZ71" s="1">
        <v>0</v>
      </c>
      <c r="BA71" s="1" t="s">
        <v>329</v>
      </c>
      <c r="BB71" s="1" t="s">
        <v>4914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2951</v>
      </c>
      <c r="C72" s="247" t="s">
        <v>745</v>
      </c>
      <c r="D72" s="1" t="s">
        <v>745</v>
      </c>
      <c r="E72" s="1"/>
      <c r="F72" s="1"/>
      <c r="G72" s="1" t="s">
        <v>2952</v>
      </c>
      <c r="H72" s="1" t="s">
        <v>2953</v>
      </c>
      <c r="I72" s="1" t="s">
        <v>2954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4727</v>
      </c>
      <c r="AN72" s="1" t="s">
        <v>4842</v>
      </c>
      <c r="AO72" s="1" t="s">
        <v>4915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4500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2955</v>
      </c>
      <c r="C73" s="247" t="s">
        <v>105</v>
      </c>
      <c r="D73" s="1" t="s">
        <v>105</v>
      </c>
      <c r="E73" s="1"/>
      <c r="F73" s="1"/>
      <c r="G73" s="1" t="s">
        <v>2956</v>
      </c>
      <c r="H73" s="1" t="s">
        <v>2957</v>
      </c>
      <c r="I73" s="1" t="s">
        <v>2958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4866</v>
      </c>
      <c r="AN73" s="1" t="s">
        <v>4917</v>
      </c>
      <c r="AO73" s="1" t="s">
        <v>4918</v>
      </c>
      <c r="AP73" s="1">
        <v>0</v>
      </c>
      <c r="AQ73" s="1" t="s">
        <v>1174</v>
      </c>
      <c r="AR73" s="1" t="s">
        <v>4919</v>
      </c>
      <c r="AS73" s="1" t="s">
        <v>4920</v>
      </c>
      <c r="AT73" s="1" t="s">
        <v>329</v>
      </c>
      <c r="AU73" s="1">
        <v>75</v>
      </c>
      <c r="AV73" s="1">
        <v>0</v>
      </c>
      <c r="AW73" s="1" t="s">
        <v>4500</v>
      </c>
      <c r="AX73" s="1" t="s">
        <v>4805</v>
      </c>
      <c r="AY73" s="1">
        <v>4</v>
      </c>
      <c r="AZ73" s="1">
        <v>0</v>
      </c>
      <c r="BA73" s="1" t="s">
        <v>4751</v>
      </c>
      <c r="BB73" s="1" t="s">
        <v>4921</v>
      </c>
      <c r="BC73" s="1" t="s">
        <v>4728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2959</v>
      </c>
      <c r="C74" s="247" t="s">
        <v>790</v>
      </c>
      <c r="D74" s="1" t="s">
        <v>790</v>
      </c>
      <c r="E74" s="1"/>
      <c r="F74" s="1"/>
      <c r="G74" s="1" t="s">
        <v>2960</v>
      </c>
      <c r="H74" s="1" t="s">
        <v>2961</v>
      </c>
      <c r="I74" s="1" t="s">
        <v>2962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4866</v>
      </c>
      <c r="AN74" s="1" t="s">
        <v>4917</v>
      </c>
      <c r="AO74" s="1" t="s">
        <v>4922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4500</v>
      </c>
      <c r="AX74" s="1" t="s">
        <v>4805</v>
      </c>
      <c r="AY74" s="1">
        <v>3</v>
      </c>
      <c r="AZ74" s="1">
        <v>0</v>
      </c>
      <c r="BA74" s="1" t="s">
        <v>329</v>
      </c>
      <c r="BB74" s="1" t="s">
        <v>4923</v>
      </c>
      <c r="BC74" s="1" t="s">
        <v>4728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2963</v>
      </c>
      <c r="C75" s="247" t="s">
        <v>106</v>
      </c>
      <c r="D75" s="1" t="s">
        <v>106</v>
      </c>
      <c r="E75" s="1"/>
      <c r="F75" s="1"/>
      <c r="G75" s="1" t="s">
        <v>2964</v>
      </c>
      <c r="H75" s="1" t="s">
        <v>2965</v>
      </c>
      <c r="I75" s="1" t="s">
        <v>2966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4866</v>
      </c>
      <c r="AN75" s="1" t="s">
        <v>4924</v>
      </c>
      <c r="AO75" s="1" t="s">
        <v>4925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4500</v>
      </c>
      <c r="AX75" s="1" t="s">
        <v>4805</v>
      </c>
      <c r="AY75" s="1">
        <v>4</v>
      </c>
      <c r="AZ75" s="1">
        <v>0</v>
      </c>
      <c r="BA75" s="1" t="s">
        <v>329</v>
      </c>
      <c r="BB75" s="1" t="s">
        <v>4926</v>
      </c>
      <c r="BC75" s="1" t="s">
        <v>4728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2967</v>
      </c>
      <c r="C76" s="247" t="s">
        <v>1178</v>
      </c>
      <c r="D76" s="1" t="s">
        <v>1178</v>
      </c>
      <c r="E76" s="1"/>
      <c r="F76" s="1"/>
      <c r="G76" s="1" t="s">
        <v>2968</v>
      </c>
      <c r="H76" s="1" t="s">
        <v>2969</v>
      </c>
      <c r="I76" s="1" t="s">
        <v>2970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4866</v>
      </c>
      <c r="AN76" s="1" t="s">
        <v>4927</v>
      </c>
      <c r="AO76" s="1" t="s">
        <v>4928</v>
      </c>
      <c r="AP76" s="1">
        <v>0</v>
      </c>
      <c r="AQ76" s="1" t="s">
        <v>1174</v>
      </c>
      <c r="AR76" s="1" t="s">
        <v>1175</v>
      </c>
      <c r="AS76" s="1" t="s">
        <v>4920</v>
      </c>
      <c r="AT76" s="1" t="s">
        <v>329</v>
      </c>
      <c r="AU76" s="1">
        <v>79</v>
      </c>
      <c r="AV76" s="1">
        <v>0</v>
      </c>
      <c r="AW76" s="1" t="s">
        <v>4500</v>
      </c>
      <c r="AX76" s="1" t="s">
        <v>4929</v>
      </c>
      <c r="AY76" s="1">
        <v>3</v>
      </c>
      <c r="AZ76" s="1">
        <v>0</v>
      </c>
      <c r="BA76" s="1" t="s">
        <v>329</v>
      </c>
      <c r="BB76" s="1" t="s">
        <v>4923</v>
      </c>
      <c r="BC76" s="1" t="s">
        <v>4728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2971</v>
      </c>
      <c r="C77" s="247" t="s">
        <v>107</v>
      </c>
      <c r="D77" s="1" t="s">
        <v>107</v>
      </c>
      <c r="E77" s="1"/>
      <c r="F77" s="1"/>
      <c r="G77" s="1" t="s">
        <v>2972</v>
      </c>
      <c r="H77" s="1" t="s">
        <v>2973</v>
      </c>
      <c r="I77" s="1" t="s">
        <v>2974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4930</v>
      </c>
      <c r="AK77" s="1" t="s">
        <v>329</v>
      </c>
      <c r="AL77" s="1">
        <v>19</v>
      </c>
      <c r="AM77" s="1" t="s">
        <v>4866</v>
      </c>
      <c r="AN77" s="1" t="s">
        <v>4931</v>
      </c>
      <c r="AO77" s="1" t="s">
        <v>4932</v>
      </c>
      <c r="AP77" s="1">
        <v>0</v>
      </c>
      <c r="AQ77" s="1" t="s">
        <v>1174</v>
      </c>
      <c r="AR77" s="1" t="s">
        <v>4919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4500</v>
      </c>
      <c r="AX77" s="1" t="s">
        <v>4805</v>
      </c>
      <c r="AY77" s="1">
        <v>3</v>
      </c>
      <c r="AZ77" s="1">
        <v>0</v>
      </c>
      <c r="BA77" s="1" t="s">
        <v>329</v>
      </c>
      <c r="BB77" s="1" t="s">
        <v>4933</v>
      </c>
      <c r="BC77" s="1" t="s">
        <v>4728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2975</v>
      </c>
      <c r="C78" s="247" t="s">
        <v>108</v>
      </c>
      <c r="D78" s="1" t="s">
        <v>108</v>
      </c>
      <c r="E78" s="1"/>
      <c r="F78" s="1"/>
      <c r="G78" s="1" t="s">
        <v>2976</v>
      </c>
      <c r="H78" s="1" t="s">
        <v>2977</v>
      </c>
      <c r="I78" s="1" t="s">
        <v>2978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4866</v>
      </c>
      <c r="AN78" s="1" t="s">
        <v>4917</v>
      </c>
      <c r="AO78" s="1" t="s">
        <v>4934</v>
      </c>
      <c r="AP78" s="1">
        <v>0</v>
      </c>
      <c r="AQ78" s="1" t="s">
        <v>1174</v>
      </c>
      <c r="AR78" s="1" t="s">
        <v>4919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4500</v>
      </c>
      <c r="AX78" s="1" t="s">
        <v>471</v>
      </c>
      <c r="AY78" s="1">
        <v>2</v>
      </c>
      <c r="AZ78" s="1">
        <v>0</v>
      </c>
      <c r="BA78" s="1" t="s">
        <v>4753</v>
      </c>
      <c r="BB78" s="1" t="s">
        <v>4935</v>
      </c>
      <c r="BC78" s="1" t="s">
        <v>4728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2979</v>
      </c>
      <c r="C79" s="247" t="s">
        <v>109</v>
      </c>
      <c r="D79" s="1" t="s">
        <v>109</v>
      </c>
      <c r="E79" s="1"/>
      <c r="F79" s="1"/>
      <c r="G79" s="1" t="s">
        <v>2980</v>
      </c>
      <c r="H79" s="1" t="s">
        <v>2981</v>
      </c>
      <c r="I79" s="1" t="s">
        <v>2982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4866</v>
      </c>
      <c r="AN79" s="1" t="s">
        <v>4936</v>
      </c>
      <c r="AO79" s="1" t="s">
        <v>4937</v>
      </c>
      <c r="AP79" s="1">
        <v>0</v>
      </c>
      <c r="AQ79" s="1" t="s">
        <v>1174</v>
      </c>
      <c r="AR79" s="1" t="s">
        <v>4919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4500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4938</v>
      </c>
      <c r="BC79" s="1" t="s">
        <v>4765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2983</v>
      </c>
      <c r="C80" s="247" t="s">
        <v>110</v>
      </c>
      <c r="D80" s="1" t="s">
        <v>110</v>
      </c>
      <c r="E80" s="1"/>
      <c r="F80" s="1"/>
      <c r="G80" s="1" t="s">
        <v>2984</v>
      </c>
      <c r="H80" s="1" t="s">
        <v>2985</v>
      </c>
      <c r="I80" s="1" t="s">
        <v>2986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4930</v>
      </c>
      <c r="AK80" s="1" t="s">
        <v>329</v>
      </c>
      <c r="AL80" s="1">
        <v>18</v>
      </c>
      <c r="AM80" s="1" t="s">
        <v>4866</v>
      </c>
      <c r="AN80" s="1" t="s">
        <v>4939</v>
      </c>
      <c r="AO80" s="1" t="s">
        <v>4940</v>
      </c>
      <c r="AP80" s="1">
        <v>0</v>
      </c>
      <c r="AQ80" s="1" t="s">
        <v>1174</v>
      </c>
      <c r="AR80" s="1" t="s">
        <v>1175</v>
      </c>
      <c r="AS80" s="1" t="s">
        <v>4920</v>
      </c>
      <c r="AT80" s="1" t="s">
        <v>329</v>
      </c>
      <c r="AU80" s="1">
        <v>84</v>
      </c>
      <c r="AV80" s="1">
        <v>0</v>
      </c>
      <c r="AW80" s="1" t="s">
        <v>4941</v>
      </c>
      <c r="AX80" s="1" t="s">
        <v>4942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2987</v>
      </c>
      <c r="C81" s="247" t="s">
        <v>111</v>
      </c>
      <c r="D81" s="1" t="s">
        <v>111</v>
      </c>
      <c r="E81" s="1"/>
      <c r="F81" s="1"/>
      <c r="G81" s="1" t="s">
        <v>2988</v>
      </c>
      <c r="H81" s="1" t="s">
        <v>2989</v>
      </c>
      <c r="I81" s="1" t="s">
        <v>2990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4943</v>
      </c>
      <c r="AK81" s="1" t="s">
        <v>4944</v>
      </c>
      <c r="AL81" s="1">
        <v>18</v>
      </c>
      <c r="AM81" s="1" t="s">
        <v>4866</v>
      </c>
      <c r="AN81" s="1" t="s">
        <v>4945</v>
      </c>
      <c r="AO81" s="1" t="s">
        <v>4832</v>
      </c>
      <c r="AP81" s="1">
        <v>0</v>
      </c>
      <c r="AQ81" s="1" t="s">
        <v>1174</v>
      </c>
      <c r="AR81" s="1" t="s">
        <v>4919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4500</v>
      </c>
      <c r="AX81" s="1" t="s">
        <v>4805</v>
      </c>
      <c r="AY81" s="1">
        <v>4</v>
      </c>
      <c r="AZ81" s="1">
        <v>0</v>
      </c>
      <c r="BA81" s="1" t="s">
        <v>329</v>
      </c>
      <c r="BB81" s="1" t="s">
        <v>4946</v>
      </c>
      <c r="BC81" s="1" t="s">
        <v>4765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2991</v>
      </c>
      <c r="C82" s="247" t="s">
        <v>112</v>
      </c>
      <c r="D82" s="1" t="s">
        <v>112</v>
      </c>
      <c r="E82" s="1"/>
      <c r="F82" s="1"/>
      <c r="G82" s="1" t="s">
        <v>2992</v>
      </c>
      <c r="H82" s="1" t="s">
        <v>2993</v>
      </c>
      <c r="I82" s="1" t="s">
        <v>2994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4866</v>
      </c>
      <c r="AN82" s="1" t="s">
        <v>893</v>
      </c>
      <c r="AO82" s="1" t="s">
        <v>4922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4500</v>
      </c>
      <c r="AX82" s="1" t="s">
        <v>4805</v>
      </c>
      <c r="AY82" s="1">
        <v>3</v>
      </c>
      <c r="AZ82" s="1">
        <v>0</v>
      </c>
      <c r="BA82" s="1" t="s">
        <v>329</v>
      </c>
      <c r="BB82" s="1" t="s">
        <v>4947</v>
      </c>
      <c r="BC82" s="1" t="s">
        <v>4777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2995</v>
      </c>
      <c r="C83" s="247" t="s">
        <v>113</v>
      </c>
      <c r="D83" s="1" t="s">
        <v>113</v>
      </c>
      <c r="E83" s="1"/>
      <c r="F83" s="1"/>
      <c r="G83" s="1" t="s">
        <v>2996</v>
      </c>
      <c r="H83" s="1" t="s">
        <v>2997</v>
      </c>
      <c r="I83" s="1" t="s">
        <v>2998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4866</v>
      </c>
      <c r="AN83" s="1" t="s">
        <v>4931</v>
      </c>
      <c r="AO83" s="1" t="s">
        <v>4948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4500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4949</v>
      </c>
      <c r="BC83" s="1" t="s">
        <v>4777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2999</v>
      </c>
      <c r="C84" s="247" t="s">
        <v>114</v>
      </c>
      <c r="D84" s="1" t="s">
        <v>114</v>
      </c>
      <c r="E84" s="1"/>
      <c r="F84" s="1"/>
      <c r="G84" s="1" t="s">
        <v>3000</v>
      </c>
      <c r="H84" s="1" t="s">
        <v>3001</v>
      </c>
      <c r="I84" s="1" t="s">
        <v>3002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4866</v>
      </c>
      <c r="AN84" s="1" t="s">
        <v>4939</v>
      </c>
      <c r="AO84" s="1" t="s">
        <v>4950</v>
      </c>
      <c r="AP84" s="1">
        <v>0</v>
      </c>
      <c r="AQ84" s="1" t="s">
        <v>1174</v>
      </c>
      <c r="AR84" s="1" t="s">
        <v>1175</v>
      </c>
      <c r="AS84" s="1" t="s">
        <v>4920</v>
      </c>
      <c r="AT84" s="1" t="s">
        <v>329</v>
      </c>
      <c r="AU84" s="1">
        <v>88</v>
      </c>
      <c r="AV84" s="1">
        <v>0</v>
      </c>
      <c r="AW84" s="1" t="s">
        <v>4500</v>
      </c>
      <c r="AX84" s="1" t="s">
        <v>4805</v>
      </c>
      <c r="AY84" s="1">
        <v>4</v>
      </c>
      <c r="AZ84" s="1">
        <v>0</v>
      </c>
      <c r="BA84" s="1" t="s">
        <v>329</v>
      </c>
      <c r="BB84" s="1" t="s">
        <v>4951</v>
      </c>
      <c r="BC84" s="1" t="s">
        <v>4777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3003</v>
      </c>
      <c r="C85" s="247" t="s">
        <v>115</v>
      </c>
      <c r="D85" s="1" t="s">
        <v>3004</v>
      </c>
      <c r="E85" s="1"/>
      <c r="F85" s="1"/>
      <c r="G85" s="1" t="s">
        <v>3005</v>
      </c>
      <c r="H85" s="1" t="s">
        <v>3006</v>
      </c>
      <c r="I85" s="1" t="s">
        <v>3007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4866</v>
      </c>
      <c r="AN85" s="1" t="s">
        <v>4924</v>
      </c>
      <c r="AO85" s="1" t="s">
        <v>4952</v>
      </c>
      <c r="AP85" s="1">
        <v>0</v>
      </c>
      <c r="AQ85" s="1" t="s">
        <v>1174</v>
      </c>
      <c r="AR85" s="1" t="s">
        <v>4919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4500</v>
      </c>
      <c r="AX85" s="1" t="s">
        <v>4805</v>
      </c>
      <c r="AY85" s="1">
        <v>3</v>
      </c>
      <c r="AZ85" s="1">
        <v>0</v>
      </c>
      <c r="BA85" s="1" t="s">
        <v>4773</v>
      </c>
      <c r="BB85" s="1" t="s">
        <v>4953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3008</v>
      </c>
      <c r="C86" s="247" t="s">
        <v>1180</v>
      </c>
      <c r="D86" s="1" t="s">
        <v>1180</v>
      </c>
      <c r="E86" s="1"/>
      <c r="F86" s="1"/>
      <c r="G86" s="1" t="s">
        <v>3009</v>
      </c>
      <c r="H86" s="1" t="s">
        <v>3010</v>
      </c>
      <c r="I86" s="1" t="s">
        <v>3011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1814</v>
      </c>
      <c r="AN86" s="1" t="s">
        <v>4869</v>
      </c>
      <c r="AO86" s="1" t="s">
        <v>4954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4500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4818</v>
      </c>
      <c r="BC86" s="1" t="s">
        <v>4861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3012</v>
      </c>
      <c r="C87" s="247" t="s">
        <v>1625</v>
      </c>
      <c r="D87" s="1" t="s">
        <v>1625</v>
      </c>
      <c r="E87" s="1"/>
      <c r="F87" s="1"/>
      <c r="G87" s="1" t="s">
        <v>3013</v>
      </c>
      <c r="H87" s="1" t="s">
        <v>3014</v>
      </c>
      <c r="I87" s="1" t="s">
        <v>3015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1814</v>
      </c>
      <c r="AN87" s="1" t="s">
        <v>4955</v>
      </c>
      <c r="AO87" s="1" t="s">
        <v>4956</v>
      </c>
      <c r="AP87" s="1">
        <v>0</v>
      </c>
      <c r="AQ87" s="1" t="s">
        <v>4750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4500</v>
      </c>
      <c r="AX87" s="1" t="s">
        <v>471</v>
      </c>
      <c r="AY87" s="1">
        <v>2</v>
      </c>
      <c r="AZ87" s="1">
        <v>0</v>
      </c>
      <c r="BA87" s="1" t="s">
        <v>4753</v>
      </c>
      <c r="BB87" s="1" t="s">
        <v>414</v>
      </c>
      <c r="BC87" s="1" t="s">
        <v>4765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3016</v>
      </c>
      <c r="C88" s="247" t="s">
        <v>116</v>
      </c>
      <c r="D88" s="1" t="s">
        <v>3017</v>
      </c>
      <c r="E88" s="1"/>
      <c r="F88" s="1"/>
      <c r="G88" s="1" t="s">
        <v>3018</v>
      </c>
      <c r="H88" s="1" t="s">
        <v>3019</v>
      </c>
      <c r="I88" s="1" t="s">
        <v>3020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4798</v>
      </c>
      <c r="AN88" s="1" t="s">
        <v>4801</v>
      </c>
      <c r="AO88" s="1" t="s">
        <v>4948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4500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3021</v>
      </c>
      <c r="C89" s="247" t="s">
        <v>117</v>
      </c>
      <c r="D89" s="1" t="s">
        <v>117</v>
      </c>
      <c r="E89" s="1"/>
      <c r="F89" s="1"/>
      <c r="G89" s="1" t="s">
        <v>3022</v>
      </c>
      <c r="H89" s="1" t="s">
        <v>3023</v>
      </c>
      <c r="I89" s="1" t="s">
        <v>3024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4798</v>
      </c>
      <c r="AN89" s="1" t="s">
        <v>4803</v>
      </c>
      <c r="AO89" s="1" t="s">
        <v>4957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4500</v>
      </c>
      <c r="AX89" s="1" t="s">
        <v>471</v>
      </c>
      <c r="AY89" s="1">
        <v>2</v>
      </c>
      <c r="AZ89" s="1">
        <v>0</v>
      </c>
      <c r="BA89" s="1" t="s">
        <v>4753</v>
      </c>
      <c r="BB89" s="1" t="s">
        <v>4958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3025</v>
      </c>
      <c r="C90" s="247" t="s">
        <v>118</v>
      </c>
      <c r="D90" s="1" t="s">
        <v>3026</v>
      </c>
      <c r="E90" s="1"/>
      <c r="F90" s="1"/>
      <c r="G90" s="1" t="s">
        <v>3027</v>
      </c>
      <c r="H90" s="1" t="s">
        <v>3028</v>
      </c>
      <c r="I90" s="1" t="s">
        <v>3029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4798</v>
      </c>
      <c r="AN90" s="1" t="s">
        <v>4801</v>
      </c>
      <c r="AO90" s="1" t="s">
        <v>4959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4500</v>
      </c>
      <c r="AX90" s="1" t="s">
        <v>471</v>
      </c>
      <c r="AY90" s="1">
        <v>2</v>
      </c>
      <c r="AZ90" s="1">
        <v>0</v>
      </c>
      <c r="BA90" s="1" t="s">
        <v>4753</v>
      </c>
      <c r="BB90" s="1" t="s">
        <v>4960</v>
      </c>
      <c r="BC90" s="1" t="s">
        <v>4791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3030</v>
      </c>
      <c r="C91" s="247" t="s">
        <v>119</v>
      </c>
      <c r="D91" s="1" t="s">
        <v>3031</v>
      </c>
      <c r="E91" s="1"/>
      <c r="F91" s="1"/>
      <c r="G91" s="1" t="s">
        <v>3032</v>
      </c>
      <c r="H91" s="1" t="s">
        <v>3033</v>
      </c>
      <c r="I91" s="1" t="s">
        <v>3034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4770</v>
      </c>
      <c r="AN91" s="1" t="s">
        <v>476</v>
      </c>
      <c r="AO91" s="1" t="s">
        <v>4834</v>
      </c>
      <c r="AP91" s="1">
        <v>0</v>
      </c>
      <c r="AQ91" s="1" t="s">
        <v>1753</v>
      </c>
      <c r="AR91" s="1" t="s">
        <v>4843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4500</v>
      </c>
      <c r="AX91" s="1" t="s">
        <v>332</v>
      </c>
      <c r="AY91" s="1">
        <v>3</v>
      </c>
      <c r="AZ91" s="1">
        <v>0</v>
      </c>
      <c r="BA91" s="1" t="s">
        <v>4773</v>
      </c>
      <c r="BB91" s="1" t="s">
        <v>4960</v>
      </c>
      <c r="BC91" s="1" t="s">
        <v>4791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3035</v>
      </c>
      <c r="C92" s="247" t="s">
        <v>120</v>
      </c>
      <c r="D92" s="1" t="s">
        <v>120</v>
      </c>
      <c r="E92" s="1"/>
      <c r="F92" s="1"/>
      <c r="G92" s="1" t="s">
        <v>3036</v>
      </c>
      <c r="H92" s="1" t="s">
        <v>3037</v>
      </c>
      <c r="I92" s="1" t="s">
        <v>3038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1814</v>
      </c>
      <c r="AN92" s="1" t="s">
        <v>4961</v>
      </c>
      <c r="AO92" s="1" t="s">
        <v>4962</v>
      </c>
      <c r="AP92" s="1">
        <v>0</v>
      </c>
      <c r="AQ92" s="1" t="s">
        <v>1125</v>
      </c>
      <c r="AR92" s="1" t="s">
        <v>1126</v>
      </c>
      <c r="AS92" s="1" t="s">
        <v>4769</v>
      </c>
      <c r="AT92" s="1" t="s">
        <v>329</v>
      </c>
      <c r="AU92" s="1">
        <v>96</v>
      </c>
      <c r="AV92" s="1">
        <v>0</v>
      </c>
      <c r="AW92" s="1" t="s">
        <v>4500</v>
      </c>
      <c r="AX92" s="1" t="s">
        <v>4770</v>
      </c>
      <c r="AY92" s="1">
        <v>5</v>
      </c>
      <c r="AZ92" s="1">
        <v>0</v>
      </c>
      <c r="BA92" s="1" t="s">
        <v>329</v>
      </c>
      <c r="BB92" s="1" t="s">
        <v>4963</v>
      </c>
      <c r="BC92" s="1" t="s">
        <v>4728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3039</v>
      </c>
      <c r="C93" s="247" t="s">
        <v>121</v>
      </c>
      <c r="D93" s="1" t="s">
        <v>121</v>
      </c>
      <c r="E93" s="1"/>
      <c r="F93" s="1"/>
      <c r="G93" s="1" t="s">
        <v>3040</v>
      </c>
      <c r="H93" s="1" t="s">
        <v>3041</v>
      </c>
      <c r="I93" s="1" t="s">
        <v>3042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1814</v>
      </c>
      <c r="AN93" s="1" t="s">
        <v>4792</v>
      </c>
      <c r="AO93" s="1" t="s">
        <v>4825</v>
      </c>
      <c r="AP93" s="1">
        <v>0</v>
      </c>
      <c r="AQ93" s="1" t="s">
        <v>4750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4500</v>
      </c>
      <c r="AX93" s="1" t="s">
        <v>4964</v>
      </c>
      <c r="AY93" s="1">
        <v>5</v>
      </c>
      <c r="AZ93" s="1">
        <v>0</v>
      </c>
      <c r="BA93" s="1" t="s">
        <v>4863</v>
      </c>
      <c r="BB93" s="1" t="s">
        <v>4965</v>
      </c>
      <c r="BC93" s="1" t="s">
        <v>4728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3043</v>
      </c>
      <c r="C94" s="247" t="s">
        <v>1626</v>
      </c>
      <c r="D94" s="1" t="s">
        <v>1626</v>
      </c>
      <c r="E94" s="1"/>
      <c r="F94" s="1"/>
      <c r="G94" s="1" t="s">
        <v>3044</v>
      </c>
      <c r="H94" s="1" t="s">
        <v>3045</v>
      </c>
      <c r="I94" s="1" t="s">
        <v>3046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1814</v>
      </c>
      <c r="AN94" s="1" t="s">
        <v>4966</v>
      </c>
      <c r="AO94" s="1" t="s">
        <v>4967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4968</v>
      </c>
      <c r="AX94" s="1" t="s">
        <v>1814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3047</v>
      </c>
      <c r="C95" s="247" t="s">
        <v>1185</v>
      </c>
      <c r="D95" s="1" t="s">
        <v>1185</v>
      </c>
      <c r="E95" s="1"/>
      <c r="F95" s="1"/>
      <c r="G95" s="1" t="s">
        <v>3048</v>
      </c>
      <c r="H95" s="1" t="s">
        <v>3049</v>
      </c>
      <c r="I95" s="1" t="s">
        <v>3050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1814</v>
      </c>
      <c r="AN95" s="1" t="s">
        <v>4771</v>
      </c>
      <c r="AO95" s="1" t="s">
        <v>4832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4500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4969</v>
      </c>
      <c r="BC95" s="1" t="s">
        <v>4777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3051</v>
      </c>
      <c r="C96" s="247" t="s">
        <v>122</v>
      </c>
      <c r="D96" s="1" t="s">
        <v>122</v>
      </c>
      <c r="E96" s="1"/>
      <c r="F96" s="1"/>
      <c r="G96" s="1" t="s">
        <v>3052</v>
      </c>
      <c r="H96" s="1" t="s">
        <v>3053</v>
      </c>
      <c r="I96" s="1" t="s">
        <v>3054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1814</v>
      </c>
      <c r="AN96" s="1" t="s">
        <v>4970</v>
      </c>
      <c r="AO96" s="1" t="s">
        <v>4875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4500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4971</v>
      </c>
      <c r="BC96" s="1" t="s">
        <v>4777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3055</v>
      </c>
      <c r="C97" s="247" t="s">
        <v>123</v>
      </c>
      <c r="D97" s="1" t="s">
        <v>123</v>
      </c>
      <c r="E97" s="1"/>
      <c r="F97" s="1"/>
      <c r="G97" s="1" t="s">
        <v>3056</v>
      </c>
      <c r="H97" s="1" t="s">
        <v>3057</v>
      </c>
      <c r="I97" s="1" t="s">
        <v>3058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4798</v>
      </c>
      <c r="AN97" s="1" t="s">
        <v>4803</v>
      </c>
      <c r="AO97" s="1" t="s">
        <v>4972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4500</v>
      </c>
      <c r="AX97" s="1" t="s">
        <v>4805</v>
      </c>
      <c r="AY97" s="1">
        <v>4</v>
      </c>
      <c r="AZ97" s="1">
        <v>0</v>
      </c>
      <c r="BA97" s="1" t="s">
        <v>4751</v>
      </c>
      <c r="BB97" s="1" t="s">
        <v>4973</v>
      </c>
      <c r="BC97" s="1" t="s">
        <v>4897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3059</v>
      </c>
      <c r="C98" s="247" t="s">
        <v>24</v>
      </c>
      <c r="D98" s="1" t="s">
        <v>24</v>
      </c>
      <c r="E98" s="1"/>
      <c r="F98" s="1"/>
      <c r="G98" s="1" t="s">
        <v>3060</v>
      </c>
      <c r="H98" s="1" t="s">
        <v>3061</v>
      </c>
      <c r="I98" s="1" t="s">
        <v>3062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4727</v>
      </c>
      <c r="AN98" s="1" t="s">
        <v>4755</v>
      </c>
      <c r="AO98" s="1" t="s">
        <v>4974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4975</v>
      </c>
      <c r="AX98" s="1" t="s">
        <v>1814</v>
      </c>
      <c r="AY98" s="1">
        <v>4</v>
      </c>
      <c r="AZ98" s="1">
        <v>0</v>
      </c>
      <c r="BA98" s="1" t="s">
        <v>329</v>
      </c>
      <c r="BB98" s="1" t="s">
        <v>4976</v>
      </c>
      <c r="BC98" s="1" t="s">
        <v>4777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3063</v>
      </c>
      <c r="C99" s="247" t="s">
        <v>23</v>
      </c>
      <c r="D99" s="1" t="s">
        <v>23</v>
      </c>
      <c r="E99" s="1"/>
      <c r="F99" s="1"/>
      <c r="G99" s="1" t="s">
        <v>3064</v>
      </c>
      <c r="H99" s="1" t="s">
        <v>3065</v>
      </c>
      <c r="I99" s="1" t="s">
        <v>3066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4798</v>
      </c>
      <c r="AN99" s="1" t="s">
        <v>4803</v>
      </c>
      <c r="AO99" s="1" t="s">
        <v>4870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4977</v>
      </c>
      <c r="AX99" s="1" t="s">
        <v>4805</v>
      </c>
      <c r="AY99" s="1">
        <v>4</v>
      </c>
      <c r="AZ99" s="1">
        <v>0</v>
      </c>
      <c r="BA99" s="1" t="s">
        <v>4751</v>
      </c>
      <c r="BB99" s="1" t="s">
        <v>4978</v>
      </c>
      <c r="BC99" s="1" t="s">
        <v>4897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3067</v>
      </c>
      <c r="C100" s="247" t="s">
        <v>1609</v>
      </c>
      <c r="D100" s="1" t="s">
        <v>3068</v>
      </c>
      <c r="E100" s="1"/>
      <c r="F100" s="1"/>
      <c r="G100" s="1" t="s">
        <v>3069</v>
      </c>
      <c r="H100" s="1" t="s">
        <v>3070</v>
      </c>
      <c r="I100" s="1" t="s">
        <v>3071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4798</v>
      </c>
      <c r="AN100" s="1" t="s">
        <v>4803</v>
      </c>
      <c r="AO100" s="1" t="s">
        <v>4925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4979</v>
      </c>
      <c r="AX100" s="1" t="s">
        <v>332</v>
      </c>
      <c r="AY100" s="1">
        <v>5</v>
      </c>
      <c r="AZ100" s="1">
        <v>0</v>
      </c>
      <c r="BA100" s="1" t="s">
        <v>4863</v>
      </c>
      <c r="BB100" s="1" t="s">
        <v>4980</v>
      </c>
      <c r="BC100" s="1" t="s">
        <v>4777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3072</v>
      </c>
      <c r="C101" s="247" t="s">
        <v>727</v>
      </c>
      <c r="D101" s="1" t="s">
        <v>727</v>
      </c>
      <c r="E101" s="1"/>
      <c r="F101" s="1"/>
      <c r="G101" s="1" t="s">
        <v>3073</v>
      </c>
      <c r="H101" s="1" t="s">
        <v>3074</v>
      </c>
      <c r="I101" s="1" t="s">
        <v>3075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4727</v>
      </c>
      <c r="AN101" s="1" t="s">
        <v>4837</v>
      </c>
      <c r="AO101" s="1" t="s">
        <v>4981</v>
      </c>
      <c r="AP101" s="1">
        <v>0</v>
      </c>
      <c r="AQ101" s="1" t="s">
        <v>1137</v>
      </c>
      <c r="AR101" s="1" t="s">
        <v>4876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4500</v>
      </c>
      <c r="AX101" s="1" t="s">
        <v>4805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3076</v>
      </c>
      <c r="C102" s="247" t="s">
        <v>124</v>
      </c>
      <c r="D102" s="1" t="s">
        <v>3077</v>
      </c>
      <c r="E102" s="1"/>
      <c r="F102" s="1"/>
      <c r="G102" s="1" t="s">
        <v>3078</v>
      </c>
      <c r="H102" s="1" t="s">
        <v>3079</v>
      </c>
      <c r="I102" s="1" t="s">
        <v>3080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4982</v>
      </c>
      <c r="AK102" s="1" t="s">
        <v>1189</v>
      </c>
      <c r="AL102" s="1">
        <v>13</v>
      </c>
      <c r="AM102" s="1" t="s">
        <v>4727</v>
      </c>
      <c r="AN102" s="1" t="s">
        <v>4872</v>
      </c>
      <c r="AO102" s="1" t="s">
        <v>4957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4500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4983</v>
      </c>
      <c r="BC102" s="1" t="s">
        <v>4861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3081</v>
      </c>
      <c r="C103" s="247" t="s">
        <v>1190</v>
      </c>
      <c r="D103" s="1" t="s">
        <v>1190</v>
      </c>
      <c r="E103" s="1"/>
      <c r="F103" s="1"/>
      <c r="G103" s="1" t="s">
        <v>3082</v>
      </c>
      <c r="H103" s="1" t="s">
        <v>3083</v>
      </c>
      <c r="I103" s="1" t="s">
        <v>3084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4727</v>
      </c>
      <c r="AN103" s="1" t="s">
        <v>476</v>
      </c>
      <c r="AO103" s="1" t="s">
        <v>4984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4500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4985</v>
      </c>
      <c r="BC103" s="1" t="s">
        <v>4861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3085</v>
      </c>
      <c r="C104" s="247" t="s">
        <v>1627</v>
      </c>
      <c r="D104" s="1" t="s">
        <v>1627</v>
      </c>
      <c r="E104" s="1"/>
      <c r="F104" s="1"/>
      <c r="G104" s="1" t="s">
        <v>3086</v>
      </c>
      <c r="H104" s="1" t="s">
        <v>3087</v>
      </c>
      <c r="I104" s="1" t="s">
        <v>3088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4727</v>
      </c>
      <c r="AN104" s="1" t="s">
        <v>4842</v>
      </c>
      <c r="AO104" s="1" t="s">
        <v>4986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4500</v>
      </c>
      <c r="AX104" s="1" t="s">
        <v>4987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3089</v>
      </c>
      <c r="C105" s="247" t="s">
        <v>301</v>
      </c>
      <c r="D105" s="1" t="s">
        <v>301</v>
      </c>
      <c r="E105" s="1"/>
      <c r="F105" s="1"/>
      <c r="G105" s="1" t="s">
        <v>3090</v>
      </c>
      <c r="H105" s="1" t="s">
        <v>3091</v>
      </c>
      <c r="I105" s="1" t="s">
        <v>3092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4866</v>
      </c>
      <c r="AN105" s="1" t="s">
        <v>4939</v>
      </c>
      <c r="AO105" s="1" t="s">
        <v>4746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4500</v>
      </c>
      <c r="AX105" s="1" t="s">
        <v>4988</v>
      </c>
      <c r="AY105" s="1">
        <v>5</v>
      </c>
      <c r="AZ105" s="1">
        <v>0</v>
      </c>
      <c r="BA105" s="1" t="s">
        <v>329</v>
      </c>
      <c r="BB105" s="1" t="s">
        <v>4989</v>
      </c>
      <c r="BC105" s="1" t="s">
        <v>4777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3093</v>
      </c>
      <c r="C106" s="247" t="s">
        <v>125</v>
      </c>
      <c r="D106" s="1" t="s">
        <v>125</v>
      </c>
      <c r="E106" s="1"/>
      <c r="F106" s="1"/>
      <c r="G106" s="1" t="s">
        <v>3094</v>
      </c>
      <c r="H106" s="1" t="s">
        <v>3095</v>
      </c>
      <c r="I106" s="1" t="s">
        <v>3096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4866</v>
      </c>
      <c r="AN106" s="1" t="s">
        <v>4939</v>
      </c>
      <c r="AO106" s="1" t="s">
        <v>4990</v>
      </c>
      <c r="AP106" s="1">
        <v>0</v>
      </c>
      <c r="AQ106" s="1" t="s">
        <v>1174</v>
      </c>
      <c r="AR106" s="1" t="s">
        <v>4919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4500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3097</v>
      </c>
      <c r="C107" s="247" t="s">
        <v>1628</v>
      </c>
      <c r="D107" s="1" t="s">
        <v>1628</v>
      </c>
      <c r="E107" s="1"/>
      <c r="F107" s="1"/>
      <c r="G107" s="1" t="s">
        <v>3098</v>
      </c>
      <c r="H107" s="1" t="s">
        <v>3099</v>
      </c>
      <c r="I107" s="1" t="s">
        <v>3100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4866</v>
      </c>
      <c r="AN107" s="1" t="s">
        <v>893</v>
      </c>
      <c r="AO107" s="1" t="s">
        <v>4959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4500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3101</v>
      </c>
      <c r="C108" s="247" t="s">
        <v>126</v>
      </c>
      <c r="D108" s="1" t="s">
        <v>3102</v>
      </c>
      <c r="E108" s="1"/>
      <c r="F108" s="1"/>
      <c r="G108" s="1" t="s">
        <v>3103</v>
      </c>
      <c r="H108" s="1" t="s">
        <v>3104</v>
      </c>
      <c r="I108" s="1" t="s">
        <v>3105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4866</v>
      </c>
      <c r="AN108" s="1" t="s">
        <v>4992</v>
      </c>
      <c r="AO108" s="1" t="s">
        <v>4993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4500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3106</v>
      </c>
      <c r="C109" s="247" t="s">
        <v>750</v>
      </c>
      <c r="D109" s="1" t="s">
        <v>3107</v>
      </c>
      <c r="E109" s="1"/>
      <c r="F109" s="1"/>
      <c r="G109" s="1" t="s">
        <v>3108</v>
      </c>
      <c r="H109" s="1" t="s">
        <v>3109</v>
      </c>
      <c r="I109" s="1" t="s">
        <v>3110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4995</v>
      </c>
      <c r="AK109" s="1" t="s">
        <v>329</v>
      </c>
      <c r="AL109" s="1">
        <v>13</v>
      </c>
      <c r="AM109" s="1" t="s">
        <v>1814</v>
      </c>
      <c r="AN109" s="1" t="s">
        <v>4762</v>
      </c>
      <c r="AO109" s="1" t="s">
        <v>4911</v>
      </c>
      <c r="AP109" s="1">
        <v>0</v>
      </c>
      <c r="AQ109" s="1" t="s">
        <v>4750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4996</v>
      </c>
      <c r="AX109" s="1" t="s">
        <v>4942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3111</v>
      </c>
      <c r="C110" s="247" t="s">
        <v>836</v>
      </c>
      <c r="D110" s="1" t="s">
        <v>3112</v>
      </c>
      <c r="E110" s="1"/>
      <c r="F110" s="1"/>
      <c r="G110" s="1" t="s">
        <v>3113</v>
      </c>
      <c r="H110" s="1" t="s">
        <v>3114</v>
      </c>
      <c r="I110" s="1" t="s">
        <v>3115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1814</v>
      </c>
      <c r="AN110" s="1" t="s">
        <v>4955</v>
      </c>
      <c r="AO110" s="1" t="s">
        <v>4925</v>
      </c>
      <c r="AP110" s="1">
        <v>0</v>
      </c>
      <c r="AQ110" s="1" t="s">
        <v>1125</v>
      </c>
      <c r="AR110" s="1" t="s">
        <v>1126</v>
      </c>
      <c r="AS110" s="1" t="s">
        <v>4769</v>
      </c>
      <c r="AT110" s="1" t="s">
        <v>329</v>
      </c>
      <c r="AU110" s="1">
        <v>114</v>
      </c>
      <c r="AV110" s="1">
        <v>0</v>
      </c>
      <c r="AW110" s="1" t="s">
        <v>4977</v>
      </c>
      <c r="AX110" s="1" t="s">
        <v>4770</v>
      </c>
      <c r="AY110" s="1">
        <v>5</v>
      </c>
      <c r="AZ110" s="1">
        <v>0</v>
      </c>
      <c r="BA110" s="1" t="s">
        <v>4863</v>
      </c>
      <c r="BB110" s="1" t="s">
        <v>4997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3116</v>
      </c>
      <c r="C111" s="247" t="s">
        <v>127</v>
      </c>
      <c r="D111" s="1" t="s">
        <v>3117</v>
      </c>
      <c r="E111" s="1"/>
      <c r="F111" s="1"/>
      <c r="G111" s="1" t="s">
        <v>3118</v>
      </c>
      <c r="H111" s="1" t="s">
        <v>3119</v>
      </c>
      <c r="I111" s="1" t="s">
        <v>3120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4998</v>
      </c>
      <c r="AK111" s="1" t="s">
        <v>329</v>
      </c>
      <c r="AL111" s="1">
        <v>13</v>
      </c>
      <c r="AM111" s="1" t="s">
        <v>4798</v>
      </c>
      <c r="AN111" s="1" t="s">
        <v>389</v>
      </c>
      <c r="AO111" s="1" t="s">
        <v>4999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4977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5000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3121</v>
      </c>
      <c r="C112" s="247" t="s">
        <v>1629</v>
      </c>
      <c r="D112" s="1" t="s">
        <v>1629</v>
      </c>
      <c r="E112" s="1"/>
      <c r="F112" s="1"/>
      <c r="G112" s="1" t="s">
        <v>3122</v>
      </c>
      <c r="H112" s="1" t="s">
        <v>3123</v>
      </c>
      <c r="I112" s="1" t="s">
        <v>3124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4798</v>
      </c>
      <c r="AN112" s="1" t="s">
        <v>5001</v>
      </c>
      <c r="AO112" s="1" t="s">
        <v>5002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4968</v>
      </c>
      <c r="AX112" s="1" t="s">
        <v>5003</v>
      </c>
      <c r="AY112" s="1">
        <v>3</v>
      </c>
      <c r="AZ112" s="1">
        <v>0</v>
      </c>
      <c r="BA112" s="1" t="s">
        <v>329</v>
      </c>
      <c r="BB112" s="1" t="s">
        <v>5004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3125</v>
      </c>
      <c r="C113" s="247" t="s">
        <v>1630</v>
      </c>
      <c r="D113" s="1" t="s">
        <v>1630</v>
      </c>
      <c r="E113" s="1"/>
      <c r="F113" s="1"/>
      <c r="G113" s="1" t="s">
        <v>3126</v>
      </c>
      <c r="H113" s="1" t="s">
        <v>3127</v>
      </c>
      <c r="I113" s="1" t="s">
        <v>3128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4770</v>
      </c>
      <c r="AN113" s="1" t="s">
        <v>465</v>
      </c>
      <c r="AO113" s="1" t="s">
        <v>4840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4968</v>
      </c>
      <c r="AX113" s="1" t="s">
        <v>5003</v>
      </c>
      <c r="AY113" s="1">
        <v>4</v>
      </c>
      <c r="AZ113" s="1">
        <v>0</v>
      </c>
      <c r="BA113" s="1" t="s">
        <v>329</v>
      </c>
      <c r="BB113" s="1" t="s">
        <v>4767</v>
      </c>
      <c r="BC113" s="1" t="s">
        <v>4777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3129</v>
      </c>
      <c r="C114" s="247" t="s">
        <v>717</v>
      </c>
      <c r="D114" s="1" t="s">
        <v>717</v>
      </c>
      <c r="E114" s="1"/>
      <c r="F114" s="1"/>
      <c r="G114" s="1" t="s">
        <v>3130</v>
      </c>
      <c r="H114" s="1" t="s">
        <v>3131</v>
      </c>
      <c r="I114" s="1" t="s">
        <v>3132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5005</v>
      </c>
      <c r="AL114" s="1">
        <v>13</v>
      </c>
      <c r="AM114" s="1" t="s">
        <v>4727</v>
      </c>
      <c r="AN114" s="1" t="s">
        <v>4842</v>
      </c>
      <c r="AO114" s="1" t="s">
        <v>5006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4977</v>
      </c>
      <c r="AX114" s="1" t="s">
        <v>4805</v>
      </c>
      <c r="AY114" s="1">
        <v>4</v>
      </c>
      <c r="AZ114" s="1">
        <v>0</v>
      </c>
      <c r="BA114" s="1" t="s">
        <v>329</v>
      </c>
      <c r="BB114" s="1" t="s">
        <v>5007</v>
      </c>
      <c r="BC114" s="1" t="s">
        <v>4765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3133</v>
      </c>
      <c r="C115" s="247" t="s">
        <v>1631</v>
      </c>
      <c r="D115" s="1" t="s">
        <v>1631</v>
      </c>
      <c r="E115" s="1"/>
      <c r="F115" s="1"/>
      <c r="G115" s="1" t="s">
        <v>3134</v>
      </c>
      <c r="H115" s="1" t="s">
        <v>3135</v>
      </c>
      <c r="I115" s="1" t="s">
        <v>3136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4727</v>
      </c>
      <c r="AN115" s="1" t="s">
        <v>4872</v>
      </c>
      <c r="AO115" s="1" t="s">
        <v>5008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4968</v>
      </c>
      <c r="AX115" s="1" t="s">
        <v>1814</v>
      </c>
      <c r="AY115" s="1">
        <v>5</v>
      </c>
      <c r="AZ115" s="1">
        <v>0</v>
      </c>
      <c r="BA115" s="1" t="s">
        <v>329</v>
      </c>
      <c r="BB115" s="1" t="s">
        <v>5009</v>
      </c>
      <c r="BC115" s="1" t="s">
        <v>4765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3137</v>
      </c>
      <c r="C116" s="247" t="s">
        <v>1632</v>
      </c>
      <c r="D116" s="1" t="s">
        <v>1632</v>
      </c>
      <c r="E116" s="1"/>
      <c r="F116" s="1"/>
      <c r="G116" s="1" t="s">
        <v>3138</v>
      </c>
      <c r="H116" s="1" t="s">
        <v>3139</v>
      </c>
      <c r="I116" s="1" t="s">
        <v>3140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4727</v>
      </c>
      <c r="AN116" s="1" t="s">
        <v>466</v>
      </c>
      <c r="AO116" s="1" t="s">
        <v>5010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4968</v>
      </c>
      <c r="AX116" s="1" t="s">
        <v>5003</v>
      </c>
      <c r="AY116" s="1">
        <v>3</v>
      </c>
      <c r="AZ116" s="1">
        <v>0</v>
      </c>
      <c r="BA116" s="1" t="s">
        <v>329</v>
      </c>
      <c r="BB116" s="1" t="s">
        <v>4923</v>
      </c>
      <c r="BC116" s="1" t="s">
        <v>4747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3141</v>
      </c>
      <c r="C117" s="247" t="s">
        <v>128</v>
      </c>
      <c r="D117" s="1" t="s">
        <v>128</v>
      </c>
      <c r="E117" s="1"/>
      <c r="F117" s="1"/>
      <c r="G117" s="1" t="s">
        <v>3142</v>
      </c>
      <c r="H117" s="1" t="s">
        <v>3143</v>
      </c>
      <c r="I117" s="1" t="s">
        <v>3144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4866</v>
      </c>
      <c r="AN117" s="1" t="s">
        <v>4936</v>
      </c>
      <c r="AO117" s="1" t="s">
        <v>5011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4977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5012</v>
      </c>
      <c r="BC117" s="1" t="s">
        <v>4728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3145</v>
      </c>
      <c r="C118" s="247" t="s">
        <v>1193</v>
      </c>
      <c r="D118" s="1" t="s">
        <v>1193</v>
      </c>
      <c r="E118" s="1"/>
      <c r="F118" s="1"/>
      <c r="G118" s="1" t="s">
        <v>3146</v>
      </c>
      <c r="H118" s="1" t="s">
        <v>3147</v>
      </c>
      <c r="I118" s="1" t="s">
        <v>3148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4727</v>
      </c>
      <c r="AN118" s="1" t="s">
        <v>476</v>
      </c>
      <c r="AO118" s="1" t="s">
        <v>5013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4968</v>
      </c>
      <c r="AX118" s="1" t="s">
        <v>332</v>
      </c>
      <c r="AY118" s="1">
        <v>5</v>
      </c>
      <c r="AZ118" s="1">
        <v>0</v>
      </c>
      <c r="BA118" s="1" t="s">
        <v>4863</v>
      </c>
      <c r="BB118" s="1" t="s">
        <v>5014</v>
      </c>
      <c r="BC118" s="1" t="s">
        <v>4897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3149</v>
      </c>
      <c r="C119" s="247" t="s">
        <v>129</v>
      </c>
      <c r="D119" s="1" t="s">
        <v>129</v>
      </c>
      <c r="E119" s="1"/>
      <c r="F119" s="1"/>
      <c r="G119" s="1" t="s">
        <v>3150</v>
      </c>
      <c r="H119" s="1" t="s">
        <v>3151</v>
      </c>
      <c r="I119" s="1" t="s">
        <v>3152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1814</v>
      </c>
      <c r="AN119" s="1" t="s">
        <v>4781</v>
      </c>
      <c r="AO119" s="1" t="s">
        <v>5015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4850</v>
      </c>
      <c r="AX119" s="1" t="s">
        <v>4770</v>
      </c>
      <c r="AY119" s="1">
        <v>3</v>
      </c>
      <c r="AZ119" s="1">
        <v>0</v>
      </c>
      <c r="BA119" s="1" t="s">
        <v>329</v>
      </c>
      <c r="BB119" s="1" t="s">
        <v>5016</v>
      </c>
      <c r="BC119" s="1" t="s">
        <v>4777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3153</v>
      </c>
      <c r="C120" s="247" t="s">
        <v>130</v>
      </c>
      <c r="D120" s="1" t="s">
        <v>3154</v>
      </c>
      <c r="E120" s="1"/>
      <c r="F120" s="1"/>
      <c r="G120" s="1" t="s">
        <v>3155</v>
      </c>
      <c r="H120" s="1" t="s">
        <v>3156</v>
      </c>
      <c r="I120" s="1" t="s">
        <v>3157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4770</v>
      </c>
      <c r="AN120" s="1" t="s">
        <v>4839</v>
      </c>
      <c r="AO120" s="1" t="s">
        <v>4834</v>
      </c>
      <c r="AP120" s="1">
        <v>0</v>
      </c>
      <c r="AQ120" s="1" t="s">
        <v>1147</v>
      </c>
      <c r="AR120" s="1" t="s">
        <v>4843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5017</v>
      </c>
      <c r="AX120" s="1" t="s">
        <v>4857</v>
      </c>
      <c r="AY120" s="1">
        <v>3</v>
      </c>
      <c r="AZ120" s="1">
        <v>0</v>
      </c>
      <c r="BA120" s="1" t="s">
        <v>4773</v>
      </c>
      <c r="BB120" s="1" t="s">
        <v>5018</v>
      </c>
      <c r="BC120" s="1" t="s">
        <v>4728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3158</v>
      </c>
      <c r="C121" s="247" t="s">
        <v>300</v>
      </c>
      <c r="D121" s="1" t="s">
        <v>300</v>
      </c>
      <c r="E121" s="1"/>
      <c r="F121" s="1"/>
      <c r="G121" s="1" t="s">
        <v>3159</v>
      </c>
      <c r="H121" s="1" t="s">
        <v>3160</v>
      </c>
      <c r="I121" s="1" t="s">
        <v>3161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4866</v>
      </c>
      <c r="AN121" s="1" t="s">
        <v>4939</v>
      </c>
      <c r="AO121" s="1" t="s">
        <v>5019</v>
      </c>
      <c r="AP121" s="1">
        <v>0</v>
      </c>
      <c r="AQ121" s="1" t="s">
        <v>5020</v>
      </c>
      <c r="AR121" s="1" t="s">
        <v>4919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4850</v>
      </c>
      <c r="AX121" s="1" t="s">
        <v>332</v>
      </c>
      <c r="AY121" s="1">
        <v>5</v>
      </c>
      <c r="AZ121" s="1">
        <v>0</v>
      </c>
      <c r="BA121" s="1" t="s">
        <v>4863</v>
      </c>
      <c r="BB121" s="1" t="s">
        <v>329</v>
      </c>
      <c r="BC121" s="1" t="s">
        <v>4777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3162</v>
      </c>
      <c r="C122" s="247" t="s">
        <v>131</v>
      </c>
      <c r="D122" s="1" t="s">
        <v>131</v>
      </c>
      <c r="E122" s="1"/>
      <c r="F122" s="1"/>
      <c r="G122" s="1" t="s">
        <v>3163</v>
      </c>
      <c r="H122" s="1" t="s">
        <v>3164</v>
      </c>
      <c r="I122" s="1" t="s">
        <v>3165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1814</v>
      </c>
      <c r="AN122" s="1" t="s">
        <v>5021</v>
      </c>
      <c r="AO122" s="1" t="s">
        <v>5022</v>
      </c>
      <c r="AP122" s="1">
        <v>0</v>
      </c>
      <c r="AQ122" s="1" t="s">
        <v>4750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5023</v>
      </c>
      <c r="AX122" s="1" t="s">
        <v>4770</v>
      </c>
      <c r="AY122" s="1">
        <v>5</v>
      </c>
      <c r="AZ122" s="1">
        <v>0</v>
      </c>
      <c r="BA122" s="1" t="s">
        <v>329</v>
      </c>
      <c r="BB122" s="1" t="s">
        <v>5024</v>
      </c>
      <c r="BC122" s="1" t="s">
        <v>4791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3166</v>
      </c>
      <c r="C123" s="247" t="s">
        <v>224</v>
      </c>
      <c r="D123" s="1" t="s">
        <v>3167</v>
      </c>
      <c r="E123" s="1"/>
      <c r="F123" s="1"/>
      <c r="G123" s="1" t="s">
        <v>3168</v>
      </c>
      <c r="H123" s="1" t="s">
        <v>3169</v>
      </c>
      <c r="I123" s="1" t="s">
        <v>3170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4798</v>
      </c>
      <c r="AN123" s="1" t="s">
        <v>389</v>
      </c>
      <c r="AO123" s="1" t="s">
        <v>4948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5023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4960</v>
      </c>
      <c r="BC123" s="1" t="s">
        <v>4791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3171</v>
      </c>
      <c r="C124" s="247" t="s">
        <v>132</v>
      </c>
      <c r="D124" s="1" t="s">
        <v>132</v>
      </c>
      <c r="E124" s="1"/>
      <c r="F124" s="1"/>
      <c r="G124" s="1" t="s">
        <v>3172</v>
      </c>
      <c r="H124" s="1" t="s">
        <v>3173</v>
      </c>
      <c r="I124" s="1" t="s">
        <v>3174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4770</v>
      </c>
      <c r="AN124" s="1" t="s">
        <v>476</v>
      </c>
      <c r="AO124" s="1" t="s">
        <v>4853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5023</v>
      </c>
      <c r="AX124" s="1" t="s">
        <v>5025</v>
      </c>
      <c r="AY124" s="1">
        <v>5</v>
      </c>
      <c r="AZ124" s="1">
        <v>0</v>
      </c>
      <c r="BA124" s="1" t="s">
        <v>329</v>
      </c>
      <c r="BB124" s="1" t="s">
        <v>5026</v>
      </c>
      <c r="BC124" s="1" t="s">
        <v>4791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3175</v>
      </c>
      <c r="C125" s="247" t="s">
        <v>133</v>
      </c>
      <c r="D125" s="1" t="s">
        <v>3176</v>
      </c>
      <c r="E125" s="1"/>
      <c r="F125" s="1"/>
      <c r="G125" s="1" t="s">
        <v>3177</v>
      </c>
      <c r="H125" s="1" t="s">
        <v>3178</v>
      </c>
      <c r="I125" s="1" t="s">
        <v>3179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4727</v>
      </c>
      <c r="AN125" s="1" t="s">
        <v>466</v>
      </c>
      <c r="AO125" s="1" t="s">
        <v>5027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5023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5028</v>
      </c>
      <c r="BC125" s="1" t="s">
        <v>4791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3180</v>
      </c>
      <c r="C126" s="247" t="s">
        <v>134</v>
      </c>
      <c r="D126" s="1" t="s">
        <v>3181</v>
      </c>
      <c r="E126" s="1"/>
      <c r="F126" s="1"/>
      <c r="G126" s="1" t="s">
        <v>3182</v>
      </c>
      <c r="H126" s="1" t="s">
        <v>3183</v>
      </c>
      <c r="I126" s="1" t="s">
        <v>3184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4727</v>
      </c>
      <c r="AN126" s="1" t="s">
        <v>4839</v>
      </c>
      <c r="AO126" s="1" t="s">
        <v>5029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5023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5030</v>
      </c>
      <c r="BC126" s="1" t="s">
        <v>4791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3185</v>
      </c>
      <c r="C127" s="247" t="s">
        <v>135</v>
      </c>
      <c r="D127" s="1" t="s">
        <v>3186</v>
      </c>
      <c r="E127" s="1"/>
      <c r="F127" s="1"/>
      <c r="G127" s="1" t="s">
        <v>3187</v>
      </c>
      <c r="H127" s="1" t="s">
        <v>3188</v>
      </c>
      <c r="I127" s="1" t="s">
        <v>3189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4798</v>
      </c>
      <c r="AN127" s="1" t="s">
        <v>4801</v>
      </c>
      <c r="AO127" s="1" t="s">
        <v>5031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5032</v>
      </c>
      <c r="AX127" s="1" t="s">
        <v>4857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3190</v>
      </c>
      <c r="C128" s="247" t="s">
        <v>225</v>
      </c>
      <c r="D128" s="1" t="s">
        <v>3191</v>
      </c>
      <c r="E128" s="1"/>
      <c r="F128" s="1"/>
      <c r="G128" s="1" t="s">
        <v>3192</v>
      </c>
      <c r="H128" s="1" t="s">
        <v>3193</v>
      </c>
      <c r="I128" s="1" t="s">
        <v>3194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1814</v>
      </c>
      <c r="AN128" s="1" t="s">
        <v>4869</v>
      </c>
      <c r="AO128" s="1" t="s">
        <v>4817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5033</v>
      </c>
      <c r="AX128" s="1" t="s">
        <v>4857</v>
      </c>
      <c r="AY128" s="1">
        <v>3</v>
      </c>
      <c r="AZ128" s="1">
        <v>0</v>
      </c>
      <c r="BA128" s="1" t="s">
        <v>329</v>
      </c>
      <c r="BB128" s="1" t="s">
        <v>5034</v>
      </c>
      <c r="BC128" s="1" t="s">
        <v>4791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3195</v>
      </c>
      <c r="C129" s="247" t="s">
        <v>136</v>
      </c>
      <c r="D129" s="1" t="s">
        <v>3196</v>
      </c>
      <c r="E129" s="1"/>
      <c r="F129" s="1"/>
      <c r="G129" s="1" t="s">
        <v>3197</v>
      </c>
      <c r="H129" s="1" t="s">
        <v>3198</v>
      </c>
      <c r="I129" s="1" t="s">
        <v>3199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4727</v>
      </c>
      <c r="AN129" s="1" t="s">
        <v>476</v>
      </c>
      <c r="AO129" s="1" t="s">
        <v>5035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4836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4960</v>
      </c>
      <c r="BC129" s="1" t="s">
        <v>4791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3200</v>
      </c>
      <c r="C130" s="247" t="s">
        <v>137</v>
      </c>
      <c r="D130" s="1" t="s">
        <v>137</v>
      </c>
      <c r="E130" s="1"/>
      <c r="F130" s="1"/>
      <c r="G130" s="1" t="s">
        <v>3201</v>
      </c>
      <c r="H130" s="1" t="s">
        <v>3202</v>
      </c>
      <c r="I130" s="1" t="s">
        <v>3203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4727</v>
      </c>
      <c r="AN130" s="1" t="s">
        <v>4839</v>
      </c>
      <c r="AO130" s="1" t="s">
        <v>5036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5037</v>
      </c>
      <c r="AX130" s="1" t="s">
        <v>4857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3204</v>
      </c>
      <c r="C131" s="247" t="s">
        <v>1633</v>
      </c>
      <c r="D131" s="1" t="s">
        <v>1633</v>
      </c>
      <c r="E131" s="1"/>
      <c r="F131" s="1"/>
      <c r="G131" s="1" t="s">
        <v>3205</v>
      </c>
      <c r="H131" s="1" t="s">
        <v>3206</v>
      </c>
      <c r="I131" s="1" t="s">
        <v>3207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4798</v>
      </c>
      <c r="AN131" s="1" t="s">
        <v>4803</v>
      </c>
      <c r="AO131" s="1" t="s">
        <v>5038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4816</v>
      </c>
      <c r="AX131" s="1" t="s">
        <v>4499</v>
      </c>
      <c r="AY131" s="1">
        <v>5</v>
      </c>
      <c r="AZ131" s="1">
        <v>0</v>
      </c>
      <c r="BA131" s="1" t="s">
        <v>329</v>
      </c>
      <c r="BB131" s="1" t="s">
        <v>5039</v>
      </c>
      <c r="BC131" s="1" t="s">
        <v>4765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3208</v>
      </c>
      <c r="C132" s="247" t="s">
        <v>1634</v>
      </c>
      <c r="D132" s="1" t="s">
        <v>1634</v>
      </c>
      <c r="E132" s="1"/>
      <c r="F132" s="1"/>
      <c r="G132" s="1" t="s">
        <v>3209</v>
      </c>
      <c r="H132" s="1" t="s">
        <v>3210</v>
      </c>
      <c r="I132" s="1" t="s">
        <v>3211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4798</v>
      </c>
      <c r="AN132" s="1" t="s">
        <v>4801</v>
      </c>
      <c r="AO132" s="1" t="s">
        <v>5040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4816</v>
      </c>
      <c r="AX132" s="1" t="s">
        <v>1814</v>
      </c>
      <c r="AY132" s="1">
        <v>4</v>
      </c>
      <c r="AZ132" s="1">
        <v>0</v>
      </c>
      <c r="BA132" s="1" t="s">
        <v>4751</v>
      </c>
      <c r="BB132" s="1" t="s">
        <v>4801</v>
      </c>
      <c r="BC132" s="1" t="s">
        <v>4765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3212</v>
      </c>
      <c r="C133" s="247" t="s">
        <v>226</v>
      </c>
      <c r="D133" s="1" t="s">
        <v>226</v>
      </c>
      <c r="E133" s="1"/>
      <c r="F133" s="1"/>
      <c r="G133" s="1" t="s">
        <v>3213</v>
      </c>
      <c r="H133" s="1" t="s">
        <v>3214</v>
      </c>
      <c r="I133" s="1" t="s">
        <v>3215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4798</v>
      </c>
      <c r="AN133" s="1" t="s">
        <v>389</v>
      </c>
      <c r="AO133" s="1" t="s">
        <v>4972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5041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3216</v>
      </c>
      <c r="C134" s="247" t="s">
        <v>138</v>
      </c>
      <c r="D134" s="1" t="s">
        <v>138</v>
      </c>
      <c r="E134" s="1"/>
      <c r="F134" s="1"/>
      <c r="G134" s="1" t="s">
        <v>3217</v>
      </c>
      <c r="H134" s="1" t="s">
        <v>3218</v>
      </c>
      <c r="I134" s="1" t="s">
        <v>3219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4727</v>
      </c>
      <c r="AN134" s="1" t="s">
        <v>476</v>
      </c>
      <c r="AO134" s="1" t="s">
        <v>5042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5043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3220</v>
      </c>
      <c r="C135" s="247" t="s">
        <v>139</v>
      </c>
      <c r="D135" s="1" t="s">
        <v>3221</v>
      </c>
      <c r="E135" s="1"/>
      <c r="F135" s="1"/>
      <c r="G135" s="1" t="s">
        <v>3222</v>
      </c>
      <c r="H135" s="1" t="s">
        <v>3223</v>
      </c>
      <c r="I135" s="1" t="s">
        <v>3224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1814</v>
      </c>
      <c r="AN135" s="1" t="s">
        <v>4748</v>
      </c>
      <c r="AO135" s="1" t="s">
        <v>5044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5045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3225</v>
      </c>
      <c r="C136" s="247" t="s">
        <v>140</v>
      </c>
      <c r="D136" s="1" t="s">
        <v>140</v>
      </c>
      <c r="E136" s="1"/>
      <c r="F136" s="1"/>
      <c r="G136" s="1" t="s">
        <v>3226</v>
      </c>
      <c r="H136" s="1" t="s">
        <v>3227</v>
      </c>
      <c r="I136" s="1" t="s">
        <v>3228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1814</v>
      </c>
      <c r="AN136" s="1" t="s">
        <v>5046</v>
      </c>
      <c r="AO136" s="1" t="s">
        <v>5047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5045</v>
      </c>
      <c r="AX136" s="1" t="s">
        <v>5048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3229</v>
      </c>
      <c r="C137" s="247" t="s">
        <v>1200</v>
      </c>
      <c r="D137" s="1" t="s">
        <v>1200</v>
      </c>
      <c r="E137" s="1"/>
      <c r="F137" s="1"/>
      <c r="G137" s="1" t="s">
        <v>3230</v>
      </c>
      <c r="H137" s="1" t="s">
        <v>3231</v>
      </c>
      <c r="I137" s="1" t="s">
        <v>3232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1814</v>
      </c>
      <c r="AN137" s="1" t="s">
        <v>4784</v>
      </c>
      <c r="AO137" s="1" t="s">
        <v>5049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5045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3233</v>
      </c>
      <c r="C138" s="247" t="s">
        <v>1635</v>
      </c>
      <c r="D138" s="1" t="s">
        <v>3234</v>
      </c>
      <c r="E138" s="1"/>
      <c r="F138" s="1"/>
      <c r="G138" s="1" t="s">
        <v>3235</v>
      </c>
      <c r="H138" s="1" t="s">
        <v>3236</v>
      </c>
      <c r="I138" s="1" t="s">
        <v>3237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1814</v>
      </c>
      <c r="AN138" s="1" t="s">
        <v>4755</v>
      </c>
      <c r="AO138" s="1" t="s">
        <v>5050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5051</v>
      </c>
      <c r="AX138" s="1" t="s">
        <v>5052</v>
      </c>
      <c r="AY138" s="1">
        <v>5</v>
      </c>
      <c r="AZ138" s="1">
        <v>0</v>
      </c>
      <c r="BA138" s="1" t="s">
        <v>329</v>
      </c>
      <c r="BB138" s="1" t="s">
        <v>5053</v>
      </c>
      <c r="BC138" s="1" t="s">
        <v>4861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3238</v>
      </c>
      <c r="C139" s="247" t="s">
        <v>141</v>
      </c>
      <c r="D139" s="1" t="s">
        <v>141</v>
      </c>
      <c r="E139" s="1"/>
      <c r="F139" s="1"/>
      <c r="G139" s="1" t="s">
        <v>3239</v>
      </c>
      <c r="H139" s="1" t="s">
        <v>3240</v>
      </c>
      <c r="I139" s="1" t="s">
        <v>3241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4798</v>
      </c>
      <c r="AN139" s="1" t="s">
        <v>4955</v>
      </c>
      <c r="AO139" s="1" t="s">
        <v>5054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5045</v>
      </c>
      <c r="AX139" s="1" t="s">
        <v>4866</v>
      </c>
      <c r="AY139" s="1">
        <v>5</v>
      </c>
      <c r="AZ139" s="1">
        <v>0</v>
      </c>
      <c r="BA139" s="1" t="s">
        <v>4863</v>
      </c>
      <c r="BB139" s="1" t="s">
        <v>5055</v>
      </c>
      <c r="BC139" s="1" t="s">
        <v>4868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3242</v>
      </c>
      <c r="C140" s="247" t="s">
        <v>1636</v>
      </c>
      <c r="D140" s="1" t="s">
        <v>1636</v>
      </c>
      <c r="E140" s="1"/>
      <c r="F140" s="1"/>
      <c r="G140" s="1" t="s">
        <v>3243</v>
      </c>
      <c r="H140" s="1" t="s">
        <v>3244</v>
      </c>
      <c r="I140" s="1" t="s">
        <v>3245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4798</v>
      </c>
      <c r="AN140" s="1" t="s">
        <v>389</v>
      </c>
      <c r="AO140" s="1" t="s">
        <v>4807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5056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3246</v>
      </c>
      <c r="C141" s="247" t="s">
        <v>1637</v>
      </c>
      <c r="D141" s="1" t="s">
        <v>3247</v>
      </c>
      <c r="E141" s="1"/>
      <c r="F141" s="1"/>
      <c r="G141" s="1" t="s">
        <v>3248</v>
      </c>
      <c r="H141" s="1" t="s">
        <v>3249</v>
      </c>
      <c r="I141" s="1" t="s">
        <v>3250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4770</v>
      </c>
      <c r="AN141" s="1" t="s">
        <v>4842</v>
      </c>
      <c r="AO141" s="1" t="s">
        <v>4834</v>
      </c>
      <c r="AP141" s="1">
        <v>0</v>
      </c>
      <c r="AQ141" s="1" t="s">
        <v>1147</v>
      </c>
      <c r="AR141" s="1" t="s">
        <v>4843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5051</v>
      </c>
      <c r="AX141" s="1" t="s">
        <v>5057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3251</v>
      </c>
      <c r="C142" s="247" t="s">
        <v>227</v>
      </c>
      <c r="D142" s="1" t="s">
        <v>227</v>
      </c>
      <c r="E142" s="1"/>
      <c r="F142" s="1"/>
      <c r="G142" s="1" t="s">
        <v>3252</v>
      </c>
      <c r="H142" s="1" t="s">
        <v>3253</v>
      </c>
      <c r="I142" s="1" t="s">
        <v>3254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4770</v>
      </c>
      <c r="AN142" s="1" t="s">
        <v>465</v>
      </c>
      <c r="AO142" s="1" t="s">
        <v>4840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5051</v>
      </c>
      <c r="AX142" s="1" t="s">
        <v>5057</v>
      </c>
      <c r="AY142" s="1">
        <v>4</v>
      </c>
      <c r="AZ142" s="1">
        <v>0</v>
      </c>
      <c r="BA142" s="1" t="s">
        <v>329</v>
      </c>
      <c r="BB142" s="1" t="s">
        <v>5058</v>
      </c>
      <c r="BC142" s="1" t="s">
        <v>4777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3255</v>
      </c>
      <c r="C143" s="247" t="s">
        <v>142</v>
      </c>
      <c r="D143" s="1" t="s">
        <v>3256</v>
      </c>
      <c r="E143" s="1"/>
      <c r="F143" s="1"/>
      <c r="G143" s="1" t="s">
        <v>3257</v>
      </c>
      <c r="H143" s="1" t="s">
        <v>3258</v>
      </c>
      <c r="I143" s="1" t="s">
        <v>3259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4770</v>
      </c>
      <c r="AN143" s="1" t="s">
        <v>476</v>
      </c>
      <c r="AO143" s="1" t="s">
        <v>4834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5059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3260</v>
      </c>
      <c r="C144" s="247" t="s">
        <v>143</v>
      </c>
      <c r="D144" s="1" t="s">
        <v>3261</v>
      </c>
      <c r="E144" s="1"/>
      <c r="F144" s="1"/>
      <c r="G144" s="1" t="s">
        <v>3262</v>
      </c>
      <c r="H144" s="1" t="s">
        <v>3263</v>
      </c>
      <c r="I144" s="1" t="s">
        <v>3264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4770</v>
      </c>
      <c r="AN144" s="1" t="s">
        <v>465</v>
      </c>
      <c r="AO144" s="1" t="s">
        <v>4853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5060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3265</v>
      </c>
      <c r="C145" s="247" t="s">
        <v>1638</v>
      </c>
      <c r="D145" s="1" t="s">
        <v>1638</v>
      </c>
      <c r="E145" s="1"/>
      <c r="F145" s="1"/>
      <c r="G145" s="1" t="s">
        <v>3266</v>
      </c>
      <c r="H145" s="1" t="s">
        <v>3267</v>
      </c>
      <c r="I145" s="1" t="s">
        <v>3268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4866</v>
      </c>
      <c r="AN145" s="1" t="s">
        <v>4939</v>
      </c>
      <c r="AO145" s="1" t="s">
        <v>5062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5060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5063</v>
      </c>
      <c r="BC145" s="1" t="s">
        <v>4765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3269</v>
      </c>
      <c r="C146" s="247" t="s">
        <v>144</v>
      </c>
      <c r="D146" s="1" t="s">
        <v>144</v>
      </c>
      <c r="E146" s="1"/>
      <c r="F146" s="1"/>
      <c r="G146" s="1" t="s">
        <v>3270</v>
      </c>
      <c r="H146" s="1" t="s">
        <v>3271</v>
      </c>
      <c r="I146" s="1" t="s">
        <v>3272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4798</v>
      </c>
      <c r="AN146" s="1" t="s">
        <v>389</v>
      </c>
      <c r="AO146" s="1" t="s">
        <v>5064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5060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3273</v>
      </c>
      <c r="C147" s="247" t="s">
        <v>145</v>
      </c>
      <c r="D147" s="1" t="s">
        <v>145</v>
      </c>
      <c r="E147" s="1"/>
      <c r="F147" s="1"/>
      <c r="G147" s="1" t="s">
        <v>3274</v>
      </c>
      <c r="H147" s="1" t="s">
        <v>3275</v>
      </c>
      <c r="I147" s="1" t="s">
        <v>3276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4724</v>
      </c>
      <c r="AN147" s="1" t="s">
        <v>477</v>
      </c>
      <c r="AO147" s="1" t="s">
        <v>5065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5051</v>
      </c>
      <c r="AX147" s="1" t="s">
        <v>5066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3277</v>
      </c>
      <c r="C148" s="247" t="s">
        <v>146</v>
      </c>
      <c r="D148" s="1" t="s">
        <v>146</v>
      </c>
      <c r="E148" s="1"/>
      <c r="F148" s="1"/>
      <c r="G148" s="1" t="s">
        <v>3278</v>
      </c>
      <c r="H148" s="1" t="s">
        <v>3279</v>
      </c>
      <c r="I148" s="1" t="s">
        <v>3280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4724</v>
      </c>
      <c r="AN148" s="1" t="s">
        <v>335</v>
      </c>
      <c r="AO148" s="1" t="s">
        <v>5067</v>
      </c>
      <c r="AP148" s="1">
        <v>0</v>
      </c>
      <c r="AQ148" s="1" t="s">
        <v>1207</v>
      </c>
      <c r="AR148" s="1" t="s">
        <v>5068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5069</v>
      </c>
      <c r="AX148" s="1" t="s">
        <v>4727</v>
      </c>
      <c r="AY148" s="1">
        <v>3</v>
      </c>
      <c r="AZ148" s="1">
        <v>0</v>
      </c>
      <c r="BA148" s="1" t="s">
        <v>4773</v>
      </c>
      <c r="BB148" s="1" t="s">
        <v>329</v>
      </c>
      <c r="BC148" s="1" t="s">
        <v>4728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3281</v>
      </c>
      <c r="C149" s="247" t="s">
        <v>147</v>
      </c>
      <c r="D149" s="1" t="s">
        <v>3282</v>
      </c>
      <c r="E149" s="1"/>
      <c r="F149" s="1"/>
      <c r="G149" s="1" t="s">
        <v>3283</v>
      </c>
      <c r="H149" s="1" t="s">
        <v>3284</v>
      </c>
      <c r="I149" s="1" t="s">
        <v>3285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4724</v>
      </c>
      <c r="AN149" s="1" t="s">
        <v>399</v>
      </c>
      <c r="AO149" s="1" t="s">
        <v>4832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5045</v>
      </c>
      <c r="AX149" s="1" t="s">
        <v>4727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3286</v>
      </c>
      <c r="C150" s="247" t="s">
        <v>148</v>
      </c>
      <c r="D150" s="1" t="s">
        <v>148</v>
      </c>
      <c r="E150" s="1"/>
      <c r="F150" s="1"/>
      <c r="G150" s="1" t="s">
        <v>3287</v>
      </c>
      <c r="H150" s="1" t="s">
        <v>3288</v>
      </c>
      <c r="I150" s="1" t="s">
        <v>3289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4724</v>
      </c>
      <c r="AN150" s="1" t="s">
        <v>471</v>
      </c>
      <c r="AO150" s="1" t="s">
        <v>4832</v>
      </c>
      <c r="AP150" s="1">
        <v>0</v>
      </c>
      <c r="AQ150" s="1" t="s">
        <v>1207</v>
      </c>
      <c r="AR150" s="1" t="s">
        <v>1208</v>
      </c>
      <c r="AS150" s="1" t="s">
        <v>5070</v>
      </c>
      <c r="AT150" s="1" t="s">
        <v>329</v>
      </c>
      <c r="AU150" s="1">
        <v>154</v>
      </c>
      <c r="AV150" s="1">
        <v>0</v>
      </c>
      <c r="AW150" s="1" t="s">
        <v>5045</v>
      </c>
      <c r="AX150" s="1" t="s">
        <v>4727</v>
      </c>
      <c r="AY150" s="1">
        <v>3</v>
      </c>
      <c r="AZ150" s="1">
        <v>0</v>
      </c>
      <c r="BA150" s="1" t="s">
        <v>4773</v>
      </c>
      <c r="BB150" s="1" t="s">
        <v>329</v>
      </c>
      <c r="BC150" s="1" t="s">
        <v>4728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3290</v>
      </c>
      <c r="C151" s="247" t="s">
        <v>149</v>
      </c>
      <c r="D151" s="1" t="s">
        <v>149</v>
      </c>
      <c r="E151" s="1"/>
      <c r="F151" s="1"/>
      <c r="G151" s="1" t="s">
        <v>3291</v>
      </c>
      <c r="H151" s="1" t="s">
        <v>3292</v>
      </c>
      <c r="I151" s="1" t="s">
        <v>3293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4724</v>
      </c>
      <c r="AN151" s="1" t="s">
        <v>336</v>
      </c>
      <c r="AO151" s="1" t="s">
        <v>5031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5045</v>
      </c>
      <c r="AX151" s="1" t="s">
        <v>4727</v>
      </c>
      <c r="AY151" s="1">
        <v>4</v>
      </c>
      <c r="AZ151" s="1">
        <v>0</v>
      </c>
      <c r="BA151" s="1" t="s">
        <v>329</v>
      </c>
      <c r="BB151" s="1" t="s">
        <v>4767</v>
      </c>
      <c r="BC151" s="1" t="s">
        <v>4728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3294</v>
      </c>
      <c r="C152" s="247" t="s">
        <v>1639</v>
      </c>
      <c r="D152" s="1" t="s">
        <v>1639</v>
      </c>
      <c r="E152" s="1"/>
      <c r="F152" s="1"/>
      <c r="G152" s="1" t="s">
        <v>3295</v>
      </c>
      <c r="H152" s="1" t="s">
        <v>3296</v>
      </c>
      <c r="I152" s="1" t="s">
        <v>3297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4724</v>
      </c>
      <c r="AN152" s="1" t="s">
        <v>477</v>
      </c>
      <c r="AO152" s="1" t="s">
        <v>5071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5069</v>
      </c>
      <c r="AX152" s="1" t="s">
        <v>4727</v>
      </c>
      <c r="AY152" s="1">
        <v>4</v>
      </c>
      <c r="AZ152" s="1">
        <v>0</v>
      </c>
      <c r="BA152" s="1" t="s">
        <v>329</v>
      </c>
      <c r="BB152" s="1" t="s">
        <v>5072</v>
      </c>
      <c r="BC152" s="1" t="s">
        <v>4728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3298</v>
      </c>
      <c r="C153" s="247" t="s">
        <v>1212</v>
      </c>
      <c r="D153" s="1" t="s">
        <v>1212</v>
      </c>
      <c r="E153" s="1"/>
      <c r="F153" s="1"/>
      <c r="G153" s="1" t="s">
        <v>3299</v>
      </c>
      <c r="H153" s="1" t="s">
        <v>3300</v>
      </c>
      <c r="I153" s="1" t="s">
        <v>3301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5073</v>
      </c>
      <c r="AK153" s="1" t="s">
        <v>329</v>
      </c>
      <c r="AL153" s="1">
        <v>8</v>
      </c>
      <c r="AM153" s="1" t="s">
        <v>4724</v>
      </c>
      <c r="AN153" s="1" t="s">
        <v>399</v>
      </c>
      <c r="AO153" s="1" t="s">
        <v>4948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5045</v>
      </c>
      <c r="AX153" s="1" t="s">
        <v>4727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3302</v>
      </c>
      <c r="C154" s="247" t="s">
        <v>723</v>
      </c>
      <c r="D154" s="1" t="s">
        <v>723</v>
      </c>
      <c r="E154" s="1"/>
      <c r="F154" s="1"/>
      <c r="G154" s="1" t="s">
        <v>3303</v>
      </c>
      <c r="H154" s="1" t="s">
        <v>3304</v>
      </c>
      <c r="I154" s="1" t="s">
        <v>3305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4724</v>
      </c>
      <c r="AN154" s="1" t="s">
        <v>4770</v>
      </c>
      <c r="AO154" s="1" t="s">
        <v>5074</v>
      </c>
      <c r="AP154" s="1">
        <v>0</v>
      </c>
      <c r="AQ154" s="1" t="s">
        <v>1207</v>
      </c>
      <c r="AR154" s="1" t="s">
        <v>5068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5045</v>
      </c>
      <c r="AX154" s="1" t="s">
        <v>4727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3306</v>
      </c>
      <c r="C155" s="247" t="s">
        <v>1640</v>
      </c>
      <c r="D155" s="1" t="s">
        <v>1640</v>
      </c>
      <c r="E155" s="1"/>
      <c r="F155" s="1"/>
      <c r="G155" s="1" t="s">
        <v>3307</v>
      </c>
      <c r="H155" s="1" t="s">
        <v>3308</v>
      </c>
      <c r="I155" s="1" t="s">
        <v>3309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4724</v>
      </c>
      <c r="AN155" s="1" t="s">
        <v>4724</v>
      </c>
      <c r="AO155" s="1" t="s">
        <v>5074</v>
      </c>
      <c r="AP155" s="1">
        <v>0</v>
      </c>
      <c r="AQ155" s="1" t="s">
        <v>5075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5045</v>
      </c>
      <c r="AX155" s="1" t="s">
        <v>4727</v>
      </c>
      <c r="AY155" s="1">
        <v>3</v>
      </c>
      <c r="AZ155" s="1">
        <v>0</v>
      </c>
      <c r="BA155" s="1" t="s">
        <v>4773</v>
      </c>
      <c r="BB155" s="1" t="s">
        <v>329</v>
      </c>
      <c r="BC155" s="1" t="s">
        <v>4765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3310</v>
      </c>
      <c r="C156" s="247" t="s">
        <v>1641</v>
      </c>
      <c r="D156" s="1" t="s">
        <v>1641</v>
      </c>
      <c r="E156" s="1"/>
      <c r="F156" s="1"/>
      <c r="G156" s="1" t="s">
        <v>3311</v>
      </c>
      <c r="H156" s="1" t="s">
        <v>3312</v>
      </c>
      <c r="I156" s="1" t="s">
        <v>3313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4724</v>
      </c>
      <c r="AN156" s="1" t="s">
        <v>4736</v>
      </c>
      <c r="AO156" s="1" t="s">
        <v>5076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5069</v>
      </c>
      <c r="AX156" s="1" t="s">
        <v>4727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3314</v>
      </c>
      <c r="C157" s="247" t="s">
        <v>150</v>
      </c>
      <c r="D157" s="1" t="s">
        <v>3315</v>
      </c>
      <c r="E157" s="1"/>
      <c r="F157" s="1"/>
      <c r="G157" s="1" t="s">
        <v>3316</v>
      </c>
      <c r="H157" s="1" t="s">
        <v>3317</v>
      </c>
      <c r="I157" s="1" t="s">
        <v>3318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4724</v>
      </c>
      <c r="AN157" s="1" t="s">
        <v>4736</v>
      </c>
      <c r="AO157" s="1" t="s">
        <v>4804</v>
      </c>
      <c r="AP157" s="1">
        <v>0</v>
      </c>
      <c r="AQ157" s="1" t="s">
        <v>5075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5045</v>
      </c>
      <c r="AX157" s="1" t="s">
        <v>5077</v>
      </c>
      <c r="AY157" s="1">
        <v>4</v>
      </c>
      <c r="AZ157" s="1">
        <v>0</v>
      </c>
      <c r="BA157" s="1" t="s">
        <v>4751</v>
      </c>
      <c r="BB157" s="1" t="s">
        <v>4960</v>
      </c>
      <c r="BC157" s="1" t="s">
        <v>4791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3319</v>
      </c>
      <c r="C158" s="247" t="s">
        <v>1642</v>
      </c>
      <c r="D158" s="1" t="s">
        <v>1642</v>
      </c>
      <c r="E158" s="1"/>
      <c r="F158" s="1"/>
      <c r="G158" s="1" t="s">
        <v>3320</v>
      </c>
      <c r="H158" s="1" t="s">
        <v>3321</v>
      </c>
      <c r="I158" s="1" t="s">
        <v>3322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5078</v>
      </c>
      <c r="AK158" s="1" t="s">
        <v>329</v>
      </c>
      <c r="AL158" s="1">
        <v>8</v>
      </c>
      <c r="AM158" s="1" t="s">
        <v>4724</v>
      </c>
      <c r="AN158" s="1" t="s">
        <v>355</v>
      </c>
      <c r="AO158" s="1" t="s">
        <v>4948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5069</v>
      </c>
      <c r="AX158" s="1" t="s">
        <v>4727</v>
      </c>
      <c r="AY158" s="1">
        <v>4</v>
      </c>
      <c r="AZ158" s="1">
        <v>0</v>
      </c>
      <c r="BA158" s="1" t="s">
        <v>329</v>
      </c>
      <c r="BB158" s="1" t="s">
        <v>4724</v>
      </c>
      <c r="BC158" s="1" t="s">
        <v>4747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3323</v>
      </c>
      <c r="C159" s="247" t="s">
        <v>724</v>
      </c>
      <c r="D159" s="1" t="s">
        <v>724</v>
      </c>
      <c r="E159" s="1"/>
      <c r="F159" s="1"/>
      <c r="G159" s="1" t="s">
        <v>3324</v>
      </c>
      <c r="H159" s="1" t="s">
        <v>3325</v>
      </c>
      <c r="I159" s="1" t="s">
        <v>3326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4724</v>
      </c>
      <c r="AN159" s="1" t="s">
        <v>355</v>
      </c>
      <c r="AO159" s="1" t="s">
        <v>4922</v>
      </c>
      <c r="AP159" s="1">
        <v>0</v>
      </c>
      <c r="AQ159" s="1" t="s">
        <v>1207</v>
      </c>
      <c r="AR159" s="1" t="s">
        <v>5068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5079</v>
      </c>
      <c r="AX159" s="1" t="s">
        <v>4727</v>
      </c>
      <c r="AY159" s="1">
        <v>5</v>
      </c>
      <c r="AZ159" s="1">
        <v>0</v>
      </c>
      <c r="BA159" s="1" t="s">
        <v>329</v>
      </c>
      <c r="BB159" s="1" t="s">
        <v>5076</v>
      </c>
      <c r="BC159" s="1" t="s">
        <v>4728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3327</v>
      </c>
      <c r="C160" s="247" t="s">
        <v>1643</v>
      </c>
      <c r="D160" s="1" t="s">
        <v>1643</v>
      </c>
      <c r="E160" s="1"/>
      <c r="F160" s="1"/>
      <c r="G160" s="1" t="s">
        <v>3328</v>
      </c>
      <c r="H160" s="1" t="s">
        <v>3329</v>
      </c>
      <c r="I160" s="1" t="s">
        <v>3330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5080</v>
      </c>
      <c r="AK160" s="1" t="s">
        <v>1217</v>
      </c>
      <c r="AL160" s="1">
        <v>7</v>
      </c>
      <c r="AM160" s="1" t="s">
        <v>4724</v>
      </c>
      <c r="AN160" s="1" t="s">
        <v>5081</v>
      </c>
      <c r="AO160" s="1" t="s">
        <v>5082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5079</v>
      </c>
      <c r="AX160" s="1" t="s">
        <v>4727</v>
      </c>
      <c r="AY160" s="1">
        <v>5</v>
      </c>
      <c r="AZ160" s="1">
        <v>0</v>
      </c>
      <c r="BA160" s="1" t="s">
        <v>329</v>
      </c>
      <c r="BB160" s="1" t="s">
        <v>5083</v>
      </c>
      <c r="BC160" s="1" t="s">
        <v>4747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3331</v>
      </c>
      <c r="C161" s="247" t="s">
        <v>151</v>
      </c>
      <c r="D161" s="1" t="s">
        <v>151</v>
      </c>
      <c r="E161" s="1"/>
      <c r="F161" s="1"/>
      <c r="G161" s="1" t="s">
        <v>3332</v>
      </c>
      <c r="H161" s="1" t="s">
        <v>3333</v>
      </c>
      <c r="I161" s="1" t="s">
        <v>3334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4724</v>
      </c>
      <c r="AN161" s="1" t="s">
        <v>336</v>
      </c>
      <c r="AO161" s="1" t="s">
        <v>4948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5079</v>
      </c>
      <c r="AX161" s="1" t="s">
        <v>4727</v>
      </c>
      <c r="AY161" s="1">
        <v>4</v>
      </c>
      <c r="AZ161" s="1">
        <v>0</v>
      </c>
      <c r="BA161" s="1" t="s">
        <v>329</v>
      </c>
      <c r="BB161" s="1" t="s">
        <v>5084</v>
      </c>
      <c r="BC161" s="1" t="s">
        <v>4747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3335</v>
      </c>
      <c r="C162" s="247" t="s">
        <v>152</v>
      </c>
      <c r="D162" s="1" t="s">
        <v>152</v>
      </c>
      <c r="E162" s="1"/>
      <c r="F162" s="1"/>
      <c r="G162" s="1" t="s">
        <v>3336</v>
      </c>
      <c r="H162" s="1" t="s">
        <v>3337</v>
      </c>
      <c r="I162" s="1" t="s">
        <v>3338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1814</v>
      </c>
      <c r="AN162" s="1" t="s">
        <v>4966</v>
      </c>
      <c r="AO162" s="1" t="s">
        <v>5085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5086</v>
      </c>
      <c r="AX162" s="1" t="s">
        <v>5066</v>
      </c>
      <c r="AY162" s="1">
        <v>5</v>
      </c>
      <c r="AZ162" s="1">
        <v>0</v>
      </c>
      <c r="BA162" s="1" t="s">
        <v>329</v>
      </c>
      <c r="BB162" s="1" t="s">
        <v>5087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3339</v>
      </c>
      <c r="C163" s="247" t="s">
        <v>228</v>
      </c>
      <c r="D163" s="1" t="s">
        <v>228</v>
      </c>
      <c r="E163" s="1"/>
      <c r="F163" s="1"/>
      <c r="G163" s="1" t="s">
        <v>3340</v>
      </c>
      <c r="H163" s="1" t="s">
        <v>3341</v>
      </c>
      <c r="I163" s="1" t="s">
        <v>3342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1814</v>
      </c>
      <c r="AN163" s="1" t="s">
        <v>4792</v>
      </c>
      <c r="AO163" s="1" t="s">
        <v>5088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5089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3343</v>
      </c>
      <c r="C164" s="247" t="s">
        <v>153</v>
      </c>
      <c r="D164" s="1" t="s">
        <v>153</v>
      </c>
      <c r="E164" s="1"/>
      <c r="F164" s="1"/>
      <c r="G164" s="1" t="s">
        <v>3344</v>
      </c>
      <c r="H164" s="1" t="s">
        <v>3345</v>
      </c>
      <c r="I164" s="1" t="s">
        <v>3346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5090</v>
      </c>
      <c r="AK164" s="1" t="s">
        <v>329</v>
      </c>
      <c r="AL164" s="1">
        <v>18</v>
      </c>
      <c r="AM164" s="1" t="s">
        <v>1814</v>
      </c>
      <c r="AN164" s="1" t="s">
        <v>5091</v>
      </c>
      <c r="AO164" s="1" t="s">
        <v>5071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5092</v>
      </c>
      <c r="AX164" s="1" t="s">
        <v>4770</v>
      </c>
      <c r="AY164" s="1">
        <v>4</v>
      </c>
      <c r="AZ164" s="1">
        <v>0</v>
      </c>
      <c r="BA164" s="1" t="s">
        <v>329</v>
      </c>
      <c r="BB164" s="1" t="s">
        <v>5093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3347</v>
      </c>
      <c r="C165" s="247" t="s">
        <v>751</v>
      </c>
      <c r="D165" s="1" t="s">
        <v>3348</v>
      </c>
      <c r="E165" s="1"/>
      <c r="F165" s="1"/>
      <c r="G165" s="1" t="s">
        <v>3349</v>
      </c>
      <c r="H165" s="1" t="s">
        <v>3350</v>
      </c>
      <c r="I165" s="1" t="s">
        <v>3351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4798</v>
      </c>
      <c r="AN165" s="1" t="s">
        <v>4801</v>
      </c>
      <c r="AO165" s="1" t="s">
        <v>5094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5092</v>
      </c>
      <c r="AX165" s="1" t="s">
        <v>4927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3352</v>
      </c>
      <c r="C166" s="247" t="s">
        <v>5498</v>
      </c>
      <c r="D166" s="1" t="s">
        <v>3353</v>
      </c>
      <c r="E166" s="1"/>
      <c r="F166" s="1"/>
      <c r="G166" s="1" t="s">
        <v>3354</v>
      </c>
      <c r="H166" s="1" t="s">
        <v>3355</v>
      </c>
      <c r="I166" s="1" t="s">
        <v>3356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4727</v>
      </c>
      <c r="AN166" s="1" t="s">
        <v>4842</v>
      </c>
      <c r="AO166" s="1" t="s">
        <v>5095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5096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3357</v>
      </c>
      <c r="C167" s="247" t="s">
        <v>229</v>
      </c>
      <c r="D167" s="1" t="s">
        <v>3358</v>
      </c>
      <c r="E167" s="1"/>
      <c r="F167" s="1"/>
      <c r="G167" s="1" t="s">
        <v>3359</v>
      </c>
      <c r="H167" s="1" t="s">
        <v>3360</v>
      </c>
      <c r="I167" s="1" t="s">
        <v>3361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4798</v>
      </c>
      <c r="AN167" s="1" t="s">
        <v>465</v>
      </c>
      <c r="AO167" s="1" t="s">
        <v>4948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5092</v>
      </c>
      <c r="AX167" s="1" t="s">
        <v>332</v>
      </c>
      <c r="AY167" s="1">
        <v>4</v>
      </c>
      <c r="AZ167" s="1">
        <v>0</v>
      </c>
      <c r="BA167" s="1" t="s">
        <v>4751</v>
      </c>
      <c r="BB167" s="1" t="s">
        <v>5097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3362</v>
      </c>
      <c r="C168" s="247" t="s">
        <v>230</v>
      </c>
      <c r="D168" s="1" t="s">
        <v>230</v>
      </c>
      <c r="E168" s="1"/>
      <c r="F168" s="1"/>
      <c r="G168" s="1" t="s">
        <v>3363</v>
      </c>
      <c r="H168" s="1" t="s">
        <v>3364</v>
      </c>
      <c r="I168" s="1" t="s">
        <v>3365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4727</v>
      </c>
      <c r="AN168" s="1" t="s">
        <v>4872</v>
      </c>
      <c r="AO168" s="1" t="s">
        <v>5098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5092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5099</v>
      </c>
      <c r="BC168" s="1" t="s">
        <v>4728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3366</v>
      </c>
      <c r="C169" s="247" t="s">
        <v>154</v>
      </c>
      <c r="D169" s="1" t="s">
        <v>154</v>
      </c>
      <c r="E169" s="1"/>
      <c r="F169" s="1"/>
      <c r="G169" s="1" t="s">
        <v>3367</v>
      </c>
      <c r="H169" s="1" t="s">
        <v>3368</v>
      </c>
      <c r="I169" s="1" t="s">
        <v>3369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5100</v>
      </c>
      <c r="AK169" s="1" t="s">
        <v>329</v>
      </c>
      <c r="AL169" s="1">
        <v>17</v>
      </c>
      <c r="AM169" s="1" t="s">
        <v>4866</v>
      </c>
      <c r="AN169" s="1" t="s">
        <v>5101</v>
      </c>
      <c r="AO169" s="1" t="s">
        <v>5102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5092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5103</v>
      </c>
      <c r="BC169" s="1" t="s">
        <v>4765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3370</v>
      </c>
      <c r="C170" s="247" t="s">
        <v>1610</v>
      </c>
      <c r="D170" s="1" t="s">
        <v>3371</v>
      </c>
      <c r="E170" s="1"/>
      <c r="F170" s="1"/>
      <c r="G170" s="1" t="s">
        <v>3372</v>
      </c>
      <c r="H170" s="1" t="s">
        <v>3373</v>
      </c>
      <c r="I170" s="1" t="s">
        <v>3374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4770</v>
      </c>
      <c r="AN170" s="1" t="s">
        <v>4839</v>
      </c>
      <c r="AO170" s="1" t="s">
        <v>4834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5104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4960</v>
      </c>
      <c r="BC170" s="1" t="s">
        <v>4791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3375</v>
      </c>
      <c r="C171" s="247" t="s">
        <v>155</v>
      </c>
      <c r="D171" s="1" t="s">
        <v>155</v>
      </c>
      <c r="E171" s="1"/>
      <c r="F171" s="1"/>
      <c r="G171" s="1" t="s">
        <v>3376</v>
      </c>
      <c r="H171" s="1" t="s">
        <v>3377</v>
      </c>
      <c r="I171" s="1" t="s">
        <v>3378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4727</v>
      </c>
      <c r="AN171" s="1" t="s">
        <v>4842</v>
      </c>
      <c r="AO171" s="1" t="s">
        <v>4888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5105</v>
      </c>
      <c r="AX171" s="1" t="s">
        <v>5052</v>
      </c>
      <c r="AY171" s="1">
        <v>5</v>
      </c>
      <c r="AZ171" s="1">
        <v>0</v>
      </c>
      <c r="BA171" s="1" t="s">
        <v>329</v>
      </c>
      <c r="BB171" s="1" t="s">
        <v>5106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3379</v>
      </c>
      <c r="C172" s="247" t="s">
        <v>156</v>
      </c>
      <c r="D172" s="1" t="s">
        <v>156</v>
      </c>
      <c r="E172" s="1"/>
      <c r="F172" s="1"/>
      <c r="G172" s="1" t="s">
        <v>3380</v>
      </c>
      <c r="H172" s="1" t="s">
        <v>3381</v>
      </c>
      <c r="I172" s="1" t="s">
        <v>3382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5107</v>
      </c>
      <c r="AK172" s="1" t="s">
        <v>329</v>
      </c>
      <c r="AL172" s="1">
        <v>12</v>
      </c>
      <c r="AM172" s="1" t="s">
        <v>4798</v>
      </c>
      <c r="AN172" s="1" t="s">
        <v>359</v>
      </c>
      <c r="AO172" s="1" t="s">
        <v>5071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5108</v>
      </c>
      <c r="AX172" s="1" t="s">
        <v>5109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3383</v>
      </c>
      <c r="C173" s="247" t="s">
        <v>157</v>
      </c>
      <c r="D173" s="1" t="s">
        <v>157</v>
      </c>
      <c r="E173" s="1"/>
      <c r="F173" s="1"/>
      <c r="G173" s="1" t="s">
        <v>3384</v>
      </c>
      <c r="H173" s="1" t="s">
        <v>3385</v>
      </c>
      <c r="I173" s="1" t="s">
        <v>3386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4798</v>
      </c>
      <c r="AN173" s="1" t="s">
        <v>4801</v>
      </c>
      <c r="AO173" s="1" t="s">
        <v>4810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4975</v>
      </c>
      <c r="AX173" s="1" t="s">
        <v>1814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3387</v>
      </c>
      <c r="C174" s="247" t="s">
        <v>158</v>
      </c>
      <c r="D174" s="1" t="s">
        <v>158</v>
      </c>
      <c r="E174" s="1"/>
      <c r="F174" s="1"/>
      <c r="G174" s="1" t="s">
        <v>3388</v>
      </c>
      <c r="H174" s="1" t="s">
        <v>3389</v>
      </c>
      <c r="I174" s="1" t="s">
        <v>3390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4798</v>
      </c>
      <c r="AN174" s="1" t="s">
        <v>389</v>
      </c>
      <c r="AO174" s="1" t="s">
        <v>5110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4975</v>
      </c>
      <c r="AX174" s="1" t="s">
        <v>5111</v>
      </c>
      <c r="AY174" s="1">
        <v>3</v>
      </c>
      <c r="AZ174" s="1">
        <v>0</v>
      </c>
      <c r="BA174" s="1" t="s">
        <v>4773</v>
      </c>
      <c r="BB174" s="1" t="s">
        <v>5112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3391</v>
      </c>
      <c r="C175" s="247" t="s">
        <v>1644</v>
      </c>
      <c r="D175" s="1" t="s">
        <v>1644</v>
      </c>
      <c r="E175" s="1"/>
      <c r="F175" s="1"/>
      <c r="G175" s="1" t="s">
        <v>3392</v>
      </c>
      <c r="H175" s="1" t="s">
        <v>3393</v>
      </c>
      <c r="I175" s="1" t="s">
        <v>3394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4770</v>
      </c>
      <c r="AN175" s="1" t="s">
        <v>5113</v>
      </c>
      <c r="AO175" s="1" t="s">
        <v>4853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4975</v>
      </c>
      <c r="AX175" s="1" t="s">
        <v>1814</v>
      </c>
      <c r="AY175" s="1">
        <v>5</v>
      </c>
      <c r="AZ175" s="1">
        <v>0</v>
      </c>
      <c r="BA175" s="1" t="s">
        <v>329</v>
      </c>
      <c r="BB175" s="1" t="s">
        <v>5114</v>
      </c>
      <c r="BC175" s="1" t="s">
        <v>4777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3395</v>
      </c>
      <c r="C176" s="247" t="s">
        <v>159</v>
      </c>
      <c r="D176" s="1" t="s">
        <v>159</v>
      </c>
      <c r="E176" s="1"/>
      <c r="F176" s="1"/>
      <c r="G176" s="1" t="s">
        <v>3396</v>
      </c>
      <c r="H176" s="1" t="s">
        <v>3397</v>
      </c>
      <c r="I176" s="1" t="s">
        <v>3398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4770</v>
      </c>
      <c r="AN176" s="1" t="s">
        <v>465</v>
      </c>
      <c r="AO176" s="1" t="s">
        <v>4840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4975</v>
      </c>
      <c r="AX176" s="1" t="s">
        <v>5111</v>
      </c>
      <c r="AY176" s="1">
        <v>4</v>
      </c>
      <c r="AZ176" s="1">
        <v>0</v>
      </c>
      <c r="BA176" s="1" t="s">
        <v>329</v>
      </c>
      <c r="BB176" s="1" t="s">
        <v>5115</v>
      </c>
      <c r="BC176" s="1" t="s">
        <v>4777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3399</v>
      </c>
      <c r="C177" s="247" t="s">
        <v>160</v>
      </c>
      <c r="D177" s="1" t="s">
        <v>160</v>
      </c>
      <c r="E177" s="1"/>
      <c r="F177" s="1"/>
      <c r="G177" s="1" t="s">
        <v>3400</v>
      </c>
      <c r="H177" s="1" t="s">
        <v>3401</v>
      </c>
      <c r="I177" s="1" t="s">
        <v>3402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4727</v>
      </c>
      <c r="AN177" s="1" t="s">
        <v>5116</v>
      </c>
      <c r="AO177" s="1" t="s">
        <v>5117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5118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5119</v>
      </c>
      <c r="BC177" s="1" t="s">
        <v>4791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3403</v>
      </c>
      <c r="C178" s="247" t="s">
        <v>3404</v>
      </c>
      <c r="D178" s="1" t="s">
        <v>3404</v>
      </c>
      <c r="E178" s="1"/>
      <c r="F178" s="1"/>
      <c r="G178" s="1" t="s">
        <v>3405</v>
      </c>
      <c r="H178" s="1" t="s">
        <v>3406</v>
      </c>
      <c r="I178" s="1" t="s">
        <v>3407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4770</v>
      </c>
      <c r="AN178" s="1" t="s">
        <v>466</v>
      </c>
      <c r="AO178" s="1" t="s">
        <v>4834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5120</v>
      </c>
      <c r="AX178" s="1" t="s">
        <v>5109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3408</v>
      </c>
      <c r="C179" s="247" t="s">
        <v>161</v>
      </c>
      <c r="D179" s="1" t="s">
        <v>161</v>
      </c>
      <c r="E179" s="1"/>
      <c r="F179" s="1"/>
      <c r="G179" s="1" t="s">
        <v>3409</v>
      </c>
      <c r="H179" s="1" t="s">
        <v>3410</v>
      </c>
      <c r="I179" s="1" t="s">
        <v>3411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1814</v>
      </c>
      <c r="AN179" s="1" t="s">
        <v>4788</v>
      </c>
      <c r="AO179" s="1" t="s">
        <v>4759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5118</v>
      </c>
      <c r="AX179" s="1" t="s">
        <v>4770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3412</v>
      </c>
      <c r="C180" s="247" t="s">
        <v>1645</v>
      </c>
      <c r="D180" s="1" t="s">
        <v>1645</v>
      </c>
      <c r="E180" s="1"/>
      <c r="F180" s="1"/>
      <c r="G180" s="1" t="s">
        <v>3413</v>
      </c>
      <c r="H180" s="1" t="s">
        <v>3414</v>
      </c>
      <c r="I180" s="1" t="s">
        <v>3415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4770</v>
      </c>
      <c r="AN180" s="1" t="s">
        <v>5121</v>
      </c>
      <c r="AO180" s="1" t="s">
        <v>4840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5118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4765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3416</v>
      </c>
      <c r="C181" s="247" t="s">
        <v>162</v>
      </c>
      <c r="D181" s="1" t="s">
        <v>162</v>
      </c>
      <c r="E181" s="1"/>
      <c r="F181" s="1"/>
      <c r="G181" s="1" t="s">
        <v>3417</v>
      </c>
      <c r="H181" s="1" t="s">
        <v>3418</v>
      </c>
      <c r="I181" s="1" t="s">
        <v>3419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4866</v>
      </c>
      <c r="AN181" s="1" t="s">
        <v>4992</v>
      </c>
      <c r="AO181" s="1" t="s">
        <v>5122</v>
      </c>
      <c r="AP181" s="1">
        <v>0</v>
      </c>
      <c r="AQ181" s="1" t="s">
        <v>1174</v>
      </c>
      <c r="AR181" s="1" t="s">
        <v>1175</v>
      </c>
      <c r="AS181" s="1" t="s">
        <v>4920</v>
      </c>
      <c r="AT181" s="1" t="s">
        <v>329</v>
      </c>
      <c r="AU181" s="1">
        <v>185</v>
      </c>
      <c r="AV181" s="1">
        <v>0</v>
      </c>
      <c r="AW181" s="1" t="s">
        <v>5118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3420</v>
      </c>
      <c r="C182" s="247" t="s">
        <v>163</v>
      </c>
      <c r="D182" s="1" t="s">
        <v>163</v>
      </c>
      <c r="E182" s="1"/>
      <c r="F182" s="1"/>
      <c r="G182" s="1" t="s">
        <v>3421</v>
      </c>
      <c r="H182" s="1" t="s">
        <v>3422</v>
      </c>
      <c r="I182" s="1" t="s">
        <v>3423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1814</v>
      </c>
      <c r="AN182" s="1" t="s">
        <v>4781</v>
      </c>
      <c r="AO182" s="1" t="s">
        <v>4817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5123</v>
      </c>
      <c r="AX182" s="1" t="s">
        <v>5124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3424</v>
      </c>
      <c r="C183" s="247" t="s">
        <v>231</v>
      </c>
      <c r="D183" s="1" t="s">
        <v>231</v>
      </c>
      <c r="E183" s="1"/>
      <c r="F183" s="1"/>
      <c r="G183" s="1" t="s">
        <v>3425</v>
      </c>
      <c r="H183" s="1" t="s">
        <v>3426</v>
      </c>
      <c r="I183" s="1" t="s">
        <v>3427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5125</v>
      </c>
      <c r="AK183" s="1" t="s">
        <v>329</v>
      </c>
      <c r="AL183" s="1">
        <v>13</v>
      </c>
      <c r="AM183" s="1" t="s">
        <v>4727</v>
      </c>
      <c r="AN183" s="1" t="s">
        <v>4842</v>
      </c>
      <c r="AO183" s="1" t="s">
        <v>5126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5123</v>
      </c>
      <c r="AX183" s="1" t="s">
        <v>5127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3428</v>
      </c>
      <c r="C184" s="247" t="s">
        <v>3429</v>
      </c>
      <c r="D184" s="1" t="s">
        <v>3429</v>
      </c>
      <c r="E184" s="1"/>
      <c r="F184" s="1"/>
      <c r="G184" s="1" t="s">
        <v>3430</v>
      </c>
      <c r="H184" s="1" t="s">
        <v>3431</v>
      </c>
      <c r="I184" s="1" t="s">
        <v>3432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4724</v>
      </c>
      <c r="AN184" s="1" t="s">
        <v>4736</v>
      </c>
      <c r="AO184" s="1" t="s">
        <v>4950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5123</v>
      </c>
      <c r="AX184" s="1" t="s">
        <v>4727</v>
      </c>
      <c r="AY184" s="1">
        <v>5</v>
      </c>
      <c r="AZ184" s="1">
        <v>0</v>
      </c>
      <c r="BA184" s="1" t="s">
        <v>329</v>
      </c>
      <c r="BB184" s="1" t="s">
        <v>5128</v>
      </c>
      <c r="BC184" s="1" t="s">
        <v>4747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3433</v>
      </c>
      <c r="C185" s="247" t="s">
        <v>1646</v>
      </c>
      <c r="D185" s="1" t="s">
        <v>1646</v>
      </c>
      <c r="E185" s="1"/>
      <c r="F185" s="1"/>
      <c r="G185" s="1" t="s">
        <v>3434</v>
      </c>
      <c r="H185" s="1" t="s">
        <v>3435</v>
      </c>
      <c r="I185" s="1" t="s">
        <v>3436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4724</v>
      </c>
      <c r="AN185" s="1" t="s">
        <v>4798</v>
      </c>
      <c r="AO185" s="1" t="s">
        <v>5071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5123</v>
      </c>
      <c r="AX185" s="1" t="s">
        <v>4727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3437</v>
      </c>
      <c r="C186" s="247" t="s">
        <v>164</v>
      </c>
      <c r="D186" s="1" t="s">
        <v>164</v>
      </c>
      <c r="E186" s="1"/>
      <c r="F186" s="1"/>
      <c r="G186" s="1" t="s">
        <v>3438</v>
      </c>
      <c r="H186" s="1" t="s">
        <v>3439</v>
      </c>
      <c r="I186" s="1" t="s">
        <v>3440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5129</v>
      </c>
      <c r="AK186" s="1" t="s">
        <v>329</v>
      </c>
      <c r="AL186" s="1">
        <v>7</v>
      </c>
      <c r="AM186" s="1" t="s">
        <v>4724</v>
      </c>
      <c r="AN186" s="1" t="s">
        <v>471</v>
      </c>
      <c r="AO186" s="1" t="s">
        <v>5076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5123</v>
      </c>
      <c r="AX186" s="1" t="s">
        <v>4727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3441</v>
      </c>
      <c r="C187" s="247" t="s">
        <v>165</v>
      </c>
      <c r="D187" s="1" t="s">
        <v>165</v>
      </c>
      <c r="E187" s="1"/>
      <c r="F187" s="1"/>
      <c r="G187" s="1" t="s">
        <v>3442</v>
      </c>
      <c r="H187" s="1" t="s">
        <v>3443</v>
      </c>
      <c r="I187" s="1" t="s">
        <v>3444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4798</v>
      </c>
      <c r="AN187" s="1" t="s">
        <v>4803</v>
      </c>
      <c r="AO187" s="1" t="s">
        <v>5130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5131</v>
      </c>
      <c r="AX187" s="1" t="s">
        <v>5132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3445</v>
      </c>
      <c r="C188" s="247" t="s">
        <v>166</v>
      </c>
      <c r="D188" s="1" t="s">
        <v>3446</v>
      </c>
      <c r="E188" s="1"/>
      <c r="F188" s="1"/>
      <c r="G188" s="1" t="s">
        <v>3447</v>
      </c>
      <c r="H188" s="1" t="s">
        <v>3448</v>
      </c>
      <c r="I188" s="1" t="s">
        <v>3449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4770</v>
      </c>
      <c r="AN188" s="1" t="s">
        <v>4842</v>
      </c>
      <c r="AO188" s="1" t="s">
        <v>4853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5131</v>
      </c>
      <c r="AX188" s="1" t="s">
        <v>5133</v>
      </c>
      <c r="AY188" s="1">
        <v>5</v>
      </c>
      <c r="AZ188" s="1">
        <v>0</v>
      </c>
      <c r="BA188" s="1" t="s">
        <v>329</v>
      </c>
      <c r="BB188" s="1" t="s">
        <v>5134</v>
      </c>
      <c r="BC188" s="1" t="s">
        <v>4791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3450</v>
      </c>
      <c r="C189" s="247" t="s">
        <v>167</v>
      </c>
      <c r="D189" s="1" t="s">
        <v>167</v>
      </c>
      <c r="E189" s="1"/>
      <c r="F189" s="1"/>
      <c r="G189" s="1" t="s">
        <v>3451</v>
      </c>
      <c r="H189" s="1" t="s">
        <v>3452</v>
      </c>
      <c r="I189" s="1" t="s">
        <v>3453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4727</v>
      </c>
      <c r="AN189" s="1" t="s">
        <v>4837</v>
      </c>
      <c r="AO189" s="1" t="s">
        <v>4883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5135</v>
      </c>
      <c r="AX189" s="1" t="s">
        <v>5136</v>
      </c>
      <c r="AY189" s="1">
        <v>3</v>
      </c>
      <c r="AZ189" s="1">
        <v>0</v>
      </c>
      <c r="BA189" s="1" t="s">
        <v>329</v>
      </c>
      <c r="BB189" s="1" t="s">
        <v>4960</v>
      </c>
      <c r="BC189" s="1" t="s">
        <v>4791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3454</v>
      </c>
      <c r="C190" s="247" t="s">
        <v>168</v>
      </c>
      <c r="D190" s="1" t="s">
        <v>168</v>
      </c>
      <c r="E190" s="1"/>
      <c r="F190" s="1"/>
      <c r="G190" s="1" t="s">
        <v>3455</v>
      </c>
      <c r="H190" s="1" t="s">
        <v>3456</v>
      </c>
      <c r="I190" s="1" t="s">
        <v>3457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4727</v>
      </c>
      <c r="AN190" s="1" t="s">
        <v>4842</v>
      </c>
      <c r="AO190" s="1" t="s">
        <v>5010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5137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3458</v>
      </c>
      <c r="C191" s="247" t="s">
        <v>232</v>
      </c>
      <c r="D191" s="1" t="s">
        <v>232</v>
      </c>
      <c r="E191" s="1"/>
      <c r="F191" s="1"/>
      <c r="G191" s="1" t="s">
        <v>3459</v>
      </c>
      <c r="H191" s="1" t="s">
        <v>3460</v>
      </c>
      <c r="I191" s="1" t="s">
        <v>3461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4866</v>
      </c>
      <c r="AN191" s="1" t="s">
        <v>4945</v>
      </c>
      <c r="AO191" s="1" t="s">
        <v>5138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5139</v>
      </c>
      <c r="AX191" s="1" t="s">
        <v>5140</v>
      </c>
      <c r="AY191" s="1">
        <v>3</v>
      </c>
      <c r="AZ191" s="1">
        <v>0</v>
      </c>
      <c r="BA191" s="1" t="s">
        <v>329</v>
      </c>
      <c r="BB191" s="1" t="s">
        <v>4801</v>
      </c>
      <c r="BC191" s="1" t="s">
        <v>4777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3462</v>
      </c>
      <c r="C192" s="247" t="s">
        <v>169</v>
      </c>
      <c r="D192" s="1" t="s">
        <v>3463</v>
      </c>
      <c r="E192" s="1"/>
      <c r="F192" s="1"/>
      <c r="G192" s="1" t="s">
        <v>3464</v>
      </c>
      <c r="H192" s="1" t="s">
        <v>3465</v>
      </c>
      <c r="I192" s="1" t="s">
        <v>3466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4727</v>
      </c>
      <c r="AN192" s="1" t="s">
        <v>4842</v>
      </c>
      <c r="AO192" s="1" t="s">
        <v>5141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5041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3467</v>
      </c>
      <c r="C193" s="247" t="s">
        <v>170</v>
      </c>
      <c r="D193" s="1" t="s">
        <v>3468</v>
      </c>
      <c r="E193" s="1"/>
      <c r="F193" s="1"/>
      <c r="G193" s="1" t="s">
        <v>3469</v>
      </c>
      <c r="H193" s="1" t="s">
        <v>3470</v>
      </c>
      <c r="I193" s="1" t="s">
        <v>3471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5142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5041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3472</v>
      </c>
      <c r="C194" s="247" t="s">
        <v>171</v>
      </c>
      <c r="D194" s="1" t="s">
        <v>3473</v>
      </c>
      <c r="E194" s="1"/>
      <c r="F194" s="1"/>
      <c r="G194" s="1" t="s">
        <v>3474</v>
      </c>
      <c r="H194" s="1" t="s">
        <v>3475</v>
      </c>
      <c r="I194" s="1" t="s">
        <v>3476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4845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5041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5143</v>
      </c>
      <c r="BC194" s="1" t="s">
        <v>4747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3477</v>
      </c>
      <c r="C195" s="247" t="s">
        <v>787</v>
      </c>
      <c r="D195" s="1" t="s">
        <v>3478</v>
      </c>
      <c r="E195" s="1"/>
      <c r="F195" s="1"/>
      <c r="G195" s="1" t="s">
        <v>3479</v>
      </c>
      <c r="H195" s="1" t="s">
        <v>3480</v>
      </c>
      <c r="I195" s="1" t="s">
        <v>3481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4866</v>
      </c>
      <c r="AN195" s="1" t="s">
        <v>5144</v>
      </c>
      <c r="AO195" s="1" t="s">
        <v>4950</v>
      </c>
      <c r="AP195" s="1">
        <v>0</v>
      </c>
      <c r="AQ195" s="1" t="s">
        <v>5020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5041</v>
      </c>
      <c r="AX195" s="1" t="s">
        <v>332</v>
      </c>
      <c r="AY195" s="1">
        <v>4</v>
      </c>
      <c r="AZ195" s="1">
        <v>0</v>
      </c>
      <c r="BA195" s="1" t="s">
        <v>4751</v>
      </c>
      <c r="BB195" s="1" t="s">
        <v>5145</v>
      </c>
      <c r="BC195" s="1" t="s">
        <v>4791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3482</v>
      </c>
      <c r="C196" s="247" t="s">
        <v>172</v>
      </c>
      <c r="D196" s="1" t="s">
        <v>3483</v>
      </c>
      <c r="E196" s="1"/>
      <c r="F196" s="1"/>
      <c r="G196" s="1" t="s">
        <v>3484</v>
      </c>
      <c r="H196" s="1" t="s">
        <v>3485</v>
      </c>
      <c r="I196" s="1" t="s">
        <v>3486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4770</v>
      </c>
      <c r="AN196" s="1" t="s">
        <v>4837</v>
      </c>
      <c r="AO196" s="1" t="s">
        <v>4840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5139</v>
      </c>
      <c r="AX196" s="1" t="s">
        <v>5146</v>
      </c>
      <c r="AY196" s="1">
        <v>4</v>
      </c>
      <c r="AZ196" s="1">
        <v>0</v>
      </c>
      <c r="BA196" s="1" t="s">
        <v>4751</v>
      </c>
      <c r="BB196" s="1" t="s">
        <v>329</v>
      </c>
      <c r="BC196" s="1" t="s">
        <v>4728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3487</v>
      </c>
      <c r="C197" s="247" t="s">
        <v>173</v>
      </c>
      <c r="D197" s="1" t="s">
        <v>3488</v>
      </c>
      <c r="E197" s="1"/>
      <c r="F197" s="1"/>
      <c r="G197" s="1" t="s">
        <v>3489</v>
      </c>
      <c r="H197" s="1" t="s">
        <v>3490</v>
      </c>
      <c r="I197" s="1" t="s">
        <v>3491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4770</v>
      </c>
      <c r="AN197" s="1" t="s">
        <v>4892</v>
      </c>
      <c r="AO197" s="1" t="s">
        <v>4834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5147</v>
      </c>
      <c r="AX197" s="1" t="s">
        <v>4761</v>
      </c>
      <c r="AY197" s="1">
        <v>3</v>
      </c>
      <c r="AZ197" s="1">
        <v>0</v>
      </c>
      <c r="BA197" s="1" t="s">
        <v>4773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3492</v>
      </c>
      <c r="C198" s="247" t="s">
        <v>5500</v>
      </c>
      <c r="D198" s="1" t="s">
        <v>3493</v>
      </c>
      <c r="E198" s="1"/>
      <c r="F198" s="1"/>
      <c r="G198" s="1" t="s">
        <v>3494</v>
      </c>
      <c r="H198" s="1" t="s">
        <v>3495</v>
      </c>
      <c r="I198" s="1" t="s">
        <v>3496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5148</v>
      </c>
      <c r="AK198" s="1" t="s">
        <v>329</v>
      </c>
      <c r="AL198" s="1">
        <v>13</v>
      </c>
      <c r="AM198" s="1" t="s">
        <v>1814</v>
      </c>
      <c r="AN198" s="1" t="s">
        <v>4784</v>
      </c>
      <c r="AO198" s="1" t="s">
        <v>4832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4826</v>
      </c>
      <c r="AX198" s="1" t="s">
        <v>5109</v>
      </c>
      <c r="AY198" s="1">
        <v>4</v>
      </c>
      <c r="AZ198" s="1">
        <v>0</v>
      </c>
      <c r="BA198" s="1" t="s">
        <v>329</v>
      </c>
      <c r="BB198" s="1" t="s">
        <v>5149</v>
      </c>
      <c r="BC198" s="1" t="s">
        <v>4728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3497</v>
      </c>
      <c r="C199" s="247" t="s">
        <v>1726</v>
      </c>
      <c r="D199" s="1" t="s">
        <v>3498</v>
      </c>
      <c r="E199" s="1"/>
      <c r="F199" s="1"/>
      <c r="G199" s="1" t="s">
        <v>3499</v>
      </c>
      <c r="H199" s="1" t="s">
        <v>3500</v>
      </c>
      <c r="I199" s="1" t="s">
        <v>3501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5150</v>
      </c>
      <c r="AK199" s="1" t="s">
        <v>5151</v>
      </c>
      <c r="AL199" s="1">
        <v>12</v>
      </c>
      <c r="AM199" s="1" t="s">
        <v>4798</v>
      </c>
      <c r="AN199" s="1" t="s">
        <v>359</v>
      </c>
      <c r="AO199" s="1" t="s">
        <v>5152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4826</v>
      </c>
      <c r="AX199" s="1" t="s">
        <v>5153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3502</v>
      </c>
      <c r="C200" s="247" t="s">
        <v>174</v>
      </c>
      <c r="D200" s="1" t="s">
        <v>174</v>
      </c>
      <c r="E200" s="1"/>
      <c r="F200" s="1"/>
      <c r="G200" s="1" t="s">
        <v>3503</v>
      </c>
      <c r="H200" s="1" t="s">
        <v>3504</v>
      </c>
      <c r="I200" s="1" t="s">
        <v>3505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4770</v>
      </c>
      <c r="AN200" s="1" t="s">
        <v>4842</v>
      </c>
      <c r="AO200" s="1" t="s">
        <v>4853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4826</v>
      </c>
      <c r="AX200" s="1" t="s">
        <v>5154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3506</v>
      </c>
      <c r="C201" s="247" t="s">
        <v>233</v>
      </c>
      <c r="D201" s="1" t="s">
        <v>233</v>
      </c>
      <c r="E201" s="1"/>
      <c r="F201" s="1"/>
      <c r="G201" s="1" t="s">
        <v>3507</v>
      </c>
      <c r="H201" s="1" t="s">
        <v>3508</v>
      </c>
      <c r="I201" s="1" t="s">
        <v>3509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4727</v>
      </c>
      <c r="AN201" s="1" t="s">
        <v>5155</v>
      </c>
      <c r="AO201" s="1" t="s">
        <v>5156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4826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3510</v>
      </c>
      <c r="C202" s="247" t="s">
        <v>234</v>
      </c>
      <c r="D202" s="1" t="s">
        <v>234</v>
      </c>
      <c r="E202" s="1"/>
      <c r="F202" s="1"/>
      <c r="G202" s="1" t="s">
        <v>3511</v>
      </c>
      <c r="H202" s="1" t="s">
        <v>3512</v>
      </c>
      <c r="I202" s="1" t="s">
        <v>3513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5158</v>
      </c>
      <c r="AK202" s="1" t="s">
        <v>329</v>
      </c>
      <c r="AL202" s="1">
        <v>14</v>
      </c>
      <c r="AM202" s="1" t="s">
        <v>4727</v>
      </c>
      <c r="AN202" s="1" t="s">
        <v>5159</v>
      </c>
      <c r="AO202" s="1" t="s">
        <v>5160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4826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5161</v>
      </c>
      <c r="BC202" s="1" t="s">
        <v>5157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3514</v>
      </c>
      <c r="C203" s="247" t="s">
        <v>175</v>
      </c>
      <c r="D203" s="1" t="s">
        <v>175</v>
      </c>
      <c r="E203" s="1"/>
      <c r="F203" s="1"/>
      <c r="G203" s="1" t="s">
        <v>3515</v>
      </c>
      <c r="H203" s="1" t="s">
        <v>3516</v>
      </c>
      <c r="I203" s="1" t="s">
        <v>3517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4727</v>
      </c>
      <c r="AN203" s="1" t="s">
        <v>476</v>
      </c>
      <c r="AO203" s="1" t="s">
        <v>5006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4826</v>
      </c>
      <c r="AX203" s="1" t="s">
        <v>5162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3518</v>
      </c>
      <c r="C204" s="247" t="s">
        <v>176</v>
      </c>
      <c r="D204" s="1" t="s">
        <v>176</v>
      </c>
      <c r="E204" s="1"/>
      <c r="F204" s="1"/>
      <c r="G204" s="1" t="s">
        <v>3519</v>
      </c>
      <c r="H204" s="1" t="s">
        <v>3520</v>
      </c>
      <c r="I204" s="1" t="s">
        <v>3521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4866</v>
      </c>
      <c r="AN204" s="1" t="s">
        <v>4927</v>
      </c>
      <c r="AO204" s="1" t="s">
        <v>5163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4826</v>
      </c>
      <c r="AX204" s="1" t="s">
        <v>5162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3522</v>
      </c>
      <c r="C205" s="247" t="s">
        <v>1647</v>
      </c>
      <c r="D205" s="1" t="s">
        <v>1647</v>
      </c>
      <c r="E205" s="1"/>
      <c r="F205" s="1"/>
      <c r="G205" s="1" t="s">
        <v>3523</v>
      </c>
      <c r="H205" s="1" t="s">
        <v>3524</v>
      </c>
      <c r="I205" s="1" t="s">
        <v>3525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5164</v>
      </c>
      <c r="AK205" s="1" t="s">
        <v>329</v>
      </c>
      <c r="AL205" s="1">
        <v>13</v>
      </c>
      <c r="AM205" s="1" t="s">
        <v>4798</v>
      </c>
      <c r="AN205" s="1" t="s">
        <v>4796</v>
      </c>
      <c r="AO205" s="1" t="s">
        <v>5088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5165</v>
      </c>
      <c r="AX205" s="1" t="s">
        <v>4761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3526</v>
      </c>
      <c r="C206" s="247" t="s">
        <v>177</v>
      </c>
      <c r="D206" s="1" t="s">
        <v>177</v>
      </c>
      <c r="E206" s="1"/>
      <c r="F206" s="1"/>
      <c r="G206" s="1" t="s">
        <v>3527</v>
      </c>
      <c r="H206" s="1" t="s">
        <v>3528</v>
      </c>
      <c r="I206" s="1" t="s">
        <v>3529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1814</v>
      </c>
      <c r="AN206" s="1" t="s">
        <v>4755</v>
      </c>
      <c r="AO206" s="1" t="s">
        <v>4756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5166</v>
      </c>
      <c r="AX206" s="1" t="s">
        <v>4761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3530</v>
      </c>
      <c r="C207" s="247" t="s">
        <v>235</v>
      </c>
      <c r="D207" s="1" t="s">
        <v>235</v>
      </c>
      <c r="E207" s="1"/>
      <c r="F207" s="1"/>
      <c r="G207" s="1" t="s">
        <v>3531</v>
      </c>
      <c r="H207" s="1" t="s">
        <v>3532</v>
      </c>
      <c r="I207" s="1" t="s">
        <v>3533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4770</v>
      </c>
      <c r="AN207" s="1" t="s">
        <v>4892</v>
      </c>
      <c r="AO207" s="1" t="s">
        <v>4853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5167</v>
      </c>
      <c r="AX207" s="1" t="s">
        <v>5168</v>
      </c>
      <c r="AY207" s="1">
        <v>5</v>
      </c>
      <c r="AZ207" s="1">
        <v>0</v>
      </c>
      <c r="BA207" s="1" t="s">
        <v>329</v>
      </c>
      <c r="BB207" s="1" t="s">
        <v>4852</v>
      </c>
      <c r="BC207" s="1" t="s">
        <v>4728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3534</v>
      </c>
      <c r="C208" s="247" t="s">
        <v>178</v>
      </c>
      <c r="D208" s="1" t="s">
        <v>178</v>
      </c>
      <c r="E208" s="1"/>
      <c r="F208" s="1"/>
      <c r="G208" s="1" t="s">
        <v>3535</v>
      </c>
      <c r="H208" s="1" t="s">
        <v>3536</v>
      </c>
      <c r="I208" s="1" t="s">
        <v>3537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1814</v>
      </c>
      <c r="AN208" s="1" t="s">
        <v>5169</v>
      </c>
      <c r="AO208" s="1" t="s">
        <v>5071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5170</v>
      </c>
      <c r="AX208" s="1" t="s">
        <v>4770</v>
      </c>
      <c r="AY208" s="1">
        <v>4</v>
      </c>
      <c r="AZ208" s="1">
        <v>0</v>
      </c>
      <c r="BA208" s="1" t="s">
        <v>329</v>
      </c>
      <c r="BB208" s="1" t="s">
        <v>5171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3538</v>
      </c>
      <c r="C209" s="247" t="s">
        <v>1648</v>
      </c>
      <c r="D209" s="1" t="s">
        <v>3539</v>
      </c>
      <c r="E209" s="1"/>
      <c r="F209" s="1"/>
      <c r="G209" s="1" t="s">
        <v>3540</v>
      </c>
      <c r="H209" s="1" t="s">
        <v>3541</v>
      </c>
      <c r="I209" s="1" t="s">
        <v>3542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4798</v>
      </c>
      <c r="AN209" s="1" t="s">
        <v>4803</v>
      </c>
      <c r="AO209" s="1" t="s">
        <v>5172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5170</v>
      </c>
      <c r="AX209" s="1" t="s">
        <v>5173</v>
      </c>
      <c r="AY209" s="1">
        <v>5</v>
      </c>
      <c r="AZ209" s="1">
        <v>0</v>
      </c>
      <c r="BA209" s="1" t="s">
        <v>329</v>
      </c>
      <c r="BB209" s="1" t="s">
        <v>5174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3543</v>
      </c>
      <c r="C210" s="247" t="s">
        <v>210</v>
      </c>
      <c r="D210" s="1" t="s">
        <v>210</v>
      </c>
      <c r="E210" s="1"/>
      <c r="F210" s="1"/>
      <c r="G210" s="1" t="s">
        <v>3544</v>
      </c>
      <c r="H210" s="1" t="s">
        <v>3545</v>
      </c>
      <c r="I210" s="1" t="s">
        <v>3546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4727</v>
      </c>
      <c r="AN210" s="1" t="s">
        <v>4872</v>
      </c>
      <c r="AO210" s="1" t="s">
        <v>5098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5175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3547</v>
      </c>
      <c r="C211" s="247" t="s">
        <v>179</v>
      </c>
      <c r="D211" s="1" t="s">
        <v>179</v>
      </c>
      <c r="E211" s="1"/>
      <c r="F211" s="1"/>
      <c r="G211" s="1" t="s">
        <v>3548</v>
      </c>
      <c r="H211" s="1" t="s">
        <v>3549</v>
      </c>
      <c r="I211" s="1" t="s">
        <v>3550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4727</v>
      </c>
      <c r="AN211" s="1" t="s">
        <v>4892</v>
      </c>
      <c r="AO211" s="1" t="s">
        <v>5176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5170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4923</v>
      </c>
      <c r="BC211" s="1" t="s">
        <v>4728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3551</v>
      </c>
      <c r="C212" s="247" t="s">
        <v>180</v>
      </c>
      <c r="D212" s="1" t="s">
        <v>180</v>
      </c>
      <c r="E212" s="1"/>
      <c r="F212" s="1"/>
      <c r="G212" s="1" t="s">
        <v>3552</v>
      </c>
      <c r="H212" s="1" t="s">
        <v>3553</v>
      </c>
      <c r="I212" s="1" t="s">
        <v>3554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4727</v>
      </c>
      <c r="AN212" s="1" t="s">
        <v>4839</v>
      </c>
      <c r="AO212" s="1" t="s">
        <v>5177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5170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5178</v>
      </c>
      <c r="BC212" s="1" t="s">
        <v>4777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3555</v>
      </c>
      <c r="C213" s="247" t="s">
        <v>1649</v>
      </c>
      <c r="D213" s="1" t="s">
        <v>3556</v>
      </c>
      <c r="E213" s="1"/>
      <c r="F213" s="1"/>
      <c r="G213" s="1" t="s">
        <v>3557</v>
      </c>
      <c r="H213" s="1" t="s">
        <v>3558</v>
      </c>
      <c r="I213" s="1" t="s">
        <v>3559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4770</v>
      </c>
      <c r="AN213" s="1" t="s">
        <v>465</v>
      </c>
      <c r="AO213" s="1" t="s">
        <v>4834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5170</v>
      </c>
      <c r="AX213" s="1" t="s">
        <v>4761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3560</v>
      </c>
      <c r="C214" s="247" t="s">
        <v>181</v>
      </c>
      <c r="D214" s="1" t="s">
        <v>181</v>
      </c>
      <c r="E214" s="1"/>
      <c r="F214" s="1"/>
      <c r="G214" s="1" t="s">
        <v>3561</v>
      </c>
      <c r="H214" s="1" t="s">
        <v>3562</v>
      </c>
      <c r="I214" s="1" t="s">
        <v>3563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4798</v>
      </c>
      <c r="AN214" s="1" t="s">
        <v>4803</v>
      </c>
      <c r="AO214" s="1" t="s">
        <v>5179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5180</v>
      </c>
      <c r="AX214" s="1" t="s">
        <v>4761</v>
      </c>
      <c r="AY214" s="1">
        <v>3</v>
      </c>
      <c r="AZ214" s="1">
        <v>0</v>
      </c>
      <c r="BA214" s="1" t="s">
        <v>329</v>
      </c>
      <c r="BB214" s="1" t="s">
        <v>5181</v>
      </c>
      <c r="BC214" s="1" t="s">
        <v>4791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3564</v>
      </c>
      <c r="C215" s="247" t="s">
        <v>1650</v>
      </c>
      <c r="D215" s="1" t="s">
        <v>1650</v>
      </c>
      <c r="E215" s="1"/>
      <c r="F215" s="1"/>
      <c r="G215" s="1" t="s">
        <v>3565</v>
      </c>
      <c r="H215" s="1" t="s">
        <v>3566</v>
      </c>
      <c r="I215" s="1" t="s">
        <v>3567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1814</v>
      </c>
      <c r="AN215" s="1" t="s">
        <v>4869</v>
      </c>
      <c r="AO215" s="1" t="s">
        <v>4756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5182</v>
      </c>
      <c r="AX215" s="1" t="s">
        <v>4761</v>
      </c>
      <c r="AY215" s="1">
        <v>3</v>
      </c>
      <c r="AZ215" s="1">
        <v>0</v>
      </c>
      <c r="BA215" s="1" t="s">
        <v>4773</v>
      </c>
      <c r="BB215" s="1" t="s">
        <v>468</v>
      </c>
      <c r="BC215" s="1" t="s">
        <v>4765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3568</v>
      </c>
      <c r="C216" s="247" t="s">
        <v>1651</v>
      </c>
      <c r="D216" s="1" t="s">
        <v>3569</v>
      </c>
      <c r="E216" s="1"/>
      <c r="F216" s="1"/>
      <c r="G216" s="1" t="s">
        <v>3570</v>
      </c>
      <c r="H216" s="1" t="s">
        <v>3571</v>
      </c>
      <c r="I216" s="1" t="s">
        <v>3572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1814</v>
      </c>
      <c r="AN216" s="1" t="s">
        <v>5183</v>
      </c>
      <c r="AO216" s="1" t="s">
        <v>4911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5184</v>
      </c>
      <c r="AX216" s="1" t="s">
        <v>2245</v>
      </c>
      <c r="AY216" s="1">
        <v>3</v>
      </c>
      <c r="AZ216" s="1">
        <v>0</v>
      </c>
      <c r="BA216" s="1" t="s">
        <v>4773</v>
      </c>
      <c r="BB216" s="1" t="s">
        <v>5185</v>
      </c>
      <c r="BC216" s="1" t="s">
        <v>4765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3573</v>
      </c>
      <c r="C217" s="247" t="s">
        <v>1244</v>
      </c>
      <c r="D217" s="1" t="s">
        <v>1244</v>
      </c>
      <c r="E217" s="1"/>
      <c r="F217" s="1"/>
      <c r="G217" s="1" t="s">
        <v>3574</v>
      </c>
      <c r="H217" s="1" t="s">
        <v>3575</v>
      </c>
      <c r="I217" s="1" t="s">
        <v>3576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4770</v>
      </c>
      <c r="AN217" s="1" t="s">
        <v>4892</v>
      </c>
      <c r="AO217" s="1" t="s">
        <v>4853</v>
      </c>
      <c r="AP217" s="1">
        <v>0</v>
      </c>
      <c r="AQ217" s="1" t="s">
        <v>1147</v>
      </c>
      <c r="AR217" s="1" t="s">
        <v>4843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5186</v>
      </c>
      <c r="AX217" s="1" t="s">
        <v>5187</v>
      </c>
      <c r="AY217" s="1">
        <v>5</v>
      </c>
      <c r="AZ217" s="1">
        <v>0</v>
      </c>
      <c r="BA217" s="1" t="s">
        <v>329</v>
      </c>
      <c r="BB217" s="1" t="s">
        <v>5188</v>
      </c>
      <c r="BC217" s="1" t="s">
        <v>4728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3577</v>
      </c>
      <c r="C218" s="247" t="s">
        <v>182</v>
      </c>
      <c r="D218" s="1" t="s">
        <v>3578</v>
      </c>
      <c r="E218" s="1"/>
      <c r="F218" s="1"/>
      <c r="G218" s="1" t="s">
        <v>3579</v>
      </c>
      <c r="H218" s="1" t="s">
        <v>3580</v>
      </c>
      <c r="I218" s="1" t="s">
        <v>3581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5189</v>
      </c>
      <c r="AK218" s="1" t="s">
        <v>329</v>
      </c>
      <c r="AL218" s="1">
        <v>13</v>
      </c>
      <c r="AM218" s="1" t="s">
        <v>4727</v>
      </c>
      <c r="AN218" s="1" t="s">
        <v>4892</v>
      </c>
      <c r="AO218" s="1" t="s">
        <v>4883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5190</v>
      </c>
      <c r="AX218" s="1" t="s">
        <v>5191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3582</v>
      </c>
      <c r="C219" s="247" t="s">
        <v>1652</v>
      </c>
      <c r="D219" s="1" t="s">
        <v>1652</v>
      </c>
      <c r="E219" s="1"/>
      <c r="F219" s="1"/>
      <c r="G219" s="1" t="s">
        <v>3583</v>
      </c>
      <c r="H219" s="1" t="s">
        <v>3584</v>
      </c>
      <c r="I219" s="1" t="s">
        <v>3585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4798</v>
      </c>
      <c r="AN219" s="1" t="s">
        <v>389</v>
      </c>
      <c r="AO219" s="1" t="s">
        <v>5192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5193</v>
      </c>
      <c r="AX219" s="1" t="s">
        <v>5194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3586</v>
      </c>
      <c r="C220" s="247" t="s">
        <v>183</v>
      </c>
      <c r="D220" s="1" t="s">
        <v>3587</v>
      </c>
      <c r="E220" s="1"/>
      <c r="F220" s="1"/>
      <c r="G220" s="1" t="s">
        <v>3588</v>
      </c>
      <c r="H220" s="1" t="s">
        <v>3589</v>
      </c>
      <c r="I220" s="1" t="s">
        <v>3590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4798</v>
      </c>
      <c r="AN220" s="1" t="s">
        <v>389</v>
      </c>
      <c r="AO220" s="1" t="s">
        <v>5064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5041</v>
      </c>
      <c r="AX220" s="1" t="s">
        <v>5195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3591</v>
      </c>
      <c r="C221" s="247" t="s">
        <v>788</v>
      </c>
      <c r="D221" s="1" t="s">
        <v>788</v>
      </c>
      <c r="E221" s="1"/>
      <c r="F221" s="1"/>
      <c r="G221" s="1" t="s">
        <v>3592</v>
      </c>
      <c r="H221" s="1" t="s">
        <v>3593</v>
      </c>
      <c r="I221" s="1" t="s">
        <v>3594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4770</v>
      </c>
      <c r="AN221" s="1" t="s">
        <v>4892</v>
      </c>
      <c r="AO221" s="1" t="s">
        <v>4840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5139</v>
      </c>
      <c r="AX221" s="1" t="s">
        <v>4761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3595</v>
      </c>
      <c r="C222" s="247" t="s">
        <v>1653</v>
      </c>
      <c r="D222" s="1" t="s">
        <v>1653</v>
      </c>
      <c r="E222" s="1"/>
      <c r="F222" s="1"/>
      <c r="G222" s="1" t="s">
        <v>3596</v>
      </c>
      <c r="H222" s="1" t="s">
        <v>3597</v>
      </c>
      <c r="I222" s="1" t="s">
        <v>3598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4727</v>
      </c>
      <c r="AN222" s="1" t="s">
        <v>5196</v>
      </c>
      <c r="AO222" s="1" t="s">
        <v>5022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5170</v>
      </c>
      <c r="AX222" s="1" t="s">
        <v>4761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3599</v>
      </c>
      <c r="C223" s="247" t="s">
        <v>752</v>
      </c>
      <c r="D223" s="1" t="s">
        <v>3600</v>
      </c>
      <c r="E223" s="1"/>
      <c r="F223" s="1"/>
      <c r="G223" s="1" t="s">
        <v>3601</v>
      </c>
      <c r="H223" s="1" t="s">
        <v>3602</v>
      </c>
      <c r="I223" s="1" t="s">
        <v>3603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4798</v>
      </c>
      <c r="AN223" s="1" t="s">
        <v>389</v>
      </c>
      <c r="AO223" s="1" t="s">
        <v>5192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5197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3604</v>
      </c>
      <c r="C224" s="247" t="s">
        <v>5640</v>
      </c>
      <c r="D224" s="1" t="s">
        <v>237</v>
      </c>
      <c r="E224" s="1"/>
      <c r="F224" s="1"/>
      <c r="G224" s="1" t="s">
        <v>3605</v>
      </c>
      <c r="H224" s="1" t="s">
        <v>3606</v>
      </c>
      <c r="I224" s="1" t="s">
        <v>3607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4724</v>
      </c>
      <c r="AN224" s="1" t="s">
        <v>355</v>
      </c>
      <c r="AO224" s="1" t="s">
        <v>5198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5079</v>
      </c>
      <c r="AX224" s="1" t="s">
        <v>4761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3608</v>
      </c>
      <c r="C225" s="247" t="s">
        <v>184</v>
      </c>
      <c r="D225" s="1" t="s">
        <v>184</v>
      </c>
      <c r="E225" s="1"/>
      <c r="F225" s="1"/>
      <c r="G225" s="1" t="s">
        <v>3609</v>
      </c>
      <c r="H225" s="1" t="s">
        <v>3610</v>
      </c>
      <c r="I225" s="1" t="s">
        <v>3611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4770</v>
      </c>
      <c r="AN225" s="1" t="s">
        <v>4842</v>
      </c>
      <c r="AO225" s="1" t="s">
        <v>4834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5199</v>
      </c>
      <c r="AX225" s="1" t="s">
        <v>5191</v>
      </c>
      <c r="AY225" s="1">
        <v>3</v>
      </c>
      <c r="AZ225" s="1">
        <v>0</v>
      </c>
      <c r="BA225" s="1" t="s">
        <v>329</v>
      </c>
      <c r="BB225" s="1" t="s">
        <v>5200</v>
      </c>
      <c r="BC225" s="1" t="s">
        <v>4728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3612</v>
      </c>
      <c r="C226" s="247" t="s">
        <v>185</v>
      </c>
      <c r="D226" s="1" t="s">
        <v>185</v>
      </c>
      <c r="E226" s="1"/>
      <c r="F226" s="1"/>
      <c r="G226" s="1" t="s">
        <v>3613</v>
      </c>
      <c r="H226" s="1" t="s">
        <v>3614</v>
      </c>
      <c r="I226" s="1" t="s">
        <v>3615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4770</v>
      </c>
      <c r="AN226" s="1" t="s">
        <v>4892</v>
      </c>
      <c r="AO226" s="1" t="s">
        <v>4853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5186</v>
      </c>
      <c r="AX226" s="1" t="s">
        <v>5201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3616</v>
      </c>
      <c r="C227" s="247" t="s">
        <v>1654</v>
      </c>
      <c r="D227" s="1" t="s">
        <v>1654</v>
      </c>
      <c r="E227" s="1"/>
      <c r="F227" s="1"/>
      <c r="G227" s="1" t="s">
        <v>3617</v>
      </c>
      <c r="H227" s="1" t="s">
        <v>3618</v>
      </c>
      <c r="I227" s="1" t="s">
        <v>3619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5202</v>
      </c>
      <c r="AK227" s="1" t="s">
        <v>329</v>
      </c>
      <c r="AL227" s="1">
        <v>13</v>
      </c>
      <c r="AM227" s="1" t="s">
        <v>1814</v>
      </c>
      <c r="AN227" s="1" t="s">
        <v>5183</v>
      </c>
      <c r="AO227" s="1" t="s">
        <v>5094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5203</v>
      </c>
      <c r="AX227" s="1" t="s">
        <v>5191</v>
      </c>
      <c r="AY227" s="1">
        <v>3</v>
      </c>
      <c r="AZ227" s="1">
        <v>0</v>
      </c>
      <c r="BA227" s="1" t="s">
        <v>329</v>
      </c>
      <c r="BB227" s="1" t="s">
        <v>4852</v>
      </c>
      <c r="BC227" s="1" t="s">
        <v>4765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3620</v>
      </c>
      <c r="C228" s="247" t="s">
        <v>186</v>
      </c>
      <c r="D228" s="1" t="s">
        <v>3621</v>
      </c>
      <c r="E228" s="1"/>
      <c r="F228" s="1"/>
      <c r="G228" s="1" t="s">
        <v>3622</v>
      </c>
      <c r="H228" s="1" t="s">
        <v>3623</v>
      </c>
      <c r="I228" s="1" t="s">
        <v>3624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1814</v>
      </c>
      <c r="AN228" s="1" t="s">
        <v>5204</v>
      </c>
      <c r="AO228" s="1" t="s">
        <v>5074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5205</v>
      </c>
      <c r="AX228" s="1" t="s">
        <v>4770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3625</v>
      </c>
      <c r="C229" s="247" t="s">
        <v>238</v>
      </c>
      <c r="D229" s="1" t="s">
        <v>3626</v>
      </c>
      <c r="E229" s="1"/>
      <c r="F229" s="1"/>
      <c r="G229" s="1" t="s">
        <v>3627</v>
      </c>
      <c r="H229" s="1" t="s">
        <v>3628</v>
      </c>
      <c r="I229" s="1" t="s">
        <v>3629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4798</v>
      </c>
      <c r="AN229" s="1" t="s">
        <v>5206</v>
      </c>
      <c r="AO229" s="1" t="s">
        <v>5038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5207</v>
      </c>
      <c r="AX229" s="1" t="s">
        <v>5208</v>
      </c>
      <c r="AY229" s="1">
        <v>5</v>
      </c>
      <c r="AZ229" s="1">
        <v>0</v>
      </c>
      <c r="BA229" s="1" t="s">
        <v>329</v>
      </c>
      <c r="BB229" s="1" t="s">
        <v>5209</v>
      </c>
      <c r="BC229" s="1" t="s">
        <v>4791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3630</v>
      </c>
      <c r="C230" s="247" t="s">
        <v>187</v>
      </c>
      <c r="D230" s="1" t="s">
        <v>3631</v>
      </c>
      <c r="E230" s="1"/>
      <c r="F230" s="1"/>
      <c r="G230" s="1" t="s">
        <v>3632</v>
      </c>
      <c r="H230" s="1" t="s">
        <v>3633</v>
      </c>
      <c r="I230" s="1" t="s">
        <v>3634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4770</v>
      </c>
      <c r="AN230" s="1" t="s">
        <v>4842</v>
      </c>
      <c r="AO230" s="1" t="s">
        <v>4840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5205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3635</v>
      </c>
      <c r="C231" s="247" t="s">
        <v>188</v>
      </c>
      <c r="D231" s="1" t="s">
        <v>188</v>
      </c>
      <c r="E231" s="1"/>
      <c r="F231" s="1"/>
      <c r="G231" s="1" t="s">
        <v>3636</v>
      </c>
      <c r="H231" s="1" t="s">
        <v>3637</v>
      </c>
      <c r="I231" s="1" t="s">
        <v>3638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4727</v>
      </c>
      <c r="AN231" s="1" t="s">
        <v>4872</v>
      </c>
      <c r="AO231" s="1" t="s">
        <v>5177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5205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3639</v>
      </c>
      <c r="C232" s="247" t="s">
        <v>1655</v>
      </c>
      <c r="D232" s="1" t="s">
        <v>1655</v>
      </c>
      <c r="E232" s="1"/>
      <c r="F232" s="1"/>
      <c r="G232" s="1" t="s">
        <v>3640</v>
      </c>
      <c r="H232" s="1" t="s">
        <v>3641</v>
      </c>
      <c r="I232" s="1" t="s">
        <v>3642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4727</v>
      </c>
      <c r="AN232" s="1" t="s">
        <v>4872</v>
      </c>
      <c r="AO232" s="1" t="s">
        <v>5210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5205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3643</v>
      </c>
      <c r="C233" s="247" t="s">
        <v>786</v>
      </c>
      <c r="D233" s="1" t="s">
        <v>119</v>
      </c>
      <c r="E233" s="1"/>
      <c r="F233" s="1"/>
      <c r="G233" s="1" t="s">
        <v>3644</v>
      </c>
      <c r="H233" s="1" t="s">
        <v>3645</v>
      </c>
      <c r="I233" s="1" t="s">
        <v>3646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5211</v>
      </c>
      <c r="AK233" s="1" t="s">
        <v>1261</v>
      </c>
      <c r="AL233" s="1">
        <v>19</v>
      </c>
      <c r="AM233" s="1" t="s">
        <v>4866</v>
      </c>
      <c r="AN233" s="1" t="s">
        <v>5212</v>
      </c>
      <c r="AO233" s="1" t="s">
        <v>5213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5205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5214</v>
      </c>
      <c r="BC233" s="1" t="s">
        <v>4791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3647</v>
      </c>
      <c r="C234" s="247" t="s">
        <v>239</v>
      </c>
      <c r="D234" s="1" t="s">
        <v>239</v>
      </c>
      <c r="E234" s="1"/>
      <c r="F234" s="1"/>
      <c r="G234" s="1" t="s">
        <v>3648</v>
      </c>
      <c r="H234" s="1" t="s">
        <v>3649</v>
      </c>
      <c r="I234" s="1" t="s">
        <v>3650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4727</v>
      </c>
      <c r="AN234" s="1" t="s">
        <v>476</v>
      </c>
      <c r="AO234" s="1" t="s">
        <v>5215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5216</v>
      </c>
      <c r="AX234" s="1" t="s">
        <v>5191</v>
      </c>
      <c r="AY234" s="1">
        <v>3</v>
      </c>
      <c r="AZ234" s="1">
        <v>0</v>
      </c>
      <c r="BA234" s="1" t="s">
        <v>329</v>
      </c>
      <c r="BB234" s="1" t="s">
        <v>4960</v>
      </c>
      <c r="BC234" s="1" t="s">
        <v>4791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3651</v>
      </c>
      <c r="C235" s="247" t="s">
        <v>189</v>
      </c>
      <c r="D235" s="1" t="s">
        <v>189</v>
      </c>
      <c r="E235" s="1"/>
      <c r="F235" s="1"/>
      <c r="G235" s="1" t="s">
        <v>3652</v>
      </c>
      <c r="H235" s="1" t="s">
        <v>3653</v>
      </c>
      <c r="I235" s="1" t="s">
        <v>3654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4866</v>
      </c>
      <c r="AN235" s="1" t="s">
        <v>4924</v>
      </c>
      <c r="AO235" s="1" t="s">
        <v>5217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4977</v>
      </c>
      <c r="AX235" s="1" t="s">
        <v>5218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3655</v>
      </c>
      <c r="C236" s="247" t="s">
        <v>1656</v>
      </c>
      <c r="D236" s="1" t="s">
        <v>1656</v>
      </c>
      <c r="E236" s="1"/>
      <c r="F236" s="1"/>
      <c r="G236" s="1" t="s">
        <v>3656</v>
      </c>
      <c r="H236" s="1" t="s">
        <v>3657</v>
      </c>
      <c r="I236" s="1" t="s">
        <v>3658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4770</v>
      </c>
      <c r="AN236" s="1" t="s">
        <v>4837</v>
      </c>
      <c r="AO236" s="1" t="s">
        <v>4834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5219</v>
      </c>
      <c r="AX236" s="1" t="s">
        <v>5191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3659</v>
      </c>
      <c r="C237" s="247" t="s">
        <v>197</v>
      </c>
      <c r="D237" s="1" t="s">
        <v>197</v>
      </c>
      <c r="E237" s="1"/>
      <c r="F237" s="1"/>
      <c r="G237" s="1" t="s">
        <v>3660</v>
      </c>
      <c r="H237" s="1" t="s">
        <v>3661</v>
      </c>
      <c r="I237" s="1" t="s">
        <v>3662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1814</v>
      </c>
      <c r="AN237" s="1" t="s">
        <v>5220</v>
      </c>
      <c r="AO237" s="1" t="s">
        <v>4883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5197</v>
      </c>
      <c r="AX237" s="1" t="s">
        <v>5191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3663</v>
      </c>
      <c r="C238" s="247" t="s">
        <v>838</v>
      </c>
      <c r="D238" s="1" t="s">
        <v>3664</v>
      </c>
      <c r="E238" s="1"/>
      <c r="F238" s="1"/>
      <c r="G238" s="1" t="s">
        <v>3665</v>
      </c>
      <c r="H238" s="1" t="s">
        <v>3666</v>
      </c>
      <c r="I238" s="1" t="s">
        <v>3667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4727</v>
      </c>
      <c r="AN238" s="1" t="s">
        <v>4892</v>
      </c>
      <c r="AO238" s="1" t="s">
        <v>5221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5197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3668</v>
      </c>
      <c r="C239" s="247" t="s">
        <v>1657</v>
      </c>
      <c r="D239" s="1" t="s">
        <v>1657</v>
      </c>
      <c r="E239" s="1"/>
      <c r="F239" s="1"/>
      <c r="G239" s="1" t="s">
        <v>3669</v>
      </c>
      <c r="H239" s="1" t="s">
        <v>3670</v>
      </c>
      <c r="I239" s="1" t="s">
        <v>3671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1814</v>
      </c>
      <c r="AN239" s="1" t="s">
        <v>5222</v>
      </c>
      <c r="AO239" s="1" t="s">
        <v>4940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5223</v>
      </c>
      <c r="AX239" s="1" t="s">
        <v>5224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3672</v>
      </c>
      <c r="C240" s="247" t="s">
        <v>190</v>
      </c>
      <c r="D240" s="1" t="s">
        <v>190</v>
      </c>
      <c r="E240" s="1"/>
      <c r="F240" s="1"/>
      <c r="G240" s="1" t="s">
        <v>3673</v>
      </c>
      <c r="H240" s="1" t="s">
        <v>3674</v>
      </c>
      <c r="I240" s="1" t="s">
        <v>3675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4798</v>
      </c>
      <c r="AN240" s="1" t="s">
        <v>4803</v>
      </c>
      <c r="AO240" s="1" t="s">
        <v>5074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5197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5225</v>
      </c>
      <c r="BC240" s="1" t="s">
        <v>4861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3676</v>
      </c>
      <c r="C241" s="247" t="s">
        <v>191</v>
      </c>
      <c r="D241" s="1" t="s">
        <v>191</v>
      </c>
      <c r="E241" s="1"/>
      <c r="F241" s="1"/>
      <c r="G241" s="1" t="s">
        <v>3677</v>
      </c>
      <c r="H241" s="1" t="s">
        <v>3678</v>
      </c>
      <c r="I241" s="1" t="s">
        <v>3679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4770</v>
      </c>
      <c r="AN241" s="1" t="s">
        <v>4837</v>
      </c>
      <c r="AO241" s="1" t="s">
        <v>4840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5197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3680</v>
      </c>
      <c r="C242" s="247" t="s">
        <v>192</v>
      </c>
      <c r="D242" s="1" t="s">
        <v>192</v>
      </c>
      <c r="E242" s="1"/>
      <c r="F242" s="1"/>
      <c r="G242" s="1" t="s">
        <v>3681</v>
      </c>
      <c r="H242" s="1" t="s">
        <v>3682</v>
      </c>
      <c r="I242" s="1" t="s">
        <v>3683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1814</v>
      </c>
      <c r="AN242" s="1" t="s">
        <v>5226</v>
      </c>
      <c r="AO242" s="1" t="s">
        <v>4749</v>
      </c>
      <c r="AP242" s="1">
        <v>0</v>
      </c>
      <c r="AQ242" s="1" t="s">
        <v>4750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5197</v>
      </c>
      <c r="AX242" s="1" t="s">
        <v>4770</v>
      </c>
      <c r="AY242" s="1">
        <v>4</v>
      </c>
      <c r="AZ242" s="1">
        <v>0</v>
      </c>
      <c r="BA242" s="1" t="s">
        <v>329</v>
      </c>
      <c r="BB242" s="1" t="s">
        <v>4994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3684</v>
      </c>
      <c r="C243" s="247" t="s">
        <v>240</v>
      </c>
      <c r="D243" s="1" t="s">
        <v>240</v>
      </c>
      <c r="E243" s="1"/>
      <c r="F243" s="1"/>
      <c r="G243" s="1" t="s">
        <v>3685</v>
      </c>
      <c r="H243" s="1" t="s">
        <v>3686</v>
      </c>
      <c r="I243" s="1" t="s">
        <v>3687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4866</v>
      </c>
      <c r="AN243" s="1" t="s">
        <v>5144</v>
      </c>
      <c r="AO243" s="1" t="s">
        <v>5227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5228</v>
      </c>
      <c r="AX243" s="1" t="s">
        <v>5191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3688</v>
      </c>
      <c r="C244" s="247" t="s">
        <v>200</v>
      </c>
      <c r="D244" s="1" t="s">
        <v>200</v>
      </c>
      <c r="E244" s="1"/>
      <c r="F244" s="1"/>
      <c r="G244" s="1" t="s">
        <v>3689</v>
      </c>
      <c r="H244" s="1" t="s">
        <v>3690</v>
      </c>
      <c r="I244" s="1" t="s">
        <v>3691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1814</v>
      </c>
      <c r="AN244" s="1" t="s">
        <v>5229</v>
      </c>
      <c r="AO244" s="1" t="s">
        <v>5064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5197</v>
      </c>
      <c r="AX244" s="1" t="s">
        <v>5230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3692</v>
      </c>
      <c r="C245" s="247" t="s">
        <v>198</v>
      </c>
      <c r="D245" s="1" t="s">
        <v>198</v>
      </c>
      <c r="E245" s="1"/>
      <c r="F245" s="1"/>
      <c r="G245" s="1" t="s">
        <v>3693</v>
      </c>
      <c r="H245" s="1" t="s">
        <v>3694</v>
      </c>
      <c r="I245" s="1" t="s">
        <v>3695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4798</v>
      </c>
      <c r="AN245" s="1" t="s">
        <v>5206</v>
      </c>
      <c r="AO245" s="1" t="s">
        <v>4825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5197</v>
      </c>
      <c r="AX245" s="1" t="s">
        <v>5191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3696</v>
      </c>
      <c r="C246" s="247" t="s">
        <v>199</v>
      </c>
      <c r="D246" s="1" t="s">
        <v>199</v>
      </c>
      <c r="E246" s="1"/>
      <c r="F246" s="1"/>
      <c r="G246" s="1" t="s">
        <v>3697</v>
      </c>
      <c r="H246" s="1" t="s">
        <v>3698</v>
      </c>
      <c r="I246" s="1" t="s">
        <v>3699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4770</v>
      </c>
      <c r="AN246" s="1" t="s">
        <v>4892</v>
      </c>
      <c r="AO246" s="1" t="s">
        <v>4840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5197</v>
      </c>
      <c r="AX246" s="1" t="s">
        <v>5231</v>
      </c>
      <c r="AY246" s="1">
        <v>4</v>
      </c>
      <c r="AZ246" s="1">
        <v>0</v>
      </c>
      <c r="BA246" s="1" t="s">
        <v>4751</v>
      </c>
      <c r="BB246" s="1" t="s">
        <v>329</v>
      </c>
      <c r="BC246" s="1" t="s">
        <v>4765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3700</v>
      </c>
      <c r="C247" s="247" t="s">
        <v>241</v>
      </c>
      <c r="D247" s="1" t="s">
        <v>241</v>
      </c>
      <c r="E247" s="1"/>
      <c r="F247" s="1"/>
      <c r="G247" s="1" t="s">
        <v>3701</v>
      </c>
      <c r="H247" s="1" t="s">
        <v>3702</v>
      </c>
      <c r="I247" s="1" t="s">
        <v>3703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4866</v>
      </c>
      <c r="AN247" s="1" t="s">
        <v>4992</v>
      </c>
      <c r="AO247" s="1" t="s">
        <v>5213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5197</v>
      </c>
      <c r="AX247" s="1" t="s">
        <v>5231</v>
      </c>
      <c r="AY247" s="1">
        <v>5</v>
      </c>
      <c r="AZ247" s="1">
        <v>0</v>
      </c>
      <c r="BA247" s="1" t="s">
        <v>329</v>
      </c>
      <c r="BB247" s="1" t="s">
        <v>4889</v>
      </c>
      <c r="BC247" s="1" t="s">
        <v>4728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3704</v>
      </c>
      <c r="C248" s="247" t="s">
        <v>1658</v>
      </c>
      <c r="D248" s="1" t="s">
        <v>1658</v>
      </c>
      <c r="E248" s="1"/>
      <c r="F248" s="1"/>
      <c r="G248" s="1" t="s">
        <v>3705</v>
      </c>
      <c r="H248" s="1" t="s">
        <v>3706</v>
      </c>
      <c r="I248" s="1" t="s">
        <v>3707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4866</v>
      </c>
      <c r="AN248" s="1" t="s">
        <v>4924</v>
      </c>
      <c r="AO248" s="1" t="s">
        <v>4950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5197</v>
      </c>
      <c r="AX248" s="1" t="s">
        <v>5191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3708</v>
      </c>
      <c r="C249" s="247" t="s">
        <v>242</v>
      </c>
      <c r="D249" s="1" t="s">
        <v>3709</v>
      </c>
      <c r="E249" s="1"/>
      <c r="F249" s="1"/>
      <c r="G249" s="1" t="s">
        <v>3710</v>
      </c>
      <c r="H249" s="1" t="s">
        <v>3711</v>
      </c>
      <c r="I249" s="1" t="s">
        <v>3712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4770</v>
      </c>
      <c r="AN249" s="1" t="s">
        <v>4837</v>
      </c>
      <c r="AO249" s="1" t="s">
        <v>4834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5232</v>
      </c>
      <c r="AX249" s="1" t="s">
        <v>5224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3713</v>
      </c>
      <c r="C250" s="247" t="s">
        <v>202</v>
      </c>
      <c r="D250" s="1" t="s">
        <v>202</v>
      </c>
      <c r="E250" s="1"/>
      <c r="F250" s="1"/>
      <c r="G250" s="1" t="s">
        <v>3714</v>
      </c>
      <c r="H250" s="1" t="s">
        <v>3715</v>
      </c>
      <c r="I250" s="1" t="s">
        <v>3716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4770</v>
      </c>
      <c r="AN250" s="1" t="s">
        <v>4892</v>
      </c>
      <c r="AO250" s="1" t="s">
        <v>4834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5233</v>
      </c>
      <c r="AX250" s="1" t="s">
        <v>5224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3717</v>
      </c>
      <c r="C251" s="247" t="s">
        <v>201</v>
      </c>
      <c r="D251" s="1" t="s">
        <v>201</v>
      </c>
      <c r="E251" s="1"/>
      <c r="F251" s="1"/>
      <c r="G251" s="1" t="s">
        <v>3718</v>
      </c>
      <c r="H251" s="1" t="s">
        <v>3719</v>
      </c>
      <c r="I251" s="1" t="s">
        <v>3720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4770</v>
      </c>
      <c r="AN251" s="1" t="s">
        <v>4892</v>
      </c>
      <c r="AO251" s="1" t="s">
        <v>4853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5234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3721</v>
      </c>
      <c r="C252" s="247" t="s">
        <v>203</v>
      </c>
      <c r="D252" s="1" t="s">
        <v>203</v>
      </c>
      <c r="E252" s="1"/>
      <c r="F252" s="1"/>
      <c r="G252" s="1" t="s">
        <v>3722</v>
      </c>
      <c r="H252" s="1" t="s">
        <v>3723</v>
      </c>
      <c r="I252" s="1" t="s">
        <v>3724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4727</v>
      </c>
      <c r="AN252" s="1" t="s">
        <v>466</v>
      </c>
      <c r="AO252" s="1" t="s">
        <v>4873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5235</v>
      </c>
      <c r="AX252" s="1" t="s">
        <v>5224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3725</v>
      </c>
      <c r="C253" s="247" t="s">
        <v>1659</v>
      </c>
      <c r="D253" s="1" t="s">
        <v>1659</v>
      </c>
      <c r="E253" s="1"/>
      <c r="F253" s="1"/>
      <c r="G253" s="1" t="s">
        <v>3726</v>
      </c>
      <c r="H253" s="1" t="s">
        <v>3727</v>
      </c>
      <c r="I253" s="1" t="s">
        <v>3728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4798</v>
      </c>
      <c r="AN253" s="1" t="s">
        <v>359</v>
      </c>
      <c r="AO253" s="1" t="s">
        <v>4999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5236</v>
      </c>
      <c r="AX253" s="1" t="s">
        <v>5237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3729</v>
      </c>
      <c r="C254" s="247" t="s">
        <v>1660</v>
      </c>
      <c r="D254" s="1" t="s">
        <v>1660</v>
      </c>
      <c r="E254" s="1"/>
      <c r="F254" s="1"/>
      <c r="G254" s="1" t="s">
        <v>3730</v>
      </c>
      <c r="H254" s="1" t="s">
        <v>3731</v>
      </c>
      <c r="I254" s="1" t="s">
        <v>3732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5238</v>
      </c>
      <c r="AK254" s="1" t="s">
        <v>329</v>
      </c>
      <c r="AL254" s="1">
        <v>12</v>
      </c>
      <c r="AM254" s="1" t="s">
        <v>1814</v>
      </c>
      <c r="AN254" s="1" t="s">
        <v>5239</v>
      </c>
      <c r="AO254" s="1" t="s">
        <v>4825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5234</v>
      </c>
      <c r="AX254" s="1" t="s">
        <v>4770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3733</v>
      </c>
      <c r="C255" s="247" t="s">
        <v>1661</v>
      </c>
      <c r="D255" s="1" t="s">
        <v>1661</v>
      </c>
      <c r="E255" s="1"/>
      <c r="F255" s="1"/>
      <c r="G255" s="1" t="s">
        <v>3734</v>
      </c>
      <c r="H255" s="1" t="s">
        <v>3735</v>
      </c>
      <c r="I255" s="1" t="s">
        <v>3736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4770</v>
      </c>
      <c r="AN255" s="1" t="s">
        <v>5240</v>
      </c>
      <c r="AO255" s="1" t="s">
        <v>4853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5234</v>
      </c>
      <c r="AX255" s="1" t="s">
        <v>5173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3737</v>
      </c>
      <c r="C256" s="247" t="s">
        <v>1662</v>
      </c>
      <c r="D256" s="1" t="s">
        <v>1662</v>
      </c>
      <c r="E256" s="1"/>
      <c r="F256" s="1"/>
      <c r="G256" s="1" t="s">
        <v>3738</v>
      </c>
      <c r="H256" s="1" t="s">
        <v>3739</v>
      </c>
      <c r="I256" s="1" t="s">
        <v>3740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4727</v>
      </c>
      <c r="AN256" s="1" t="s">
        <v>4842</v>
      </c>
      <c r="AO256" s="1" t="s">
        <v>5210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5234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3741</v>
      </c>
      <c r="C257" s="247" t="s">
        <v>205</v>
      </c>
      <c r="D257" s="1" t="s">
        <v>205</v>
      </c>
      <c r="E257" s="1"/>
      <c r="F257" s="1"/>
      <c r="G257" s="1" t="s">
        <v>3742</v>
      </c>
      <c r="H257" s="1" t="s">
        <v>3743</v>
      </c>
      <c r="I257" s="1" t="s">
        <v>3744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5241</v>
      </c>
      <c r="AK257" s="1" t="s">
        <v>1281</v>
      </c>
      <c r="AL257" s="1">
        <v>18</v>
      </c>
      <c r="AM257" s="1" t="s">
        <v>978</v>
      </c>
      <c r="AN257" s="1" t="s">
        <v>5242</v>
      </c>
      <c r="AO257" s="1" t="s">
        <v>4950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5234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4980</v>
      </c>
      <c r="BC257" s="1" t="s">
        <v>4777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3745</v>
      </c>
      <c r="C258" s="247" t="s">
        <v>204</v>
      </c>
      <c r="D258" s="1" t="s">
        <v>3746</v>
      </c>
      <c r="E258" s="1"/>
      <c r="F258" s="1"/>
      <c r="G258" s="1" t="s">
        <v>3747</v>
      </c>
      <c r="H258" s="1" t="s">
        <v>3748</v>
      </c>
      <c r="I258" s="1" t="s">
        <v>3749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5243</v>
      </c>
      <c r="AK258" s="1" t="s">
        <v>1282</v>
      </c>
      <c r="AL258" s="1">
        <v>17</v>
      </c>
      <c r="AM258" s="1" t="s">
        <v>4866</v>
      </c>
      <c r="AN258" s="1" t="s">
        <v>4927</v>
      </c>
      <c r="AO258" s="1" t="s">
        <v>5244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5234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3750</v>
      </c>
      <c r="C259" s="247" t="s">
        <v>206</v>
      </c>
      <c r="D259" s="1" t="s">
        <v>206</v>
      </c>
      <c r="E259" s="1"/>
      <c r="F259" s="1"/>
      <c r="G259" s="1" t="s">
        <v>3751</v>
      </c>
      <c r="H259" s="1" t="s">
        <v>3752</v>
      </c>
      <c r="I259" s="1" t="s">
        <v>3753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4727</v>
      </c>
      <c r="AN259" s="1" t="s">
        <v>4842</v>
      </c>
      <c r="AO259" s="1" t="s">
        <v>4756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5245</v>
      </c>
      <c r="AX259" s="1" t="s">
        <v>5224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3754</v>
      </c>
      <c r="C260" s="247" t="s">
        <v>207</v>
      </c>
      <c r="D260" s="1" t="s">
        <v>207</v>
      </c>
      <c r="E260" s="1"/>
      <c r="F260" s="1"/>
      <c r="G260" s="1" t="s">
        <v>3755</v>
      </c>
      <c r="H260" s="1" t="s">
        <v>3756</v>
      </c>
      <c r="I260" s="1" t="s">
        <v>3757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4770</v>
      </c>
      <c r="AN260" s="1" t="s">
        <v>4872</v>
      </c>
      <c r="AO260" s="1" t="s">
        <v>4853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5246</v>
      </c>
      <c r="AX260" s="1" t="s">
        <v>5247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3758</v>
      </c>
      <c r="C261" s="247" t="s">
        <v>208</v>
      </c>
      <c r="D261" s="1" t="s">
        <v>208</v>
      </c>
      <c r="E261" s="1"/>
      <c r="F261" s="1"/>
      <c r="G261" s="1" t="s">
        <v>3759</v>
      </c>
      <c r="H261" s="1" t="s">
        <v>3760</v>
      </c>
      <c r="I261" s="1" t="s">
        <v>3761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4798</v>
      </c>
      <c r="AN261" s="1" t="s">
        <v>5001</v>
      </c>
      <c r="AO261" s="1" t="s">
        <v>5002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5248</v>
      </c>
      <c r="AX261" s="1" t="s">
        <v>5224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3762</v>
      </c>
      <c r="C262" s="247" t="s">
        <v>1663</v>
      </c>
      <c r="D262" s="1" t="s">
        <v>1663</v>
      </c>
      <c r="E262" s="1"/>
      <c r="F262" s="1"/>
      <c r="G262" s="1" t="s">
        <v>3763</v>
      </c>
      <c r="H262" s="1" t="s">
        <v>3764</v>
      </c>
      <c r="I262" s="1" t="s">
        <v>3765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4770</v>
      </c>
      <c r="AN262" s="1" t="s">
        <v>4842</v>
      </c>
      <c r="AO262" s="1" t="s">
        <v>4834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5249</v>
      </c>
      <c r="AX262" s="1" t="s">
        <v>5250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3766</v>
      </c>
      <c r="C263" s="247" t="s">
        <v>209</v>
      </c>
      <c r="D263" s="1" t="s">
        <v>209</v>
      </c>
      <c r="E263" s="1"/>
      <c r="F263" s="1"/>
      <c r="G263" s="1" t="s">
        <v>3767</v>
      </c>
      <c r="H263" s="1" t="s">
        <v>3768</v>
      </c>
      <c r="I263" s="1" t="s">
        <v>3769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1814</v>
      </c>
      <c r="AN263" s="1" t="s">
        <v>5251</v>
      </c>
      <c r="AO263" s="1" t="s">
        <v>5252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5175</v>
      </c>
      <c r="AX263" s="1" t="s">
        <v>4770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3770</v>
      </c>
      <c r="C264" s="247" t="s">
        <v>243</v>
      </c>
      <c r="D264" s="1" t="s">
        <v>3771</v>
      </c>
      <c r="E264" s="1"/>
      <c r="F264" s="1"/>
      <c r="G264" s="1" t="s">
        <v>3772</v>
      </c>
      <c r="H264" s="1" t="s">
        <v>3773</v>
      </c>
      <c r="I264" s="1" t="s">
        <v>3774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4770</v>
      </c>
      <c r="AN264" s="1" t="s">
        <v>5253</v>
      </c>
      <c r="AO264" s="1" t="s">
        <v>4840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5175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3775</v>
      </c>
      <c r="C265" s="247" t="s">
        <v>211</v>
      </c>
      <c r="D265" s="1" t="s">
        <v>211</v>
      </c>
      <c r="E265" s="1"/>
      <c r="F265" s="1"/>
      <c r="G265" s="1" t="s">
        <v>3776</v>
      </c>
      <c r="H265" s="1" t="s">
        <v>3777</v>
      </c>
      <c r="I265" s="1" t="s">
        <v>3778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4866</v>
      </c>
      <c r="AN265" s="1" t="s">
        <v>4927</v>
      </c>
      <c r="AO265" s="1" t="s">
        <v>5254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5255</v>
      </c>
      <c r="AX265" s="1" t="s">
        <v>5256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3779</v>
      </c>
      <c r="C266" s="247" t="s">
        <v>1693</v>
      </c>
      <c r="D266" s="1" t="s">
        <v>3780</v>
      </c>
      <c r="E266" s="1"/>
      <c r="F266" s="1"/>
      <c r="G266" s="1" t="s">
        <v>3781</v>
      </c>
      <c r="H266" s="1" t="s">
        <v>3782</v>
      </c>
      <c r="I266" s="1" t="s">
        <v>3783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1814</v>
      </c>
      <c r="AN266" s="1" t="s">
        <v>5257</v>
      </c>
      <c r="AO266" s="1" t="s">
        <v>4759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5258</v>
      </c>
      <c r="AX266" s="1" t="s">
        <v>5259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3784</v>
      </c>
      <c r="C267" s="247" t="s">
        <v>244</v>
      </c>
      <c r="D267" s="1" t="s">
        <v>244</v>
      </c>
      <c r="E267" s="1"/>
      <c r="F267" s="1"/>
      <c r="G267" s="1" t="s">
        <v>3785</v>
      </c>
      <c r="H267" s="1" t="s">
        <v>3786</v>
      </c>
      <c r="I267" s="1" t="s">
        <v>3787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4770</v>
      </c>
      <c r="AN267" s="1" t="s">
        <v>4837</v>
      </c>
      <c r="AO267" s="1" t="s">
        <v>4840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5258</v>
      </c>
      <c r="AX267" s="1" t="s">
        <v>5224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3788</v>
      </c>
      <c r="C268" s="247" t="s">
        <v>213</v>
      </c>
      <c r="D268" s="1" t="s">
        <v>213</v>
      </c>
      <c r="E268" s="1"/>
      <c r="F268" s="1"/>
      <c r="G268" s="1" t="s">
        <v>3789</v>
      </c>
      <c r="H268" s="1" t="s">
        <v>3790</v>
      </c>
      <c r="I268" s="1" t="s">
        <v>3791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4727</v>
      </c>
      <c r="AN268" s="1" t="s">
        <v>5260</v>
      </c>
      <c r="AO268" s="1" t="s">
        <v>5008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5258</v>
      </c>
      <c r="AX268" s="1" t="s">
        <v>5261</v>
      </c>
      <c r="AY268" s="1">
        <v>5</v>
      </c>
      <c r="AZ268" s="1">
        <v>0</v>
      </c>
      <c r="BA268" s="1" t="s">
        <v>329</v>
      </c>
      <c r="BB268" s="1" t="s">
        <v>4914</v>
      </c>
      <c r="BC268" s="1" t="s">
        <v>4728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3792</v>
      </c>
      <c r="C269" s="247" t="s">
        <v>837</v>
      </c>
      <c r="D269" s="1" t="s">
        <v>3793</v>
      </c>
      <c r="E269" s="1"/>
      <c r="F269" s="1"/>
      <c r="G269" s="1" t="s">
        <v>3794</v>
      </c>
      <c r="H269" s="1" t="s">
        <v>3795</v>
      </c>
      <c r="I269" s="1" t="s">
        <v>3796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4866</v>
      </c>
      <c r="AN269" s="1" t="s">
        <v>4927</v>
      </c>
      <c r="AO269" s="1" t="s">
        <v>5262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5258</v>
      </c>
      <c r="AX269" s="1" t="s">
        <v>5263</v>
      </c>
      <c r="AY269" s="1">
        <v>4</v>
      </c>
      <c r="AZ269" s="1">
        <v>0</v>
      </c>
      <c r="BA269" s="1" t="s">
        <v>329</v>
      </c>
      <c r="BB269" s="1" t="s">
        <v>4889</v>
      </c>
      <c r="BC269" s="1" t="s">
        <v>4728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3797</v>
      </c>
      <c r="C270" s="247" t="s">
        <v>212</v>
      </c>
      <c r="D270" s="1" t="s">
        <v>212</v>
      </c>
      <c r="E270" s="1"/>
      <c r="F270" s="1"/>
      <c r="G270" s="1" t="s">
        <v>3798</v>
      </c>
      <c r="H270" s="1" t="s">
        <v>3799</v>
      </c>
      <c r="I270" s="1" t="s">
        <v>3800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4866</v>
      </c>
      <c r="AN270" s="1" t="s">
        <v>4945</v>
      </c>
      <c r="AO270" s="1" t="s">
        <v>5163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5258</v>
      </c>
      <c r="AX270" s="1" t="s">
        <v>5224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3801</v>
      </c>
      <c r="C271" s="247" t="s">
        <v>214</v>
      </c>
      <c r="D271" s="1" t="s">
        <v>214</v>
      </c>
      <c r="E271" s="1"/>
      <c r="F271" s="1"/>
      <c r="G271" s="1" t="s">
        <v>3802</v>
      </c>
      <c r="H271" s="1" t="s">
        <v>3803</v>
      </c>
      <c r="I271" s="1" t="s">
        <v>3804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1814</v>
      </c>
      <c r="AN271" s="1" t="s">
        <v>4966</v>
      </c>
      <c r="AO271" s="1" t="s">
        <v>4752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5264</v>
      </c>
      <c r="AX271" s="1" t="s">
        <v>5265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3805</v>
      </c>
      <c r="C272" s="247" t="s">
        <v>215</v>
      </c>
      <c r="D272" s="1" t="s">
        <v>215</v>
      </c>
      <c r="E272" s="1"/>
      <c r="F272" s="1"/>
      <c r="G272" s="1" t="s">
        <v>3806</v>
      </c>
      <c r="H272" s="1" t="s">
        <v>3807</v>
      </c>
      <c r="I272" s="1" t="s">
        <v>3808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5129</v>
      </c>
      <c r="AK272" s="1" t="s">
        <v>329</v>
      </c>
      <c r="AL272" s="1">
        <v>8</v>
      </c>
      <c r="AM272" s="1" t="s">
        <v>4724</v>
      </c>
      <c r="AN272" s="1" t="s">
        <v>335</v>
      </c>
      <c r="AO272" s="1" t="s">
        <v>5266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5267</v>
      </c>
      <c r="AX272" s="1" t="s">
        <v>5268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3809</v>
      </c>
      <c r="C273" s="247" t="s">
        <v>216</v>
      </c>
      <c r="D273" s="1" t="s">
        <v>216</v>
      </c>
      <c r="E273" s="1"/>
      <c r="F273" s="1"/>
      <c r="G273" s="1" t="s">
        <v>3810</v>
      </c>
      <c r="H273" s="1" t="s">
        <v>3811</v>
      </c>
      <c r="I273" s="1" t="s">
        <v>3812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4727</v>
      </c>
      <c r="AN273" s="1" t="s">
        <v>4837</v>
      </c>
      <c r="AO273" s="1" t="s">
        <v>4756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5269</v>
      </c>
      <c r="AX273" s="1" t="s">
        <v>5270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3813</v>
      </c>
      <c r="C274" s="247" t="s">
        <v>1664</v>
      </c>
      <c r="D274" s="1" t="s">
        <v>1664</v>
      </c>
      <c r="E274" s="1"/>
      <c r="F274" s="1"/>
      <c r="G274" s="1" t="s">
        <v>3814</v>
      </c>
      <c r="H274" s="1" t="s">
        <v>3815</v>
      </c>
      <c r="I274" s="1" t="s">
        <v>3816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4798</v>
      </c>
      <c r="AN274" s="1" t="s">
        <v>403</v>
      </c>
      <c r="AO274" s="1" t="s">
        <v>5152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5271</v>
      </c>
      <c r="AX274" s="1" t="s">
        <v>5272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3817</v>
      </c>
      <c r="C275" s="247" t="s">
        <v>245</v>
      </c>
      <c r="D275" s="1" t="s">
        <v>3818</v>
      </c>
      <c r="E275" s="1"/>
      <c r="F275" s="1"/>
      <c r="G275" s="1" t="s">
        <v>3819</v>
      </c>
      <c r="H275" s="1" t="s">
        <v>3820</v>
      </c>
      <c r="I275" s="1" t="s">
        <v>3821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4724</v>
      </c>
      <c r="AN275" s="1" t="s">
        <v>335</v>
      </c>
      <c r="AO275" s="1" t="s">
        <v>5198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5273</v>
      </c>
      <c r="AX275" s="1" t="s">
        <v>5274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3822</v>
      </c>
      <c r="C276" s="247" t="s">
        <v>1665</v>
      </c>
      <c r="D276" s="1" t="s">
        <v>1665</v>
      </c>
      <c r="E276" s="1"/>
      <c r="F276" s="1"/>
      <c r="G276" s="1" t="s">
        <v>3823</v>
      </c>
      <c r="H276" s="1" t="s">
        <v>3824</v>
      </c>
      <c r="I276" s="1" t="s">
        <v>3825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5275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5273</v>
      </c>
      <c r="AX276" s="1" t="s">
        <v>5276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3826</v>
      </c>
      <c r="C277" s="247" t="s">
        <v>217</v>
      </c>
      <c r="D277" s="1" t="s">
        <v>217</v>
      </c>
      <c r="E277" s="1"/>
      <c r="F277" s="1"/>
      <c r="G277" s="1" t="s">
        <v>3827</v>
      </c>
      <c r="H277" s="1" t="s">
        <v>3828</v>
      </c>
      <c r="I277" s="1" t="s">
        <v>3829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4724</v>
      </c>
      <c r="AN277" s="1" t="s">
        <v>471</v>
      </c>
      <c r="AO277" s="1" t="s">
        <v>4817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5273</v>
      </c>
      <c r="AX277" s="1" t="s">
        <v>4727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3830</v>
      </c>
      <c r="C278" s="247" t="s">
        <v>218</v>
      </c>
      <c r="D278" s="1" t="s">
        <v>3831</v>
      </c>
      <c r="E278" s="1"/>
      <c r="F278" s="1"/>
      <c r="G278" s="1" t="s">
        <v>3832</v>
      </c>
      <c r="H278" s="1" t="s">
        <v>3833</v>
      </c>
      <c r="I278" s="1" t="s">
        <v>3834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5277</v>
      </c>
      <c r="AK278" s="1" t="s">
        <v>329</v>
      </c>
      <c r="AL278" s="1">
        <v>13</v>
      </c>
      <c r="AM278" s="1" t="s">
        <v>4770</v>
      </c>
      <c r="AN278" s="1" t="s">
        <v>4892</v>
      </c>
      <c r="AO278" s="1" t="s">
        <v>4834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5278</v>
      </c>
      <c r="AX278" s="1" t="s">
        <v>5279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3835</v>
      </c>
      <c r="C279" s="247" t="s">
        <v>1666</v>
      </c>
      <c r="D279" s="1" t="s">
        <v>1666</v>
      </c>
      <c r="E279" s="1"/>
      <c r="F279" s="1"/>
      <c r="G279" s="1" t="s">
        <v>3836</v>
      </c>
      <c r="H279" s="1" t="s">
        <v>3837</v>
      </c>
      <c r="I279" s="1" t="s">
        <v>3838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1814</v>
      </c>
      <c r="AN279" s="1" t="s">
        <v>5280</v>
      </c>
      <c r="AO279" s="1" t="s">
        <v>5074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5281</v>
      </c>
      <c r="AX279" s="1" t="s">
        <v>4770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3839</v>
      </c>
      <c r="C280" s="247" t="s">
        <v>1667</v>
      </c>
      <c r="D280" s="1" t="s">
        <v>3840</v>
      </c>
      <c r="E280" s="1"/>
      <c r="F280" s="1"/>
      <c r="G280" s="1" t="s">
        <v>3841</v>
      </c>
      <c r="H280" s="1" t="s">
        <v>3842</v>
      </c>
      <c r="I280" s="1" t="s">
        <v>3843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5282</v>
      </c>
      <c r="AK280" s="1" t="s">
        <v>329</v>
      </c>
      <c r="AL280" s="1">
        <v>13</v>
      </c>
      <c r="AM280" s="1" t="s">
        <v>4798</v>
      </c>
      <c r="AN280" s="1" t="s">
        <v>4796</v>
      </c>
      <c r="AO280" s="1" t="s">
        <v>5126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5281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3844</v>
      </c>
      <c r="C281" s="247" t="s">
        <v>246</v>
      </c>
      <c r="D281" s="1" t="s">
        <v>246</v>
      </c>
      <c r="E281" s="1"/>
      <c r="F281" s="1"/>
      <c r="G281" s="1" t="s">
        <v>3845</v>
      </c>
      <c r="H281" s="1" t="s">
        <v>3846</v>
      </c>
      <c r="I281" s="1" t="s">
        <v>3847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4727</v>
      </c>
      <c r="AN281" s="1" t="s">
        <v>4837</v>
      </c>
      <c r="AO281" s="1" t="s">
        <v>5141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5281</v>
      </c>
      <c r="AX281" s="1" t="s">
        <v>5025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3848</v>
      </c>
      <c r="C282" s="247" t="s">
        <v>1668</v>
      </c>
      <c r="D282" s="1" t="s">
        <v>1668</v>
      </c>
      <c r="E282" s="1"/>
      <c r="F282" s="1"/>
      <c r="G282" s="1" t="s">
        <v>3849</v>
      </c>
      <c r="H282" s="1" t="s">
        <v>3850</v>
      </c>
      <c r="I282" s="1" t="s">
        <v>3851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4727</v>
      </c>
      <c r="AN282" s="1" t="s">
        <v>4837</v>
      </c>
      <c r="AO282" s="1" t="s">
        <v>4873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5281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3852</v>
      </c>
      <c r="C283" s="247" t="s">
        <v>791</v>
      </c>
      <c r="D283" s="1" t="s">
        <v>3853</v>
      </c>
      <c r="E283" s="1"/>
      <c r="F283" s="1"/>
      <c r="G283" s="1" t="s">
        <v>3854</v>
      </c>
      <c r="H283" s="1" t="s">
        <v>3855</v>
      </c>
      <c r="I283" s="1" t="s">
        <v>3856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4727</v>
      </c>
      <c r="AN283" s="1" t="s">
        <v>4842</v>
      </c>
      <c r="AO283" s="1" t="s">
        <v>5141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5283</v>
      </c>
      <c r="AX283" s="1" t="s">
        <v>5284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3857</v>
      </c>
      <c r="C284" s="247" t="s">
        <v>792</v>
      </c>
      <c r="D284" s="1" t="s">
        <v>3858</v>
      </c>
      <c r="E284" s="1"/>
      <c r="F284" s="1"/>
      <c r="G284" s="1" t="s">
        <v>3859</v>
      </c>
      <c r="H284" s="1" t="s">
        <v>3860</v>
      </c>
      <c r="I284" s="1" t="s">
        <v>3861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4727</v>
      </c>
      <c r="AN284" s="1" t="s">
        <v>4872</v>
      </c>
      <c r="AO284" s="1" t="s">
        <v>5177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5285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3862</v>
      </c>
      <c r="C285" s="247" t="s">
        <v>1694</v>
      </c>
      <c r="D285" s="1" t="s">
        <v>3863</v>
      </c>
      <c r="E285" s="1"/>
      <c r="F285" s="1"/>
      <c r="G285" s="1" t="s">
        <v>3864</v>
      </c>
      <c r="H285" s="1" t="s">
        <v>3865</v>
      </c>
      <c r="I285" s="1" t="s">
        <v>3866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4798</v>
      </c>
      <c r="AN285" s="1" t="s">
        <v>389</v>
      </c>
      <c r="AO285" s="1" t="s">
        <v>5002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5286</v>
      </c>
      <c r="AX285" s="1" t="s">
        <v>5287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3867</v>
      </c>
      <c r="C286" s="247" t="s">
        <v>1669</v>
      </c>
      <c r="D286" s="1" t="s">
        <v>1669</v>
      </c>
      <c r="E286" s="1"/>
      <c r="F286" s="1"/>
      <c r="G286" s="1" t="s">
        <v>3868</v>
      </c>
      <c r="H286" s="1" t="s">
        <v>3869</v>
      </c>
      <c r="I286" s="1" t="s">
        <v>3870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5288</v>
      </c>
      <c r="AO286" s="1" t="s">
        <v>5289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5290</v>
      </c>
      <c r="AX286" s="1" t="s">
        <v>5173</v>
      </c>
      <c r="AY286" s="1">
        <v>5</v>
      </c>
      <c r="AZ286" s="1">
        <v>0</v>
      </c>
      <c r="BA286" s="1" t="s">
        <v>329</v>
      </c>
      <c r="BB286" s="1" t="s">
        <v>4980</v>
      </c>
      <c r="BC286" s="1" t="s">
        <v>5157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3871</v>
      </c>
      <c r="C287" s="247" t="s">
        <v>1670</v>
      </c>
      <c r="D287" s="1" t="s">
        <v>1670</v>
      </c>
      <c r="E287" s="1"/>
      <c r="F287" s="1"/>
      <c r="G287" s="1" t="s">
        <v>3872</v>
      </c>
      <c r="H287" s="1" t="s">
        <v>3873</v>
      </c>
      <c r="I287" s="1" t="s">
        <v>3874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5291</v>
      </c>
      <c r="AK287" s="1" t="s">
        <v>1315</v>
      </c>
      <c r="AL287" s="1">
        <v>13</v>
      </c>
      <c r="AM287" s="1" t="s">
        <v>4727</v>
      </c>
      <c r="AN287" s="1" t="s">
        <v>4872</v>
      </c>
      <c r="AO287" s="1" t="s">
        <v>5176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5290</v>
      </c>
      <c r="AX287" s="1" t="s">
        <v>5173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3875</v>
      </c>
      <c r="C288" s="247" t="s">
        <v>793</v>
      </c>
      <c r="D288" s="1" t="s">
        <v>793</v>
      </c>
      <c r="E288" s="1"/>
      <c r="F288" s="1"/>
      <c r="G288" s="1" t="s">
        <v>3876</v>
      </c>
      <c r="H288" s="1" t="s">
        <v>3877</v>
      </c>
      <c r="I288" s="1" t="s">
        <v>3878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1814</v>
      </c>
      <c r="AN288" s="1" t="s">
        <v>5292</v>
      </c>
      <c r="AO288" s="1" t="s">
        <v>5085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5290</v>
      </c>
      <c r="AX288" s="1" t="s">
        <v>5293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3879</v>
      </c>
      <c r="C289" s="247" t="s">
        <v>794</v>
      </c>
      <c r="D289" s="1" t="s">
        <v>3880</v>
      </c>
      <c r="E289" s="1"/>
      <c r="F289" s="1"/>
      <c r="G289" s="1" t="s">
        <v>3881</v>
      </c>
      <c r="H289" s="1" t="s">
        <v>3882</v>
      </c>
      <c r="I289" s="1" t="s">
        <v>3883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4798</v>
      </c>
      <c r="AN289" s="1" t="s">
        <v>5206</v>
      </c>
      <c r="AO289" s="1" t="s">
        <v>5294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5290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3884</v>
      </c>
      <c r="C290" s="247" t="s">
        <v>795</v>
      </c>
      <c r="D290" s="1" t="s">
        <v>795</v>
      </c>
      <c r="E290" s="1"/>
      <c r="F290" s="1"/>
      <c r="G290" s="1" t="s">
        <v>3885</v>
      </c>
      <c r="H290" s="1" t="s">
        <v>3886</v>
      </c>
      <c r="I290" s="1" t="s">
        <v>3887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1814</v>
      </c>
      <c r="AN290" s="1" t="s">
        <v>5295</v>
      </c>
      <c r="AO290" s="1" t="s">
        <v>5027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5290</v>
      </c>
      <c r="AX290" s="1" t="s">
        <v>5296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3888</v>
      </c>
      <c r="C291" s="247" t="s">
        <v>796</v>
      </c>
      <c r="D291" s="1" t="s">
        <v>796</v>
      </c>
      <c r="E291" s="1"/>
      <c r="F291" s="1"/>
      <c r="G291" s="1" t="s">
        <v>3889</v>
      </c>
      <c r="H291" s="1" t="s">
        <v>3890</v>
      </c>
      <c r="I291" s="1" t="s">
        <v>3891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4727</v>
      </c>
      <c r="AN291" s="1" t="s">
        <v>4837</v>
      </c>
      <c r="AO291" s="1" t="s">
        <v>4873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5290</v>
      </c>
      <c r="AX291" s="1" t="s">
        <v>5297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3892</v>
      </c>
      <c r="C292" s="247" t="s">
        <v>797</v>
      </c>
      <c r="D292" s="1" t="s">
        <v>3893</v>
      </c>
      <c r="E292" s="1"/>
      <c r="F292" s="1"/>
      <c r="G292" s="1" t="s">
        <v>3894</v>
      </c>
      <c r="H292" s="1" t="s">
        <v>3895</v>
      </c>
      <c r="I292" s="1" t="s">
        <v>3896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4904</v>
      </c>
      <c r="AK292" s="1" t="s">
        <v>329</v>
      </c>
      <c r="AL292" s="1">
        <v>13</v>
      </c>
      <c r="AM292" s="1" t="s">
        <v>4798</v>
      </c>
      <c r="AN292" s="1" t="s">
        <v>465</v>
      </c>
      <c r="AO292" s="1" t="s">
        <v>5088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5298</v>
      </c>
      <c r="AX292" s="1" t="s">
        <v>5299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3897</v>
      </c>
      <c r="C293" s="247" t="s">
        <v>247</v>
      </c>
      <c r="D293" s="1" t="s">
        <v>247</v>
      </c>
      <c r="E293" s="1"/>
      <c r="F293" s="1"/>
      <c r="G293" s="1" t="s">
        <v>3898</v>
      </c>
      <c r="H293" s="1" t="s">
        <v>3899</v>
      </c>
      <c r="I293" s="1" t="s">
        <v>3900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5300</v>
      </c>
      <c r="AK293" s="1" t="s">
        <v>329</v>
      </c>
      <c r="AL293" s="1">
        <v>8</v>
      </c>
      <c r="AM293" s="1" t="s">
        <v>4724</v>
      </c>
      <c r="AN293" s="1" t="s">
        <v>399</v>
      </c>
      <c r="AO293" s="1" t="s">
        <v>5076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5301</v>
      </c>
      <c r="AX293" s="1" t="s">
        <v>5302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3901</v>
      </c>
      <c r="C294" s="247" t="s">
        <v>798</v>
      </c>
      <c r="D294" s="1" t="s">
        <v>798</v>
      </c>
      <c r="E294" s="1"/>
      <c r="F294" s="1"/>
      <c r="G294" s="1" t="s">
        <v>3902</v>
      </c>
      <c r="H294" s="1" t="s">
        <v>3903</v>
      </c>
      <c r="I294" s="1" t="s">
        <v>3904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4930</v>
      </c>
      <c r="AK294" s="1" t="s">
        <v>329</v>
      </c>
      <c r="AL294" s="1">
        <v>18</v>
      </c>
      <c r="AM294" s="1" t="s">
        <v>4866</v>
      </c>
      <c r="AN294" s="1" t="s">
        <v>4939</v>
      </c>
      <c r="AO294" s="1" t="s">
        <v>4952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5303</v>
      </c>
      <c r="AX294" s="1" t="s">
        <v>5304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3905</v>
      </c>
      <c r="C295" s="247" t="s">
        <v>1671</v>
      </c>
      <c r="D295" s="1" t="s">
        <v>1671</v>
      </c>
      <c r="E295" s="1"/>
      <c r="F295" s="1"/>
      <c r="G295" s="1" t="s">
        <v>3906</v>
      </c>
      <c r="H295" s="1" t="s">
        <v>3907</v>
      </c>
      <c r="I295" s="1" t="s">
        <v>3908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4798</v>
      </c>
      <c r="AN295" s="1" t="s">
        <v>403</v>
      </c>
      <c r="AO295" s="1" t="s">
        <v>5305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5306</v>
      </c>
      <c r="AX295" s="1" t="s">
        <v>5307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3909</v>
      </c>
      <c r="C296" s="247" t="s">
        <v>1611</v>
      </c>
      <c r="D296" s="1" t="s">
        <v>3910</v>
      </c>
      <c r="E296" s="1"/>
      <c r="F296" s="1"/>
      <c r="G296" s="1" t="s">
        <v>3911</v>
      </c>
      <c r="H296" s="1" t="s">
        <v>3912</v>
      </c>
      <c r="I296" s="1" t="s">
        <v>3913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5308</v>
      </c>
      <c r="AO296" s="1" t="s">
        <v>4746</v>
      </c>
      <c r="AP296" s="1">
        <v>0</v>
      </c>
      <c r="AQ296" s="1" t="s">
        <v>1207</v>
      </c>
      <c r="AR296" s="1" t="s">
        <v>5068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5309</v>
      </c>
      <c r="AX296" s="1" t="s">
        <v>5310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3914</v>
      </c>
      <c r="C297" s="247" t="s">
        <v>1672</v>
      </c>
      <c r="D297" s="1" t="s">
        <v>3915</v>
      </c>
      <c r="E297" s="1"/>
      <c r="F297" s="1"/>
      <c r="G297" s="1" t="s">
        <v>3916</v>
      </c>
      <c r="H297" s="1" t="s">
        <v>3917</v>
      </c>
      <c r="I297" s="1" t="s">
        <v>3918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1814</v>
      </c>
      <c r="AN297" s="1" t="s">
        <v>5311</v>
      </c>
      <c r="AO297" s="1" t="s">
        <v>4962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5312</v>
      </c>
      <c r="AX297" s="1" t="s">
        <v>4770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3919</v>
      </c>
      <c r="C298" s="247" t="s">
        <v>799</v>
      </c>
      <c r="D298" s="1" t="s">
        <v>799</v>
      </c>
      <c r="E298" s="1"/>
      <c r="F298" s="1"/>
      <c r="G298" s="1" t="s">
        <v>3920</v>
      </c>
      <c r="H298" s="1" t="s">
        <v>3921</v>
      </c>
      <c r="I298" s="1" t="s">
        <v>3922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4798</v>
      </c>
      <c r="AN298" s="1" t="s">
        <v>5313</v>
      </c>
      <c r="AO298" s="1" t="s">
        <v>4922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5312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3923</v>
      </c>
      <c r="C299" s="247" t="s">
        <v>800</v>
      </c>
      <c r="D299" s="1" t="s">
        <v>800</v>
      </c>
      <c r="E299" s="1"/>
      <c r="F299" s="1"/>
      <c r="G299" s="1" t="s">
        <v>3924</v>
      </c>
      <c r="H299" s="1" t="s">
        <v>3925</v>
      </c>
      <c r="I299" s="1" t="s">
        <v>3926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4770</v>
      </c>
      <c r="AN299" s="1" t="s">
        <v>465</v>
      </c>
      <c r="AO299" s="1" t="s">
        <v>4840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5312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3927</v>
      </c>
      <c r="C300" s="247" t="s">
        <v>1673</v>
      </c>
      <c r="D300" s="1" t="s">
        <v>1673</v>
      </c>
      <c r="E300" s="1"/>
      <c r="F300" s="1"/>
      <c r="G300" s="1" t="s">
        <v>3928</v>
      </c>
      <c r="H300" s="1" t="s">
        <v>3929</v>
      </c>
      <c r="I300" s="1" t="s">
        <v>3930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5314</v>
      </c>
      <c r="AK300" s="1" t="s">
        <v>1326</v>
      </c>
      <c r="AL300" s="1">
        <v>18</v>
      </c>
      <c r="AM300" s="1" t="s">
        <v>399</v>
      </c>
      <c r="AN300" s="1" t="s">
        <v>5315</v>
      </c>
      <c r="AO300" s="1" t="s">
        <v>5177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5312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3931</v>
      </c>
      <c r="C301" s="247" t="s">
        <v>1674</v>
      </c>
      <c r="D301" s="1" t="s">
        <v>1674</v>
      </c>
      <c r="E301" s="1"/>
      <c r="F301" s="1"/>
      <c r="G301" s="1" t="s">
        <v>3932</v>
      </c>
      <c r="H301" s="1" t="s">
        <v>3933</v>
      </c>
      <c r="I301" s="1" t="s">
        <v>3934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4866</v>
      </c>
      <c r="AN301" s="1" t="s">
        <v>5242</v>
      </c>
      <c r="AO301" s="1" t="s">
        <v>5316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5312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3935</v>
      </c>
      <c r="C302" s="247" t="s">
        <v>801</v>
      </c>
      <c r="D302" s="1" t="s">
        <v>801</v>
      </c>
      <c r="E302" s="1"/>
      <c r="F302" s="1"/>
      <c r="G302" s="1" t="s">
        <v>3936</v>
      </c>
      <c r="H302" s="1" t="s">
        <v>3937</v>
      </c>
      <c r="I302" s="1" t="s">
        <v>3938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4770</v>
      </c>
      <c r="AN302" s="1" t="s">
        <v>4892</v>
      </c>
      <c r="AO302" s="1" t="s">
        <v>4834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5317</v>
      </c>
      <c r="AX302" s="1" t="s">
        <v>5318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3939</v>
      </c>
      <c r="C303" s="247" t="s">
        <v>802</v>
      </c>
      <c r="D303" s="1" t="s">
        <v>3940</v>
      </c>
      <c r="E303" s="1"/>
      <c r="F303" s="1"/>
      <c r="G303" s="1" t="s">
        <v>3941</v>
      </c>
      <c r="H303" s="1" t="s">
        <v>3942</v>
      </c>
      <c r="I303" s="1" t="s">
        <v>3943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1814</v>
      </c>
      <c r="AN303" s="1" t="s">
        <v>5319</v>
      </c>
      <c r="AO303" s="1" t="s">
        <v>4817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5320</v>
      </c>
      <c r="AX303" s="1" t="s">
        <v>5321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3944</v>
      </c>
      <c r="C304" s="247" t="s">
        <v>803</v>
      </c>
      <c r="D304" s="1" t="s">
        <v>3945</v>
      </c>
      <c r="E304" s="1"/>
      <c r="F304" s="1"/>
      <c r="G304" s="1" t="s">
        <v>3946</v>
      </c>
      <c r="H304" s="1" t="s">
        <v>3947</v>
      </c>
      <c r="I304" s="1" t="s">
        <v>3948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1814</v>
      </c>
      <c r="AN304" s="1" t="s">
        <v>5322</v>
      </c>
      <c r="AO304" s="1" t="s">
        <v>4749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5323</v>
      </c>
      <c r="AX304" s="1" t="s">
        <v>4770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3949</v>
      </c>
      <c r="C305" s="247" t="s">
        <v>804</v>
      </c>
      <c r="D305" s="1" t="s">
        <v>804</v>
      </c>
      <c r="E305" s="1"/>
      <c r="F305" s="1"/>
      <c r="G305" s="1" t="s">
        <v>3950</v>
      </c>
      <c r="H305" s="1" t="s">
        <v>3951</v>
      </c>
      <c r="I305" s="1" t="s">
        <v>3952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5206</v>
      </c>
      <c r="AO305" s="1" t="s">
        <v>5324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5325</v>
      </c>
      <c r="AX305" s="1" t="s">
        <v>5326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3953</v>
      </c>
      <c r="C306" s="247" t="s">
        <v>1675</v>
      </c>
      <c r="D306" s="1" t="s">
        <v>3954</v>
      </c>
      <c r="E306" s="1"/>
      <c r="F306" s="1"/>
      <c r="G306" s="1" t="s">
        <v>3955</v>
      </c>
      <c r="H306" s="1" t="s">
        <v>3956</v>
      </c>
      <c r="I306" s="1" t="s">
        <v>3957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4770</v>
      </c>
      <c r="AN306" s="1" t="s">
        <v>5121</v>
      </c>
      <c r="AO306" s="1" t="s">
        <v>4853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5323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3958</v>
      </c>
      <c r="C307" s="247" t="s">
        <v>1676</v>
      </c>
      <c r="D307" s="1" t="s">
        <v>1676</v>
      </c>
      <c r="E307" s="1"/>
      <c r="F307" s="1"/>
      <c r="G307" s="1" t="s">
        <v>3959</v>
      </c>
      <c r="H307" s="1" t="s">
        <v>3960</v>
      </c>
      <c r="I307" s="1" t="s">
        <v>3961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4727</v>
      </c>
      <c r="AN307" s="1" t="s">
        <v>5260</v>
      </c>
      <c r="AO307" s="1" t="s">
        <v>5177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5323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3962</v>
      </c>
      <c r="C308" s="247" t="s">
        <v>1677</v>
      </c>
      <c r="D308" s="1" t="s">
        <v>3963</v>
      </c>
      <c r="E308" s="1"/>
      <c r="F308" s="1"/>
      <c r="G308" s="1" t="s">
        <v>3964</v>
      </c>
      <c r="H308" s="1" t="s">
        <v>3965</v>
      </c>
      <c r="I308" s="1" t="s">
        <v>3966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4727</v>
      </c>
      <c r="AN308" s="1" t="s">
        <v>4842</v>
      </c>
      <c r="AO308" s="1" t="s">
        <v>5327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5328</v>
      </c>
      <c r="AX308" s="1" t="s">
        <v>5329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3967</v>
      </c>
      <c r="C309" s="247" t="s">
        <v>841</v>
      </c>
      <c r="D309" s="1" t="s">
        <v>3968</v>
      </c>
      <c r="E309" s="1"/>
      <c r="F309" s="1"/>
      <c r="G309" s="1" t="s">
        <v>3969</v>
      </c>
      <c r="H309" s="1" t="s">
        <v>3970</v>
      </c>
      <c r="I309" s="1" t="s">
        <v>3971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5330</v>
      </c>
      <c r="AK309" s="1" t="s">
        <v>1336</v>
      </c>
      <c r="AL309" s="1">
        <v>13</v>
      </c>
      <c r="AM309" s="1" t="s">
        <v>4798</v>
      </c>
      <c r="AN309" s="1" t="s">
        <v>4803</v>
      </c>
      <c r="AO309" s="1" t="s">
        <v>4883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5331</v>
      </c>
      <c r="AX309" s="1" t="s">
        <v>5332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3972</v>
      </c>
      <c r="C310" s="247" t="s">
        <v>805</v>
      </c>
      <c r="D310" s="1" t="s">
        <v>805</v>
      </c>
      <c r="E310" s="1"/>
      <c r="F310" s="1"/>
      <c r="G310" s="1" t="s">
        <v>3973</v>
      </c>
      <c r="H310" s="1" t="s">
        <v>3974</v>
      </c>
      <c r="I310" s="1" t="s">
        <v>3975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4770</v>
      </c>
      <c r="AN310" s="1" t="s">
        <v>4781</v>
      </c>
      <c r="AO310" s="1" t="s">
        <v>4853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5331</v>
      </c>
      <c r="AX310" s="1" t="s">
        <v>5052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3976</v>
      </c>
      <c r="C311" s="247" t="s">
        <v>806</v>
      </c>
      <c r="D311" s="1" t="s">
        <v>806</v>
      </c>
      <c r="E311" s="1"/>
      <c r="F311" s="1"/>
      <c r="G311" s="1" t="s">
        <v>3977</v>
      </c>
      <c r="H311" s="1" t="s">
        <v>3978</v>
      </c>
      <c r="I311" s="1" t="s">
        <v>3979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4832</v>
      </c>
      <c r="AP311" s="1">
        <v>0</v>
      </c>
      <c r="AQ311" s="1" t="s">
        <v>1147</v>
      </c>
      <c r="AR311" s="1" t="s">
        <v>1148</v>
      </c>
      <c r="AS311" s="1" t="s">
        <v>4847</v>
      </c>
      <c r="AT311" s="1" t="s">
        <v>329</v>
      </c>
      <c r="AU311" s="1">
        <v>200</v>
      </c>
      <c r="AV311" s="1">
        <v>0</v>
      </c>
      <c r="AW311" s="1" t="s">
        <v>5331</v>
      </c>
      <c r="AX311" s="1" t="s">
        <v>5052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3980</v>
      </c>
      <c r="C312" s="247" t="s">
        <v>807</v>
      </c>
      <c r="D312" s="1" t="s">
        <v>807</v>
      </c>
      <c r="E312" s="1"/>
      <c r="F312" s="1"/>
      <c r="G312" s="1" t="s">
        <v>3981</v>
      </c>
      <c r="H312" s="1" t="s">
        <v>3982</v>
      </c>
      <c r="I312" s="1" t="s">
        <v>3983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4727</v>
      </c>
      <c r="AN312" s="1" t="s">
        <v>4872</v>
      </c>
      <c r="AO312" s="1" t="s">
        <v>5098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5331</v>
      </c>
      <c r="AX312" s="1" t="s">
        <v>5334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3984</v>
      </c>
      <c r="C313" s="247" t="s">
        <v>808</v>
      </c>
      <c r="D313" s="1" t="s">
        <v>808</v>
      </c>
      <c r="E313" s="1"/>
      <c r="F313" s="1"/>
      <c r="G313" s="1" t="s">
        <v>3985</v>
      </c>
      <c r="H313" s="1" t="s">
        <v>3986</v>
      </c>
      <c r="I313" s="1" t="s">
        <v>3987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5335</v>
      </c>
      <c r="AK313" s="1" t="s">
        <v>1342</v>
      </c>
      <c r="AL313" s="1">
        <v>17</v>
      </c>
      <c r="AM313" s="1" t="s">
        <v>4866</v>
      </c>
      <c r="AN313" s="1" t="s">
        <v>5336</v>
      </c>
      <c r="AO313" s="1" t="s">
        <v>5122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5331</v>
      </c>
      <c r="AX313" s="1" t="s">
        <v>5334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3988</v>
      </c>
      <c r="C314" s="247" t="s">
        <v>809</v>
      </c>
      <c r="D314" s="1" t="s">
        <v>3989</v>
      </c>
      <c r="E314" s="1"/>
      <c r="F314" s="1"/>
      <c r="G314" s="1" t="s">
        <v>3990</v>
      </c>
      <c r="H314" s="1" t="s">
        <v>3991</v>
      </c>
      <c r="I314" s="1" t="s">
        <v>3992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4770</v>
      </c>
      <c r="AN314" s="1" t="s">
        <v>4837</v>
      </c>
      <c r="AO314" s="1" t="s">
        <v>4834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5337</v>
      </c>
      <c r="AX314" s="1" t="s">
        <v>5338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3993</v>
      </c>
      <c r="C315" s="247" t="s">
        <v>810</v>
      </c>
      <c r="D315" s="1" t="s">
        <v>3994</v>
      </c>
      <c r="E315" s="1"/>
      <c r="F315" s="1"/>
      <c r="G315" s="1" t="s">
        <v>3995</v>
      </c>
      <c r="H315" s="1" t="s">
        <v>3996</v>
      </c>
      <c r="I315" s="1" t="s">
        <v>3997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4724</v>
      </c>
      <c r="AN315" s="1" t="s">
        <v>335</v>
      </c>
      <c r="AO315" s="1" t="s">
        <v>5076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5339</v>
      </c>
      <c r="AX315" s="1" t="s">
        <v>5340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3998</v>
      </c>
      <c r="C316" s="247" t="s">
        <v>1678</v>
      </c>
      <c r="D316" s="1" t="s">
        <v>1678</v>
      </c>
      <c r="E316" s="1"/>
      <c r="F316" s="1"/>
      <c r="G316" s="1" t="s">
        <v>3999</v>
      </c>
      <c r="H316" s="1" t="s">
        <v>4000</v>
      </c>
      <c r="I316" s="1" t="s">
        <v>4001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1814</v>
      </c>
      <c r="AN316" s="1" t="s">
        <v>4955</v>
      </c>
      <c r="AO316" s="1" t="s">
        <v>5088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5341</v>
      </c>
      <c r="AX316" s="1" t="s">
        <v>5342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4002</v>
      </c>
      <c r="C317" s="247" t="s">
        <v>811</v>
      </c>
      <c r="D317" s="1" t="s">
        <v>811</v>
      </c>
      <c r="E317" s="1"/>
      <c r="F317" s="1"/>
      <c r="G317" s="1" t="s">
        <v>4003</v>
      </c>
      <c r="H317" s="1" t="s">
        <v>4004</v>
      </c>
      <c r="I317" s="1" t="s">
        <v>4005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4724</v>
      </c>
      <c r="AN317" s="1" t="s">
        <v>5343</v>
      </c>
      <c r="AO317" s="1" t="s">
        <v>4950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5344</v>
      </c>
      <c r="AX317" s="1" t="s">
        <v>4727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4006</v>
      </c>
      <c r="C318" s="247" t="s">
        <v>812</v>
      </c>
      <c r="D318" s="1" t="s">
        <v>4007</v>
      </c>
      <c r="E318" s="1"/>
      <c r="F318" s="1"/>
      <c r="G318" s="1" t="s">
        <v>4008</v>
      </c>
      <c r="H318" s="1" t="s">
        <v>4009</v>
      </c>
      <c r="I318" s="1" t="s">
        <v>4010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5345</v>
      </c>
      <c r="AK318" s="1" t="s">
        <v>1349</v>
      </c>
      <c r="AL318" s="1">
        <v>9</v>
      </c>
      <c r="AM318" s="1" t="s">
        <v>4724</v>
      </c>
      <c r="AN318" s="1" t="s">
        <v>5346</v>
      </c>
      <c r="AO318" s="1" t="s">
        <v>5198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5344</v>
      </c>
      <c r="AX318" s="1" t="s">
        <v>4727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4011</v>
      </c>
      <c r="C319" s="247" t="s">
        <v>1679</v>
      </c>
      <c r="D319" s="1" t="s">
        <v>1679</v>
      </c>
      <c r="E319" s="1"/>
      <c r="F319" s="1"/>
      <c r="G319" s="1" t="s">
        <v>4012</v>
      </c>
      <c r="H319" s="1" t="s">
        <v>4013</v>
      </c>
      <c r="I319" s="1" t="s">
        <v>4014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5347</v>
      </c>
      <c r="AK319" s="1" t="s">
        <v>329</v>
      </c>
      <c r="AL319" s="1">
        <v>8</v>
      </c>
      <c r="AM319" s="1" t="s">
        <v>4724</v>
      </c>
      <c r="AN319" s="1" t="s">
        <v>5348</v>
      </c>
      <c r="AO319" s="1" t="s">
        <v>4832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5344</v>
      </c>
      <c r="AX319" s="1" t="s">
        <v>4727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4015</v>
      </c>
      <c r="C320" s="247" t="s">
        <v>813</v>
      </c>
      <c r="D320" s="1" t="s">
        <v>813</v>
      </c>
      <c r="E320" s="1"/>
      <c r="F320" s="1"/>
      <c r="G320" s="1" t="s">
        <v>4016</v>
      </c>
      <c r="H320" s="1" t="s">
        <v>4017</v>
      </c>
      <c r="I320" s="1" t="s">
        <v>4018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5349</v>
      </c>
      <c r="AK320" s="1" t="s">
        <v>1350</v>
      </c>
      <c r="AL320" s="1">
        <v>8</v>
      </c>
      <c r="AM320" s="1" t="s">
        <v>388</v>
      </c>
      <c r="AN320" s="1" t="s">
        <v>5350</v>
      </c>
      <c r="AO320" s="1" t="s">
        <v>4746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5344</v>
      </c>
      <c r="AX320" s="1" t="s">
        <v>4727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4019</v>
      </c>
      <c r="C321" s="247" t="s">
        <v>1680</v>
      </c>
      <c r="D321" s="1" t="s">
        <v>1680</v>
      </c>
      <c r="E321" s="1"/>
      <c r="F321" s="1"/>
      <c r="G321" s="1" t="s">
        <v>4020</v>
      </c>
      <c r="H321" s="1" t="s">
        <v>4021</v>
      </c>
      <c r="I321" s="1" t="s">
        <v>4022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5351</v>
      </c>
      <c r="AK321" s="1" t="s">
        <v>329</v>
      </c>
      <c r="AL321" s="1">
        <v>12</v>
      </c>
      <c r="AM321" s="1" t="s">
        <v>1814</v>
      </c>
      <c r="AN321" s="1" t="s">
        <v>5352</v>
      </c>
      <c r="AO321" s="1" t="s">
        <v>5353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5354</v>
      </c>
      <c r="AX321" s="1" t="s">
        <v>5355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4023</v>
      </c>
      <c r="C322" s="247" t="s">
        <v>1681</v>
      </c>
      <c r="D322" s="1" t="s">
        <v>1681</v>
      </c>
      <c r="E322" s="1"/>
      <c r="F322" s="1"/>
      <c r="G322" s="1" t="s">
        <v>4024</v>
      </c>
      <c r="H322" s="1" t="s">
        <v>4025</v>
      </c>
      <c r="I322" s="1" t="s">
        <v>4026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5356</v>
      </c>
      <c r="AK322" s="1" t="s">
        <v>1351</v>
      </c>
      <c r="AL322" s="1">
        <v>13</v>
      </c>
      <c r="AM322" s="1" t="s">
        <v>399</v>
      </c>
      <c r="AN322" s="1" t="s">
        <v>5357</v>
      </c>
      <c r="AO322" s="1" t="s">
        <v>5177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5358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4027</v>
      </c>
      <c r="C323" s="247" t="s">
        <v>814</v>
      </c>
      <c r="D323" s="1" t="s">
        <v>814</v>
      </c>
      <c r="E323" s="1"/>
      <c r="F323" s="1"/>
      <c r="G323" s="1" t="s">
        <v>4028</v>
      </c>
      <c r="H323" s="1" t="s">
        <v>4029</v>
      </c>
      <c r="I323" s="1" t="s">
        <v>4030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5359</v>
      </c>
      <c r="AK323" s="1" t="s">
        <v>1352</v>
      </c>
      <c r="AL323" s="1">
        <v>14</v>
      </c>
      <c r="AM323" s="1" t="s">
        <v>4770</v>
      </c>
      <c r="AN323" s="1" t="s">
        <v>5260</v>
      </c>
      <c r="AO323" s="1" t="s">
        <v>4853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5358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4031</v>
      </c>
      <c r="C324" s="247" t="s">
        <v>1682</v>
      </c>
      <c r="D324" s="1" t="s">
        <v>1682</v>
      </c>
      <c r="E324" s="1"/>
      <c r="F324" s="1"/>
      <c r="G324" s="1" t="s">
        <v>4032</v>
      </c>
      <c r="H324" s="1" t="s">
        <v>4033</v>
      </c>
      <c r="I324" s="1" t="s">
        <v>4034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5360</v>
      </c>
      <c r="AK324" s="1" t="s">
        <v>1353</v>
      </c>
      <c r="AL324" s="1">
        <v>13</v>
      </c>
      <c r="AM324" s="1" t="s">
        <v>4727</v>
      </c>
      <c r="AN324" s="1" t="s">
        <v>4892</v>
      </c>
      <c r="AO324" s="1" t="s">
        <v>4893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5358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4035</v>
      </c>
      <c r="C325" s="247" t="s">
        <v>815</v>
      </c>
      <c r="D325" s="1" t="s">
        <v>815</v>
      </c>
      <c r="E325" s="1"/>
      <c r="F325" s="1"/>
      <c r="G325" s="1" t="s">
        <v>4036</v>
      </c>
      <c r="H325" s="1" t="s">
        <v>4037</v>
      </c>
      <c r="I325" s="1" t="s">
        <v>4038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1814</v>
      </c>
      <c r="AN325" s="1" t="s">
        <v>5361</v>
      </c>
      <c r="AO325" s="1" t="s">
        <v>5362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5363</v>
      </c>
      <c r="AX325" s="1" t="s">
        <v>5364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4039</v>
      </c>
      <c r="C326" s="247" t="s">
        <v>816</v>
      </c>
      <c r="D326" s="1" t="s">
        <v>816</v>
      </c>
      <c r="E326" s="1"/>
      <c r="F326" s="1"/>
      <c r="G326" s="1" t="s">
        <v>4040</v>
      </c>
      <c r="H326" s="1" t="s">
        <v>4041</v>
      </c>
      <c r="I326" s="1" t="s">
        <v>4042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1814</v>
      </c>
      <c r="AN326" s="1" t="s">
        <v>5365</v>
      </c>
      <c r="AO326" s="1" t="s">
        <v>5002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5363</v>
      </c>
      <c r="AX326" s="1" t="s">
        <v>5066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4043</v>
      </c>
      <c r="C327" s="247" t="s">
        <v>817</v>
      </c>
      <c r="D327" s="1" t="s">
        <v>817</v>
      </c>
      <c r="E327" s="1"/>
      <c r="F327" s="1"/>
      <c r="G327" s="1" t="s">
        <v>4044</v>
      </c>
      <c r="H327" s="1" t="s">
        <v>4045</v>
      </c>
      <c r="I327" s="1" t="s">
        <v>4046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4798</v>
      </c>
      <c r="AN327" s="1" t="s">
        <v>4801</v>
      </c>
      <c r="AO327" s="1" t="s">
        <v>5366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5363</v>
      </c>
      <c r="AX327" s="1" t="s">
        <v>5367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4047</v>
      </c>
      <c r="C328" s="247" t="s">
        <v>818</v>
      </c>
      <c r="D328" s="1" t="s">
        <v>4048</v>
      </c>
      <c r="E328" s="1"/>
      <c r="F328" s="1"/>
      <c r="G328" s="1" t="s">
        <v>4049</v>
      </c>
      <c r="H328" s="1" t="s">
        <v>4050</v>
      </c>
      <c r="I328" s="1" t="s">
        <v>4051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4770</v>
      </c>
      <c r="AN328" s="1" t="s">
        <v>5368</v>
      </c>
      <c r="AO328" s="1" t="s">
        <v>4853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5363</v>
      </c>
      <c r="AX328" s="1" t="s">
        <v>5066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4052</v>
      </c>
      <c r="C329" s="247" t="s">
        <v>819</v>
      </c>
      <c r="D329" s="1" t="s">
        <v>819</v>
      </c>
      <c r="E329" s="1"/>
      <c r="F329" s="1"/>
      <c r="G329" s="1" t="s">
        <v>4053</v>
      </c>
      <c r="H329" s="1" t="s">
        <v>4054</v>
      </c>
      <c r="I329" s="1" t="s">
        <v>4055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5369</v>
      </c>
      <c r="AK329" s="1" t="s">
        <v>1360</v>
      </c>
      <c r="AL329" s="1">
        <v>13</v>
      </c>
      <c r="AM329" s="1" t="s">
        <v>332</v>
      </c>
      <c r="AN329" s="1" t="s">
        <v>4872</v>
      </c>
      <c r="AO329" s="1" t="s">
        <v>5110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5363</v>
      </c>
      <c r="AX329" s="1" t="s">
        <v>5364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4056</v>
      </c>
      <c r="C330" s="247" t="s">
        <v>1683</v>
      </c>
      <c r="D330" s="1" t="s">
        <v>1683</v>
      </c>
      <c r="E330" s="1"/>
      <c r="F330" s="1"/>
      <c r="G330" s="1" t="s">
        <v>4057</v>
      </c>
      <c r="H330" s="1" t="s">
        <v>4058</v>
      </c>
      <c r="I330" s="1" t="s">
        <v>4059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5370</v>
      </c>
      <c r="AK330" s="1" t="s">
        <v>1361</v>
      </c>
      <c r="AL330" s="1">
        <v>12</v>
      </c>
      <c r="AM330" s="1" t="s">
        <v>4798</v>
      </c>
      <c r="AN330" s="1" t="s">
        <v>5206</v>
      </c>
      <c r="AO330" s="1" t="s">
        <v>4911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5371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4060</v>
      </c>
      <c r="C331" s="247" t="s">
        <v>895</v>
      </c>
      <c r="D331" s="1" t="s">
        <v>4061</v>
      </c>
      <c r="E331" s="1"/>
      <c r="F331" s="1"/>
      <c r="G331" s="1" t="s">
        <v>4062</v>
      </c>
      <c r="H331" s="1" t="s">
        <v>4063</v>
      </c>
      <c r="I331" s="1" t="s">
        <v>4064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5372</v>
      </c>
      <c r="AO331" s="1" t="s">
        <v>4840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5371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4065</v>
      </c>
      <c r="C332" s="247" t="s">
        <v>894</v>
      </c>
      <c r="D332" s="1" t="s">
        <v>4066</v>
      </c>
      <c r="E332" s="1"/>
      <c r="F332" s="1"/>
      <c r="G332" s="1" t="s">
        <v>4067</v>
      </c>
      <c r="H332" s="1" t="s">
        <v>4068</v>
      </c>
      <c r="I332" s="1" t="s">
        <v>4069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5373</v>
      </c>
      <c r="AK332" s="1" t="s">
        <v>1363</v>
      </c>
      <c r="AL332" s="1">
        <v>13</v>
      </c>
      <c r="AM332" s="1" t="s">
        <v>4727</v>
      </c>
      <c r="AN332" s="1" t="s">
        <v>5374</v>
      </c>
      <c r="AO332" s="1" t="s">
        <v>5221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5371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4070</v>
      </c>
      <c r="C333" s="247" t="s">
        <v>1684</v>
      </c>
      <c r="D333" s="1" t="s">
        <v>1684</v>
      </c>
      <c r="E333" s="1"/>
      <c r="F333" s="1"/>
      <c r="G333" s="1" t="s">
        <v>4071</v>
      </c>
      <c r="H333" s="1" t="s">
        <v>4072</v>
      </c>
      <c r="I333" s="1" t="s">
        <v>4073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4866</v>
      </c>
      <c r="AN333" s="1" t="s">
        <v>5375</v>
      </c>
      <c r="AO333" s="1" t="s">
        <v>5376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5371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4074</v>
      </c>
      <c r="C334" s="247" t="s">
        <v>1685</v>
      </c>
      <c r="D334" s="1" t="s">
        <v>1685</v>
      </c>
      <c r="E334" s="1"/>
      <c r="F334" s="1"/>
      <c r="G334" s="1" t="s">
        <v>4075</v>
      </c>
      <c r="H334" s="1" t="s">
        <v>4076</v>
      </c>
      <c r="I334" s="1" t="s">
        <v>4077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4727</v>
      </c>
      <c r="AN334" s="1" t="s">
        <v>4842</v>
      </c>
      <c r="AO334" s="1" t="s">
        <v>5010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5377</v>
      </c>
      <c r="AX334" s="1" t="s">
        <v>5378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4078</v>
      </c>
      <c r="C335" s="247" t="s">
        <v>1709</v>
      </c>
      <c r="D335" s="1" t="s">
        <v>1709</v>
      </c>
      <c r="E335" s="1"/>
      <c r="F335" s="1"/>
      <c r="G335" s="1" t="s">
        <v>4079</v>
      </c>
      <c r="H335" s="1" t="s">
        <v>4080</v>
      </c>
      <c r="I335" s="1" t="s">
        <v>4081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5379</v>
      </c>
      <c r="AO335" s="1" t="s">
        <v>5380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5381</v>
      </c>
      <c r="AX335" s="1" t="s">
        <v>5382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4082</v>
      </c>
      <c r="C336" s="247" t="s">
        <v>1712</v>
      </c>
      <c r="D336" s="1" t="s">
        <v>1712</v>
      </c>
      <c r="E336" s="1"/>
      <c r="F336" s="1"/>
      <c r="G336" s="1" t="s">
        <v>4083</v>
      </c>
      <c r="H336" s="1" t="s">
        <v>4084</v>
      </c>
      <c r="I336" s="1" t="s">
        <v>4085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4727</v>
      </c>
      <c r="AN336" s="1" t="s">
        <v>4872</v>
      </c>
      <c r="AO336" s="1" t="s">
        <v>5383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5381</v>
      </c>
      <c r="AX336" s="1" t="s">
        <v>5384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4086</v>
      </c>
      <c r="C337" s="247" t="s">
        <v>1715</v>
      </c>
      <c r="D337" s="1" t="s">
        <v>1715</v>
      </c>
      <c r="E337" s="1"/>
      <c r="F337" s="1"/>
      <c r="G337" s="1" t="s">
        <v>4087</v>
      </c>
      <c r="H337" s="1" t="s">
        <v>4088</v>
      </c>
      <c r="I337" s="1" t="s">
        <v>4089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4727</v>
      </c>
      <c r="AN337" s="1" t="s">
        <v>5260</v>
      </c>
      <c r="AO337" s="1" t="s">
        <v>5022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5381</v>
      </c>
      <c r="AX337" s="1" t="s">
        <v>5385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4090</v>
      </c>
      <c r="C338" s="247" t="s">
        <v>1718</v>
      </c>
      <c r="D338" s="1" t="s">
        <v>1723</v>
      </c>
      <c r="E338" s="1"/>
      <c r="F338" s="1"/>
      <c r="G338" s="1" t="s">
        <v>4091</v>
      </c>
      <c r="H338" s="1" t="s">
        <v>4092</v>
      </c>
      <c r="I338" s="1" t="s">
        <v>4093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4727</v>
      </c>
      <c r="AN338" s="1" t="s">
        <v>5196</v>
      </c>
      <c r="AO338" s="1" t="s">
        <v>5022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5381</v>
      </c>
      <c r="AX338" s="1" t="s">
        <v>5384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4094</v>
      </c>
      <c r="C339" s="247" t="s">
        <v>1721</v>
      </c>
      <c r="D339" s="1" t="s">
        <v>1721</v>
      </c>
      <c r="E339" s="1"/>
      <c r="F339" s="1"/>
      <c r="G339" s="1" t="s">
        <v>4095</v>
      </c>
      <c r="H339" s="1" t="s">
        <v>4096</v>
      </c>
      <c r="I339" s="1" t="s">
        <v>4097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4866</v>
      </c>
      <c r="AN339" s="1" t="s">
        <v>5386</v>
      </c>
      <c r="AO339" s="1" t="s">
        <v>5163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5381</v>
      </c>
      <c r="AX339" s="1" t="s">
        <v>5385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4098</v>
      </c>
      <c r="C340" s="247" t="s">
        <v>1733</v>
      </c>
      <c r="D340" s="1" t="s">
        <v>1733</v>
      </c>
      <c r="E340" s="1"/>
      <c r="F340" s="1"/>
      <c r="G340" s="1" t="s">
        <v>4099</v>
      </c>
      <c r="H340" s="1" t="s">
        <v>4100</v>
      </c>
      <c r="I340" s="1" t="s">
        <v>4101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1814</v>
      </c>
      <c r="AN340" s="1" t="s">
        <v>5387</v>
      </c>
      <c r="AO340" s="1" t="s">
        <v>4749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5388</v>
      </c>
      <c r="AX340" s="1" t="s">
        <v>4770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4102</v>
      </c>
      <c r="C341" s="247" t="s">
        <v>1735</v>
      </c>
      <c r="D341" s="1" t="s">
        <v>1735</v>
      </c>
      <c r="E341" s="1"/>
      <c r="F341" s="1"/>
      <c r="G341" s="1" t="s">
        <v>4103</v>
      </c>
      <c r="H341" s="1" t="s">
        <v>4104</v>
      </c>
      <c r="I341" s="1" t="s">
        <v>4105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5389</v>
      </c>
      <c r="AO341" s="1" t="s">
        <v>5390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5388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4106</v>
      </c>
      <c r="C342" s="247" t="s">
        <v>1738</v>
      </c>
      <c r="D342" s="1" t="s">
        <v>1738</v>
      </c>
      <c r="E342" s="1"/>
      <c r="F342" s="1"/>
      <c r="G342" s="1" t="s">
        <v>4107</v>
      </c>
      <c r="H342" s="1" t="s">
        <v>4108</v>
      </c>
      <c r="I342" s="1" t="s">
        <v>4109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4770</v>
      </c>
      <c r="AN342" s="1" t="s">
        <v>5391</v>
      </c>
      <c r="AO342" s="1" t="s">
        <v>4853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5388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4110</v>
      </c>
      <c r="C343" s="247" t="s">
        <v>1741</v>
      </c>
      <c r="D343" s="1" t="s">
        <v>1741</v>
      </c>
      <c r="E343" s="1"/>
      <c r="F343" s="1"/>
      <c r="G343" s="1" t="s">
        <v>4111</v>
      </c>
      <c r="H343" s="1" t="s">
        <v>4112</v>
      </c>
      <c r="I343" s="1" t="s">
        <v>4113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5392</v>
      </c>
      <c r="AO343" s="1" t="s">
        <v>5152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5388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4717</v>
      </c>
      <c r="C344" s="247" t="s">
        <v>4718</v>
      </c>
      <c r="D344" s="1" t="s">
        <v>4718</v>
      </c>
      <c r="E344" s="1"/>
      <c r="F344" s="1"/>
      <c r="G344" s="1" t="s">
        <v>4719</v>
      </c>
      <c r="H344" s="1" t="s">
        <v>4720</v>
      </c>
      <c r="I344" s="1" t="s">
        <v>4721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4722</v>
      </c>
      <c r="AK344" s="1" t="s">
        <v>4723</v>
      </c>
      <c r="AL344" s="1">
        <v>7</v>
      </c>
      <c r="AM344" s="1" t="s">
        <v>4724</v>
      </c>
      <c r="AN344" s="1" t="s">
        <v>4499</v>
      </c>
      <c r="AO344" s="1" t="s">
        <v>4725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4726</v>
      </c>
      <c r="AX344" s="1" t="s">
        <v>4727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4729</v>
      </c>
      <c r="C345" s="247" t="s">
        <v>4730</v>
      </c>
      <c r="D345" s="1" t="s">
        <v>4731</v>
      </c>
      <c r="E345" s="1"/>
      <c r="F345" s="1"/>
      <c r="G345" s="1" t="s">
        <v>4732</v>
      </c>
      <c r="H345" s="1" t="s">
        <v>4733</v>
      </c>
      <c r="I345" s="1" t="s">
        <v>4734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4735</v>
      </c>
      <c r="AK345" s="1" t="s">
        <v>329</v>
      </c>
      <c r="AL345" s="1">
        <v>8</v>
      </c>
      <c r="AM345" s="1" t="s">
        <v>4724</v>
      </c>
      <c r="AN345" s="1" t="s">
        <v>4736</v>
      </c>
      <c r="AO345" s="1" t="s">
        <v>4737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4726</v>
      </c>
      <c r="AX345" s="1" t="s">
        <v>4727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4738</v>
      </c>
      <c r="C346" s="247" t="s">
        <v>4739</v>
      </c>
      <c r="D346" s="1" t="s">
        <v>4739</v>
      </c>
      <c r="E346" s="1"/>
      <c r="F346" s="1"/>
      <c r="G346" s="1" t="s">
        <v>4740</v>
      </c>
      <c r="H346" s="1" t="s">
        <v>4741</v>
      </c>
      <c r="I346" s="1" t="s">
        <v>4742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4743</v>
      </c>
      <c r="AK346" s="1" t="s">
        <v>4744</v>
      </c>
      <c r="AL346" s="1">
        <v>13</v>
      </c>
      <c r="AM346" s="1" t="s">
        <v>388</v>
      </c>
      <c r="AN346" s="1" t="s">
        <v>4745</v>
      </c>
      <c r="AO346" s="1" t="s">
        <v>4746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4726</v>
      </c>
      <c r="AX346" s="1" t="s">
        <v>4727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5468</v>
      </c>
      <c r="C347" s="247" t="s">
        <v>5469</v>
      </c>
      <c r="D347" s="1" t="s">
        <v>5469</v>
      </c>
      <c r="E347" s="1" t="s">
        <v>329</v>
      </c>
      <c r="F347" s="1" t="s">
        <v>329</v>
      </c>
      <c r="G347" s="1" t="s">
        <v>5470</v>
      </c>
      <c r="H347" s="1" t="s">
        <v>5471</v>
      </c>
      <c r="I347" s="1" t="s">
        <v>5472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5473</v>
      </c>
      <c r="AK347" s="1" t="s">
        <v>5474</v>
      </c>
      <c r="AL347" s="1">
        <v>9</v>
      </c>
      <c r="AM347" s="1" t="s">
        <v>4724</v>
      </c>
      <c r="AN347" s="1" t="s">
        <v>5475</v>
      </c>
      <c r="AO347" s="1" t="s">
        <v>5217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4726</v>
      </c>
      <c r="AX347" s="1" t="s">
        <v>4727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5476</v>
      </c>
      <c r="C348" s="247" t="s">
        <v>5499</v>
      </c>
      <c r="D348" s="1" t="s">
        <v>5477</v>
      </c>
      <c r="E348" s="1" t="s">
        <v>329</v>
      </c>
      <c r="F348" s="1" t="s">
        <v>329</v>
      </c>
      <c r="G348" s="1" t="s">
        <v>5478</v>
      </c>
      <c r="H348" s="1" t="s">
        <v>5479</v>
      </c>
      <c r="I348" s="1" t="s">
        <v>5480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5481</v>
      </c>
      <c r="AK348" s="1" t="s">
        <v>5482</v>
      </c>
      <c r="AL348" s="1">
        <v>12</v>
      </c>
      <c r="AM348" s="1" t="s">
        <v>1814</v>
      </c>
      <c r="AN348" s="1" t="s">
        <v>5483</v>
      </c>
      <c r="AO348" s="1" t="s">
        <v>4817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5484</v>
      </c>
      <c r="AX348" s="1" t="s">
        <v>4770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5485</v>
      </c>
      <c r="C349" s="247" t="s">
        <v>5486</v>
      </c>
      <c r="D349" s="1" t="s">
        <v>5486</v>
      </c>
      <c r="E349" s="1" t="s">
        <v>329</v>
      </c>
      <c r="F349" s="1" t="s">
        <v>329</v>
      </c>
      <c r="G349" s="1" t="s">
        <v>5487</v>
      </c>
      <c r="H349" s="1" t="s">
        <v>5488</v>
      </c>
      <c r="I349" s="1" t="s">
        <v>5489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5490</v>
      </c>
      <c r="AK349" s="1" t="s">
        <v>329</v>
      </c>
      <c r="AL349" s="1">
        <v>12</v>
      </c>
      <c r="AM349" s="1" t="s">
        <v>4798</v>
      </c>
      <c r="AN349" s="1" t="s">
        <v>359</v>
      </c>
      <c r="AO349" s="1" t="s">
        <v>5152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5484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5491</v>
      </c>
      <c r="C350" s="247" t="s">
        <v>5492</v>
      </c>
      <c r="D350" s="1" t="s">
        <v>5492</v>
      </c>
      <c r="E350" s="1" t="s">
        <v>329</v>
      </c>
      <c r="F350" s="1" t="s">
        <v>329</v>
      </c>
      <c r="G350" s="1" t="s">
        <v>5493</v>
      </c>
      <c r="H350" s="1" t="s">
        <v>5494</v>
      </c>
      <c r="I350" s="1" t="s">
        <v>5495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5496</v>
      </c>
      <c r="AK350" s="1" t="s">
        <v>5497</v>
      </c>
      <c r="AL350" s="1">
        <v>14</v>
      </c>
      <c r="AM350" s="1" t="s">
        <v>4727</v>
      </c>
      <c r="AN350" s="1" t="s">
        <v>5159</v>
      </c>
      <c r="AO350" s="1" t="s">
        <v>5160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5484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5681</v>
      </c>
      <c r="C351" s="247" t="s">
        <v>5682</v>
      </c>
      <c r="D351" s="1" t="s">
        <v>5682</v>
      </c>
      <c r="E351" s="1" t="s">
        <v>329</v>
      </c>
      <c r="F351" s="1" t="s">
        <v>329</v>
      </c>
      <c r="G351" s="1" t="s">
        <v>5683</v>
      </c>
      <c r="H351" s="1" t="s">
        <v>5684</v>
      </c>
      <c r="I351" s="1" t="s">
        <v>5685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5686</v>
      </c>
      <c r="AK351" s="1" t="s">
        <v>5687</v>
      </c>
      <c r="AL351" s="1">
        <v>13</v>
      </c>
      <c r="AM351" s="1" t="s">
        <v>1814</v>
      </c>
      <c r="AN351" s="1" t="s">
        <v>5688</v>
      </c>
      <c r="AO351" s="1" t="s">
        <v>4759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5689</v>
      </c>
      <c r="AX351" s="1" t="s">
        <v>5690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5691</v>
      </c>
      <c r="C352" s="247" t="s">
        <v>5692</v>
      </c>
      <c r="D352" s="1" t="s">
        <v>5692</v>
      </c>
      <c r="E352" s="1" t="s">
        <v>329</v>
      </c>
      <c r="F352" s="1" t="s">
        <v>329</v>
      </c>
      <c r="G352" s="1" t="s">
        <v>5693</v>
      </c>
      <c r="H352" s="1" t="s">
        <v>5694</v>
      </c>
      <c r="I352" s="1" t="s">
        <v>5695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5696</v>
      </c>
      <c r="AL352" s="1">
        <v>13</v>
      </c>
      <c r="AM352" s="1" t="s">
        <v>1814</v>
      </c>
      <c r="AN352" s="1" t="s">
        <v>5697</v>
      </c>
      <c r="AO352" s="1" t="s">
        <v>5071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5689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5698</v>
      </c>
      <c r="C353" s="247" t="s">
        <v>5699</v>
      </c>
      <c r="D353" s="1" t="s">
        <v>5699</v>
      </c>
      <c r="E353" s="1" t="s">
        <v>329</v>
      </c>
      <c r="F353" s="1" t="s">
        <v>329</v>
      </c>
      <c r="G353" s="1" t="s">
        <v>5700</v>
      </c>
      <c r="H353" s="1" t="s">
        <v>5701</v>
      </c>
      <c r="I353" s="1" t="s">
        <v>5702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5703</v>
      </c>
      <c r="AK353" s="1" t="s">
        <v>5704</v>
      </c>
      <c r="AL353" s="1">
        <v>13</v>
      </c>
      <c r="AM353" s="1" t="s">
        <v>399</v>
      </c>
      <c r="AN353" s="1" t="s">
        <v>5705</v>
      </c>
      <c r="AO353" s="1" t="s">
        <v>5013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5689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5706</v>
      </c>
      <c r="C354" s="247" t="s">
        <v>5707</v>
      </c>
      <c r="D354" s="1" t="s">
        <v>5707</v>
      </c>
      <c r="E354" s="1" t="s">
        <v>329</v>
      </c>
      <c r="F354" s="1" t="s">
        <v>329</v>
      </c>
      <c r="G354" s="1" t="s">
        <v>5708</v>
      </c>
      <c r="H354" s="1" t="s">
        <v>5709</v>
      </c>
      <c r="I354" s="1" t="s">
        <v>5710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5711</v>
      </c>
      <c r="AK354" s="1" t="s">
        <v>5712</v>
      </c>
      <c r="AL354" s="1">
        <v>13</v>
      </c>
      <c r="AM354" s="1" t="s">
        <v>4770</v>
      </c>
      <c r="AN354" s="1" t="s">
        <v>5713</v>
      </c>
      <c r="AO354" s="1" t="s">
        <v>4840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5689</v>
      </c>
      <c r="AX354" s="1" t="s">
        <v>5714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5715</v>
      </c>
      <c r="C355" s="247" t="s">
        <v>5716</v>
      </c>
      <c r="D355" s="1" t="s">
        <v>5716</v>
      </c>
      <c r="E355" s="1" t="s">
        <v>329</v>
      </c>
      <c r="F355" s="1" t="s">
        <v>329</v>
      </c>
      <c r="G355" s="1" t="s">
        <v>5717</v>
      </c>
      <c r="H355" s="1" t="s">
        <v>5718</v>
      </c>
      <c r="I355" s="1" t="s">
        <v>5719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5720</v>
      </c>
      <c r="AL355" s="1">
        <v>13</v>
      </c>
      <c r="AM355" s="1" t="s">
        <v>4727</v>
      </c>
      <c r="AN355" s="1" t="s">
        <v>4872</v>
      </c>
      <c r="AO355" s="1" t="s">
        <v>5721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5689</v>
      </c>
      <c r="AX355" s="1" t="s">
        <v>5714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5722</v>
      </c>
      <c r="C356" s="247" t="s">
        <v>5723</v>
      </c>
      <c r="D356" s="1" t="s">
        <v>5723</v>
      </c>
      <c r="E356" s="1" t="s">
        <v>329</v>
      </c>
      <c r="F356" s="1" t="s">
        <v>329</v>
      </c>
      <c r="G356" s="1" t="s">
        <v>5724</v>
      </c>
      <c r="H356" s="1" t="s">
        <v>5725</v>
      </c>
      <c r="I356" s="1" t="s">
        <v>5726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5727</v>
      </c>
      <c r="AK356" s="1" t="s">
        <v>5728</v>
      </c>
      <c r="AL356" s="1">
        <v>18</v>
      </c>
      <c r="AM356" s="1" t="s">
        <v>4866</v>
      </c>
      <c r="AN356" s="1" t="s">
        <v>4945</v>
      </c>
      <c r="AO356" s="1" t="s">
        <v>5019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5689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6391</v>
      </c>
      <c r="C357" s="247" t="s">
        <v>2143</v>
      </c>
      <c r="D357" s="1" t="s">
        <v>2143</v>
      </c>
      <c r="E357" s="1" t="s">
        <v>329</v>
      </c>
      <c r="F357" s="1" t="s">
        <v>329</v>
      </c>
      <c r="G357" s="1" t="s">
        <v>6392</v>
      </c>
      <c r="H357" s="1" t="s">
        <v>6393</v>
      </c>
      <c r="I357" s="1" t="s">
        <v>6394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6395</v>
      </c>
      <c r="AK357" s="1" t="s">
        <v>6396</v>
      </c>
      <c r="AL357" s="1">
        <v>13</v>
      </c>
      <c r="AM357" s="1" t="s">
        <v>399</v>
      </c>
      <c r="AN357" s="1" t="s">
        <v>6397</v>
      </c>
      <c r="AO357" s="1" t="s">
        <v>5177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6398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6399</v>
      </c>
      <c r="C358" s="247" t="s">
        <v>6400</v>
      </c>
      <c r="D358" s="1" t="s">
        <v>6400</v>
      </c>
      <c r="E358" s="1" t="s">
        <v>329</v>
      </c>
      <c r="F358" s="1" t="s">
        <v>329</v>
      </c>
      <c r="G358" s="1" t="s">
        <v>6401</v>
      </c>
      <c r="H358" s="1" t="s">
        <v>6402</v>
      </c>
      <c r="I358" s="1" t="s">
        <v>6403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6404</v>
      </c>
      <c r="AK358" s="1" t="s">
        <v>6405</v>
      </c>
      <c r="AL358" s="1">
        <v>8</v>
      </c>
      <c r="AM358" s="1" t="s">
        <v>399</v>
      </c>
      <c r="AN358" s="1" t="s">
        <v>6406</v>
      </c>
      <c r="AO358" s="1" t="s">
        <v>5177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6398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6407</v>
      </c>
      <c r="C359" s="247" t="s">
        <v>6408</v>
      </c>
      <c r="D359" s="1" t="s">
        <v>6408</v>
      </c>
      <c r="E359" s="1" t="s">
        <v>329</v>
      </c>
      <c r="F359" s="1" t="s">
        <v>329</v>
      </c>
      <c r="G359" s="1" t="s">
        <v>6409</v>
      </c>
      <c r="H359" s="1" t="s">
        <v>6410</v>
      </c>
      <c r="I359" s="1" t="s">
        <v>6411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6412</v>
      </c>
      <c r="AK359" s="1" t="s">
        <v>329</v>
      </c>
      <c r="AL359" s="1">
        <v>13</v>
      </c>
      <c r="AM359" s="1" t="s">
        <v>4727</v>
      </c>
      <c r="AN359" s="1" t="s">
        <v>4837</v>
      </c>
      <c r="AO359" s="1" t="s">
        <v>6413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6398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6574</v>
      </c>
      <c r="C360" s="248" t="s">
        <v>6575</v>
      </c>
      <c r="D360" t="s">
        <v>6575</v>
      </c>
      <c r="E360" t="s">
        <v>329</v>
      </c>
      <c r="F360" t="s">
        <v>329</v>
      </c>
      <c r="G360" t="s">
        <v>6576</v>
      </c>
      <c r="H360" t="s">
        <v>6577</v>
      </c>
      <c r="I360" t="s">
        <v>6578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6579</v>
      </c>
      <c r="AK360" t="s">
        <v>6580</v>
      </c>
      <c r="AL360">
        <v>8</v>
      </c>
      <c r="AM360" t="s">
        <v>388</v>
      </c>
      <c r="AN360" t="s">
        <v>6581</v>
      </c>
      <c r="AO360" t="s">
        <v>6582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6583</v>
      </c>
      <c r="AX360" t="s">
        <v>4727</v>
      </c>
      <c r="AY360">
        <v>5</v>
      </c>
      <c r="AZ360">
        <v>0</v>
      </c>
      <c r="BA360" t="s">
        <v>329</v>
      </c>
      <c r="BB360" t="s">
        <v>329</v>
      </c>
      <c r="BC360" t="s">
        <v>4747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6584</v>
      </c>
      <c r="C361" s="248" t="s">
        <v>6585</v>
      </c>
      <c r="D361" t="s">
        <v>6585</v>
      </c>
      <c r="E361" t="s">
        <v>329</v>
      </c>
      <c r="F361" t="s">
        <v>329</v>
      </c>
      <c r="G361" t="s">
        <v>6586</v>
      </c>
      <c r="H361" t="s">
        <v>6587</v>
      </c>
      <c r="I361" t="s">
        <v>6588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6589</v>
      </c>
      <c r="AK361" t="s">
        <v>6590</v>
      </c>
      <c r="AL361">
        <v>9</v>
      </c>
      <c r="AM361" t="s">
        <v>4724</v>
      </c>
      <c r="AN361" t="s">
        <v>6591</v>
      </c>
      <c r="AO361" t="s">
        <v>6592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6583</v>
      </c>
      <c r="AX361" t="s">
        <v>4727</v>
      </c>
      <c r="AY361">
        <v>5</v>
      </c>
      <c r="AZ361">
        <v>0</v>
      </c>
      <c r="BA361" t="s">
        <v>329</v>
      </c>
      <c r="BB361" t="s">
        <v>329</v>
      </c>
      <c r="BC361" t="s">
        <v>4728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6593</v>
      </c>
      <c r="C362" s="248" t="s">
        <v>6594</v>
      </c>
      <c r="D362" t="s">
        <v>6594</v>
      </c>
      <c r="E362" t="s">
        <v>329</v>
      </c>
      <c r="F362" t="s">
        <v>329</v>
      </c>
      <c r="G362" t="s">
        <v>6595</v>
      </c>
      <c r="H362" t="s">
        <v>6596</v>
      </c>
      <c r="I362" t="s">
        <v>6597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6598</v>
      </c>
      <c r="AL362">
        <v>7</v>
      </c>
      <c r="AM362" t="s">
        <v>4724</v>
      </c>
      <c r="AN362" t="s">
        <v>335</v>
      </c>
      <c r="AO362" t="s">
        <v>5076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6583</v>
      </c>
      <c r="AX362" t="s">
        <v>4727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4114</v>
      </c>
      <c r="C363" s="247" t="s">
        <v>193</v>
      </c>
      <c r="D363" s="1" t="s">
        <v>4115</v>
      </c>
      <c r="E363" s="1"/>
      <c r="F363" s="1"/>
      <c r="G363" s="1" t="s">
        <v>4116</v>
      </c>
      <c r="H363" s="1" t="s">
        <v>4117</v>
      </c>
      <c r="I363" s="1" t="s">
        <v>4118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1814</v>
      </c>
      <c r="AN363" s="1" t="s">
        <v>4970</v>
      </c>
      <c r="AO363" s="1" t="s">
        <v>5064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5393</v>
      </c>
      <c r="AX363" s="1" t="s">
        <v>1814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4119</v>
      </c>
      <c r="C364" s="247" t="s">
        <v>194</v>
      </c>
      <c r="D364" s="1" t="s">
        <v>4120</v>
      </c>
      <c r="E364" s="1"/>
      <c r="F364" s="1"/>
      <c r="G364" s="1" t="s">
        <v>4121</v>
      </c>
      <c r="H364" s="1" t="s">
        <v>4122</v>
      </c>
      <c r="I364" s="1" t="s">
        <v>4123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4724</v>
      </c>
      <c r="AN364" s="1" t="s">
        <v>399</v>
      </c>
      <c r="AO364" s="1" t="s">
        <v>5275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5393</v>
      </c>
      <c r="AX364" s="1" t="s">
        <v>1814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4124</v>
      </c>
      <c r="C365" s="247" t="s">
        <v>820</v>
      </c>
      <c r="D365" s="1" t="s">
        <v>820</v>
      </c>
      <c r="E365" s="1"/>
      <c r="F365" s="1"/>
      <c r="G365" s="1" t="s">
        <v>4125</v>
      </c>
      <c r="H365" s="1" t="s">
        <v>4126</v>
      </c>
      <c r="I365" s="1" t="s">
        <v>4127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1814</v>
      </c>
      <c r="AN365" s="1" t="s">
        <v>4755</v>
      </c>
      <c r="AO365" s="1" t="s">
        <v>5022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5395</v>
      </c>
      <c r="AX365" s="1" t="s">
        <v>5396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4128</v>
      </c>
      <c r="C366" s="247" t="s">
        <v>821</v>
      </c>
      <c r="D366" s="1" t="s">
        <v>4129</v>
      </c>
      <c r="E366" s="1"/>
      <c r="F366" s="1"/>
      <c r="G366" s="1" t="s">
        <v>4130</v>
      </c>
      <c r="H366" s="1" t="s">
        <v>4131</v>
      </c>
      <c r="I366" s="1" t="s">
        <v>4132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4770</v>
      </c>
      <c r="AN366" s="1" t="s">
        <v>5397</v>
      </c>
      <c r="AO366" s="1" t="s">
        <v>4853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5395</v>
      </c>
      <c r="AX366" s="1" t="s">
        <v>5398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4133</v>
      </c>
      <c r="C367" s="247" t="s">
        <v>822</v>
      </c>
      <c r="D367" s="1" t="s">
        <v>822</v>
      </c>
      <c r="E367" s="1"/>
      <c r="F367" s="1"/>
      <c r="G367" s="1" t="s">
        <v>4134</v>
      </c>
      <c r="H367" s="1" t="s">
        <v>4135</v>
      </c>
      <c r="I367" s="1" t="s">
        <v>4136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4770</v>
      </c>
      <c r="AN367" s="1" t="s">
        <v>5121</v>
      </c>
      <c r="AO367" s="1" t="s">
        <v>4853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5395</v>
      </c>
      <c r="AX367" s="1" t="s">
        <v>5398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4137</v>
      </c>
      <c r="C368" s="247" t="s">
        <v>823</v>
      </c>
      <c r="D368" s="1" t="s">
        <v>823</v>
      </c>
      <c r="E368" s="1"/>
      <c r="F368" s="1"/>
      <c r="G368" s="1" t="s">
        <v>4138</v>
      </c>
      <c r="H368" s="1" t="s">
        <v>4139</v>
      </c>
      <c r="I368" s="1" t="s">
        <v>4140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1814</v>
      </c>
      <c r="AN368" s="1" t="s">
        <v>4966</v>
      </c>
      <c r="AO368" s="1" t="s">
        <v>4825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5395</v>
      </c>
      <c r="AX368" s="1" t="s">
        <v>5399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4141</v>
      </c>
      <c r="C369" s="247" t="s">
        <v>824</v>
      </c>
      <c r="D369" s="1" t="s">
        <v>824</v>
      </c>
      <c r="E369" s="1"/>
      <c r="F369" s="1"/>
      <c r="G369" s="1" t="s">
        <v>4142</v>
      </c>
      <c r="H369" s="1" t="s">
        <v>4143</v>
      </c>
      <c r="I369" s="1" t="s">
        <v>4144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4727</v>
      </c>
      <c r="AN369" s="1" t="s">
        <v>476</v>
      </c>
      <c r="AO369" s="1" t="s">
        <v>5400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5395</v>
      </c>
      <c r="AX369" s="1" t="s">
        <v>5401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4145</v>
      </c>
      <c r="C370" s="247" t="s">
        <v>825</v>
      </c>
      <c r="D370" s="1" t="s">
        <v>825</v>
      </c>
      <c r="E370" s="1"/>
      <c r="F370" s="1"/>
      <c r="G370" s="1" t="s">
        <v>4146</v>
      </c>
      <c r="H370" s="1" t="s">
        <v>4147</v>
      </c>
      <c r="I370" s="1" t="s">
        <v>4148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4724</v>
      </c>
      <c r="AN370" s="1" t="s">
        <v>399</v>
      </c>
      <c r="AO370" s="1" t="s">
        <v>5402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5395</v>
      </c>
      <c r="AX370" s="1" t="s">
        <v>5399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4149</v>
      </c>
      <c r="C371" s="247" t="s">
        <v>195</v>
      </c>
      <c r="D371" s="1" t="s">
        <v>195</v>
      </c>
      <c r="E371" s="1"/>
      <c r="F371" s="1"/>
      <c r="G371" s="1" t="s">
        <v>4150</v>
      </c>
      <c r="H371" s="1" t="s">
        <v>4151</v>
      </c>
      <c r="I371" s="1" t="s">
        <v>4152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1814</v>
      </c>
      <c r="AN371" s="1" t="s">
        <v>4955</v>
      </c>
      <c r="AO371" s="1" t="s">
        <v>4825</v>
      </c>
      <c r="AP371" s="1">
        <v>0</v>
      </c>
      <c r="AQ371" s="1" t="s">
        <v>4750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5170</v>
      </c>
      <c r="AX371" s="1" t="s">
        <v>5403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4153</v>
      </c>
      <c r="C372" s="247" t="s">
        <v>196</v>
      </c>
      <c r="D372" s="1" t="s">
        <v>196</v>
      </c>
      <c r="E372" s="1"/>
      <c r="F372" s="1"/>
      <c r="G372" s="1" t="s">
        <v>4154</v>
      </c>
      <c r="H372" s="1" t="s">
        <v>4155</v>
      </c>
      <c r="I372" s="1" t="s">
        <v>4156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1814</v>
      </c>
      <c r="AN372" s="1" t="s">
        <v>4869</v>
      </c>
      <c r="AO372" s="1" t="s">
        <v>4883</v>
      </c>
      <c r="AP372" s="1">
        <v>0</v>
      </c>
      <c r="AQ372" s="1" t="s">
        <v>4750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5170</v>
      </c>
      <c r="AX372" s="1" t="s">
        <v>5399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4157</v>
      </c>
      <c r="C373" s="247" t="s">
        <v>1699</v>
      </c>
      <c r="D373" s="1" t="s">
        <v>1699</v>
      </c>
      <c r="E373" s="1"/>
      <c r="F373" s="1"/>
      <c r="G373" s="1" t="s">
        <v>4158</v>
      </c>
      <c r="H373" s="1" t="s">
        <v>4159</v>
      </c>
      <c r="I373" s="1" t="s">
        <v>4160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1814</v>
      </c>
      <c r="AN373" s="1" t="s">
        <v>4745</v>
      </c>
      <c r="AO373" s="1" t="s">
        <v>5065</v>
      </c>
      <c r="AP373" s="1">
        <v>0</v>
      </c>
      <c r="AQ373" s="1" t="s">
        <v>4750</v>
      </c>
      <c r="AR373" s="1" t="s">
        <v>1750</v>
      </c>
      <c r="AS373" s="1" t="s">
        <v>4769</v>
      </c>
      <c r="AT373" s="1" t="s">
        <v>329</v>
      </c>
      <c r="AU373" s="1">
        <v>1003</v>
      </c>
      <c r="AV373" s="1">
        <v>1</v>
      </c>
      <c r="AW373" s="1" t="s">
        <v>5404</v>
      </c>
      <c r="AX373" s="1" t="s">
        <v>5405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4161</v>
      </c>
      <c r="C374" s="247" t="s">
        <v>732</v>
      </c>
      <c r="D374" s="1" t="s">
        <v>4162</v>
      </c>
      <c r="E374" s="1"/>
      <c r="F374" s="1"/>
      <c r="G374" s="1" t="s">
        <v>4163</v>
      </c>
      <c r="H374" s="1" t="s">
        <v>4164</v>
      </c>
      <c r="I374" s="1" t="s">
        <v>4165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1814</v>
      </c>
      <c r="AN374" s="1" t="s">
        <v>5406</v>
      </c>
      <c r="AO374" s="1" t="s">
        <v>4962</v>
      </c>
      <c r="AP374" s="1">
        <v>0</v>
      </c>
      <c r="AQ374" s="1" t="s">
        <v>1125</v>
      </c>
      <c r="AR374" s="1" t="s">
        <v>1126</v>
      </c>
      <c r="AS374" s="1" t="s">
        <v>4769</v>
      </c>
      <c r="AT374" s="1" t="s">
        <v>329</v>
      </c>
      <c r="AU374" s="1">
        <v>1006</v>
      </c>
      <c r="AV374" s="1">
        <v>1</v>
      </c>
      <c r="AW374" s="1" t="s">
        <v>5404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4166</v>
      </c>
      <c r="C375" s="247" t="s">
        <v>722</v>
      </c>
      <c r="D375" s="1" t="s">
        <v>722</v>
      </c>
      <c r="E375" s="1"/>
      <c r="F375" s="1"/>
      <c r="G375" s="1" t="s">
        <v>4167</v>
      </c>
      <c r="H375" s="1" t="s">
        <v>4168</v>
      </c>
      <c r="I375" s="1" t="s">
        <v>4169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4883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5404</v>
      </c>
      <c r="AX375" s="1" t="s">
        <v>5407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4170</v>
      </c>
      <c r="C376" s="247" t="s">
        <v>737</v>
      </c>
      <c r="D376" s="1" t="s">
        <v>737</v>
      </c>
      <c r="E376" s="1"/>
      <c r="F376" s="1"/>
      <c r="G376" s="1" t="s">
        <v>4171</v>
      </c>
      <c r="H376" s="1" t="s">
        <v>4172</v>
      </c>
      <c r="I376" s="1" t="s">
        <v>4173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4770</v>
      </c>
      <c r="AN376" s="1" t="s">
        <v>4842</v>
      </c>
      <c r="AO376" s="1" t="s">
        <v>4853</v>
      </c>
      <c r="AP376" s="1">
        <v>0</v>
      </c>
      <c r="AQ376" s="1" t="s">
        <v>1147</v>
      </c>
      <c r="AR376" s="1" t="s">
        <v>1148</v>
      </c>
      <c r="AS376" s="1" t="s">
        <v>4847</v>
      </c>
      <c r="AT376" s="1" t="s">
        <v>329</v>
      </c>
      <c r="AU376" s="1">
        <v>1005</v>
      </c>
      <c r="AV376" s="1">
        <v>1</v>
      </c>
      <c r="AW376" s="1" t="s">
        <v>5404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4174</v>
      </c>
      <c r="C377" s="247" t="s">
        <v>738</v>
      </c>
      <c r="D377" s="1" t="s">
        <v>738</v>
      </c>
      <c r="E377" s="1"/>
      <c r="F377" s="1"/>
      <c r="G377" s="1" t="s">
        <v>4175</v>
      </c>
      <c r="H377" s="1" t="s">
        <v>4176</v>
      </c>
      <c r="I377" s="1" t="s">
        <v>4177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4866</v>
      </c>
      <c r="AN377" s="1" t="s">
        <v>4945</v>
      </c>
      <c r="AO377" s="1" t="s">
        <v>5163</v>
      </c>
      <c r="AP377" s="1">
        <v>0</v>
      </c>
      <c r="AQ377" s="1" t="s">
        <v>1174</v>
      </c>
      <c r="AR377" s="1" t="s">
        <v>1175</v>
      </c>
      <c r="AS377" s="1" t="s">
        <v>4920</v>
      </c>
      <c r="AT377" s="1" t="s">
        <v>329</v>
      </c>
      <c r="AU377" s="1">
        <v>238</v>
      </c>
      <c r="AV377" s="1">
        <v>1</v>
      </c>
      <c r="AW377" s="1" t="s">
        <v>5404</v>
      </c>
      <c r="AX377" s="1" t="s">
        <v>5407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4178</v>
      </c>
      <c r="C378" s="247" t="s">
        <v>736</v>
      </c>
      <c r="D378" s="1" t="s">
        <v>736</v>
      </c>
      <c r="E378" s="1"/>
      <c r="F378" s="1"/>
      <c r="G378" s="1" t="s">
        <v>4179</v>
      </c>
      <c r="H378" s="1" t="s">
        <v>4180</v>
      </c>
      <c r="I378" s="1" t="s">
        <v>4181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4724</v>
      </c>
      <c r="AN378" s="1" t="s">
        <v>4736</v>
      </c>
      <c r="AO378" s="1" t="s">
        <v>5275</v>
      </c>
      <c r="AP378" s="1">
        <v>0</v>
      </c>
      <c r="AQ378" s="1" t="s">
        <v>5075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5404</v>
      </c>
      <c r="AX378" s="1" t="s">
        <v>5408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4182</v>
      </c>
      <c r="C379" s="247" t="s">
        <v>248</v>
      </c>
      <c r="D379" s="1" t="s">
        <v>248</v>
      </c>
      <c r="E379" s="1"/>
      <c r="F379" s="1"/>
      <c r="G379" s="1" t="s">
        <v>4183</v>
      </c>
      <c r="H379" s="1" t="s">
        <v>4184</v>
      </c>
      <c r="I379" s="1" t="s">
        <v>4185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5409</v>
      </c>
      <c r="AO379" s="1" t="s">
        <v>4911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5410</v>
      </c>
      <c r="AX379" s="1" t="s">
        <v>5411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4186</v>
      </c>
      <c r="C380" s="247" t="s">
        <v>249</v>
      </c>
      <c r="D380" s="1" t="s">
        <v>249</v>
      </c>
      <c r="E380" s="1"/>
      <c r="F380" s="1"/>
      <c r="G380" s="1" t="s">
        <v>4187</v>
      </c>
      <c r="H380" s="1" t="s">
        <v>4188</v>
      </c>
      <c r="I380" s="1" t="s">
        <v>4189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4770</v>
      </c>
      <c r="AN380" s="1" t="s">
        <v>5412</v>
      </c>
      <c r="AO380" s="1" t="s">
        <v>4853</v>
      </c>
      <c r="AP380" s="1">
        <v>0</v>
      </c>
      <c r="AQ380" s="1" t="s">
        <v>1147</v>
      </c>
      <c r="AR380" s="1" t="s">
        <v>1148</v>
      </c>
      <c r="AS380" s="1" t="s">
        <v>4847</v>
      </c>
      <c r="AT380" s="1" t="s">
        <v>329</v>
      </c>
      <c r="AU380" s="1">
        <v>1005</v>
      </c>
      <c r="AV380" s="1">
        <v>1</v>
      </c>
      <c r="AW380" s="1" t="s">
        <v>5410</v>
      </c>
      <c r="AX380" s="1" t="s">
        <v>5413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4190</v>
      </c>
      <c r="C381" s="247" t="s">
        <v>250</v>
      </c>
      <c r="D381" s="1" t="s">
        <v>250</v>
      </c>
      <c r="E381" s="1"/>
      <c r="F381" s="1"/>
      <c r="G381" s="1" t="s">
        <v>4191</v>
      </c>
      <c r="H381" s="1" t="s">
        <v>4192</v>
      </c>
      <c r="I381" s="1" t="s">
        <v>4193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4724</v>
      </c>
      <c r="AN381" s="1" t="s">
        <v>5414</v>
      </c>
      <c r="AO381" s="1" t="s">
        <v>4950</v>
      </c>
      <c r="AP381" s="1">
        <v>0</v>
      </c>
      <c r="AQ381" s="1" t="s">
        <v>1207</v>
      </c>
      <c r="AR381" s="1" t="s">
        <v>5068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5410</v>
      </c>
      <c r="AX381" s="1" t="s">
        <v>5413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4194</v>
      </c>
      <c r="C382" s="247" t="s">
        <v>251</v>
      </c>
      <c r="D382" s="1" t="s">
        <v>251</v>
      </c>
      <c r="E382" s="1"/>
      <c r="F382" s="1"/>
      <c r="G382" s="1" t="s">
        <v>4195</v>
      </c>
      <c r="H382" s="1" t="s">
        <v>4196</v>
      </c>
      <c r="I382" s="1" t="s">
        <v>4197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4866</v>
      </c>
      <c r="AN382" s="1" t="s">
        <v>4945</v>
      </c>
      <c r="AO382" s="1" t="s">
        <v>5163</v>
      </c>
      <c r="AP382" s="1">
        <v>0</v>
      </c>
      <c r="AQ382" s="1" t="s">
        <v>1174</v>
      </c>
      <c r="AR382" s="1" t="s">
        <v>4919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5410</v>
      </c>
      <c r="AX382" s="1" t="s">
        <v>5415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4198</v>
      </c>
      <c r="C383" s="247" t="s">
        <v>252</v>
      </c>
      <c r="D383" s="1" t="s">
        <v>252</v>
      </c>
      <c r="E383" s="1"/>
      <c r="F383" s="1"/>
      <c r="G383" s="1" t="s">
        <v>4199</v>
      </c>
      <c r="H383" s="1" t="s">
        <v>4200</v>
      </c>
      <c r="I383" s="1" t="s">
        <v>4201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5392</v>
      </c>
      <c r="AO383" s="1" t="s">
        <v>5266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5410</v>
      </c>
      <c r="AX383" s="1" t="s">
        <v>5415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4202</v>
      </c>
      <c r="C384" s="247" t="s">
        <v>1695</v>
      </c>
      <c r="D384" s="1" t="s">
        <v>4203</v>
      </c>
      <c r="E384" s="1"/>
      <c r="F384" s="1"/>
      <c r="G384" s="1" t="s">
        <v>4204</v>
      </c>
      <c r="H384" s="1" t="s">
        <v>4205</v>
      </c>
      <c r="I384" s="1" t="s">
        <v>4206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4798</v>
      </c>
      <c r="AN384" s="1" t="s">
        <v>5001</v>
      </c>
      <c r="AO384" s="1" t="s">
        <v>5192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5416</v>
      </c>
      <c r="AX384" s="1" t="s">
        <v>5417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4207</v>
      </c>
      <c r="C385" s="247" t="s">
        <v>1696</v>
      </c>
      <c r="D385" s="1" t="s">
        <v>4208</v>
      </c>
      <c r="E385" s="1"/>
      <c r="F385" s="1"/>
      <c r="G385" s="1" t="s">
        <v>4209</v>
      </c>
      <c r="H385" s="1" t="s">
        <v>4210</v>
      </c>
      <c r="I385" s="1" t="s">
        <v>4211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4727</v>
      </c>
      <c r="AN385" s="1" t="s">
        <v>4837</v>
      </c>
      <c r="AO385" s="1" t="s">
        <v>5177</v>
      </c>
      <c r="AP385" s="1">
        <v>0</v>
      </c>
      <c r="AQ385" s="1" t="s">
        <v>1752</v>
      </c>
      <c r="AR385" s="1" t="s">
        <v>4876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5416</v>
      </c>
      <c r="AX385" s="1" t="s">
        <v>5418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4212</v>
      </c>
      <c r="C386" s="247" t="s">
        <v>1698</v>
      </c>
      <c r="D386" s="1" t="s">
        <v>4213</v>
      </c>
      <c r="E386" s="1"/>
      <c r="F386" s="1"/>
      <c r="G386" s="1" t="s">
        <v>4214</v>
      </c>
      <c r="H386" s="1" t="s">
        <v>4215</v>
      </c>
      <c r="I386" s="1" t="s">
        <v>4216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4803</v>
      </c>
      <c r="AO386" s="1" t="s">
        <v>5419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5420</v>
      </c>
      <c r="AX386" s="1" t="s">
        <v>5421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4217</v>
      </c>
      <c r="C387" s="247" t="s">
        <v>1400</v>
      </c>
      <c r="D387" s="1" t="s">
        <v>4218</v>
      </c>
      <c r="E387" s="1"/>
      <c r="F387" s="1"/>
      <c r="G387" s="1" t="s">
        <v>4219</v>
      </c>
      <c r="H387" s="1" t="s">
        <v>4220</v>
      </c>
      <c r="I387" s="1" t="s">
        <v>4221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4770</v>
      </c>
      <c r="AN387" s="1" t="s">
        <v>4842</v>
      </c>
      <c r="AO387" s="1" t="s">
        <v>4853</v>
      </c>
      <c r="AP387" s="1">
        <v>0</v>
      </c>
      <c r="AQ387" s="1" t="s">
        <v>1147</v>
      </c>
      <c r="AR387" s="1" t="s">
        <v>1148</v>
      </c>
      <c r="AS387" s="1" t="s">
        <v>4847</v>
      </c>
      <c r="AT387" s="1" t="s">
        <v>329</v>
      </c>
      <c r="AU387" s="1">
        <v>150</v>
      </c>
      <c r="AV387" s="1">
        <v>1</v>
      </c>
      <c r="AW387" s="1" t="s">
        <v>5420</v>
      </c>
      <c r="AX387" s="1" t="s">
        <v>5422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4222</v>
      </c>
      <c r="C388" s="247" t="s">
        <v>1403</v>
      </c>
      <c r="D388" s="1" t="s">
        <v>1403</v>
      </c>
      <c r="E388" s="1"/>
      <c r="F388" s="1"/>
      <c r="G388" s="1" t="s">
        <v>4223</v>
      </c>
      <c r="H388" s="1" t="s">
        <v>4224</v>
      </c>
      <c r="I388" s="1" t="s">
        <v>4225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5392</v>
      </c>
      <c r="AO388" s="1" t="s">
        <v>5266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5420</v>
      </c>
      <c r="AX388" s="1" t="s">
        <v>5423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4226</v>
      </c>
      <c r="C389" s="247" t="s">
        <v>1697</v>
      </c>
      <c r="D389" s="1" t="s">
        <v>1697</v>
      </c>
      <c r="E389" s="1"/>
      <c r="F389" s="1"/>
      <c r="G389" s="1" t="s">
        <v>4227</v>
      </c>
      <c r="H389" s="1" t="s">
        <v>4228</v>
      </c>
      <c r="I389" s="1" t="s">
        <v>4229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4866</v>
      </c>
      <c r="AN389" s="1" t="s">
        <v>4945</v>
      </c>
      <c r="AO389" s="1" t="s">
        <v>5163</v>
      </c>
      <c r="AP389" s="1">
        <v>0</v>
      </c>
      <c r="AQ389" s="1" t="s">
        <v>1174</v>
      </c>
      <c r="AR389" s="1" t="s">
        <v>4919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5420</v>
      </c>
      <c r="AX389" s="1" t="s">
        <v>5421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4230</v>
      </c>
      <c r="C390" s="247" t="s">
        <v>1407</v>
      </c>
      <c r="D390" s="1" t="s">
        <v>4231</v>
      </c>
      <c r="E390" s="1"/>
      <c r="F390" s="1"/>
      <c r="G390" s="1" t="s">
        <v>4232</v>
      </c>
      <c r="H390" s="1" t="s">
        <v>4233</v>
      </c>
      <c r="I390" s="1" t="s">
        <v>4234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4724</v>
      </c>
      <c r="AN390" s="1" t="s">
        <v>4736</v>
      </c>
      <c r="AO390" s="1" t="s">
        <v>5275</v>
      </c>
      <c r="AP390" s="1">
        <v>0</v>
      </c>
      <c r="AQ390" s="1" t="s">
        <v>1207</v>
      </c>
      <c r="AR390" s="1" t="s">
        <v>1208</v>
      </c>
      <c r="AS390" s="1" t="s">
        <v>5070</v>
      </c>
      <c r="AT390" s="1" t="s">
        <v>329</v>
      </c>
      <c r="AU390" s="1">
        <v>238</v>
      </c>
      <c r="AV390" s="1">
        <v>1</v>
      </c>
      <c r="AW390" s="1" t="s">
        <v>5420</v>
      </c>
      <c r="AX390" s="1" t="s">
        <v>5423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5792</v>
      </c>
      <c r="C391" s="247" t="s">
        <v>5793</v>
      </c>
      <c r="D391" s="1" t="s">
        <v>5794</v>
      </c>
      <c r="E391" s="1"/>
      <c r="F391" s="1"/>
      <c r="G391" s="1" t="s">
        <v>5795</v>
      </c>
      <c r="H391" s="1" t="s">
        <v>5796</v>
      </c>
      <c r="I391" s="1" t="s">
        <v>5797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5798</v>
      </c>
      <c r="AK391" s="1" t="s">
        <v>329</v>
      </c>
      <c r="AL391" s="1">
        <v>19</v>
      </c>
      <c r="AM391" s="1" t="s">
        <v>4770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5799</v>
      </c>
      <c r="AS391" s="1" t="s">
        <v>5800</v>
      </c>
      <c r="AT391" s="1" t="s">
        <v>329</v>
      </c>
      <c r="AU391" s="1">
        <v>10</v>
      </c>
      <c r="AV391" s="1">
        <v>1</v>
      </c>
      <c r="AW391" s="1" t="s">
        <v>5801</v>
      </c>
      <c r="AX391" s="1" t="s">
        <v>1814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5802</v>
      </c>
      <c r="C392" s="247" t="s">
        <v>5803</v>
      </c>
      <c r="D392" s="1" t="s">
        <v>5804</v>
      </c>
      <c r="E392" s="1"/>
      <c r="F392" s="1"/>
      <c r="G392" s="1" t="s">
        <v>5805</v>
      </c>
      <c r="H392" s="1" t="s">
        <v>5806</v>
      </c>
      <c r="I392" s="1" t="s">
        <v>5807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5798</v>
      </c>
      <c r="AK392" s="1" t="s">
        <v>329</v>
      </c>
      <c r="AL392" s="1">
        <v>19</v>
      </c>
      <c r="AM392" s="1" t="s">
        <v>4770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5799</v>
      </c>
      <c r="AS392" s="1" t="s">
        <v>5800</v>
      </c>
      <c r="AT392" s="1" t="s">
        <v>329</v>
      </c>
      <c r="AU392" s="1">
        <v>10</v>
      </c>
      <c r="AV392" s="1">
        <v>1</v>
      </c>
      <c r="AW392" s="1" t="s">
        <v>5801</v>
      </c>
      <c r="AX392" s="1" t="s">
        <v>1814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5808</v>
      </c>
      <c r="C393" s="247" t="s">
        <v>5809</v>
      </c>
      <c r="D393" s="1" t="s">
        <v>5810</v>
      </c>
      <c r="E393" s="1"/>
      <c r="F393" s="1"/>
      <c r="G393" s="1" t="s">
        <v>5811</v>
      </c>
      <c r="H393" s="1" t="s">
        <v>5812</v>
      </c>
      <c r="I393" s="1" t="s">
        <v>5813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4770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5799</v>
      </c>
      <c r="AS393" s="1" t="s">
        <v>5800</v>
      </c>
      <c r="AT393" s="1" t="s">
        <v>329</v>
      </c>
      <c r="AU393" s="1">
        <v>10</v>
      </c>
      <c r="AV393" s="1">
        <v>1</v>
      </c>
      <c r="AW393" s="1" t="s">
        <v>5801</v>
      </c>
      <c r="AX393" s="1" t="s">
        <v>1814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5814</v>
      </c>
      <c r="C394" s="247" t="s">
        <v>5815</v>
      </c>
      <c r="D394" s="1" t="s">
        <v>5816</v>
      </c>
      <c r="E394" s="1"/>
      <c r="F394" s="1"/>
      <c r="G394" s="1" t="s">
        <v>5817</v>
      </c>
      <c r="H394" s="1" t="s">
        <v>5818</v>
      </c>
      <c r="I394" s="1" t="s">
        <v>5819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5820</v>
      </c>
      <c r="AK394" s="1" t="s">
        <v>329</v>
      </c>
      <c r="AL394" s="1">
        <v>19</v>
      </c>
      <c r="AM394" s="1" t="s">
        <v>4770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5799</v>
      </c>
      <c r="AS394" s="1" t="s">
        <v>5800</v>
      </c>
      <c r="AT394" s="1" t="s">
        <v>329</v>
      </c>
      <c r="AU394" s="1">
        <v>10</v>
      </c>
      <c r="AV394" s="1">
        <v>1</v>
      </c>
      <c r="AW394" s="1" t="s">
        <v>5801</v>
      </c>
      <c r="AX394" s="1" t="s">
        <v>1814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5821</v>
      </c>
      <c r="C395" s="247" t="s">
        <v>5822</v>
      </c>
      <c r="D395" s="1" t="s">
        <v>5823</v>
      </c>
      <c r="E395" s="1"/>
      <c r="F395" s="1"/>
      <c r="G395" s="1" t="s">
        <v>5824</v>
      </c>
      <c r="H395" s="1" t="s">
        <v>5825</v>
      </c>
      <c r="I395" s="1" t="s">
        <v>5826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4770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5799</v>
      </c>
      <c r="AS395" s="1" t="s">
        <v>5800</v>
      </c>
      <c r="AT395" s="1" t="s">
        <v>329</v>
      </c>
      <c r="AU395" s="1">
        <v>10</v>
      </c>
      <c r="AV395" s="1">
        <v>1</v>
      </c>
      <c r="AW395" s="1" t="s">
        <v>5801</v>
      </c>
      <c r="AX395" s="1" t="s">
        <v>1814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5827</v>
      </c>
      <c r="C396" s="247" t="s">
        <v>5793</v>
      </c>
      <c r="D396" s="1" t="s">
        <v>5794</v>
      </c>
      <c r="E396" s="1"/>
      <c r="F396" s="1"/>
      <c r="G396" s="1" t="s">
        <v>5828</v>
      </c>
      <c r="H396" s="1" t="s">
        <v>5829</v>
      </c>
      <c r="I396" s="1" t="s">
        <v>5830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5798</v>
      </c>
      <c r="AK396" s="1" t="s">
        <v>329</v>
      </c>
      <c r="AL396" s="1">
        <v>19</v>
      </c>
      <c r="AM396" s="1" t="s">
        <v>4770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5799</v>
      </c>
      <c r="AS396" s="1" t="s">
        <v>5800</v>
      </c>
      <c r="AT396" s="1" t="s">
        <v>329</v>
      </c>
      <c r="AU396" s="1">
        <v>10</v>
      </c>
      <c r="AV396" s="1">
        <v>1</v>
      </c>
      <c r="AW396" s="1" t="s">
        <v>5801</v>
      </c>
      <c r="AX396" s="1" t="s">
        <v>1814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5831</v>
      </c>
      <c r="C397" s="247" t="s">
        <v>5793</v>
      </c>
      <c r="D397" s="1" t="s">
        <v>5794</v>
      </c>
      <c r="E397" s="1"/>
      <c r="F397" s="1"/>
      <c r="G397" s="1" t="s">
        <v>5832</v>
      </c>
      <c r="H397" s="1" t="s">
        <v>5833</v>
      </c>
      <c r="I397" s="1" t="s">
        <v>5834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5798</v>
      </c>
      <c r="AK397" s="1" t="s">
        <v>329</v>
      </c>
      <c r="AL397" s="1">
        <v>19</v>
      </c>
      <c r="AM397" s="1" t="s">
        <v>4770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5799</v>
      </c>
      <c r="AS397" s="1" t="s">
        <v>5800</v>
      </c>
      <c r="AT397" s="1" t="s">
        <v>329</v>
      </c>
      <c r="AU397" s="1">
        <v>10</v>
      </c>
      <c r="AV397" s="1">
        <v>1</v>
      </c>
      <c r="AW397" s="1" t="s">
        <v>5801</v>
      </c>
      <c r="AX397" s="1" t="s">
        <v>1814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5835</v>
      </c>
      <c r="C398" s="247" t="s">
        <v>5803</v>
      </c>
      <c r="D398" s="1" t="s">
        <v>5804</v>
      </c>
      <c r="E398" s="1"/>
      <c r="F398" s="1"/>
      <c r="G398" s="1" t="s">
        <v>5836</v>
      </c>
      <c r="H398" s="1" t="s">
        <v>5837</v>
      </c>
      <c r="I398" s="1" t="s">
        <v>5838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5798</v>
      </c>
      <c r="AK398" s="1" t="s">
        <v>329</v>
      </c>
      <c r="AL398" s="1">
        <v>19</v>
      </c>
      <c r="AM398" s="1" t="s">
        <v>4770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5799</v>
      </c>
      <c r="AS398" s="1" t="s">
        <v>5800</v>
      </c>
      <c r="AT398" s="1" t="s">
        <v>329</v>
      </c>
      <c r="AU398" s="1">
        <v>10</v>
      </c>
      <c r="AV398" s="1">
        <v>1</v>
      </c>
      <c r="AW398" s="1" t="s">
        <v>5801</v>
      </c>
      <c r="AX398" s="1" t="s">
        <v>1814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5839</v>
      </c>
      <c r="C399" s="247" t="s">
        <v>5803</v>
      </c>
      <c r="D399" s="1" t="s">
        <v>5804</v>
      </c>
      <c r="E399" s="1"/>
      <c r="F399" s="1"/>
      <c r="G399" s="1" t="s">
        <v>5840</v>
      </c>
      <c r="H399" s="1" t="s">
        <v>5841</v>
      </c>
      <c r="I399" s="1" t="s">
        <v>5842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5798</v>
      </c>
      <c r="AK399" s="1" t="s">
        <v>329</v>
      </c>
      <c r="AL399" s="1">
        <v>19</v>
      </c>
      <c r="AM399" s="1" t="s">
        <v>4770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5799</v>
      </c>
      <c r="AS399" s="1" t="s">
        <v>5800</v>
      </c>
      <c r="AT399" s="1" t="s">
        <v>329</v>
      </c>
      <c r="AU399" s="1">
        <v>10</v>
      </c>
      <c r="AV399" s="1">
        <v>1</v>
      </c>
      <c r="AW399" s="1" t="s">
        <v>5801</v>
      </c>
      <c r="AX399" s="1" t="s">
        <v>1814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5843</v>
      </c>
      <c r="C400" s="247" t="s">
        <v>5815</v>
      </c>
      <c r="D400" s="1" t="s">
        <v>5816</v>
      </c>
      <c r="E400" s="1"/>
      <c r="F400" s="1"/>
      <c r="G400" s="1" t="s">
        <v>5844</v>
      </c>
      <c r="H400" s="1" t="s">
        <v>5845</v>
      </c>
      <c r="I400" s="1" t="s">
        <v>5846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5820</v>
      </c>
      <c r="AK400" s="1" t="s">
        <v>329</v>
      </c>
      <c r="AL400" s="1">
        <v>19</v>
      </c>
      <c r="AM400" s="1" t="s">
        <v>4770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5799</v>
      </c>
      <c r="AS400" s="1" t="s">
        <v>5800</v>
      </c>
      <c r="AT400" s="1" t="s">
        <v>329</v>
      </c>
      <c r="AU400" s="1">
        <v>10</v>
      </c>
      <c r="AV400" s="1">
        <v>1</v>
      </c>
      <c r="AW400" s="1" t="s">
        <v>5801</v>
      </c>
      <c r="AX400" s="1" t="s">
        <v>1814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5847</v>
      </c>
      <c r="C401" s="247" t="s">
        <v>5815</v>
      </c>
      <c r="D401" s="1" t="s">
        <v>5816</v>
      </c>
      <c r="E401" s="1"/>
      <c r="F401" s="1"/>
      <c r="G401" s="1" t="s">
        <v>5848</v>
      </c>
      <c r="H401" s="1" t="s">
        <v>5849</v>
      </c>
      <c r="I401" s="1" t="s">
        <v>5850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5820</v>
      </c>
      <c r="AK401" s="1" t="s">
        <v>329</v>
      </c>
      <c r="AL401" s="1">
        <v>19</v>
      </c>
      <c r="AM401" s="1" t="s">
        <v>4770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5799</v>
      </c>
      <c r="AS401" s="1" t="s">
        <v>5800</v>
      </c>
      <c r="AT401" s="1" t="s">
        <v>329</v>
      </c>
      <c r="AU401" s="1">
        <v>10</v>
      </c>
      <c r="AV401" s="1">
        <v>1</v>
      </c>
      <c r="AW401" s="1" t="s">
        <v>5801</v>
      </c>
      <c r="AX401" s="1" t="s">
        <v>1814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5851</v>
      </c>
      <c r="C402" s="247" t="s">
        <v>22</v>
      </c>
      <c r="D402" s="1" t="s">
        <v>256</v>
      </c>
      <c r="E402" s="1"/>
      <c r="F402" s="1"/>
      <c r="G402" s="1" t="s">
        <v>5852</v>
      </c>
      <c r="H402" s="1" t="s">
        <v>5853</v>
      </c>
      <c r="I402" s="1" t="s">
        <v>5854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5855</v>
      </c>
      <c r="AL402" s="1">
        <v>13</v>
      </c>
      <c r="AM402" s="1" t="s">
        <v>4798</v>
      </c>
      <c r="AN402" s="1" t="s">
        <v>4869</v>
      </c>
      <c r="AO402" s="1" t="s">
        <v>5856</v>
      </c>
      <c r="AP402" s="1">
        <v>0</v>
      </c>
      <c r="AQ402" s="1" t="s">
        <v>1137</v>
      </c>
      <c r="AR402" s="1" t="s">
        <v>1161</v>
      </c>
      <c r="AS402" s="1" t="s">
        <v>5857</v>
      </c>
      <c r="AT402" s="1" t="s">
        <v>329</v>
      </c>
      <c r="AU402" s="1">
        <v>55</v>
      </c>
      <c r="AV402" s="1">
        <v>0</v>
      </c>
      <c r="AW402" s="1" t="s">
        <v>5801</v>
      </c>
      <c r="AX402" s="1" t="s">
        <v>1814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5858</v>
      </c>
      <c r="C403" s="247" t="s">
        <v>121</v>
      </c>
      <c r="D403" s="1" t="s">
        <v>121</v>
      </c>
      <c r="E403" s="1"/>
      <c r="F403" s="1"/>
      <c r="G403" s="1" t="s">
        <v>5859</v>
      </c>
      <c r="H403" s="1" t="s">
        <v>5860</v>
      </c>
      <c r="I403" s="1" t="s">
        <v>5861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5862</v>
      </c>
      <c r="AK403" s="1" t="s">
        <v>329</v>
      </c>
      <c r="AL403" s="1">
        <v>13</v>
      </c>
      <c r="AM403" s="1" t="s">
        <v>1814</v>
      </c>
      <c r="AN403" s="1" t="s">
        <v>4792</v>
      </c>
      <c r="AO403" s="1" t="s">
        <v>4825</v>
      </c>
      <c r="AP403" s="1">
        <v>0</v>
      </c>
      <c r="AQ403" s="1" t="s">
        <v>5863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5801</v>
      </c>
      <c r="AX403" s="1" t="s">
        <v>4770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5864</v>
      </c>
      <c r="C404" s="247" t="s">
        <v>5865</v>
      </c>
      <c r="D404" s="1" t="s">
        <v>3493</v>
      </c>
      <c r="E404" s="1"/>
      <c r="F404" s="1"/>
      <c r="G404" s="1" t="s">
        <v>5866</v>
      </c>
      <c r="H404" s="1" t="s">
        <v>5867</v>
      </c>
      <c r="I404" s="1" t="s">
        <v>5868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5869</v>
      </c>
      <c r="AK404" s="1" t="s">
        <v>329</v>
      </c>
      <c r="AL404" s="1">
        <v>13</v>
      </c>
      <c r="AM404" s="1" t="s">
        <v>1814</v>
      </c>
      <c r="AN404" s="1" t="s">
        <v>4784</v>
      </c>
      <c r="AO404" s="1" t="s">
        <v>4832</v>
      </c>
      <c r="AP404" s="1">
        <v>0</v>
      </c>
      <c r="AQ404" s="1" t="s">
        <v>5863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5801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5870</v>
      </c>
      <c r="C405" s="247" t="s">
        <v>1638</v>
      </c>
      <c r="D405" s="1" t="s">
        <v>1638</v>
      </c>
      <c r="E405" s="1"/>
      <c r="F405" s="1"/>
      <c r="G405" s="1" t="s">
        <v>5871</v>
      </c>
      <c r="H405" s="1" t="s">
        <v>5872</v>
      </c>
      <c r="I405" s="1" t="s">
        <v>5873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5874</v>
      </c>
      <c r="AK405" s="1" t="s">
        <v>329</v>
      </c>
      <c r="AL405" s="1">
        <v>18</v>
      </c>
      <c r="AM405" s="1" t="s">
        <v>4866</v>
      </c>
      <c r="AN405" s="1" t="s">
        <v>4939</v>
      </c>
      <c r="AO405" s="1" t="s">
        <v>5062</v>
      </c>
      <c r="AP405" s="1">
        <v>0</v>
      </c>
      <c r="AQ405" s="1" t="s">
        <v>1147</v>
      </c>
      <c r="AR405" s="1" t="s">
        <v>5875</v>
      </c>
      <c r="AS405" s="1" t="s">
        <v>5800</v>
      </c>
      <c r="AT405" s="1" t="s">
        <v>329</v>
      </c>
      <c r="AU405" s="1">
        <v>149</v>
      </c>
      <c r="AV405" s="1">
        <v>0</v>
      </c>
      <c r="AW405" s="1" t="s">
        <v>5801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5876</v>
      </c>
      <c r="C406" s="247" t="s">
        <v>156</v>
      </c>
      <c r="D406" s="1" t="s">
        <v>156</v>
      </c>
      <c r="E406" s="1"/>
      <c r="F406" s="1"/>
      <c r="G406" s="1" t="s">
        <v>5877</v>
      </c>
      <c r="H406" s="1" t="s">
        <v>5878</v>
      </c>
      <c r="I406" s="1" t="s">
        <v>5879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5880</v>
      </c>
      <c r="AK406" s="1" t="s">
        <v>329</v>
      </c>
      <c r="AL406" s="1">
        <v>12</v>
      </c>
      <c r="AM406" s="1" t="s">
        <v>4798</v>
      </c>
      <c r="AN406" s="1" t="s">
        <v>359</v>
      </c>
      <c r="AO406" s="1" t="s">
        <v>5071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5801</v>
      </c>
      <c r="AX406" s="1" t="s">
        <v>1814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5881</v>
      </c>
      <c r="C407" s="247" t="s">
        <v>168</v>
      </c>
      <c r="D407" s="1" t="s">
        <v>168</v>
      </c>
      <c r="E407" s="1"/>
      <c r="F407" s="1"/>
      <c r="G407" s="1" t="s">
        <v>5882</v>
      </c>
      <c r="H407" s="1" t="s">
        <v>5883</v>
      </c>
      <c r="I407" s="1" t="s">
        <v>5884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5862</v>
      </c>
      <c r="AK407" s="1" t="s">
        <v>329</v>
      </c>
      <c r="AL407" s="1">
        <v>13</v>
      </c>
      <c r="AM407" s="1" t="s">
        <v>4727</v>
      </c>
      <c r="AN407" s="1" t="s">
        <v>4842</v>
      </c>
      <c r="AO407" s="1" t="s">
        <v>5010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5801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5885</v>
      </c>
      <c r="C408" s="247" t="s">
        <v>5865</v>
      </c>
      <c r="D408" s="1" t="s">
        <v>3493</v>
      </c>
      <c r="E408" s="1"/>
      <c r="F408" s="1"/>
      <c r="G408" s="1" t="s">
        <v>5886</v>
      </c>
      <c r="H408" s="1" t="s">
        <v>5887</v>
      </c>
      <c r="I408" s="1" t="s">
        <v>5888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5869</v>
      </c>
      <c r="AK408" s="1" t="s">
        <v>329</v>
      </c>
      <c r="AL408" s="1">
        <v>13</v>
      </c>
      <c r="AM408" s="1" t="s">
        <v>1814</v>
      </c>
      <c r="AN408" s="1" t="s">
        <v>4784</v>
      </c>
      <c r="AO408" s="1" t="s">
        <v>4832</v>
      </c>
      <c r="AP408" s="1">
        <v>0</v>
      </c>
      <c r="AQ408" s="1" t="s">
        <v>5863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5801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5889</v>
      </c>
      <c r="C409" s="247" t="s">
        <v>1638</v>
      </c>
      <c r="D409" s="1" t="s">
        <v>1638</v>
      </c>
      <c r="E409" s="1"/>
      <c r="F409" s="1"/>
      <c r="G409" s="1" t="s">
        <v>5890</v>
      </c>
      <c r="H409" s="1" t="s">
        <v>5891</v>
      </c>
      <c r="I409" s="1" t="s">
        <v>5892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5874</v>
      </c>
      <c r="AK409" s="1" t="s">
        <v>329</v>
      </c>
      <c r="AL409" s="1">
        <v>18</v>
      </c>
      <c r="AM409" s="1" t="s">
        <v>4866</v>
      </c>
      <c r="AN409" s="1" t="s">
        <v>4939</v>
      </c>
      <c r="AO409" s="1" t="s">
        <v>5062</v>
      </c>
      <c r="AP409" s="1">
        <v>0</v>
      </c>
      <c r="AQ409" s="1" t="s">
        <v>1147</v>
      </c>
      <c r="AR409" s="1" t="s">
        <v>5875</v>
      </c>
      <c r="AS409" s="1" t="s">
        <v>5800</v>
      </c>
      <c r="AT409" s="1" t="s">
        <v>329</v>
      </c>
      <c r="AU409" s="1">
        <v>149</v>
      </c>
      <c r="AV409" s="1">
        <v>0</v>
      </c>
      <c r="AW409" s="1" t="s">
        <v>5801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5893</v>
      </c>
      <c r="C410" s="247" t="s">
        <v>156</v>
      </c>
      <c r="D410" s="1" t="s">
        <v>156</v>
      </c>
      <c r="E410" s="1"/>
      <c r="F410" s="1"/>
      <c r="G410" s="1" t="s">
        <v>5894</v>
      </c>
      <c r="H410" s="1" t="s">
        <v>5895</v>
      </c>
      <c r="I410" s="1" t="s">
        <v>5896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5880</v>
      </c>
      <c r="AK410" s="1" t="s">
        <v>329</v>
      </c>
      <c r="AL410" s="1">
        <v>12</v>
      </c>
      <c r="AM410" s="1" t="s">
        <v>4798</v>
      </c>
      <c r="AN410" s="1" t="s">
        <v>359</v>
      </c>
      <c r="AO410" s="1" t="s">
        <v>5071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5801</v>
      </c>
      <c r="AX410" s="1" t="s">
        <v>1814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5897</v>
      </c>
      <c r="C411" s="247" t="s">
        <v>168</v>
      </c>
      <c r="D411" s="1" t="s">
        <v>168</v>
      </c>
      <c r="E411" s="1"/>
      <c r="F411" s="1"/>
      <c r="G411" s="1" t="s">
        <v>5898</v>
      </c>
      <c r="H411" s="1" t="s">
        <v>5899</v>
      </c>
      <c r="I411" s="1" t="s">
        <v>5900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5862</v>
      </c>
      <c r="AK411" s="1" t="s">
        <v>329</v>
      </c>
      <c r="AL411" s="1">
        <v>13</v>
      </c>
      <c r="AM411" s="1" t="s">
        <v>4727</v>
      </c>
      <c r="AN411" s="1" t="s">
        <v>4842</v>
      </c>
      <c r="AO411" s="1" t="s">
        <v>5010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5801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5901</v>
      </c>
      <c r="C412" s="247" t="s">
        <v>121</v>
      </c>
      <c r="D412" s="1" t="s">
        <v>121</v>
      </c>
      <c r="E412" s="1"/>
      <c r="F412" s="1"/>
      <c r="G412" s="1" t="s">
        <v>5902</v>
      </c>
      <c r="H412" s="1" t="s">
        <v>5903</v>
      </c>
      <c r="I412" s="1" t="s">
        <v>5904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5869</v>
      </c>
      <c r="AK412" s="1" t="s">
        <v>329</v>
      </c>
      <c r="AL412" s="1">
        <v>13</v>
      </c>
      <c r="AM412" s="1" t="s">
        <v>1814</v>
      </c>
      <c r="AN412" s="1" t="s">
        <v>4792</v>
      </c>
      <c r="AO412" s="1" t="s">
        <v>4825</v>
      </c>
      <c r="AP412" s="1">
        <v>0</v>
      </c>
      <c r="AQ412" s="1" t="s">
        <v>5863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5801</v>
      </c>
      <c r="AX412" s="1" t="s">
        <v>4770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5905</v>
      </c>
      <c r="C413" s="247" t="s">
        <v>5865</v>
      </c>
      <c r="D413" s="1" t="s">
        <v>3493</v>
      </c>
      <c r="E413" s="1"/>
      <c r="F413" s="1"/>
      <c r="G413" s="1" t="s">
        <v>5906</v>
      </c>
      <c r="H413" s="1" t="s">
        <v>5907</v>
      </c>
      <c r="I413" s="1" t="s">
        <v>5908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5874</v>
      </c>
      <c r="AK413" s="1" t="s">
        <v>329</v>
      </c>
      <c r="AL413" s="1">
        <v>13</v>
      </c>
      <c r="AM413" s="1" t="s">
        <v>1814</v>
      </c>
      <c r="AN413" s="1" t="s">
        <v>4784</v>
      </c>
      <c r="AO413" s="1" t="s">
        <v>4832</v>
      </c>
      <c r="AP413" s="1">
        <v>0</v>
      </c>
      <c r="AQ413" s="1" t="s">
        <v>5863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5801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5909</v>
      </c>
      <c r="C414" s="247" t="s">
        <v>1638</v>
      </c>
      <c r="D414" s="1" t="s">
        <v>1638</v>
      </c>
      <c r="E414" s="1"/>
      <c r="F414" s="1"/>
      <c r="G414" s="1" t="s">
        <v>5910</v>
      </c>
      <c r="H414" s="1" t="s">
        <v>5911</v>
      </c>
      <c r="I414" s="1" t="s">
        <v>5912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5880</v>
      </c>
      <c r="AK414" s="1" t="s">
        <v>329</v>
      </c>
      <c r="AL414" s="1">
        <v>18</v>
      </c>
      <c r="AM414" s="1" t="s">
        <v>4866</v>
      </c>
      <c r="AN414" s="1" t="s">
        <v>4939</v>
      </c>
      <c r="AO414" s="1" t="s">
        <v>5062</v>
      </c>
      <c r="AP414" s="1">
        <v>0</v>
      </c>
      <c r="AQ414" s="1" t="s">
        <v>1147</v>
      </c>
      <c r="AR414" s="1" t="s">
        <v>5875</v>
      </c>
      <c r="AS414" s="1" t="s">
        <v>5800</v>
      </c>
      <c r="AT414" s="1" t="s">
        <v>329</v>
      </c>
      <c r="AU414" s="1">
        <v>149</v>
      </c>
      <c r="AV414" s="1">
        <v>0</v>
      </c>
      <c r="AW414" s="1" t="s">
        <v>5801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5913</v>
      </c>
      <c r="C415" s="247" t="s">
        <v>168</v>
      </c>
      <c r="D415" s="1" t="s">
        <v>168</v>
      </c>
      <c r="E415" s="1"/>
      <c r="F415" s="1"/>
      <c r="G415" s="1" t="s">
        <v>5914</v>
      </c>
      <c r="H415" s="1" t="s">
        <v>5915</v>
      </c>
      <c r="I415" s="1" t="s">
        <v>5916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5862</v>
      </c>
      <c r="AK415" s="1" t="s">
        <v>329</v>
      </c>
      <c r="AL415" s="1">
        <v>13</v>
      </c>
      <c r="AM415" s="1" t="s">
        <v>4727</v>
      </c>
      <c r="AN415" s="1" t="s">
        <v>4842</v>
      </c>
      <c r="AO415" s="1" t="s">
        <v>5010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5801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5917</v>
      </c>
      <c r="C416" s="247" t="s">
        <v>121</v>
      </c>
      <c r="D416" s="1" t="s">
        <v>121</v>
      </c>
      <c r="E416" s="1"/>
      <c r="F416" s="1"/>
      <c r="G416" s="1" t="s">
        <v>5918</v>
      </c>
      <c r="H416" s="1" t="s">
        <v>5919</v>
      </c>
      <c r="I416" s="1" t="s">
        <v>5920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5869</v>
      </c>
      <c r="AK416" s="1" t="s">
        <v>329</v>
      </c>
      <c r="AL416" s="1">
        <v>13</v>
      </c>
      <c r="AM416" s="1" t="s">
        <v>1814</v>
      </c>
      <c r="AN416" s="1" t="s">
        <v>4792</v>
      </c>
      <c r="AO416" s="1" t="s">
        <v>4825</v>
      </c>
      <c r="AP416" s="1">
        <v>0</v>
      </c>
      <c r="AQ416" s="1" t="s">
        <v>5863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5801</v>
      </c>
      <c r="AX416" s="1" t="s">
        <v>4770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5921</v>
      </c>
      <c r="C417" s="247" t="s">
        <v>5865</v>
      </c>
      <c r="D417" s="1" t="s">
        <v>3493</v>
      </c>
      <c r="E417" s="1"/>
      <c r="F417" s="1"/>
      <c r="G417" s="1" t="s">
        <v>5922</v>
      </c>
      <c r="H417" s="1" t="s">
        <v>5923</v>
      </c>
      <c r="I417" s="1" t="s">
        <v>5924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5874</v>
      </c>
      <c r="AK417" s="1" t="s">
        <v>329</v>
      </c>
      <c r="AL417" s="1">
        <v>13</v>
      </c>
      <c r="AM417" s="1" t="s">
        <v>1814</v>
      </c>
      <c r="AN417" s="1" t="s">
        <v>4784</v>
      </c>
      <c r="AO417" s="1" t="s">
        <v>4832</v>
      </c>
      <c r="AP417" s="1">
        <v>0</v>
      </c>
      <c r="AQ417" s="1" t="s">
        <v>5863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5801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5925</v>
      </c>
      <c r="C418" s="247" t="s">
        <v>156</v>
      </c>
      <c r="D418" s="1" t="s">
        <v>156</v>
      </c>
      <c r="E418" s="1"/>
      <c r="F418" s="1"/>
      <c r="G418" s="1" t="s">
        <v>5926</v>
      </c>
      <c r="H418" s="1" t="s">
        <v>5927</v>
      </c>
      <c r="I418" s="1" t="s">
        <v>5928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5880</v>
      </c>
      <c r="AK418" s="1" t="s">
        <v>329</v>
      </c>
      <c r="AL418" s="1">
        <v>12</v>
      </c>
      <c r="AM418" s="1" t="s">
        <v>4798</v>
      </c>
      <c r="AN418" s="1" t="s">
        <v>359</v>
      </c>
      <c r="AO418" s="1" t="s">
        <v>5071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5801</v>
      </c>
      <c r="AX418" s="1" t="s">
        <v>1814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5929</v>
      </c>
      <c r="C419" s="247" t="s">
        <v>168</v>
      </c>
      <c r="D419" s="1" t="s">
        <v>168</v>
      </c>
      <c r="E419" s="1"/>
      <c r="F419" s="1"/>
      <c r="G419" s="1" t="s">
        <v>5930</v>
      </c>
      <c r="H419" s="1" t="s">
        <v>5931</v>
      </c>
      <c r="I419" s="1" t="s">
        <v>5932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5862</v>
      </c>
      <c r="AK419" s="1" t="s">
        <v>329</v>
      </c>
      <c r="AL419" s="1">
        <v>13</v>
      </c>
      <c r="AM419" s="1" t="s">
        <v>4727</v>
      </c>
      <c r="AN419" s="1" t="s">
        <v>4842</v>
      </c>
      <c r="AO419" s="1" t="s">
        <v>5010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5801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5933</v>
      </c>
      <c r="C420" s="247" t="s">
        <v>121</v>
      </c>
      <c r="D420" s="1" t="s">
        <v>121</v>
      </c>
      <c r="E420" s="1"/>
      <c r="F420" s="1"/>
      <c r="G420" s="1" t="s">
        <v>5934</v>
      </c>
      <c r="H420" s="1" t="s">
        <v>5935</v>
      </c>
      <c r="I420" s="1" t="s">
        <v>5936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5869</v>
      </c>
      <c r="AK420" s="1" t="s">
        <v>329</v>
      </c>
      <c r="AL420" s="1">
        <v>13</v>
      </c>
      <c r="AM420" s="1" t="s">
        <v>1814</v>
      </c>
      <c r="AN420" s="1" t="s">
        <v>4792</v>
      </c>
      <c r="AO420" s="1" t="s">
        <v>4825</v>
      </c>
      <c r="AP420" s="1">
        <v>0</v>
      </c>
      <c r="AQ420" s="1" t="s">
        <v>5863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5801</v>
      </c>
      <c r="AX420" s="1" t="s">
        <v>4770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5937</v>
      </c>
      <c r="C421" s="247" t="s">
        <v>1638</v>
      </c>
      <c r="D421" s="1" t="s">
        <v>1638</v>
      </c>
      <c r="E421" s="1"/>
      <c r="F421" s="1"/>
      <c r="G421" s="1" t="s">
        <v>5938</v>
      </c>
      <c r="H421" s="1" t="s">
        <v>5939</v>
      </c>
      <c r="I421" s="1" t="s">
        <v>5940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5874</v>
      </c>
      <c r="AK421" s="1" t="s">
        <v>329</v>
      </c>
      <c r="AL421" s="1">
        <v>18</v>
      </c>
      <c r="AM421" s="1" t="s">
        <v>4866</v>
      </c>
      <c r="AN421" s="1" t="s">
        <v>4939</v>
      </c>
      <c r="AO421" s="1" t="s">
        <v>5062</v>
      </c>
      <c r="AP421" s="1">
        <v>0</v>
      </c>
      <c r="AQ421" s="1" t="s">
        <v>1147</v>
      </c>
      <c r="AR421" s="1" t="s">
        <v>5875</v>
      </c>
      <c r="AS421" s="1" t="s">
        <v>5800</v>
      </c>
      <c r="AT421" s="1" t="s">
        <v>329</v>
      </c>
      <c r="AU421" s="1">
        <v>149</v>
      </c>
      <c r="AV421" s="1">
        <v>0</v>
      </c>
      <c r="AW421" s="1" t="s">
        <v>5801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5941</v>
      </c>
      <c r="C422" s="247" t="s">
        <v>156</v>
      </c>
      <c r="D422" s="1" t="s">
        <v>156</v>
      </c>
      <c r="E422" s="1"/>
      <c r="F422" s="1"/>
      <c r="G422" s="1" t="s">
        <v>5942</v>
      </c>
      <c r="H422" s="1" t="s">
        <v>5943</v>
      </c>
      <c r="I422" s="1" t="s">
        <v>5944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5880</v>
      </c>
      <c r="AK422" s="1" t="s">
        <v>329</v>
      </c>
      <c r="AL422" s="1">
        <v>12</v>
      </c>
      <c r="AM422" s="1" t="s">
        <v>4798</v>
      </c>
      <c r="AN422" s="1" t="s">
        <v>359</v>
      </c>
      <c r="AO422" s="1" t="s">
        <v>5071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5801</v>
      </c>
      <c r="AX422" s="1" t="s">
        <v>1814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5945</v>
      </c>
      <c r="C423" s="247" t="s">
        <v>234</v>
      </c>
      <c r="D423" s="1" t="s">
        <v>234</v>
      </c>
      <c r="E423" s="1"/>
      <c r="F423" s="1"/>
      <c r="G423" s="1" t="s">
        <v>5946</v>
      </c>
      <c r="H423" s="1" t="s">
        <v>5947</v>
      </c>
      <c r="I423" s="1" t="s">
        <v>5948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5949</v>
      </c>
      <c r="AK423" s="1" t="s">
        <v>329</v>
      </c>
      <c r="AL423" s="1">
        <v>14</v>
      </c>
      <c r="AM423" s="1" t="s">
        <v>4727</v>
      </c>
      <c r="AN423" s="1" t="s">
        <v>5159</v>
      </c>
      <c r="AO423" s="1" t="s">
        <v>5160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5801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5950</v>
      </c>
      <c r="C424" s="247" t="s">
        <v>233</v>
      </c>
      <c r="D424" s="1" t="s">
        <v>233</v>
      </c>
      <c r="E424" s="1"/>
      <c r="F424" s="1"/>
      <c r="G424" s="1" t="s">
        <v>5951</v>
      </c>
      <c r="H424" s="1" t="s">
        <v>5952</v>
      </c>
      <c r="I424" s="1" t="s">
        <v>5953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5954</v>
      </c>
      <c r="AK424" s="1" t="s">
        <v>329</v>
      </c>
      <c r="AL424" s="1">
        <v>12</v>
      </c>
      <c r="AM424" s="1" t="s">
        <v>4727</v>
      </c>
      <c r="AN424" s="1" t="s">
        <v>5155</v>
      </c>
      <c r="AO424" s="1" t="s">
        <v>5156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5801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5955</v>
      </c>
      <c r="C425" s="247" t="s">
        <v>5956</v>
      </c>
      <c r="D425" s="1" t="s">
        <v>5956</v>
      </c>
      <c r="E425" s="1"/>
      <c r="F425" s="1"/>
      <c r="G425" s="1" t="s">
        <v>5957</v>
      </c>
      <c r="H425" s="1" t="s">
        <v>5958</v>
      </c>
      <c r="I425" s="1" t="s">
        <v>5959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5960</v>
      </c>
      <c r="AK425" s="1" t="s">
        <v>329</v>
      </c>
      <c r="AL425" s="1">
        <v>13</v>
      </c>
      <c r="AM425" s="1" t="s">
        <v>4798</v>
      </c>
      <c r="AN425" s="1" t="s">
        <v>4869</v>
      </c>
      <c r="AO425" s="1" t="s">
        <v>4870</v>
      </c>
      <c r="AP425" s="1">
        <v>0</v>
      </c>
      <c r="AQ425" s="1" t="s">
        <v>1137</v>
      </c>
      <c r="AR425" s="1" t="s">
        <v>1161</v>
      </c>
      <c r="AS425" s="1" t="s">
        <v>5857</v>
      </c>
      <c r="AT425" s="1" t="s">
        <v>329</v>
      </c>
      <c r="AU425" s="1">
        <v>55</v>
      </c>
      <c r="AV425" s="1">
        <v>0</v>
      </c>
      <c r="AW425" s="1" t="s">
        <v>5801</v>
      </c>
      <c r="AX425" s="1" t="s">
        <v>4866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5961</v>
      </c>
      <c r="C426" s="247" t="s">
        <v>5962</v>
      </c>
      <c r="D426" s="1" t="s">
        <v>5962</v>
      </c>
      <c r="E426" s="1"/>
      <c r="F426" s="1"/>
      <c r="G426" s="1" t="s">
        <v>5963</v>
      </c>
      <c r="H426" s="1" t="s">
        <v>5964</v>
      </c>
      <c r="I426" s="1" t="s">
        <v>5965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5966</v>
      </c>
      <c r="AK426" s="1" t="s">
        <v>329</v>
      </c>
      <c r="AL426" s="1">
        <v>13</v>
      </c>
      <c r="AM426" s="1" t="s">
        <v>4727</v>
      </c>
      <c r="AN426" s="1" t="s">
        <v>4872</v>
      </c>
      <c r="AO426" s="1" t="s">
        <v>4875</v>
      </c>
      <c r="AP426" s="1">
        <v>0</v>
      </c>
      <c r="AQ426" s="1" t="s">
        <v>5967</v>
      </c>
      <c r="AR426" s="1" t="s">
        <v>5967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5801</v>
      </c>
      <c r="AX426" s="1" t="s">
        <v>4866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5968</v>
      </c>
      <c r="C427" s="247" t="s">
        <v>5969</v>
      </c>
      <c r="D427" s="1" t="s">
        <v>5969</v>
      </c>
      <c r="E427" s="1"/>
      <c r="F427" s="1"/>
      <c r="G427" s="1" t="s">
        <v>5970</v>
      </c>
      <c r="H427" s="1" t="s">
        <v>5971</v>
      </c>
      <c r="I427" s="1" t="s">
        <v>5972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5973</v>
      </c>
      <c r="AK427" s="1" t="s">
        <v>329</v>
      </c>
      <c r="AL427" s="1">
        <v>14</v>
      </c>
      <c r="AM427" s="1" t="s">
        <v>4727</v>
      </c>
      <c r="AN427" s="1" t="s">
        <v>5159</v>
      </c>
      <c r="AO427" s="1" t="s">
        <v>5160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5801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5974</v>
      </c>
      <c r="C428" s="247" t="s">
        <v>5975</v>
      </c>
      <c r="D428" s="1" t="s">
        <v>5975</v>
      </c>
      <c r="E428" s="1"/>
      <c r="F428" s="1"/>
      <c r="G428" s="1" t="s">
        <v>5976</v>
      </c>
      <c r="H428" s="1" t="s">
        <v>5977</v>
      </c>
      <c r="I428" s="1" t="s">
        <v>5978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5979</v>
      </c>
      <c r="AK428" s="1" t="s">
        <v>329</v>
      </c>
      <c r="AL428" s="1">
        <v>12</v>
      </c>
      <c r="AM428" s="1" t="s">
        <v>4727</v>
      </c>
      <c r="AN428" s="1" t="s">
        <v>5155</v>
      </c>
      <c r="AO428" s="1" t="s">
        <v>5156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5801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5980</v>
      </c>
      <c r="C429" s="247" t="s">
        <v>22</v>
      </c>
      <c r="D429" s="1" t="s">
        <v>5956</v>
      </c>
      <c r="E429" s="1"/>
      <c r="F429" s="1"/>
      <c r="G429" s="1" t="s">
        <v>5981</v>
      </c>
      <c r="H429" s="1" t="s">
        <v>5982</v>
      </c>
      <c r="I429" s="1" t="s">
        <v>5983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5984</v>
      </c>
      <c r="AK429" s="1" t="s">
        <v>329</v>
      </c>
      <c r="AL429" s="1">
        <v>13</v>
      </c>
      <c r="AM429" s="1" t="s">
        <v>4798</v>
      </c>
      <c r="AN429" s="1" t="s">
        <v>4955</v>
      </c>
      <c r="AO429" s="1" t="s">
        <v>5054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5801</v>
      </c>
      <c r="AX429" s="1" t="s">
        <v>4866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5985</v>
      </c>
      <c r="C430" s="247" t="s">
        <v>22</v>
      </c>
      <c r="D430" s="1" t="s">
        <v>5956</v>
      </c>
      <c r="E430" s="1"/>
      <c r="F430" s="1"/>
      <c r="G430" s="1" t="s">
        <v>5986</v>
      </c>
      <c r="H430" s="1" t="s">
        <v>5987</v>
      </c>
      <c r="I430" s="1" t="s">
        <v>5988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5989</v>
      </c>
      <c r="AK430" s="1" t="s">
        <v>329</v>
      </c>
      <c r="AL430" s="1">
        <v>13</v>
      </c>
      <c r="AM430" s="1" t="s">
        <v>4798</v>
      </c>
      <c r="AN430" s="1" t="s">
        <v>4955</v>
      </c>
      <c r="AO430" s="1" t="s">
        <v>5054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5801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5990</v>
      </c>
      <c r="C431" s="247" t="s">
        <v>22</v>
      </c>
      <c r="D431" s="1" t="s">
        <v>5956</v>
      </c>
      <c r="E431" s="1"/>
      <c r="F431" s="1"/>
      <c r="G431" s="1" t="s">
        <v>5991</v>
      </c>
      <c r="H431" s="1" t="s">
        <v>5992</v>
      </c>
      <c r="I431" s="1" t="s">
        <v>5993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5989</v>
      </c>
      <c r="AK431" s="1" t="s">
        <v>329</v>
      </c>
      <c r="AL431" s="1">
        <v>13</v>
      </c>
      <c r="AM431" s="1" t="s">
        <v>4798</v>
      </c>
      <c r="AN431" s="1" t="s">
        <v>4955</v>
      </c>
      <c r="AO431" s="1" t="s">
        <v>5054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5801</v>
      </c>
      <c r="AX431" s="1" t="s">
        <v>4866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5994</v>
      </c>
      <c r="C432" s="247" t="s">
        <v>22</v>
      </c>
      <c r="D432" s="1" t="s">
        <v>5956</v>
      </c>
      <c r="E432" s="1"/>
      <c r="F432" s="1"/>
      <c r="G432" s="1" t="s">
        <v>5995</v>
      </c>
      <c r="H432" s="1" t="s">
        <v>5996</v>
      </c>
      <c r="I432" s="1" t="s">
        <v>5997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5989</v>
      </c>
      <c r="AK432" s="1" t="s">
        <v>329</v>
      </c>
      <c r="AL432" s="1">
        <v>13</v>
      </c>
      <c r="AM432" s="1" t="s">
        <v>4798</v>
      </c>
      <c r="AN432" s="1" t="s">
        <v>4955</v>
      </c>
      <c r="AO432" s="1" t="s">
        <v>5054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5801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5998</v>
      </c>
      <c r="C433" s="247" t="s">
        <v>98</v>
      </c>
      <c r="D433" s="1" t="s">
        <v>5999</v>
      </c>
      <c r="E433" s="1"/>
      <c r="F433" s="1"/>
      <c r="G433" s="1" t="s">
        <v>6000</v>
      </c>
      <c r="H433" s="1" t="s">
        <v>6001</v>
      </c>
      <c r="I433" s="1" t="s">
        <v>6002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6003</v>
      </c>
      <c r="AK433" s="1" t="s">
        <v>329</v>
      </c>
      <c r="AL433" s="1">
        <v>13</v>
      </c>
      <c r="AM433" s="1" t="s">
        <v>4727</v>
      </c>
      <c r="AN433" s="1" t="s">
        <v>4755</v>
      </c>
      <c r="AO433" s="1" t="s">
        <v>4807</v>
      </c>
      <c r="AP433" s="1">
        <v>0</v>
      </c>
      <c r="AQ433" s="1" t="s">
        <v>1161</v>
      </c>
      <c r="AR433" s="1" t="s">
        <v>6004</v>
      </c>
      <c r="AS433" s="1" t="s">
        <v>6004</v>
      </c>
      <c r="AT433" s="1" t="s">
        <v>329</v>
      </c>
      <c r="AU433" s="1">
        <v>54</v>
      </c>
      <c r="AV433" s="1">
        <v>0</v>
      </c>
      <c r="AW433" s="1" t="s">
        <v>5801</v>
      </c>
      <c r="AX433" s="1" t="s">
        <v>1814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6005</v>
      </c>
      <c r="C434" s="247" t="s">
        <v>6006</v>
      </c>
      <c r="D434" s="1" t="s">
        <v>6007</v>
      </c>
      <c r="E434" s="1"/>
      <c r="F434" s="1"/>
      <c r="G434" s="1" t="s">
        <v>6008</v>
      </c>
      <c r="H434" s="1" t="s">
        <v>6009</v>
      </c>
      <c r="I434" s="1" t="s">
        <v>6010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6003</v>
      </c>
      <c r="AK434" s="1" t="s">
        <v>329</v>
      </c>
      <c r="AL434" s="1">
        <v>13</v>
      </c>
      <c r="AM434" s="1" t="s">
        <v>4727</v>
      </c>
      <c r="AN434" s="1" t="s">
        <v>4755</v>
      </c>
      <c r="AO434" s="1" t="s">
        <v>4807</v>
      </c>
      <c r="AP434" s="1">
        <v>0</v>
      </c>
      <c r="AQ434" s="1" t="s">
        <v>1161</v>
      </c>
      <c r="AR434" s="1" t="s">
        <v>6004</v>
      </c>
      <c r="AS434" s="1" t="s">
        <v>6004</v>
      </c>
      <c r="AT434" s="1" t="s">
        <v>329</v>
      </c>
      <c r="AU434" s="1">
        <v>54</v>
      </c>
      <c r="AV434" s="1">
        <v>0</v>
      </c>
      <c r="AW434" s="1" t="s">
        <v>5801</v>
      </c>
      <c r="AX434" s="1" t="s">
        <v>1814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6011</v>
      </c>
      <c r="C435" s="247" t="s">
        <v>6012</v>
      </c>
      <c r="D435" s="1" t="s">
        <v>6013</v>
      </c>
      <c r="E435" s="1"/>
      <c r="F435" s="1"/>
      <c r="G435" s="1" t="s">
        <v>6014</v>
      </c>
      <c r="H435" s="1" t="s">
        <v>6015</v>
      </c>
      <c r="I435" s="1" t="s">
        <v>6016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6003</v>
      </c>
      <c r="AK435" s="1" t="s">
        <v>329</v>
      </c>
      <c r="AL435" s="1">
        <v>13</v>
      </c>
      <c r="AM435" s="1" t="s">
        <v>4727</v>
      </c>
      <c r="AN435" s="1" t="s">
        <v>4755</v>
      </c>
      <c r="AO435" s="1" t="s">
        <v>4807</v>
      </c>
      <c r="AP435" s="1">
        <v>0</v>
      </c>
      <c r="AQ435" s="1" t="s">
        <v>1161</v>
      </c>
      <c r="AR435" s="1" t="s">
        <v>6004</v>
      </c>
      <c r="AS435" s="1" t="s">
        <v>6004</v>
      </c>
      <c r="AT435" s="1" t="s">
        <v>329</v>
      </c>
      <c r="AU435" s="1">
        <v>54</v>
      </c>
      <c r="AV435" s="1">
        <v>0</v>
      </c>
      <c r="AW435" s="1" t="s">
        <v>5801</v>
      </c>
      <c r="AX435" s="1" t="s">
        <v>1814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6017</v>
      </c>
      <c r="C436" s="247" t="s">
        <v>6018</v>
      </c>
      <c r="D436" s="1" t="s">
        <v>6019</v>
      </c>
      <c r="E436" s="1"/>
      <c r="F436" s="1"/>
      <c r="G436" s="1" t="s">
        <v>6020</v>
      </c>
      <c r="H436" s="1" t="s">
        <v>6021</v>
      </c>
      <c r="I436" s="1" t="s">
        <v>6022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6003</v>
      </c>
      <c r="AK436" s="1" t="s">
        <v>329</v>
      </c>
      <c r="AL436" s="1">
        <v>13</v>
      </c>
      <c r="AM436" s="1" t="s">
        <v>4727</v>
      </c>
      <c r="AN436" s="1" t="s">
        <v>4755</v>
      </c>
      <c r="AO436" s="1" t="s">
        <v>4807</v>
      </c>
      <c r="AP436" s="1">
        <v>0</v>
      </c>
      <c r="AQ436" s="1" t="s">
        <v>1161</v>
      </c>
      <c r="AR436" s="1" t="s">
        <v>6004</v>
      </c>
      <c r="AS436" s="1" t="s">
        <v>6004</v>
      </c>
      <c r="AT436" s="1" t="s">
        <v>329</v>
      </c>
      <c r="AU436" s="1">
        <v>54</v>
      </c>
      <c r="AV436" s="1">
        <v>0</v>
      </c>
      <c r="AW436" s="1" t="s">
        <v>5801</v>
      </c>
      <c r="AX436" s="1" t="s">
        <v>1814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6023</v>
      </c>
      <c r="C437" s="247" t="s">
        <v>22</v>
      </c>
      <c r="D437" s="1" t="s">
        <v>6024</v>
      </c>
      <c r="E437" s="1"/>
      <c r="F437" s="1"/>
      <c r="G437" s="1" t="s">
        <v>6025</v>
      </c>
      <c r="H437" s="1" t="s">
        <v>6026</v>
      </c>
      <c r="I437" s="1" t="s">
        <v>6027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6028</v>
      </c>
      <c r="AK437" s="1" t="s">
        <v>329</v>
      </c>
      <c r="AL437" s="1">
        <v>13</v>
      </c>
      <c r="AM437" s="1" t="s">
        <v>4798</v>
      </c>
      <c r="AN437" s="1" t="s">
        <v>4869</v>
      </c>
      <c r="AO437" s="1" t="s">
        <v>4870</v>
      </c>
      <c r="AP437" s="1">
        <v>0</v>
      </c>
      <c r="AQ437" s="1" t="s">
        <v>1137</v>
      </c>
      <c r="AR437" s="1" t="s">
        <v>1161</v>
      </c>
      <c r="AS437" s="1" t="s">
        <v>5857</v>
      </c>
      <c r="AT437" s="1" t="s">
        <v>329</v>
      </c>
      <c r="AU437" s="1">
        <v>55</v>
      </c>
      <c r="AV437" s="1">
        <v>0</v>
      </c>
      <c r="AW437" s="1" t="s">
        <v>5801</v>
      </c>
      <c r="AX437" s="1" t="s">
        <v>1814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6029</v>
      </c>
      <c r="C438" s="247" t="s">
        <v>6030</v>
      </c>
      <c r="D438" s="1" t="s">
        <v>6030</v>
      </c>
      <c r="E438" s="1"/>
      <c r="F438" s="1"/>
      <c r="G438" s="1" t="s">
        <v>6031</v>
      </c>
      <c r="H438" s="1" t="s">
        <v>6032</v>
      </c>
      <c r="I438" s="1" t="s">
        <v>6033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6034</v>
      </c>
      <c r="AK438" s="1" t="s">
        <v>329</v>
      </c>
      <c r="AL438" s="1">
        <v>13</v>
      </c>
      <c r="AM438" s="1" t="s">
        <v>4727</v>
      </c>
      <c r="AN438" s="1" t="s">
        <v>4755</v>
      </c>
      <c r="AO438" s="1" t="s">
        <v>4807</v>
      </c>
      <c r="AP438" s="1">
        <v>0</v>
      </c>
      <c r="AQ438" s="1" t="s">
        <v>1161</v>
      </c>
      <c r="AR438" s="1" t="s">
        <v>6004</v>
      </c>
      <c r="AS438" s="1" t="s">
        <v>6004</v>
      </c>
      <c r="AT438" s="1" t="s">
        <v>329</v>
      </c>
      <c r="AU438" s="1">
        <v>54</v>
      </c>
      <c r="AV438" s="1">
        <v>0</v>
      </c>
      <c r="AW438" s="1" t="s">
        <v>5801</v>
      </c>
      <c r="AX438" s="1" t="s">
        <v>1814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6035</v>
      </c>
      <c r="C439" s="247" t="s">
        <v>6036</v>
      </c>
      <c r="D439" s="1" t="s">
        <v>6036</v>
      </c>
      <c r="E439" s="1"/>
      <c r="F439" s="1"/>
      <c r="G439" s="1" t="s">
        <v>6037</v>
      </c>
      <c r="H439" s="1" t="s">
        <v>6038</v>
      </c>
      <c r="I439" s="1" t="s">
        <v>6039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4727</v>
      </c>
      <c r="AN439" s="1" t="s">
        <v>4755</v>
      </c>
      <c r="AO439" s="1" t="s">
        <v>4807</v>
      </c>
      <c r="AP439" s="1">
        <v>0</v>
      </c>
      <c r="AQ439" s="1" t="s">
        <v>1161</v>
      </c>
      <c r="AR439" s="1" t="s">
        <v>6004</v>
      </c>
      <c r="AS439" s="1" t="s">
        <v>6004</v>
      </c>
      <c r="AT439" s="1" t="s">
        <v>329</v>
      </c>
      <c r="AU439" s="1">
        <v>54</v>
      </c>
      <c r="AV439" s="1">
        <v>0</v>
      </c>
      <c r="AW439" s="1" t="s">
        <v>5801</v>
      </c>
      <c r="AX439" s="1" t="s">
        <v>1814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6040</v>
      </c>
      <c r="C440" s="247" t="s">
        <v>6041</v>
      </c>
      <c r="D440" s="1" t="s">
        <v>6041</v>
      </c>
      <c r="E440" s="1"/>
      <c r="F440" s="1"/>
      <c r="G440" s="1" t="s">
        <v>6042</v>
      </c>
      <c r="H440" s="1" t="s">
        <v>6043</v>
      </c>
      <c r="I440" s="1" t="s">
        <v>6044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4727</v>
      </c>
      <c r="AN440" s="1" t="s">
        <v>4755</v>
      </c>
      <c r="AO440" s="1" t="s">
        <v>4807</v>
      </c>
      <c r="AP440" s="1">
        <v>0</v>
      </c>
      <c r="AQ440" s="1" t="s">
        <v>1161</v>
      </c>
      <c r="AR440" s="1" t="s">
        <v>6004</v>
      </c>
      <c r="AS440" s="1" t="s">
        <v>6004</v>
      </c>
      <c r="AT440" s="1" t="s">
        <v>329</v>
      </c>
      <c r="AU440" s="1">
        <v>54</v>
      </c>
      <c r="AV440" s="1">
        <v>0</v>
      </c>
      <c r="AW440" s="1" t="s">
        <v>5801</v>
      </c>
      <c r="AX440" s="1" t="s">
        <v>1814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6045</v>
      </c>
      <c r="C441" s="247" t="s">
        <v>6046</v>
      </c>
      <c r="D441" s="1" t="s">
        <v>6046</v>
      </c>
      <c r="E441" s="1"/>
      <c r="F441" s="1"/>
      <c r="G441" s="1" t="s">
        <v>6047</v>
      </c>
      <c r="H441" s="1" t="s">
        <v>6048</v>
      </c>
      <c r="I441" s="1" t="s">
        <v>6049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4727</v>
      </c>
      <c r="AN441" s="1" t="s">
        <v>4755</v>
      </c>
      <c r="AO441" s="1" t="s">
        <v>4807</v>
      </c>
      <c r="AP441" s="1">
        <v>0</v>
      </c>
      <c r="AQ441" s="1" t="s">
        <v>1161</v>
      </c>
      <c r="AR441" s="1" t="s">
        <v>6004</v>
      </c>
      <c r="AS441" s="1" t="s">
        <v>6004</v>
      </c>
      <c r="AT441" s="1" t="s">
        <v>329</v>
      </c>
      <c r="AU441" s="1">
        <v>54</v>
      </c>
      <c r="AV441" s="1">
        <v>0</v>
      </c>
      <c r="AW441" s="1" t="s">
        <v>5801</v>
      </c>
      <c r="AX441" s="1" t="s">
        <v>1814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6050</v>
      </c>
      <c r="C442" s="247" t="s">
        <v>22</v>
      </c>
      <c r="D442" s="1" t="s">
        <v>6024</v>
      </c>
      <c r="E442" s="1"/>
      <c r="F442" s="1"/>
      <c r="G442" s="1" t="s">
        <v>6051</v>
      </c>
      <c r="H442" s="1" t="s">
        <v>6052</v>
      </c>
      <c r="I442" s="1" t="s">
        <v>6053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6054</v>
      </c>
      <c r="AK442" s="1" t="s">
        <v>1410</v>
      </c>
      <c r="AL442" s="1">
        <v>13</v>
      </c>
      <c r="AM442" s="1" t="s">
        <v>4798</v>
      </c>
      <c r="AN442" s="1" t="s">
        <v>4869</v>
      </c>
      <c r="AO442" s="1" t="s">
        <v>5436</v>
      </c>
      <c r="AP442" s="1">
        <v>0</v>
      </c>
      <c r="AQ442" s="1" t="s">
        <v>1137</v>
      </c>
      <c r="AR442" s="1" t="s">
        <v>1161</v>
      </c>
      <c r="AS442" s="1" t="s">
        <v>5857</v>
      </c>
      <c r="AT442" s="1" t="s">
        <v>329</v>
      </c>
      <c r="AU442" s="1">
        <v>55</v>
      </c>
      <c r="AV442" s="1">
        <v>0</v>
      </c>
      <c r="AW442" s="1" t="s">
        <v>5801</v>
      </c>
      <c r="AX442" s="1" t="s">
        <v>1814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6055</v>
      </c>
      <c r="C443" s="247" t="s">
        <v>6056</v>
      </c>
      <c r="D443" s="1" t="s">
        <v>6056</v>
      </c>
      <c r="E443" s="1"/>
      <c r="F443" s="1"/>
      <c r="G443" s="1" t="s">
        <v>6057</v>
      </c>
      <c r="H443" s="1" t="s">
        <v>6058</v>
      </c>
      <c r="I443" s="1" t="s">
        <v>6059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6034</v>
      </c>
      <c r="AK443" s="1" t="s">
        <v>329</v>
      </c>
      <c r="AL443" s="1">
        <v>13</v>
      </c>
      <c r="AM443" s="1" t="s">
        <v>4727</v>
      </c>
      <c r="AN443" s="1" t="s">
        <v>4755</v>
      </c>
      <c r="AO443" s="1" t="s">
        <v>4807</v>
      </c>
      <c r="AP443" s="1">
        <v>0</v>
      </c>
      <c r="AQ443" s="1" t="s">
        <v>1161</v>
      </c>
      <c r="AR443" s="1" t="s">
        <v>6004</v>
      </c>
      <c r="AS443" s="1" t="s">
        <v>6004</v>
      </c>
      <c r="AT443" s="1" t="s">
        <v>329</v>
      </c>
      <c r="AU443" s="1">
        <v>54</v>
      </c>
      <c r="AV443" s="1">
        <v>0</v>
      </c>
      <c r="AW443" s="1" t="s">
        <v>5801</v>
      </c>
      <c r="AX443" s="1" t="s">
        <v>1814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6060</v>
      </c>
      <c r="C444" s="247" t="s">
        <v>6061</v>
      </c>
      <c r="D444" s="1" t="s">
        <v>6061</v>
      </c>
      <c r="E444" s="1"/>
      <c r="F444" s="1"/>
      <c r="G444" s="1" t="s">
        <v>6062</v>
      </c>
      <c r="H444" s="1" t="s">
        <v>6063</v>
      </c>
      <c r="I444" s="1" t="s">
        <v>6064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1814</v>
      </c>
      <c r="AN444" s="1" t="s">
        <v>4755</v>
      </c>
      <c r="AO444" s="1" t="s">
        <v>4752</v>
      </c>
      <c r="AP444" s="1">
        <v>0</v>
      </c>
      <c r="AQ444" s="1" t="s">
        <v>5863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5801</v>
      </c>
      <c r="AX444" s="1" t="s">
        <v>1814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6065</v>
      </c>
      <c r="C445" s="247" t="s">
        <v>249</v>
      </c>
      <c r="D445" s="1" t="s">
        <v>249</v>
      </c>
      <c r="E445" s="1"/>
      <c r="F445" s="1"/>
      <c r="G445" s="1" t="s">
        <v>6066</v>
      </c>
      <c r="H445" s="1" t="s">
        <v>6067</v>
      </c>
      <c r="I445" s="1" t="s">
        <v>6068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6069</v>
      </c>
      <c r="AK445" s="1" t="s">
        <v>329</v>
      </c>
      <c r="AL445" s="1">
        <v>17</v>
      </c>
      <c r="AM445" s="1" t="s">
        <v>4770</v>
      </c>
      <c r="AN445" s="1" t="s">
        <v>5412</v>
      </c>
      <c r="AO445" s="1" t="s">
        <v>4853</v>
      </c>
      <c r="AP445" s="1">
        <v>0</v>
      </c>
      <c r="AQ445" s="1" t="s">
        <v>1147</v>
      </c>
      <c r="AR445" s="1" t="s">
        <v>1148</v>
      </c>
      <c r="AS445" s="1" t="s">
        <v>6070</v>
      </c>
      <c r="AT445" s="1" t="s">
        <v>329</v>
      </c>
      <c r="AU445" s="1">
        <v>1005</v>
      </c>
      <c r="AV445" s="1">
        <v>1</v>
      </c>
      <c r="AW445" s="1" t="s">
        <v>5801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6071</v>
      </c>
      <c r="C446" s="247" t="s">
        <v>249</v>
      </c>
      <c r="D446" s="1" t="s">
        <v>249</v>
      </c>
      <c r="E446" s="1"/>
      <c r="F446" s="1"/>
      <c r="G446" s="1" t="s">
        <v>6072</v>
      </c>
      <c r="H446" s="1" t="s">
        <v>6073</v>
      </c>
      <c r="I446" s="1" t="s">
        <v>6074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6075</v>
      </c>
      <c r="AK446" s="1" t="s">
        <v>329</v>
      </c>
      <c r="AL446" s="1">
        <v>17</v>
      </c>
      <c r="AM446" s="1" t="s">
        <v>4770</v>
      </c>
      <c r="AN446" s="1" t="s">
        <v>5412</v>
      </c>
      <c r="AO446" s="1" t="s">
        <v>4853</v>
      </c>
      <c r="AP446" s="1">
        <v>0</v>
      </c>
      <c r="AQ446" s="1" t="s">
        <v>1147</v>
      </c>
      <c r="AR446" s="1" t="s">
        <v>1148</v>
      </c>
      <c r="AS446" s="1" t="s">
        <v>6070</v>
      </c>
      <c r="AT446" s="1" t="s">
        <v>329</v>
      </c>
      <c r="AU446" s="1">
        <v>1005</v>
      </c>
      <c r="AV446" s="1">
        <v>1</v>
      </c>
      <c r="AW446" s="1" t="s">
        <v>5801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6076</v>
      </c>
      <c r="C447" s="247" t="s">
        <v>5815</v>
      </c>
      <c r="D447" s="1" t="s">
        <v>5816</v>
      </c>
      <c r="E447" s="1"/>
      <c r="F447" s="1"/>
      <c r="G447" s="1" t="s">
        <v>6077</v>
      </c>
      <c r="H447" s="1" t="s">
        <v>6078</v>
      </c>
      <c r="I447" s="1" t="s">
        <v>6079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5820</v>
      </c>
      <c r="AK447" s="1" t="s">
        <v>329</v>
      </c>
      <c r="AL447" s="1">
        <v>19</v>
      </c>
      <c r="AM447" s="1" t="s">
        <v>4770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5799</v>
      </c>
      <c r="AS447" s="1" t="s">
        <v>5800</v>
      </c>
      <c r="AT447" s="1" t="s">
        <v>329</v>
      </c>
      <c r="AU447" s="1">
        <v>10</v>
      </c>
      <c r="AV447" s="1">
        <v>1</v>
      </c>
      <c r="AW447" s="1" t="s">
        <v>5801</v>
      </c>
      <c r="AX447" s="1" t="s">
        <v>1814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6080</v>
      </c>
      <c r="C448" s="247" t="s">
        <v>5815</v>
      </c>
      <c r="D448" s="1" t="s">
        <v>5816</v>
      </c>
      <c r="E448" s="1"/>
      <c r="F448" s="1"/>
      <c r="G448" s="1" t="s">
        <v>6081</v>
      </c>
      <c r="H448" s="1" t="s">
        <v>6082</v>
      </c>
      <c r="I448" s="1" t="s">
        <v>6083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5820</v>
      </c>
      <c r="AK448" s="1" t="s">
        <v>329</v>
      </c>
      <c r="AL448" s="1">
        <v>19</v>
      </c>
      <c r="AM448" s="1" t="s">
        <v>4770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5799</v>
      </c>
      <c r="AS448" s="1" t="s">
        <v>5800</v>
      </c>
      <c r="AT448" s="1" t="s">
        <v>329</v>
      </c>
      <c r="AU448" s="1">
        <v>10</v>
      </c>
      <c r="AV448" s="1">
        <v>1</v>
      </c>
      <c r="AW448" s="1" t="s">
        <v>5801</v>
      </c>
      <c r="AX448" s="1" t="s">
        <v>1814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6084</v>
      </c>
      <c r="C449" s="247" t="s">
        <v>6085</v>
      </c>
      <c r="D449" s="1" t="s">
        <v>6085</v>
      </c>
      <c r="E449" s="1"/>
      <c r="F449" s="1"/>
      <c r="G449" s="1" t="s">
        <v>6086</v>
      </c>
      <c r="H449" s="1" t="s">
        <v>6087</v>
      </c>
      <c r="I449" s="1" t="s">
        <v>6088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6089</v>
      </c>
      <c r="AK449" s="1" t="s">
        <v>329</v>
      </c>
      <c r="AL449" s="1">
        <v>13</v>
      </c>
      <c r="AM449" s="1" t="s">
        <v>4798</v>
      </c>
      <c r="AN449" s="1" t="s">
        <v>4869</v>
      </c>
      <c r="AO449" s="1" t="s">
        <v>5436</v>
      </c>
      <c r="AP449" s="1">
        <v>0</v>
      </c>
      <c r="AQ449" s="1" t="s">
        <v>1137</v>
      </c>
      <c r="AR449" s="1" t="s">
        <v>1161</v>
      </c>
      <c r="AS449" s="1" t="s">
        <v>5857</v>
      </c>
      <c r="AT449" s="1" t="s">
        <v>329</v>
      </c>
      <c r="AU449" s="1">
        <v>55</v>
      </c>
      <c r="AV449" s="1">
        <v>0</v>
      </c>
      <c r="AW449" s="1" t="s">
        <v>5801</v>
      </c>
      <c r="AX449" s="1" t="s">
        <v>1814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6090</v>
      </c>
      <c r="C450" s="247" t="s">
        <v>6091</v>
      </c>
      <c r="D450" s="1" t="s">
        <v>6091</v>
      </c>
      <c r="E450" s="1"/>
      <c r="F450" s="1"/>
      <c r="G450" s="1" t="s">
        <v>6092</v>
      </c>
      <c r="H450" s="1" t="s">
        <v>6093</v>
      </c>
      <c r="I450" s="1" t="s">
        <v>6094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1814</v>
      </c>
      <c r="AN450" s="1" t="s">
        <v>4748</v>
      </c>
      <c r="AO450" s="1" t="s">
        <v>4749</v>
      </c>
      <c r="AP450" s="1">
        <v>0</v>
      </c>
      <c r="AQ450" s="1" t="s">
        <v>1147</v>
      </c>
      <c r="AR450" s="1" t="s">
        <v>5799</v>
      </c>
      <c r="AS450" s="1" t="s">
        <v>5800</v>
      </c>
      <c r="AT450" s="1" t="s">
        <v>329</v>
      </c>
      <c r="AU450" s="1">
        <v>1</v>
      </c>
      <c r="AV450" s="1">
        <v>0</v>
      </c>
      <c r="AW450" s="1" t="s">
        <v>5801</v>
      </c>
      <c r="AX450" s="1" t="s">
        <v>1814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6095</v>
      </c>
      <c r="C451" s="247" t="s">
        <v>6096</v>
      </c>
      <c r="D451" s="1" t="s">
        <v>6096</v>
      </c>
      <c r="E451" s="1"/>
      <c r="F451" s="1"/>
      <c r="G451" s="1" t="s">
        <v>6097</v>
      </c>
      <c r="H451" s="1" t="s">
        <v>6098</v>
      </c>
      <c r="I451" s="1" t="s">
        <v>6099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1814</v>
      </c>
      <c r="AN451" s="1" t="s">
        <v>4748</v>
      </c>
      <c r="AO451" s="1" t="s">
        <v>4749</v>
      </c>
      <c r="AP451" s="1">
        <v>0</v>
      </c>
      <c r="AQ451" s="1" t="s">
        <v>1147</v>
      </c>
      <c r="AR451" s="1" t="s">
        <v>5799</v>
      </c>
      <c r="AS451" s="1" t="s">
        <v>5800</v>
      </c>
      <c r="AT451" s="1" t="s">
        <v>329</v>
      </c>
      <c r="AU451" s="1">
        <v>1</v>
      </c>
      <c r="AV451" s="1">
        <v>0</v>
      </c>
      <c r="AW451" s="1" t="s">
        <v>5801</v>
      </c>
      <c r="AX451" s="1" t="s">
        <v>1814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6100</v>
      </c>
      <c r="C452" s="247" t="s">
        <v>6101</v>
      </c>
      <c r="D452" s="1" t="s">
        <v>6101</v>
      </c>
      <c r="E452" s="1"/>
      <c r="F452" s="1"/>
      <c r="G452" s="1" t="s">
        <v>6102</v>
      </c>
      <c r="H452" s="1" t="s">
        <v>6103</v>
      </c>
      <c r="I452" s="1" t="s">
        <v>6104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6105</v>
      </c>
      <c r="AK452" s="1" t="s">
        <v>329</v>
      </c>
      <c r="AL452" s="1">
        <v>13</v>
      </c>
      <c r="AM452" s="1" t="s">
        <v>4798</v>
      </c>
      <c r="AN452" s="1" t="s">
        <v>4869</v>
      </c>
      <c r="AO452" s="1" t="s">
        <v>5436</v>
      </c>
      <c r="AP452" s="1">
        <v>0</v>
      </c>
      <c r="AQ452" s="1" t="s">
        <v>1137</v>
      </c>
      <c r="AR452" s="1" t="s">
        <v>1161</v>
      </c>
      <c r="AS452" s="1" t="s">
        <v>5857</v>
      </c>
      <c r="AT452" s="1" t="s">
        <v>329</v>
      </c>
      <c r="AU452" s="1">
        <v>55</v>
      </c>
      <c r="AV452" s="1">
        <v>0</v>
      </c>
      <c r="AW452" s="1" t="s">
        <v>5801</v>
      </c>
      <c r="AX452" s="1" t="s">
        <v>1814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6106</v>
      </c>
      <c r="C453" s="247" t="s">
        <v>223</v>
      </c>
      <c r="D453" s="1" t="s">
        <v>4208</v>
      </c>
      <c r="E453" s="1"/>
      <c r="F453" s="1"/>
      <c r="G453" s="1" t="s">
        <v>6107</v>
      </c>
      <c r="H453" s="1" t="s">
        <v>6108</v>
      </c>
      <c r="I453" s="1" t="s">
        <v>6109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6110</v>
      </c>
      <c r="AK453" s="1" t="s">
        <v>329</v>
      </c>
      <c r="AL453" s="1">
        <v>13</v>
      </c>
      <c r="AM453" s="1" t="s">
        <v>4727</v>
      </c>
      <c r="AN453" s="1" t="s">
        <v>476</v>
      </c>
      <c r="AO453" s="1" t="s">
        <v>4895</v>
      </c>
      <c r="AP453" s="1">
        <v>0</v>
      </c>
      <c r="AQ453" s="1" t="s">
        <v>1137</v>
      </c>
      <c r="AR453" s="1" t="s">
        <v>1161</v>
      </c>
      <c r="AS453" s="1" t="s">
        <v>5857</v>
      </c>
      <c r="AT453" s="1" t="s">
        <v>329</v>
      </c>
      <c r="AU453" s="1">
        <v>65</v>
      </c>
      <c r="AV453" s="1">
        <v>0</v>
      </c>
      <c r="AW453" s="1" t="s">
        <v>5801</v>
      </c>
      <c r="AX453" s="1" t="s">
        <v>1814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6111</v>
      </c>
      <c r="C454" s="247" t="s">
        <v>79</v>
      </c>
      <c r="D454" s="1" t="s">
        <v>4203</v>
      </c>
      <c r="E454" s="1"/>
      <c r="F454" s="1"/>
      <c r="G454" s="1" t="s">
        <v>6112</v>
      </c>
      <c r="H454" s="1" t="s">
        <v>6113</v>
      </c>
      <c r="I454" s="1" t="s">
        <v>6114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6115</v>
      </c>
      <c r="AK454" s="1" t="s">
        <v>329</v>
      </c>
      <c r="AL454" s="1">
        <v>13</v>
      </c>
      <c r="AM454" s="1" t="s">
        <v>4798</v>
      </c>
      <c r="AN454" s="1" t="s">
        <v>4801</v>
      </c>
      <c r="AO454" s="1" t="s">
        <v>4810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5801</v>
      </c>
      <c r="AX454" s="1" t="s">
        <v>1814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6116</v>
      </c>
      <c r="C455" s="247" t="s">
        <v>6117</v>
      </c>
      <c r="D455" s="1" t="s">
        <v>6117</v>
      </c>
      <c r="E455" s="1"/>
      <c r="F455" s="1"/>
      <c r="G455" s="1" t="s">
        <v>6118</v>
      </c>
      <c r="H455" s="1" t="s">
        <v>6119</v>
      </c>
      <c r="I455" s="1" t="s">
        <v>6120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6110</v>
      </c>
      <c r="AK455" s="1" t="s">
        <v>329</v>
      </c>
      <c r="AL455" s="1">
        <v>13</v>
      </c>
      <c r="AM455" s="1" t="s">
        <v>4727</v>
      </c>
      <c r="AN455" s="1" t="s">
        <v>476</v>
      </c>
      <c r="AO455" s="1" t="s">
        <v>4895</v>
      </c>
      <c r="AP455" s="1">
        <v>0</v>
      </c>
      <c r="AQ455" s="1" t="s">
        <v>1137</v>
      </c>
      <c r="AR455" s="1" t="s">
        <v>1161</v>
      </c>
      <c r="AS455" s="1" t="s">
        <v>5857</v>
      </c>
      <c r="AT455" s="1" t="s">
        <v>329</v>
      </c>
      <c r="AU455" s="1">
        <v>65</v>
      </c>
      <c r="AV455" s="1">
        <v>0</v>
      </c>
      <c r="AW455" s="1" t="s">
        <v>5801</v>
      </c>
      <c r="AX455" s="1" t="s">
        <v>1814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6121</v>
      </c>
      <c r="C456" s="247" t="s">
        <v>6122</v>
      </c>
      <c r="D456" s="1" t="s">
        <v>6122</v>
      </c>
      <c r="E456" s="1"/>
      <c r="F456" s="1"/>
      <c r="G456" s="1" t="s">
        <v>6123</v>
      </c>
      <c r="H456" s="1" t="s">
        <v>6124</v>
      </c>
      <c r="I456" s="1" t="s">
        <v>6125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6115</v>
      </c>
      <c r="AK456" s="1" t="s">
        <v>329</v>
      </c>
      <c r="AL456" s="1">
        <v>13</v>
      </c>
      <c r="AM456" s="1" t="s">
        <v>4798</v>
      </c>
      <c r="AN456" s="1" t="s">
        <v>4801</v>
      </c>
      <c r="AO456" s="1" t="s">
        <v>4810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5801</v>
      </c>
      <c r="AX456" s="1" t="s">
        <v>1814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6126</v>
      </c>
      <c r="C457" s="247" t="s">
        <v>6122</v>
      </c>
      <c r="D457" s="1" t="s">
        <v>6122</v>
      </c>
      <c r="E457" s="1"/>
      <c r="F457" s="1"/>
      <c r="G457" s="1" t="s">
        <v>6127</v>
      </c>
      <c r="H457" s="1" t="s">
        <v>6128</v>
      </c>
      <c r="I457" s="1" t="s">
        <v>6129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6130</v>
      </c>
      <c r="AK457" s="1" t="s">
        <v>329</v>
      </c>
      <c r="AL457" s="1">
        <v>13</v>
      </c>
      <c r="AM457" s="1" t="s">
        <v>4798</v>
      </c>
      <c r="AN457" s="1" t="s">
        <v>4801</v>
      </c>
      <c r="AO457" s="1" t="s">
        <v>4810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5801</v>
      </c>
      <c r="AX457" s="1" t="s">
        <v>1814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6131</v>
      </c>
      <c r="C458" s="247" t="s">
        <v>6132</v>
      </c>
      <c r="D458" s="1" t="s">
        <v>6132</v>
      </c>
      <c r="E458" s="1"/>
      <c r="F458" s="1"/>
      <c r="G458" s="1" t="s">
        <v>6133</v>
      </c>
      <c r="H458" s="1" t="s">
        <v>6134</v>
      </c>
      <c r="I458" s="1" t="s">
        <v>6135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1814</v>
      </c>
      <c r="AN458" s="1" t="s">
        <v>4755</v>
      </c>
      <c r="AO458" s="1" t="s">
        <v>4752</v>
      </c>
      <c r="AP458" s="1">
        <v>0</v>
      </c>
      <c r="AQ458" s="1" t="s">
        <v>5863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5801</v>
      </c>
      <c r="AX458" s="1" t="s">
        <v>1814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6136</v>
      </c>
      <c r="C459" s="247" t="s">
        <v>5791</v>
      </c>
      <c r="D459" s="1" t="s">
        <v>4213</v>
      </c>
      <c r="E459" s="1"/>
      <c r="F459" s="1"/>
      <c r="G459" s="1" t="s">
        <v>6137</v>
      </c>
      <c r="H459" s="1" t="s">
        <v>6138</v>
      </c>
      <c r="I459" s="1" t="s">
        <v>6139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6140</v>
      </c>
      <c r="AK459" s="1" t="s">
        <v>329</v>
      </c>
      <c r="AL459" s="1">
        <v>13</v>
      </c>
      <c r="AM459" s="1" t="s">
        <v>399</v>
      </c>
      <c r="AN459" s="1" t="s">
        <v>4803</v>
      </c>
      <c r="AO459" s="1" t="s">
        <v>5419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5801</v>
      </c>
      <c r="AX459" s="1" t="s">
        <v>1814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6141</v>
      </c>
      <c r="C460" s="247" t="s">
        <v>6142</v>
      </c>
      <c r="D460" s="1" t="s">
        <v>6142</v>
      </c>
      <c r="E460" s="1"/>
      <c r="F460" s="1"/>
      <c r="G460" s="1" t="s">
        <v>6143</v>
      </c>
      <c r="H460" s="1" t="s">
        <v>6144</v>
      </c>
      <c r="I460" s="1" t="s">
        <v>6145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4798</v>
      </c>
      <c r="AN460" s="1" t="s">
        <v>4869</v>
      </c>
      <c r="AO460" s="1" t="s">
        <v>5436</v>
      </c>
      <c r="AP460" s="1">
        <v>0</v>
      </c>
      <c r="AQ460" s="1" t="s">
        <v>1137</v>
      </c>
      <c r="AR460" s="1" t="s">
        <v>1161</v>
      </c>
      <c r="AS460" s="1" t="s">
        <v>5857</v>
      </c>
      <c r="AT460" s="1" t="s">
        <v>329</v>
      </c>
      <c r="AU460" s="1">
        <v>55</v>
      </c>
      <c r="AV460" s="1">
        <v>0</v>
      </c>
      <c r="AW460" s="1" t="s">
        <v>5801</v>
      </c>
      <c r="AX460" s="1" t="s">
        <v>1814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6146</v>
      </c>
      <c r="C461" s="247" t="s">
        <v>6147</v>
      </c>
      <c r="D461" s="1" t="s">
        <v>6147</v>
      </c>
      <c r="E461" s="1"/>
      <c r="F461" s="1"/>
      <c r="G461" s="1" t="s">
        <v>6148</v>
      </c>
      <c r="H461" s="1" t="s">
        <v>6149</v>
      </c>
      <c r="I461" s="1" t="s">
        <v>6150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4798</v>
      </c>
      <c r="AN461" s="1" t="s">
        <v>4869</v>
      </c>
      <c r="AO461" s="1" t="s">
        <v>5436</v>
      </c>
      <c r="AP461" s="1">
        <v>0</v>
      </c>
      <c r="AQ461" s="1" t="s">
        <v>1137</v>
      </c>
      <c r="AR461" s="1" t="s">
        <v>1161</v>
      </c>
      <c r="AS461" s="1" t="s">
        <v>5857</v>
      </c>
      <c r="AT461" s="1" t="s">
        <v>329</v>
      </c>
      <c r="AU461" s="1">
        <v>55</v>
      </c>
      <c r="AV461" s="1">
        <v>0</v>
      </c>
      <c r="AW461" s="1" t="s">
        <v>5801</v>
      </c>
      <c r="AX461" s="1" t="s">
        <v>1814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6151</v>
      </c>
      <c r="C462" s="247" t="s">
        <v>6152</v>
      </c>
      <c r="D462" s="1" t="s">
        <v>6152</v>
      </c>
      <c r="E462" s="1"/>
      <c r="F462" s="1"/>
      <c r="G462" s="1" t="s">
        <v>6153</v>
      </c>
      <c r="H462" s="1" t="s">
        <v>6154</v>
      </c>
      <c r="I462" s="1" t="s">
        <v>6155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4770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5799</v>
      </c>
      <c r="AS462" s="1" t="s">
        <v>5800</v>
      </c>
      <c r="AT462" s="1" t="s">
        <v>329</v>
      </c>
      <c r="AU462" s="1">
        <v>10</v>
      </c>
      <c r="AV462" s="1">
        <v>1</v>
      </c>
      <c r="AW462" s="1" t="s">
        <v>5801</v>
      </c>
      <c r="AX462" s="1" t="s">
        <v>1814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6156</v>
      </c>
      <c r="C463" s="247" t="s">
        <v>6157</v>
      </c>
      <c r="D463" s="1" t="s">
        <v>6157</v>
      </c>
      <c r="E463" s="1"/>
      <c r="F463" s="1"/>
      <c r="G463" s="1" t="s">
        <v>6158</v>
      </c>
      <c r="H463" s="1" t="s">
        <v>6159</v>
      </c>
      <c r="I463" s="1" t="s">
        <v>6160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4770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5799</v>
      </c>
      <c r="AS463" s="1" t="s">
        <v>5800</v>
      </c>
      <c r="AT463" s="1" t="s">
        <v>329</v>
      </c>
      <c r="AU463" s="1">
        <v>10</v>
      </c>
      <c r="AV463" s="1">
        <v>1</v>
      </c>
      <c r="AW463" s="1" t="s">
        <v>5801</v>
      </c>
      <c r="AX463" s="1" t="s">
        <v>1814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6161</v>
      </c>
      <c r="C464" s="247" t="s">
        <v>6162</v>
      </c>
      <c r="D464" s="1" t="s">
        <v>6162</v>
      </c>
      <c r="E464" s="1"/>
      <c r="F464" s="1"/>
      <c r="G464" s="1" t="s">
        <v>6163</v>
      </c>
      <c r="H464" s="1" t="s">
        <v>6164</v>
      </c>
      <c r="I464" s="1" t="s">
        <v>6165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4798</v>
      </c>
      <c r="AN464" s="1" t="s">
        <v>4801</v>
      </c>
      <c r="AO464" s="1" t="s">
        <v>4810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5801</v>
      </c>
      <c r="AX464" s="1" t="s">
        <v>1814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6166</v>
      </c>
      <c r="C465" s="247" t="s">
        <v>6167</v>
      </c>
      <c r="D465" s="1" t="s">
        <v>6167</v>
      </c>
      <c r="E465" s="1"/>
      <c r="F465" s="1"/>
      <c r="G465" s="1" t="s">
        <v>6168</v>
      </c>
      <c r="H465" s="1" t="s">
        <v>6169</v>
      </c>
      <c r="I465" s="1" t="s">
        <v>6170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4798</v>
      </c>
      <c r="AN465" s="1" t="s">
        <v>4801</v>
      </c>
      <c r="AO465" s="1" t="s">
        <v>4810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5801</v>
      </c>
      <c r="AX465" s="1" t="s">
        <v>1814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6171</v>
      </c>
      <c r="C466" s="247" t="s">
        <v>6172</v>
      </c>
      <c r="D466" s="1" t="s">
        <v>6172</v>
      </c>
      <c r="E466" s="1"/>
      <c r="F466" s="1"/>
      <c r="G466" s="1" t="s">
        <v>6173</v>
      </c>
      <c r="H466" s="1" t="s">
        <v>6174</v>
      </c>
      <c r="I466" s="1" t="s">
        <v>6175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4798</v>
      </c>
      <c r="AN466" s="1" t="s">
        <v>4801</v>
      </c>
      <c r="AO466" s="1" t="s">
        <v>4810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5801</v>
      </c>
      <c r="AX466" s="1" t="s">
        <v>1814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6176</v>
      </c>
      <c r="C467" s="247" t="s">
        <v>6177</v>
      </c>
      <c r="D467" s="1" t="s">
        <v>6177</v>
      </c>
      <c r="E467" s="1"/>
      <c r="F467" s="1"/>
      <c r="G467" s="1" t="s">
        <v>6178</v>
      </c>
      <c r="H467" s="1" t="s">
        <v>6179</v>
      </c>
      <c r="I467" s="1" t="s">
        <v>6180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6105</v>
      </c>
      <c r="AK467" s="1" t="s">
        <v>329</v>
      </c>
      <c r="AL467" s="1">
        <v>13</v>
      </c>
      <c r="AM467" s="1" t="s">
        <v>4798</v>
      </c>
      <c r="AN467" s="1" t="s">
        <v>4869</v>
      </c>
      <c r="AO467" s="1" t="s">
        <v>5436</v>
      </c>
      <c r="AP467" s="1">
        <v>0</v>
      </c>
      <c r="AQ467" s="1" t="s">
        <v>1137</v>
      </c>
      <c r="AR467" s="1" t="s">
        <v>1161</v>
      </c>
      <c r="AS467" s="1" t="s">
        <v>5857</v>
      </c>
      <c r="AT467" s="1" t="s">
        <v>329</v>
      </c>
      <c r="AU467" s="1">
        <v>55</v>
      </c>
      <c r="AV467" s="1">
        <v>0</v>
      </c>
      <c r="AW467" s="1" t="s">
        <v>5801</v>
      </c>
      <c r="AX467" s="1" t="s">
        <v>1814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6181</v>
      </c>
      <c r="C468" s="247" t="s">
        <v>6182</v>
      </c>
      <c r="D468" s="1" t="s">
        <v>6182</v>
      </c>
      <c r="E468" s="1"/>
      <c r="F468" s="1"/>
      <c r="G468" s="1" t="s">
        <v>6183</v>
      </c>
      <c r="H468" s="1" t="s">
        <v>6184</v>
      </c>
      <c r="I468" s="1" t="s">
        <v>6185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6186</v>
      </c>
      <c r="AK468" s="1" t="s">
        <v>329</v>
      </c>
      <c r="AL468" s="1">
        <v>13</v>
      </c>
      <c r="AM468" s="1" t="s">
        <v>1814</v>
      </c>
      <c r="AN468" s="1" t="s">
        <v>4755</v>
      </c>
      <c r="AO468" s="1" t="s">
        <v>4752</v>
      </c>
      <c r="AP468" s="1">
        <v>0</v>
      </c>
      <c r="AQ468" s="1" t="s">
        <v>5863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5801</v>
      </c>
      <c r="AX468" s="1" t="s">
        <v>1814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6187</v>
      </c>
      <c r="C469" s="247" t="s">
        <v>6182</v>
      </c>
      <c r="D469" s="1" t="s">
        <v>6182</v>
      </c>
      <c r="E469" s="1"/>
      <c r="F469" s="1"/>
      <c r="G469" s="1" t="s">
        <v>6188</v>
      </c>
      <c r="H469" s="1" t="s">
        <v>6189</v>
      </c>
      <c r="I469" s="1" t="s">
        <v>6190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1814</v>
      </c>
      <c r="AN469" s="1" t="s">
        <v>4755</v>
      </c>
      <c r="AO469" s="1" t="s">
        <v>4752</v>
      </c>
      <c r="AP469" s="1">
        <v>0</v>
      </c>
      <c r="AQ469" s="1" t="s">
        <v>5863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5801</v>
      </c>
      <c r="AX469" s="1" t="s">
        <v>1814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6191</v>
      </c>
      <c r="C470" s="247" t="s">
        <v>6192</v>
      </c>
      <c r="D470" s="1" t="s">
        <v>6192</v>
      </c>
      <c r="E470" s="1"/>
      <c r="F470" s="1"/>
      <c r="G470" s="1" t="s">
        <v>6193</v>
      </c>
      <c r="H470" s="1" t="s">
        <v>6194</v>
      </c>
      <c r="I470" s="1" t="s">
        <v>6195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6196</v>
      </c>
      <c r="AK470" s="1" t="s">
        <v>329</v>
      </c>
      <c r="AL470" s="1">
        <v>13</v>
      </c>
      <c r="AM470" s="1" t="s">
        <v>4798</v>
      </c>
      <c r="AN470" s="1" t="s">
        <v>4955</v>
      </c>
      <c r="AO470" s="1" t="s">
        <v>5054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5801</v>
      </c>
      <c r="AX470" s="1" t="s">
        <v>1814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6197</v>
      </c>
      <c r="C471" s="247" t="s">
        <v>6192</v>
      </c>
      <c r="D471" s="1" t="s">
        <v>6192</v>
      </c>
      <c r="E471" s="1"/>
      <c r="F471" s="1"/>
      <c r="G471" s="1" t="s">
        <v>6198</v>
      </c>
      <c r="H471" s="1" t="s">
        <v>6199</v>
      </c>
      <c r="I471" s="1" t="s">
        <v>6200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5989</v>
      </c>
      <c r="AK471" s="1" t="s">
        <v>329</v>
      </c>
      <c r="AL471" s="1">
        <v>13</v>
      </c>
      <c r="AM471" s="1" t="s">
        <v>4798</v>
      </c>
      <c r="AN471" s="1" t="s">
        <v>4955</v>
      </c>
      <c r="AO471" s="1" t="s">
        <v>5054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5801</v>
      </c>
      <c r="AX471" s="1" t="s">
        <v>1814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6201</v>
      </c>
      <c r="C472" s="247" t="s">
        <v>6192</v>
      </c>
      <c r="D472" s="1" t="s">
        <v>6192</v>
      </c>
      <c r="E472" s="1"/>
      <c r="F472" s="1"/>
      <c r="G472" s="1" t="s">
        <v>6202</v>
      </c>
      <c r="H472" s="1" t="s">
        <v>6203</v>
      </c>
      <c r="I472" s="1" t="s">
        <v>6204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5989</v>
      </c>
      <c r="AK472" s="1" t="s">
        <v>329</v>
      </c>
      <c r="AL472" s="1">
        <v>13</v>
      </c>
      <c r="AM472" s="1" t="s">
        <v>4798</v>
      </c>
      <c r="AN472" s="1" t="s">
        <v>4955</v>
      </c>
      <c r="AO472" s="1" t="s">
        <v>5054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5801</v>
      </c>
      <c r="AX472" s="1" t="s">
        <v>1814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6205</v>
      </c>
      <c r="C473" s="247" t="s">
        <v>6192</v>
      </c>
      <c r="D473" s="1" t="s">
        <v>6192</v>
      </c>
      <c r="E473" s="1"/>
      <c r="F473" s="1"/>
      <c r="G473" s="1" t="s">
        <v>6206</v>
      </c>
      <c r="H473" s="1" t="s">
        <v>6207</v>
      </c>
      <c r="I473" s="1" t="s">
        <v>6208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5989</v>
      </c>
      <c r="AK473" s="1" t="s">
        <v>329</v>
      </c>
      <c r="AL473" s="1">
        <v>13</v>
      </c>
      <c r="AM473" s="1" t="s">
        <v>4798</v>
      </c>
      <c r="AN473" s="1" t="s">
        <v>4955</v>
      </c>
      <c r="AO473" s="1" t="s">
        <v>5054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5801</v>
      </c>
      <c r="AX473" s="1" t="s">
        <v>1814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6209</v>
      </c>
      <c r="C474" s="247" t="s">
        <v>6172</v>
      </c>
      <c r="D474" s="1" t="s">
        <v>6172</v>
      </c>
      <c r="E474" s="1"/>
      <c r="F474" s="1"/>
      <c r="G474" s="1" t="s">
        <v>6210</v>
      </c>
      <c r="H474" s="1" t="s">
        <v>6211</v>
      </c>
      <c r="I474" s="1" t="s">
        <v>6212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4798</v>
      </c>
      <c r="AN474" s="1" t="s">
        <v>4801</v>
      </c>
      <c r="AO474" s="1" t="s">
        <v>4810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5801</v>
      </c>
      <c r="AX474" s="1" t="s">
        <v>1814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6213</v>
      </c>
      <c r="C475" s="247" t="s">
        <v>858</v>
      </c>
      <c r="D475" s="1" t="s">
        <v>6214</v>
      </c>
      <c r="E475" s="1"/>
      <c r="F475" s="1"/>
      <c r="G475" s="1" t="s">
        <v>6215</v>
      </c>
      <c r="H475" s="1" t="s">
        <v>6216</v>
      </c>
      <c r="I475" s="1" t="s">
        <v>6217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6003</v>
      </c>
      <c r="AK475" s="1" t="s">
        <v>329</v>
      </c>
      <c r="AL475" s="1">
        <v>13</v>
      </c>
      <c r="AM475" s="1" t="s">
        <v>4727</v>
      </c>
      <c r="AN475" s="1" t="s">
        <v>4755</v>
      </c>
      <c r="AO475" s="1" t="s">
        <v>4807</v>
      </c>
      <c r="AP475" s="1">
        <v>0</v>
      </c>
      <c r="AQ475" s="1" t="s">
        <v>1161</v>
      </c>
      <c r="AR475" s="1" t="s">
        <v>6004</v>
      </c>
      <c r="AS475" s="1" t="s">
        <v>6004</v>
      </c>
      <c r="AT475" s="1" t="s">
        <v>329</v>
      </c>
      <c r="AU475" s="1">
        <v>54</v>
      </c>
      <c r="AV475" s="1">
        <v>0</v>
      </c>
      <c r="AW475" s="1" t="s">
        <v>5801</v>
      </c>
      <c r="AX475" s="1" t="s">
        <v>1814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6218</v>
      </c>
      <c r="C476" s="247" t="s">
        <v>1748</v>
      </c>
      <c r="D476" s="1" t="s">
        <v>6219</v>
      </c>
      <c r="E476" s="1"/>
      <c r="F476" s="1"/>
      <c r="G476" s="1" t="s">
        <v>6220</v>
      </c>
      <c r="H476" s="1" t="s">
        <v>6221</v>
      </c>
      <c r="I476" s="1" t="s">
        <v>6222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6003</v>
      </c>
      <c r="AK476" s="1" t="s">
        <v>329</v>
      </c>
      <c r="AL476" s="1">
        <v>13</v>
      </c>
      <c r="AM476" s="1" t="s">
        <v>4727</v>
      </c>
      <c r="AN476" s="1" t="s">
        <v>4755</v>
      </c>
      <c r="AO476" s="1" t="s">
        <v>4807</v>
      </c>
      <c r="AP476" s="1">
        <v>0</v>
      </c>
      <c r="AQ476" s="1" t="s">
        <v>1161</v>
      </c>
      <c r="AR476" s="1" t="s">
        <v>6004</v>
      </c>
      <c r="AS476" s="1" t="s">
        <v>6004</v>
      </c>
      <c r="AT476" s="1" t="s">
        <v>329</v>
      </c>
      <c r="AU476" s="1">
        <v>54</v>
      </c>
      <c r="AV476" s="1">
        <v>0</v>
      </c>
      <c r="AW476" s="1" t="s">
        <v>5801</v>
      </c>
      <c r="AX476" s="1" t="s">
        <v>1814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6223</v>
      </c>
      <c r="C477" s="247" t="s">
        <v>863</v>
      </c>
      <c r="D477" s="1" t="s">
        <v>6224</v>
      </c>
      <c r="E477" s="1"/>
      <c r="F477" s="1"/>
      <c r="G477" s="1" t="s">
        <v>6225</v>
      </c>
      <c r="H477" s="1" t="s">
        <v>6226</v>
      </c>
      <c r="I477" s="1" t="s">
        <v>6227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6003</v>
      </c>
      <c r="AK477" s="1" t="s">
        <v>329</v>
      </c>
      <c r="AL477" s="1">
        <v>13</v>
      </c>
      <c r="AM477" s="1" t="s">
        <v>4727</v>
      </c>
      <c r="AN477" s="1" t="s">
        <v>4755</v>
      </c>
      <c r="AO477" s="1" t="s">
        <v>4807</v>
      </c>
      <c r="AP477" s="1">
        <v>0</v>
      </c>
      <c r="AQ477" s="1" t="s">
        <v>1161</v>
      </c>
      <c r="AR477" s="1" t="s">
        <v>6004</v>
      </c>
      <c r="AS477" s="1" t="s">
        <v>6004</v>
      </c>
      <c r="AT477" s="1" t="s">
        <v>329</v>
      </c>
      <c r="AU477" s="1">
        <v>54</v>
      </c>
      <c r="AV477" s="1">
        <v>0</v>
      </c>
      <c r="AW477" s="1" t="s">
        <v>5801</v>
      </c>
      <c r="AX477" s="1" t="s">
        <v>1814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6228</v>
      </c>
      <c r="C478" s="247" t="s">
        <v>6061</v>
      </c>
      <c r="D478" s="1" t="s">
        <v>6229</v>
      </c>
      <c r="E478" s="1"/>
      <c r="F478" s="1"/>
      <c r="G478" s="1" t="s">
        <v>6230</v>
      </c>
      <c r="H478" s="1" t="s">
        <v>6231</v>
      </c>
      <c r="I478" s="1" t="s">
        <v>6232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6233</v>
      </c>
      <c r="AK478" s="1" t="s">
        <v>329</v>
      </c>
      <c r="AL478" s="1">
        <v>13</v>
      </c>
      <c r="AM478" s="1" t="s">
        <v>1814</v>
      </c>
      <c r="AN478" s="1" t="s">
        <v>4755</v>
      </c>
      <c r="AO478" s="1" t="s">
        <v>4752</v>
      </c>
      <c r="AP478" s="1">
        <v>0</v>
      </c>
      <c r="AQ478" s="1" t="s">
        <v>5863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5801</v>
      </c>
      <c r="AX478" s="1" t="s">
        <v>1814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6234</v>
      </c>
      <c r="C479" s="247" t="s">
        <v>4066</v>
      </c>
      <c r="D479" s="1" t="s">
        <v>4066</v>
      </c>
      <c r="E479" s="1"/>
      <c r="F479" s="1"/>
      <c r="G479" s="1" t="s">
        <v>6235</v>
      </c>
      <c r="H479" s="1" t="s">
        <v>6236</v>
      </c>
      <c r="I479" s="1" t="s">
        <v>6237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6238</v>
      </c>
      <c r="AK479" s="1" t="s">
        <v>329</v>
      </c>
      <c r="AL479" s="1">
        <v>13</v>
      </c>
      <c r="AM479" s="1" t="s">
        <v>4727</v>
      </c>
      <c r="AN479" s="1" t="s">
        <v>4837</v>
      </c>
      <c r="AO479" s="1" t="s">
        <v>6239</v>
      </c>
      <c r="AP479" s="1">
        <v>0</v>
      </c>
      <c r="AQ479" s="1" t="s">
        <v>1752</v>
      </c>
      <c r="AR479" s="1" t="s">
        <v>4876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5801</v>
      </c>
      <c r="AX479" s="1" t="s">
        <v>1814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6240</v>
      </c>
      <c r="C480" s="247" t="s">
        <v>5790</v>
      </c>
      <c r="D480" s="1" t="s">
        <v>3954</v>
      </c>
      <c r="E480" s="1"/>
      <c r="F480" s="1"/>
      <c r="G480" s="1" t="s">
        <v>6241</v>
      </c>
      <c r="H480" s="1" t="s">
        <v>6242</v>
      </c>
      <c r="I480" s="1" t="s">
        <v>6243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6244</v>
      </c>
      <c r="AK480" s="1" t="s">
        <v>329</v>
      </c>
      <c r="AL480" s="1">
        <v>13</v>
      </c>
      <c r="AM480" s="1" t="s">
        <v>4770</v>
      </c>
      <c r="AN480" s="1" t="s">
        <v>5121</v>
      </c>
      <c r="AO480" s="1" t="s">
        <v>6245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5801</v>
      </c>
      <c r="AX480" s="1" t="s">
        <v>1814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6246</v>
      </c>
      <c r="C481" s="247" t="s">
        <v>190</v>
      </c>
      <c r="D481" s="1" t="s">
        <v>190</v>
      </c>
      <c r="E481" s="1"/>
      <c r="F481" s="1"/>
      <c r="G481" s="1" t="s">
        <v>6247</v>
      </c>
      <c r="H481" s="1" t="s">
        <v>6248</v>
      </c>
      <c r="I481" s="1" t="s">
        <v>6249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6250</v>
      </c>
      <c r="AK481" s="1" t="s">
        <v>329</v>
      </c>
      <c r="AL481" s="1">
        <v>13</v>
      </c>
      <c r="AM481" s="1" t="s">
        <v>4798</v>
      </c>
      <c r="AN481" s="1" t="s">
        <v>4803</v>
      </c>
      <c r="AO481" s="1" t="s">
        <v>6251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5801</v>
      </c>
      <c r="AX481" s="1" t="s">
        <v>1814</v>
      </c>
      <c r="AY481" s="1">
        <v>5</v>
      </c>
      <c r="AZ481" s="1">
        <v>0</v>
      </c>
      <c r="BA481" s="1" t="s">
        <v>329</v>
      </c>
      <c r="BB481" s="1" t="s">
        <v>5225</v>
      </c>
      <c r="BC481" s="1" t="s">
        <v>4861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6252</v>
      </c>
      <c r="C482" s="247" t="s">
        <v>3780</v>
      </c>
      <c r="D482" s="1" t="s">
        <v>6253</v>
      </c>
      <c r="E482" s="1"/>
      <c r="F482" s="1"/>
      <c r="G482" s="1" t="s">
        <v>6254</v>
      </c>
      <c r="H482" s="1" t="s">
        <v>6255</v>
      </c>
      <c r="I482" s="1" t="s">
        <v>6256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6257</v>
      </c>
      <c r="AK482" s="1" t="s">
        <v>329</v>
      </c>
      <c r="AL482" s="1">
        <v>17</v>
      </c>
      <c r="AM482" s="1" t="s">
        <v>1814</v>
      </c>
      <c r="AN482" s="1" t="s">
        <v>5257</v>
      </c>
      <c r="AO482" s="1" t="s">
        <v>6258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5801</v>
      </c>
      <c r="AX482" s="1" t="s">
        <v>1814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6259</v>
      </c>
      <c r="C483" s="247" t="s">
        <v>300</v>
      </c>
      <c r="D483" s="1" t="s">
        <v>300</v>
      </c>
      <c r="E483" s="1"/>
      <c r="F483" s="1"/>
      <c r="G483" s="1" t="s">
        <v>6260</v>
      </c>
      <c r="H483" s="1" t="s">
        <v>6261</v>
      </c>
      <c r="I483" s="1" t="s">
        <v>6262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6263</v>
      </c>
      <c r="AK483" s="1" t="s">
        <v>329</v>
      </c>
      <c r="AL483" s="1">
        <v>18</v>
      </c>
      <c r="AM483" s="1" t="s">
        <v>4866</v>
      </c>
      <c r="AN483" s="1" t="s">
        <v>4939</v>
      </c>
      <c r="AO483" s="1" t="s">
        <v>6264</v>
      </c>
      <c r="AP483" s="1">
        <v>0</v>
      </c>
      <c r="AQ483" s="1" t="s">
        <v>5020</v>
      </c>
      <c r="AR483" s="1" t="s">
        <v>4919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5801</v>
      </c>
      <c r="AX483" s="1" t="s">
        <v>1814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6265</v>
      </c>
      <c r="C484" s="247" t="s">
        <v>6061</v>
      </c>
      <c r="D484" s="1" t="s">
        <v>6229</v>
      </c>
      <c r="E484" s="1"/>
      <c r="F484" s="1"/>
      <c r="G484" s="1" t="s">
        <v>6266</v>
      </c>
      <c r="H484" s="1" t="s">
        <v>6267</v>
      </c>
      <c r="I484" s="1" t="s">
        <v>6268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6269</v>
      </c>
      <c r="AK484" s="1" t="s">
        <v>329</v>
      </c>
      <c r="AL484" s="1">
        <v>13</v>
      </c>
      <c r="AM484" s="1" t="s">
        <v>1814</v>
      </c>
      <c r="AN484" s="1" t="s">
        <v>4755</v>
      </c>
      <c r="AO484" s="1" t="s">
        <v>4752</v>
      </c>
      <c r="AP484" s="1">
        <v>0</v>
      </c>
      <c r="AQ484" s="1" t="s">
        <v>5863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5801</v>
      </c>
      <c r="AX484" s="1" t="s">
        <v>1814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6270</v>
      </c>
      <c r="C485" s="247" t="s">
        <v>6061</v>
      </c>
      <c r="D485" s="1" t="s">
        <v>6229</v>
      </c>
      <c r="E485" s="1"/>
      <c r="F485" s="1"/>
      <c r="G485" s="1" t="s">
        <v>6271</v>
      </c>
      <c r="H485" s="1" t="s">
        <v>6272</v>
      </c>
      <c r="I485" s="1" t="s">
        <v>6273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6274</v>
      </c>
      <c r="AK485" s="1" t="s">
        <v>329</v>
      </c>
      <c r="AL485" s="1">
        <v>13</v>
      </c>
      <c r="AM485" s="1" t="s">
        <v>1814</v>
      </c>
      <c r="AN485" s="1" t="s">
        <v>4755</v>
      </c>
      <c r="AO485" s="1" t="s">
        <v>4752</v>
      </c>
      <c r="AP485" s="1">
        <v>0</v>
      </c>
      <c r="AQ485" s="1" t="s">
        <v>5863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5801</v>
      </c>
      <c r="AX485" s="1" t="s">
        <v>1814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6275</v>
      </c>
      <c r="C486" s="247" t="s">
        <v>6061</v>
      </c>
      <c r="D486" s="1" t="s">
        <v>6229</v>
      </c>
      <c r="E486" s="1"/>
      <c r="F486" s="1"/>
      <c r="G486" s="1" t="s">
        <v>6276</v>
      </c>
      <c r="H486" s="1" t="s">
        <v>6277</v>
      </c>
      <c r="I486" s="1" t="s">
        <v>6278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6279</v>
      </c>
      <c r="AK486" s="1" t="s">
        <v>329</v>
      </c>
      <c r="AL486" s="1">
        <v>13</v>
      </c>
      <c r="AM486" s="1" t="s">
        <v>1814</v>
      </c>
      <c r="AN486" s="1" t="s">
        <v>4755</v>
      </c>
      <c r="AO486" s="1" t="s">
        <v>4752</v>
      </c>
      <c r="AP486" s="1">
        <v>0</v>
      </c>
      <c r="AQ486" s="1" t="s">
        <v>5863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5801</v>
      </c>
      <c r="AX486" s="1" t="s">
        <v>1814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6280</v>
      </c>
      <c r="C487" s="247" t="s">
        <v>98</v>
      </c>
      <c r="D487" s="1" t="s">
        <v>5999</v>
      </c>
      <c r="E487" s="1"/>
      <c r="F487" s="1"/>
      <c r="G487" s="1" t="s">
        <v>6281</v>
      </c>
      <c r="H487" s="1" t="s">
        <v>6282</v>
      </c>
      <c r="I487" s="1" t="s">
        <v>6283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6284</v>
      </c>
      <c r="AK487" s="1" t="s">
        <v>329</v>
      </c>
      <c r="AL487" s="1">
        <v>13</v>
      </c>
      <c r="AM487" s="1" t="s">
        <v>4727</v>
      </c>
      <c r="AN487" s="1" t="s">
        <v>4755</v>
      </c>
      <c r="AO487" s="1" t="s">
        <v>4807</v>
      </c>
      <c r="AP487" s="1">
        <v>0</v>
      </c>
      <c r="AQ487" s="1" t="s">
        <v>1161</v>
      </c>
      <c r="AR487" s="1" t="s">
        <v>6004</v>
      </c>
      <c r="AS487" s="1" t="s">
        <v>6004</v>
      </c>
      <c r="AT487" s="1" t="s">
        <v>329</v>
      </c>
      <c r="AU487" s="1">
        <v>54</v>
      </c>
      <c r="AV487" s="1">
        <v>0</v>
      </c>
      <c r="AW487" s="1" t="s">
        <v>5801</v>
      </c>
      <c r="AX487" s="1" t="s">
        <v>1814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6285</v>
      </c>
      <c r="C488" s="247" t="s">
        <v>6286</v>
      </c>
      <c r="D488" s="1" t="s">
        <v>6286</v>
      </c>
      <c r="E488" s="1"/>
      <c r="F488" s="1"/>
      <c r="G488" s="1" t="s">
        <v>6287</v>
      </c>
      <c r="H488" s="1" t="s">
        <v>6288</v>
      </c>
      <c r="I488" s="1" t="s">
        <v>6289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4727</v>
      </c>
      <c r="AN488" s="1" t="s">
        <v>4755</v>
      </c>
      <c r="AO488" s="1" t="s">
        <v>4807</v>
      </c>
      <c r="AP488" s="1">
        <v>0</v>
      </c>
      <c r="AQ488" s="1" t="s">
        <v>1161</v>
      </c>
      <c r="AR488" s="1" t="s">
        <v>6004</v>
      </c>
      <c r="AS488" s="1" t="s">
        <v>6004</v>
      </c>
      <c r="AT488" s="1" t="s">
        <v>329</v>
      </c>
      <c r="AU488" s="1">
        <v>54</v>
      </c>
      <c r="AV488" s="1">
        <v>0</v>
      </c>
      <c r="AW488" s="1" t="s">
        <v>5801</v>
      </c>
      <c r="AX488" s="1" t="s">
        <v>1814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6290</v>
      </c>
      <c r="C489" s="247" t="s">
        <v>6291</v>
      </c>
      <c r="D489" s="1" t="s">
        <v>6291</v>
      </c>
      <c r="E489" s="1"/>
      <c r="F489" s="1"/>
      <c r="G489" s="1" t="s">
        <v>6292</v>
      </c>
      <c r="H489" s="1" t="s">
        <v>6293</v>
      </c>
      <c r="I489" s="1" t="s">
        <v>6294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4798</v>
      </c>
      <c r="AN489" s="1" t="s">
        <v>4801</v>
      </c>
      <c r="AO489" s="1" t="s">
        <v>4810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5801</v>
      </c>
      <c r="AX489" s="1" t="s">
        <v>1814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6620</v>
      </c>
      <c r="C490" s="248" t="s">
        <v>6621</v>
      </c>
      <c r="D490" t="s">
        <v>6621</v>
      </c>
      <c r="E490" t="s">
        <v>329</v>
      </c>
      <c r="F490" t="s">
        <v>329</v>
      </c>
      <c r="G490" t="s">
        <v>6622</v>
      </c>
      <c r="H490" t="s">
        <v>6623</v>
      </c>
      <c r="I490" t="s">
        <v>6624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6625</v>
      </c>
      <c r="AK490" t="s">
        <v>329</v>
      </c>
      <c r="AL490">
        <v>13</v>
      </c>
      <c r="AM490" t="s">
        <v>1814</v>
      </c>
      <c r="AN490" t="s">
        <v>4755</v>
      </c>
      <c r="AO490" t="s">
        <v>4752</v>
      </c>
      <c r="AP490">
        <v>0</v>
      </c>
      <c r="AQ490" t="s">
        <v>5863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5801</v>
      </c>
      <c r="AX490" t="s">
        <v>1814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4235</v>
      </c>
      <c r="C491" s="247" t="s">
        <v>267</v>
      </c>
      <c r="D491" s="1" t="s">
        <v>4236</v>
      </c>
      <c r="E491" s="1"/>
      <c r="F491" s="1"/>
      <c r="G491" s="1" t="s">
        <v>4237</v>
      </c>
      <c r="H491" s="1" t="s">
        <v>4238</v>
      </c>
      <c r="I491" s="1" t="s">
        <v>4239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1814</v>
      </c>
      <c r="AN491" s="1" t="s">
        <v>4748</v>
      </c>
      <c r="AO491" s="1" t="s">
        <v>5074</v>
      </c>
      <c r="AP491" s="1">
        <v>0</v>
      </c>
      <c r="AQ491" s="1" t="s">
        <v>4750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4500</v>
      </c>
      <c r="AX491" s="1" t="s">
        <v>5424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4240</v>
      </c>
      <c r="C492" s="247" t="s">
        <v>253</v>
      </c>
      <c r="D492" s="1" t="s">
        <v>253</v>
      </c>
      <c r="E492" s="1"/>
      <c r="F492" s="1"/>
      <c r="G492" s="1" t="s">
        <v>4241</v>
      </c>
      <c r="H492" s="1" t="s">
        <v>4242</v>
      </c>
      <c r="I492" s="1" t="s">
        <v>4243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1814</v>
      </c>
      <c r="AN492" s="1" t="s">
        <v>4748</v>
      </c>
      <c r="AO492" s="1" t="s">
        <v>5425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4500</v>
      </c>
      <c r="AX492" s="1" t="s">
        <v>5424</v>
      </c>
      <c r="AY492" s="1">
        <v>4</v>
      </c>
      <c r="AZ492" s="1">
        <v>3002</v>
      </c>
      <c r="BA492" s="1" t="s">
        <v>329</v>
      </c>
      <c r="BB492" s="1" t="s">
        <v>4754</v>
      </c>
      <c r="BC492" s="1" t="s">
        <v>4728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4244</v>
      </c>
      <c r="C493" s="247" t="s">
        <v>785</v>
      </c>
      <c r="D493" s="1" t="s">
        <v>785</v>
      </c>
      <c r="E493" s="1"/>
      <c r="F493" s="1"/>
      <c r="G493" s="1" t="s">
        <v>4245</v>
      </c>
      <c r="H493" s="1" t="s">
        <v>4246</v>
      </c>
      <c r="I493" s="1" t="s">
        <v>4247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1814</v>
      </c>
      <c r="AN493" s="1" t="s">
        <v>4762</v>
      </c>
      <c r="AO493" s="1" t="s">
        <v>5426</v>
      </c>
      <c r="AP493" s="1">
        <v>0</v>
      </c>
      <c r="AQ493" s="1" t="s">
        <v>4750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4500</v>
      </c>
      <c r="AX493" s="1" t="s">
        <v>5424</v>
      </c>
      <c r="AY493" s="1">
        <v>4</v>
      </c>
      <c r="AZ493" s="1">
        <v>3005</v>
      </c>
      <c r="BA493" s="1" t="s">
        <v>329</v>
      </c>
      <c r="BB493" s="1" t="s">
        <v>4764</v>
      </c>
      <c r="BC493" s="1" t="s">
        <v>4765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4248</v>
      </c>
      <c r="C494" s="247" t="s">
        <v>740</v>
      </c>
      <c r="D494" s="1" t="s">
        <v>4249</v>
      </c>
      <c r="E494" s="1"/>
      <c r="F494" s="1"/>
      <c r="G494" s="1" t="s">
        <v>4250</v>
      </c>
      <c r="H494" s="1" t="s">
        <v>4251</v>
      </c>
      <c r="I494" s="1" t="s">
        <v>4252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1814</v>
      </c>
      <c r="AN494" s="1" t="s">
        <v>4755</v>
      </c>
      <c r="AO494" s="1" t="s">
        <v>5427</v>
      </c>
      <c r="AP494" s="1">
        <v>0</v>
      </c>
      <c r="AQ494" s="1" t="s">
        <v>4750</v>
      </c>
      <c r="AR494" s="1" t="s">
        <v>1126</v>
      </c>
      <c r="AS494" s="1" t="s">
        <v>4769</v>
      </c>
      <c r="AT494" s="1" t="s">
        <v>329</v>
      </c>
      <c r="AU494" s="1">
        <v>7</v>
      </c>
      <c r="AV494" s="1">
        <v>0</v>
      </c>
      <c r="AW494" s="1" t="s">
        <v>4500</v>
      </c>
      <c r="AX494" s="1" t="s">
        <v>5424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4253</v>
      </c>
      <c r="C495" s="247" t="s">
        <v>941</v>
      </c>
      <c r="D495" s="1" t="s">
        <v>4254</v>
      </c>
      <c r="E495" s="1"/>
      <c r="F495" s="1"/>
      <c r="G495" s="1" t="s">
        <v>4255</v>
      </c>
      <c r="H495" s="1" t="s">
        <v>4256</v>
      </c>
      <c r="I495" s="1" t="s">
        <v>4257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1814</v>
      </c>
      <c r="AN495" s="1" t="s">
        <v>5428</v>
      </c>
      <c r="AO495" s="1" t="s">
        <v>5429</v>
      </c>
      <c r="AP495" s="1">
        <v>0</v>
      </c>
      <c r="AQ495" s="1" t="s">
        <v>4750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4500</v>
      </c>
      <c r="AX495" s="1" t="s">
        <v>5424</v>
      </c>
      <c r="AY495" s="1">
        <v>4</v>
      </c>
      <c r="AZ495" s="1">
        <v>3008</v>
      </c>
      <c r="BA495" s="1" t="s">
        <v>329</v>
      </c>
      <c r="BB495" s="1" t="s">
        <v>4774</v>
      </c>
      <c r="BC495" s="1" t="s">
        <v>4765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6475</v>
      </c>
      <c r="C496" s="247" t="s">
        <v>6476</v>
      </c>
      <c r="D496" s="1" t="s">
        <v>6476</v>
      </c>
      <c r="E496" s="1"/>
      <c r="F496" s="1"/>
      <c r="G496" s="1" t="s">
        <v>6477</v>
      </c>
      <c r="H496" s="1" t="s">
        <v>6478</v>
      </c>
      <c r="I496" s="1" t="s">
        <v>6479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6480</v>
      </c>
      <c r="AL496" s="1">
        <v>13</v>
      </c>
      <c r="AM496" s="1" t="s">
        <v>1814</v>
      </c>
      <c r="AN496" s="1" t="s">
        <v>6481</v>
      </c>
      <c r="AO496" s="1" t="s">
        <v>6482</v>
      </c>
      <c r="AP496" s="1">
        <v>0</v>
      </c>
      <c r="AQ496" s="1" t="s">
        <v>4750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4500</v>
      </c>
      <c r="AX496" s="1" t="s">
        <v>5424</v>
      </c>
      <c r="AY496" s="1">
        <v>4</v>
      </c>
      <c r="AZ496" s="1">
        <v>3010</v>
      </c>
      <c r="BA496" s="1" t="s">
        <v>329</v>
      </c>
      <c r="BB496" s="1" t="s">
        <v>4780</v>
      </c>
      <c r="BC496" s="1" t="s">
        <v>4777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4258</v>
      </c>
      <c r="C497" s="247" t="s">
        <v>746</v>
      </c>
      <c r="D497" s="1" t="s">
        <v>746</v>
      </c>
      <c r="E497" s="1"/>
      <c r="F497" s="1"/>
      <c r="G497" s="1" t="s">
        <v>4259</v>
      </c>
      <c r="H497" s="1" t="s">
        <v>4260</v>
      </c>
      <c r="I497" s="1" t="s">
        <v>4261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1814</v>
      </c>
      <c r="AN497" s="1" t="s">
        <v>4784</v>
      </c>
      <c r="AO497" s="1" t="s">
        <v>5430</v>
      </c>
      <c r="AP497" s="1">
        <v>0</v>
      </c>
      <c r="AQ497" s="1" t="s">
        <v>4750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4500</v>
      </c>
      <c r="AX497" s="1" t="s">
        <v>5424</v>
      </c>
      <c r="AY497" s="1">
        <v>4</v>
      </c>
      <c r="AZ497" s="1">
        <v>3012</v>
      </c>
      <c r="BA497" s="1" t="s">
        <v>329</v>
      </c>
      <c r="BB497" s="1" t="s">
        <v>4786</v>
      </c>
      <c r="BC497" s="1" t="s">
        <v>4777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5729</v>
      </c>
      <c r="C498" s="247" t="s">
        <v>5783</v>
      </c>
      <c r="D498" s="1" t="s">
        <v>5730</v>
      </c>
      <c r="E498" s="1"/>
      <c r="F498" s="1"/>
      <c r="G498" s="1" t="s">
        <v>5731</v>
      </c>
      <c r="H498" s="1" t="s">
        <v>5732</v>
      </c>
      <c r="I498" s="1" t="s">
        <v>5733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5734</v>
      </c>
      <c r="AK498" s="1" t="s">
        <v>5735</v>
      </c>
      <c r="AL498" s="1">
        <v>13</v>
      </c>
      <c r="AM498" s="1" t="s">
        <v>399</v>
      </c>
      <c r="AN498" s="1" t="s">
        <v>5736</v>
      </c>
      <c r="AO498" s="1" t="s">
        <v>5172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4500</v>
      </c>
      <c r="AX498" s="1" t="s">
        <v>5424</v>
      </c>
      <c r="AY498" s="1">
        <v>4</v>
      </c>
      <c r="AZ498" s="1">
        <v>3021</v>
      </c>
      <c r="BA498" s="1" t="s">
        <v>329</v>
      </c>
      <c r="BB498" s="1" t="s">
        <v>4813</v>
      </c>
      <c r="BC498" s="1" t="s">
        <v>4765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4262</v>
      </c>
      <c r="C499" s="247" t="s">
        <v>1416</v>
      </c>
      <c r="D499" s="1" t="s">
        <v>1416</v>
      </c>
      <c r="E499" s="1"/>
      <c r="F499" s="1"/>
      <c r="G499" s="1" t="s">
        <v>4263</v>
      </c>
      <c r="H499" s="1" t="s">
        <v>4264</v>
      </c>
      <c r="I499" s="1" t="s">
        <v>4265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4500</v>
      </c>
      <c r="AX499" s="1" t="s">
        <v>5424</v>
      </c>
      <c r="AY499" s="1">
        <v>5</v>
      </c>
      <c r="AZ499" s="1">
        <v>3026</v>
      </c>
      <c r="BA499" s="1" t="s">
        <v>329</v>
      </c>
      <c r="BB499" s="1" t="s">
        <v>4821</v>
      </c>
      <c r="BC499" s="1" t="s">
        <v>4777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4266</v>
      </c>
      <c r="C500" s="247" t="s">
        <v>829</v>
      </c>
      <c r="D500" s="1" t="s">
        <v>4267</v>
      </c>
      <c r="E500" s="1"/>
      <c r="F500" s="1"/>
      <c r="G500" s="1" t="s">
        <v>4268</v>
      </c>
      <c r="H500" s="1" t="s">
        <v>4269</v>
      </c>
      <c r="I500" s="1" t="s">
        <v>4270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4798</v>
      </c>
      <c r="AN500" s="1" t="s">
        <v>4803</v>
      </c>
      <c r="AO500" s="1" t="s">
        <v>5432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4500</v>
      </c>
      <c r="AX500" s="1" t="s">
        <v>5424</v>
      </c>
      <c r="AY500" s="1">
        <v>4</v>
      </c>
      <c r="AZ500" s="1">
        <v>3029</v>
      </c>
      <c r="BA500" s="1" t="s">
        <v>329</v>
      </c>
      <c r="BB500" s="1" t="s">
        <v>4830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4271</v>
      </c>
      <c r="C501" s="247" t="s">
        <v>715</v>
      </c>
      <c r="D501" s="1" t="s">
        <v>4272</v>
      </c>
      <c r="E501" s="1"/>
      <c r="F501" s="1"/>
      <c r="G501" s="1" t="s">
        <v>4273</v>
      </c>
      <c r="H501" s="1" t="s">
        <v>4274</v>
      </c>
      <c r="I501" s="1" t="s">
        <v>4275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5085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4500</v>
      </c>
      <c r="AX501" s="1" t="s">
        <v>5424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4276</v>
      </c>
      <c r="C502" s="247" t="s">
        <v>254</v>
      </c>
      <c r="D502" s="1" t="s">
        <v>4277</v>
      </c>
      <c r="E502" s="1"/>
      <c r="F502" s="1"/>
      <c r="G502" s="1" t="s">
        <v>4278</v>
      </c>
      <c r="H502" s="1" t="s">
        <v>4279</v>
      </c>
      <c r="I502" s="1" t="s">
        <v>4280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4798</v>
      </c>
      <c r="AN502" s="1" t="s">
        <v>5433</v>
      </c>
      <c r="AO502" s="1" t="s">
        <v>5434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4500</v>
      </c>
      <c r="AX502" s="1" t="s">
        <v>5424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4281</v>
      </c>
      <c r="C503" s="247" t="s">
        <v>255</v>
      </c>
      <c r="D503" s="1" t="s">
        <v>255</v>
      </c>
      <c r="E503" s="1"/>
      <c r="F503" s="1"/>
      <c r="G503" s="1" t="s">
        <v>4282</v>
      </c>
      <c r="H503" s="1" t="s">
        <v>4283</v>
      </c>
      <c r="I503" s="1" t="s">
        <v>4284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4770</v>
      </c>
      <c r="AN503" s="1" t="s">
        <v>4842</v>
      </c>
      <c r="AO503" s="1" t="s">
        <v>4840</v>
      </c>
      <c r="AP503" s="1">
        <v>0</v>
      </c>
      <c r="AQ503" s="1" t="s">
        <v>1147</v>
      </c>
      <c r="AR503" s="1" t="s">
        <v>4843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4500</v>
      </c>
      <c r="AX503" s="1" t="s">
        <v>5424</v>
      </c>
      <c r="AY503" s="1">
        <v>4</v>
      </c>
      <c r="AZ503" s="1">
        <v>3037</v>
      </c>
      <c r="BA503" s="1" t="s">
        <v>329</v>
      </c>
      <c r="BB503" s="1" t="s">
        <v>4844</v>
      </c>
      <c r="BC503" s="1" t="s">
        <v>4728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4285</v>
      </c>
      <c r="C504" s="247" t="s">
        <v>1686</v>
      </c>
      <c r="D504" s="1" t="s">
        <v>4286</v>
      </c>
      <c r="E504" s="1"/>
      <c r="F504" s="1"/>
      <c r="G504" s="1" t="s">
        <v>4287</v>
      </c>
      <c r="H504" s="1" t="s">
        <v>4288</v>
      </c>
      <c r="I504" s="1" t="s">
        <v>4289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4770</v>
      </c>
      <c r="AN504" s="1" t="s">
        <v>4818</v>
      </c>
      <c r="AO504" s="1" t="s">
        <v>4853</v>
      </c>
      <c r="AP504" s="1">
        <v>0</v>
      </c>
      <c r="AQ504" s="1" t="s">
        <v>1147</v>
      </c>
      <c r="AR504" s="1" t="s">
        <v>4843</v>
      </c>
      <c r="AS504" s="1" t="s">
        <v>4847</v>
      </c>
      <c r="AT504" s="1" t="s">
        <v>329</v>
      </c>
      <c r="AU504" s="1">
        <v>39</v>
      </c>
      <c r="AV504" s="1">
        <v>0</v>
      </c>
      <c r="AW504" s="1" t="s">
        <v>4500</v>
      </c>
      <c r="AX504" s="1" t="s">
        <v>5424</v>
      </c>
      <c r="AY504" s="1">
        <v>5</v>
      </c>
      <c r="AZ504" s="1">
        <v>3039</v>
      </c>
      <c r="BA504" s="1" t="s">
        <v>329</v>
      </c>
      <c r="BB504" s="1" t="s">
        <v>4848</v>
      </c>
      <c r="BC504" s="1" t="s">
        <v>4765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4290</v>
      </c>
      <c r="C505" s="247" t="s">
        <v>1687</v>
      </c>
      <c r="D505" s="1" t="s">
        <v>1687</v>
      </c>
      <c r="E505" s="1"/>
      <c r="F505" s="1"/>
      <c r="G505" s="1" t="s">
        <v>4291</v>
      </c>
      <c r="H505" s="1" t="s">
        <v>4292</v>
      </c>
      <c r="I505" s="1" t="s">
        <v>4293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4770</v>
      </c>
      <c r="AN505" s="1" t="s">
        <v>466</v>
      </c>
      <c r="AO505" s="1" t="s">
        <v>4840</v>
      </c>
      <c r="AP505" s="1">
        <v>0</v>
      </c>
      <c r="AQ505" s="1" t="s">
        <v>1147</v>
      </c>
      <c r="AR505" s="1" t="s">
        <v>1148</v>
      </c>
      <c r="AS505" s="1" t="s">
        <v>4847</v>
      </c>
      <c r="AT505" s="1" t="s">
        <v>329</v>
      </c>
      <c r="AU505" s="1">
        <v>44</v>
      </c>
      <c r="AV505" s="1">
        <v>0</v>
      </c>
      <c r="AW505" s="1" t="s">
        <v>4500</v>
      </c>
      <c r="AX505" s="1" t="s">
        <v>5424</v>
      </c>
      <c r="AY505" s="1">
        <v>4</v>
      </c>
      <c r="AZ505" s="1">
        <v>3044</v>
      </c>
      <c r="BA505" s="1" t="s">
        <v>329</v>
      </c>
      <c r="BB505" s="1" t="s">
        <v>4852</v>
      </c>
      <c r="BC505" s="1" t="s">
        <v>4765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4294</v>
      </c>
      <c r="C506" s="247" t="s">
        <v>830</v>
      </c>
      <c r="D506" s="1" t="s">
        <v>4295</v>
      </c>
      <c r="E506" s="1"/>
      <c r="F506" s="1"/>
      <c r="G506" s="1" t="s">
        <v>4296</v>
      </c>
      <c r="H506" s="1" t="s">
        <v>4297</v>
      </c>
      <c r="I506" s="1" t="s">
        <v>4298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4770</v>
      </c>
      <c r="AN506" s="1" t="s">
        <v>4781</v>
      </c>
      <c r="AO506" s="1" t="s">
        <v>4840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4856</v>
      </c>
      <c r="AX506" s="1" t="s">
        <v>5424</v>
      </c>
      <c r="AY506" s="1">
        <v>4</v>
      </c>
      <c r="AZ506" s="1">
        <v>3049</v>
      </c>
      <c r="BA506" s="1" t="s">
        <v>329</v>
      </c>
      <c r="BB506" s="1" t="s">
        <v>4858</v>
      </c>
      <c r="BC506" s="1" t="s">
        <v>4791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4299</v>
      </c>
      <c r="C507" s="247" t="s">
        <v>1424</v>
      </c>
      <c r="D507" s="1" t="s">
        <v>1424</v>
      </c>
      <c r="E507" s="1"/>
      <c r="F507" s="1"/>
      <c r="G507" s="1" t="s">
        <v>4300</v>
      </c>
      <c r="H507" s="1" t="s">
        <v>4301</v>
      </c>
      <c r="I507" s="1" t="s">
        <v>4302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4770</v>
      </c>
      <c r="AN507" s="1" t="s">
        <v>4842</v>
      </c>
      <c r="AO507" s="1" t="s">
        <v>4840</v>
      </c>
      <c r="AP507" s="1">
        <v>0</v>
      </c>
      <c r="AQ507" s="1" t="s">
        <v>1147</v>
      </c>
      <c r="AR507" s="1" t="s">
        <v>4843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4500</v>
      </c>
      <c r="AX507" s="1" t="s">
        <v>5424</v>
      </c>
      <c r="AY507" s="1">
        <v>4</v>
      </c>
      <c r="AZ507" s="1">
        <v>3051</v>
      </c>
      <c r="BA507" s="1" t="s">
        <v>329</v>
      </c>
      <c r="BB507" s="1" t="s">
        <v>4860</v>
      </c>
      <c r="BC507" s="1" t="s">
        <v>4861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4303</v>
      </c>
      <c r="C508" s="247" t="s">
        <v>1688</v>
      </c>
      <c r="D508" s="1" t="s">
        <v>1688</v>
      </c>
      <c r="E508" s="1"/>
      <c r="F508" s="1"/>
      <c r="G508" s="1" t="s">
        <v>4304</v>
      </c>
      <c r="H508" s="1" t="s">
        <v>4305</v>
      </c>
      <c r="I508" s="1" t="s">
        <v>4306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4770</v>
      </c>
      <c r="AN508" s="1" t="s">
        <v>4837</v>
      </c>
      <c r="AO508" s="1" t="s">
        <v>5435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4500</v>
      </c>
      <c r="AX508" s="1" t="s">
        <v>5424</v>
      </c>
      <c r="AY508" s="1">
        <v>6</v>
      </c>
      <c r="AZ508" s="1">
        <v>3053</v>
      </c>
      <c r="BA508" s="1" t="s">
        <v>329</v>
      </c>
      <c r="BB508" s="1" t="s">
        <v>4864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4307</v>
      </c>
      <c r="C509" s="247" t="s">
        <v>256</v>
      </c>
      <c r="D509" s="1" t="s">
        <v>256</v>
      </c>
      <c r="E509" s="1"/>
      <c r="F509" s="1"/>
      <c r="G509" s="1" t="s">
        <v>4308</v>
      </c>
      <c r="H509" s="1" t="s">
        <v>4309</v>
      </c>
      <c r="I509" s="1" t="s">
        <v>4310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4798</v>
      </c>
      <c r="AN509" s="1" t="s">
        <v>4869</v>
      </c>
      <c r="AO509" s="1" t="s">
        <v>5436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4500</v>
      </c>
      <c r="AX509" s="1" t="s">
        <v>5424</v>
      </c>
      <c r="AY509" s="1">
        <v>5</v>
      </c>
      <c r="AZ509" s="1">
        <v>3055</v>
      </c>
      <c r="BA509" s="1" t="s">
        <v>329</v>
      </c>
      <c r="BB509" s="1" t="s">
        <v>4871</v>
      </c>
      <c r="BC509" s="1" t="s">
        <v>5157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4311</v>
      </c>
      <c r="C510" s="247" t="s">
        <v>257</v>
      </c>
      <c r="D510" s="1" t="s">
        <v>257</v>
      </c>
      <c r="E510" s="1"/>
      <c r="F510" s="1"/>
      <c r="G510" s="1" t="s">
        <v>4312</v>
      </c>
      <c r="H510" s="1" t="s">
        <v>4313</v>
      </c>
      <c r="I510" s="1" t="s">
        <v>4314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4727</v>
      </c>
      <c r="AN510" s="1" t="s">
        <v>4872</v>
      </c>
      <c r="AO510" s="1" t="s">
        <v>4888</v>
      </c>
      <c r="AP510" s="1">
        <v>0</v>
      </c>
      <c r="AQ510" s="1" t="s">
        <v>4874</v>
      </c>
      <c r="AR510" s="1" t="s">
        <v>4874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4500</v>
      </c>
      <c r="AX510" s="1" t="s">
        <v>5424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4315</v>
      </c>
      <c r="C511" s="247" t="s">
        <v>1689</v>
      </c>
      <c r="D511" s="1" t="s">
        <v>4316</v>
      </c>
      <c r="E511" s="1"/>
      <c r="F511" s="1"/>
      <c r="G511" s="1" t="s">
        <v>4317</v>
      </c>
      <c r="H511" s="1" t="s">
        <v>4318</v>
      </c>
      <c r="I511" s="1" t="s">
        <v>4319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4727</v>
      </c>
      <c r="AN511" s="1" t="s">
        <v>4872</v>
      </c>
      <c r="AO511" s="1" t="s">
        <v>5006</v>
      </c>
      <c r="AP511" s="1">
        <v>0</v>
      </c>
      <c r="AQ511" s="1" t="s">
        <v>4874</v>
      </c>
      <c r="AR511" s="1" t="s">
        <v>4874</v>
      </c>
      <c r="AS511" s="1" t="s">
        <v>4876</v>
      </c>
      <c r="AT511" s="1" t="s">
        <v>329</v>
      </c>
      <c r="AU511" s="1">
        <v>57</v>
      </c>
      <c r="AV511" s="1">
        <v>0</v>
      </c>
      <c r="AW511" s="1" t="s">
        <v>4500</v>
      </c>
      <c r="AX511" s="1" t="s">
        <v>5424</v>
      </c>
      <c r="AY511" s="1">
        <v>5</v>
      </c>
      <c r="AZ511" s="1">
        <v>3057</v>
      </c>
      <c r="BA511" s="1" t="s">
        <v>329</v>
      </c>
      <c r="BB511" s="1" t="s">
        <v>4877</v>
      </c>
      <c r="BC511" s="1" t="s">
        <v>5157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4320</v>
      </c>
      <c r="C512" s="247" t="s">
        <v>258</v>
      </c>
      <c r="D512" s="1" t="s">
        <v>4321</v>
      </c>
      <c r="E512" s="1"/>
      <c r="F512" s="1"/>
      <c r="G512" s="1" t="s">
        <v>4322</v>
      </c>
      <c r="H512" s="1" t="s">
        <v>4323</v>
      </c>
      <c r="I512" s="1" t="s">
        <v>4324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4727</v>
      </c>
      <c r="AN512" s="1" t="s">
        <v>451</v>
      </c>
      <c r="AO512" s="1" t="s">
        <v>5160</v>
      </c>
      <c r="AP512" s="1">
        <v>0</v>
      </c>
      <c r="AQ512" s="1" t="s">
        <v>1137</v>
      </c>
      <c r="AR512" s="1" t="s">
        <v>4876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4500</v>
      </c>
      <c r="AX512" s="1" t="s">
        <v>5424</v>
      </c>
      <c r="AY512" s="1">
        <v>5</v>
      </c>
      <c r="AZ512" s="1">
        <v>3060</v>
      </c>
      <c r="BA512" s="1" t="s">
        <v>329</v>
      </c>
      <c r="BB512" s="1" t="s">
        <v>4886</v>
      </c>
      <c r="BC512" s="1" t="s">
        <v>4765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4325</v>
      </c>
      <c r="C513" s="247" t="s">
        <v>831</v>
      </c>
      <c r="D513" s="1" t="s">
        <v>4326</v>
      </c>
      <c r="E513" s="1"/>
      <c r="F513" s="1"/>
      <c r="G513" s="1" t="s">
        <v>4327</v>
      </c>
      <c r="H513" s="1" t="s">
        <v>4328</v>
      </c>
      <c r="I513" s="1" t="s">
        <v>4329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4781</v>
      </c>
      <c r="AO513" s="1" t="s">
        <v>4887</v>
      </c>
      <c r="AP513" s="1">
        <v>0</v>
      </c>
      <c r="AQ513" s="1" t="s">
        <v>1137</v>
      </c>
      <c r="AR513" s="1" t="s">
        <v>4876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4500</v>
      </c>
      <c r="AX513" s="1" t="s">
        <v>5424</v>
      </c>
      <c r="AY513" s="1">
        <v>4</v>
      </c>
      <c r="AZ513" s="1">
        <v>3061</v>
      </c>
      <c r="BA513" s="1" t="s">
        <v>329</v>
      </c>
      <c r="BB513" s="1" t="s">
        <v>4783</v>
      </c>
      <c r="BC513" s="1" t="s">
        <v>4777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4330</v>
      </c>
      <c r="C514" s="247" t="s">
        <v>1434</v>
      </c>
      <c r="D514" s="1" t="s">
        <v>1434</v>
      </c>
      <c r="E514" s="1"/>
      <c r="F514" s="1"/>
      <c r="G514" s="1" t="s">
        <v>4331</v>
      </c>
      <c r="H514" s="1" t="s">
        <v>4332</v>
      </c>
      <c r="I514" s="1" t="s">
        <v>4333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4727</v>
      </c>
      <c r="AN514" s="1" t="s">
        <v>451</v>
      </c>
      <c r="AO514" s="1" t="s">
        <v>5437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4500</v>
      </c>
      <c r="AX514" s="1" t="s">
        <v>5424</v>
      </c>
      <c r="AY514" s="1">
        <v>4</v>
      </c>
      <c r="AZ514" s="1">
        <v>3063</v>
      </c>
      <c r="BA514" s="1" t="s">
        <v>329</v>
      </c>
      <c r="BB514" s="1" t="s">
        <v>4891</v>
      </c>
      <c r="BC514" s="1" t="s">
        <v>4777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4334</v>
      </c>
      <c r="C515" s="247" t="s">
        <v>1436</v>
      </c>
      <c r="D515" s="1" t="s">
        <v>1436</v>
      </c>
      <c r="E515" s="1"/>
      <c r="F515" s="1"/>
      <c r="G515" s="1" t="s">
        <v>4335</v>
      </c>
      <c r="H515" s="1" t="s">
        <v>4336</v>
      </c>
      <c r="I515" s="1" t="s">
        <v>4337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4727</v>
      </c>
      <c r="AN515" s="1" t="s">
        <v>4892</v>
      </c>
      <c r="AO515" s="1" t="s">
        <v>5438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4500</v>
      </c>
      <c r="AX515" s="1" t="s">
        <v>5424</v>
      </c>
      <c r="AY515" s="1">
        <v>5</v>
      </c>
      <c r="AZ515" s="1">
        <v>3064</v>
      </c>
      <c r="BA515" s="1" t="s">
        <v>329</v>
      </c>
      <c r="BB515" s="1" t="s">
        <v>4894</v>
      </c>
      <c r="BC515" s="1" t="s">
        <v>4777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4338</v>
      </c>
      <c r="C516" s="247" t="s">
        <v>259</v>
      </c>
      <c r="D516" s="1" t="s">
        <v>259</v>
      </c>
      <c r="E516" s="1"/>
      <c r="F516" s="1"/>
      <c r="G516" s="1" t="s">
        <v>4339</v>
      </c>
      <c r="H516" s="1" t="s">
        <v>4340</v>
      </c>
      <c r="I516" s="1" t="s">
        <v>4341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4727</v>
      </c>
      <c r="AN516" s="1" t="s">
        <v>4837</v>
      </c>
      <c r="AO516" s="1" t="s">
        <v>5439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4500</v>
      </c>
      <c r="AX516" s="1" t="s">
        <v>5424</v>
      </c>
      <c r="AY516" s="1">
        <v>6</v>
      </c>
      <c r="AZ516" s="1">
        <v>3065</v>
      </c>
      <c r="BA516" s="1" t="s">
        <v>329</v>
      </c>
      <c r="BB516" s="1" t="s">
        <v>4896</v>
      </c>
      <c r="BC516" s="1" t="s">
        <v>4897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4342</v>
      </c>
      <c r="C517" s="247" t="s">
        <v>832</v>
      </c>
      <c r="D517" s="1" t="s">
        <v>4343</v>
      </c>
      <c r="E517" s="1"/>
      <c r="F517" s="1"/>
      <c r="G517" s="1" t="s">
        <v>4344</v>
      </c>
      <c r="H517" s="1" t="s">
        <v>4345</v>
      </c>
      <c r="I517" s="1" t="s">
        <v>4346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5440</v>
      </c>
      <c r="AO517" s="1" t="s">
        <v>5441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4500</v>
      </c>
      <c r="AX517" s="1" t="s">
        <v>5424</v>
      </c>
      <c r="AY517" s="1">
        <v>4</v>
      </c>
      <c r="AZ517" s="1">
        <v>3071</v>
      </c>
      <c r="BA517" s="1" t="s">
        <v>329</v>
      </c>
      <c r="BB517" s="1" t="s">
        <v>4907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4347</v>
      </c>
      <c r="C518" s="247" t="s">
        <v>260</v>
      </c>
      <c r="D518" s="1" t="s">
        <v>260</v>
      </c>
      <c r="E518" s="1"/>
      <c r="F518" s="1"/>
      <c r="G518" s="1" t="s">
        <v>4348</v>
      </c>
      <c r="H518" s="1" t="s">
        <v>4349</v>
      </c>
      <c r="I518" s="1" t="s">
        <v>4350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4866</v>
      </c>
      <c r="AN518" s="1" t="s">
        <v>4917</v>
      </c>
      <c r="AO518" s="1" t="s">
        <v>5442</v>
      </c>
      <c r="AP518" s="1">
        <v>0</v>
      </c>
      <c r="AQ518" s="1" t="s">
        <v>1174</v>
      </c>
      <c r="AR518" s="1" t="s">
        <v>4919</v>
      </c>
      <c r="AS518" s="1" t="s">
        <v>4920</v>
      </c>
      <c r="AT518" s="1" t="s">
        <v>329</v>
      </c>
      <c r="AU518" s="1">
        <v>75</v>
      </c>
      <c r="AV518" s="1">
        <v>0</v>
      </c>
      <c r="AW518" s="1" t="s">
        <v>4500</v>
      </c>
      <c r="AX518" s="1" t="s">
        <v>5424</v>
      </c>
      <c r="AY518" s="1">
        <v>5</v>
      </c>
      <c r="AZ518" s="1">
        <v>3075</v>
      </c>
      <c r="BA518" s="1" t="s">
        <v>329</v>
      </c>
      <c r="BB518" s="1" t="s">
        <v>4921</v>
      </c>
      <c r="BC518" s="1" t="s">
        <v>4728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4351</v>
      </c>
      <c r="C519" s="247" t="s">
        <v>261</v>
      </c>
      <c r="D519" s="1" t="s">
        <v>261</v>
      </c>
      <c r="E519" s="1"/>
      <c r="F519" s="1"/>
      <c r="G519" s="1" t="s">
        <v>4352</v>
      </c>
      <c r="H519" s="1" t="s">
        <v>4353</v>
      </c>
      <c r="I519" s="1" t="s">
        <v>4354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4866</v>
      </c>
      <c r="AN519" s="1" t="s">
        <v>4917</v>
      </c>
      <c r="AO519" s="1" t="s">
        <v>5443</v>
      </c>
      <c r="AP519" s="1">
        <v>0</v>
      </c>
      <c r="AQ519" s="1" t="s">
        <v>1174</v>
      </c>
      <c r="AR519" s="1" t="s">
        <v>4919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4500</v>
      </c>
      <c r="AX519" s="1" t="s">
        <v>5424</v>
      </c>
      <c r="AY519" s="1">
        <v>4</v>
      </c>
      <c r="AZ519" s="1">
        <v>3081</v>
      </c>
      <c r="BA519" s="1" t="s">
        <v>329</v>
      </c>
      <c r="BB519" s="1" t="s">
        <v>4935</v>
      </c>
      <c r="BC519" s="1" t="s">
        <v>4728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6483</v>
      </c>
      <c r="C520" s="247" t="s">
        <v>6484</v>
      </c>
      <c r="D520" s="1" t="s">
        <v>6484</v>
      </c>
      <c r="E520" s="1"/>
      <c r="F520" s="1"/>
      <c r="G520" s="1" t="s">
        <v>6485</v>
      </c>
      <c r="H520" s="1" t="s">
        <v>6486</v>
      </c>
      <c r="I520" s="1" t="s">
        <v>6487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6474</v>
      </c>
      <c r="AK520" s="1" t="s">
        <v>6488</v>
      </c>
      <c r="AL520" s="1">
        <v>18</v>
      </c>
      <c r="AM520" s="1" t="s">
        <v>4866</v>
      </c>
      <c r="AN520" s="1" t="s">
        <v>4992</v>
      </c>
      <c r="AO520" s="1" t="s">
        <v>5275</v>
      </c>
      <c r="AP520" s="1">
        <v>0</v>
      </c>
      <c r="AQ520" s="1" t="s">
        <v>1174</v>
      </c>
      <c r="AR520" s="1" t="s">
        <v>4919</v>
      </c>
      <c r="AS520" s="1" t="s">
        <v>4920</v>
      </c>
      <c r="AT520" s="1" t="s">
        <v>329</v>
      </c>
      <c r="AU520" s="1">
        <v>88</v>
      </c>
      <c r="AV520" s="1">
        <v>0</v>
      </c>
      <c r="AW520" s="1" t="s">
        <v>4500</v>
      </c>
      <c r="AX520" s="1" t="s">
        <v>5424</v>
      </c>
      <c r="AY520" s="1">
        <v>5</v>
      </c>
      <c r="AZ520" s="1">
        <v>3088</v>
      </c>
      <c r="BA520" s="1" t="s">
        <v>329</v>
      </c>
      <c r="BB520" s="1" t="s">
        <v>4951</v>
      </c>
      <c r="BC520" s="1" t="s">
        <v>4777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4355</v>
      </c>
      <c r="C521" s="247" t="s">
        <v>744</v>
      </c>
      <c r="D521" s="1" t="s">
        <v>4356</v>
      </c>
      <c r="E521" s="1"/>
      <c r="F521" s="1"/>
      <c r="G521" s="1" t="s">
        <v>4357</v>
      </c>
      <c r="H521" s="1" t="s">
        <v>4358</v>
      </c>
      <c r="I521" s="1" t="s">
        <v>4359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4866</v>
      </c>
      <c r="AN521" s="1" t="s">
        <v>4924</v>
      </c>
      <c r="AO521" s="1" t="s">
        <v>5444</v>
      </c>
      <c r="AP521" s="1">
        <v>0</v>
      </c>
      <c r="AQ521" s="1" t="s">
        <v>1174</v>
      </c>
      <c r="AR521" s="1" t="s">
        <v>4919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4500</v>
      </c>
      <c r="AX521" s="1" t="s">
        <v>5424</v>
      </c>
      <c r="AY521" s="1">
        <v>4</v>
      </c>
      <c r="AZ521" s="1">
        <v>3089</v>
      </c>
      <c r="BA521" s="1" t="s">
        <v>329</v>
      </c>
      <c r="BB521" s="1" t="s">
        <v>4953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4360</v>
      </c>
      <c r="C522" s="247" t="s">
        <v>1690</v>
      </c>
      <c r="D522" s="1" t="s">
        <v>1690</v>
      </c>
      <c r="E522" s="1"/>
      <c r="F522" s="1"/>
      <c r="G522" s="1" t="s">
        <v>4361</v>
      </c>
      <c r="H522" s="1" t="s">
        <v>4362</v>
      </c>
      <c r="I522" s="1" t="s">
        <v>4363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1814</v>
      </c>
      <c r="AN522" s="1" t="s">
        <v>4955</v>
      </c>
      <c r="AO522" s="1" t="s">
        <v>4832</v>
      </c>
      <c r="AP522" s="1">
        <v>0</v>
      </c>
      <c r="AQ522" s="1" t="s">
        <v>4750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4500</v>
      </c>
      <c r="AX522" s="1" t="s">
        <v>5424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4364</v>
      </c>
      <c r="C523" s="247" t="s">
        <v>262</v>
      </c>
      <c r="D523" s="1" t="s">
        <v>262</v>
      </c>
      <c r="E523" s="1"/>
      <c r="F523" s="1"/>
      <c r="G523" s="1" t="s">
        <v>4365</v>
      </c>
      <c r="H523" s="1" t="s">
        <v>4366</v>
      </c>
      <c r="I523" s="1" t="s">
        <v>4367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4798</v>
      </c>
      <c r="AN523" s="1" t="s">
        <v>4803</v>
      </c>
      <c r="AO523" s="1" t="s">
        <v>5445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4500</v>
      </c>
      <c r="AX523" s="1" t="s">
        <v>5424</v>
      </c>
      <c r="AY523" s="1">
        <v>4</v>
      </c>
      <c r="AZ523" s="1">
        <v>3093</v>
      </c>
      <c r="BA523" s="1" t="s">
        <v>329</v>
      </c>
      <c r="BB523" s="1" t="s">
        <v>4958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4368</v>
      </c>
      <c r="C524" s="247" t="s">
        <v>741</v>
      </c>
      <c r="D524" s="1" t="s">
        <v>4369</v>
      </c>
      <c r="E524" s="1"/>
      <c r="F524" s="1"/>
      <c r="G524" s="1" t="s">
        <v>4370</v>
      </c>
      <c r="H524" s="1" t="s">
        <v>4371</v>
      </c>
      <c r="I524" s="1" t="s">
        <v>4372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4798</v>
      </c>
      <c r="AN524" s="1" t="s">
        <v>4801</v>
      </c>
      <c r="AO524" s="1" t="s">
        <v>5446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4500</v>
      </c>
      <c r="AX524" s="1" t="s">
        <v>5424</v>
      </c>
      <c r="AY524" s="1">
        <v>4</v>
      </c>
      <c r="AZ524" s="1">
        <v>3094</v>
      </c>
      <c r="BA524" s="1" t="s">
        <v>329</v>
      </c>
      <c r="BB524" s="1" t="s">
        <v>4960</v>
      </c>
      <c r="BC524" s="1" t="s">
        <v>4791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4373</v>
      </c>
      <c r="C525" s="247" t="s">
        <v>839</v>
      </c>
      <c r="D525" s="1" t="s">
        <v>4374</v>
      </c>
      <c r="E525" s="1"/>
      <c r="F525" s="1"/>
      <c r="G525" s="1" t="s">
        <v>4375</v>
      </c>
      <c r="H525" s="1" t="s">
        <v>4376</v>
      </c>
      <c r="I525" s="1" t="s">
        <v>4377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4770</v>
      </c>
      <c r="AN525" s="1" t="s">
        <v>5374</v>
      </c>
      <c r="AO525" s="1" t="s">
        <v>4840</v>
      </c>
      <c r="AP525" s="1">
        <v>0</v>
      </c>
      <c r="AQ525" s="1" t="s">
        <v>1753</v>
      </c>
      <c r="AR525" s="1" t="s">
        <v>4843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4500</v>
      </c>
      <c r="AX525" s="1" t="s">
        <v>5424</v>
      </c>
      <c r="AY525" s="1">
        <v>4</v>
      </c>
      <c r="AZ525" s="1">
        <v>3095</v>
      </c>
      <c r="BA525" s="1" t="s">
        <v>329</v>
      </c>
      <c r="BB525" s="1" t="s">
        <v>4960</v>
      </c>
      <c r="BC525" s="1" t="s">
        <v>4791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4378</v>
      </c>
      <c r="C526" s="247" t="s">
        <v>263</v>
      </c>
      <c r="D526" s="1" t="s">
        <v>263</v>
      </c>
      <c r="E526" s="1"/>
      <c r="F526" s="1"/>
      <c r="G526" s="1" t="s">
        <v>4379</v>
      </c>
      <c r="H526" s="1" t="s">
        <v>4380</v>
      </c>
      <c r="I526" s="1" t="s">
        <v>4381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1814</v>
      </c>
      <c r="AN526" s="1" t="s">
        <v>5447</v>
      </c>
      <c r="AO526" s="1" t="s">
        <v>5448</v>
      </c>
      <c r="AP526" s="1">
        <v>0</v>
      </c>
      <c r="AQ526" s="1" t="s">
        <v>4750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4500</v>
      </c>
      <c r="AX526" s="1" t="s">
        <v>5424</v>
      </c>
      <c r="AY526" s="1">
        <v>6</v>
      </c>
      <c r="AZ526" s="1">
        <v>3097</v>
      </c>
      <c r="BA526" s="1" t="s">
        <v>329</v>
      </c>
      <c r="BB526" s="1" t="s">
        <v>4965</v>
      </c>
      <c r="BC526" s="1" t="s">
        <v>4728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4382</v>
      </c>
      <c r="C527" s="247" t="s">
        <v>264</v>
      </c>
      <c r="D527" s="1" t="s">
        <v>264</v>
      </c>
      <c r="E527" s="1"/>
      <c r="F527" s="1"/>
      <c r="G527" s="1" t="s">
        <v>4383</v>
      </c>
      <c r="H527" s="1" t="s">
        <v>4384</v>
      </c>
      <c r="I527" s="1" t="s">
        <v>4385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4798</v>
      </c>
      <c r="AN527" s="1" t="s">
        <v>4803</v>
      </c>
      <c r="AO527" s="1" t="s">
        <v>4999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4500</v>
      </c>
      <c r="AX527" s="1" t="s">
        <v>5424</v>
      </c>
      <c r="AY527" s="1">
        <v>5</v>
      </c>
      <c r="AZ527" s="1">
        <v>3101</v>
      </c>
      <c r="BA527" s="1" t="s">
        <v>329</v>
      </c>
      <c r="BB527" s="1" t="s">
        <v>4973</v>
      </c>
      <c r="BC527" s="1" t="s">
        <v>4897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4386</v>
      </c>
      <c r="C528" s="247" t="s">
        <v>265</v>
      </c>
      <c r="D528" s="1" t="s">
        <v>265</v>
      </c>
      <c r="E528" s="1"/>
      <c r="F528" s="1"/>
      <c r="G528" s="1" t="s">
        <v>4387</v>
      </c>
      <c r="H528" s="1" t="s">
        <v>4388</v>
      </c>
      <c r="I528" s="1" t="s">
        <v>4389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4798</v>
      </c>
      <c r="AN528" s="1" t="s">
        <v>4803</v>
      </c>
      <c r="AO528" s="1" t="s">
        <v>5449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4977</v>
      </c>
      <c r="AX528" s="1" t="s">
        <v>5424</v>
      </c>
      <c r="AY528" s="1">
        <v>5</v>
      </c>
      <c r="AZ528" s="1">
        <v>3103</v>
      </c>
      <c r="BA528" s="1" t="s">
        <v>329</v>
      </c>
      <c r="BB528" s="1" t="s">
        <v>4978</v>
      </c>
      <c r="BC528" s="1" t="s">
        <v>4897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4455</v>
      </c>
      <c r="C529" s="247" t="s">
        <v>1755</v>
      </c>
      <c r="D529" s="1" t="s">
        <v>1755</v>
      </c>
      <c r="E529" s="1"/>
      <c r="F529" s="1"/>
      <c r="G529" s="1" t="s">
        <v>4456</v>
      </c>
      <c r="H529" s="1" t="s">
        <v>4457</v>
      </c>
      <c r="I529" s="1" t="s">
        <v>4458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4798</v>
      </c>
      <c r="AN529" s="1" t="s">
        <v>4803</v>
      </c>
      <c r="AO529" s="1" t="s">
        <v>5467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4979</v>
      </c>
      <c r="AX529" s="1" t="s">
        <v>5424</v>
      </c>
      <c r="AY529" s="1">
        <v>6</v>
      </c>
      <c r="AZ529" s="1">
        <v>3104</v>
      </c>
      <c r="BA529" s="1" t="s">
        <v>329</v>
      </c>
      <c r="BB529" s="1" t="s">
        <v>4980</v>
      </c>
      <c r="BC529" s="1" t="s">
        <v>4777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4390</v>
      </c>
      <c r="C530" s="247" t="s">
        <v>835</v>
      </c>
      <c r="D530" s="1" t="s">
        <v>4391</v>
      </c>
      <c r="E530" s="1"/>
      <c r="F530" s="1"/>
      <c r="G530" s="1" t="s">
        <v>4392</v>
      </c>
      <c r="H530" s="1" t="s">
        <v>4393</v>
      </c>
      <c r="I530" s="1" t="s">
        <v>4394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1814</v>
      </c>
      <c r="AN530" s="1" t="s">
        <v>5450</v>
      </c>
      <c r="AO530" s="1" t="s">
        <v>5451</v>
      </c>
      <c r="AP530" s="1">
        <v>0</v>
      </c>
      <c r="AQ530" s="1" t="s">
        <v>1125</v>
      </c>
      <c r="AR530" s="1" t="s">
        <v>1126</v>
      </c>
      <c r="AS530" s="1" t="s">
        <v>4769</v>
      </c>
      <c r="AT530" s="1" t="s">
        <v>329</v>
      </c>
      <c r="AU530" s="1">
        <v>114</v>
      </c>
      <c r="AV530" s="1">
        <v>0</v>
      </c>
      <c r="AW530" s="1" t="s">
        <v>4977</v>
      </c>
      <c r="AX530" s="1" t="s">
        <v>5424</v>
      </c>
      <c r="AY530" s="1">
        <v>6</v>
      </c>
      <c r="AZ530" s="1">
        <v>3114</v>
      </c>
      <c r="BA530" s="1" t="s">
        <v>329</v>
      </c>
      <c r="BB530" s="1" t="s">
        <v>4997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6489</v>
      </c>
      <c r="C531" s="247" t="s">
        <v>6522</v>
      </c>
      <c r="D531" s="1" t="s">
        <v>6490</v>
      </c>
      <c r="E531" s="1"/>
      <c r="F531" s="1"/>
      <c r="G531" s="1" t="s">
        <v>6491</v>
      </c>
      <c r="H531" s="1" t="s">
        <v>6492</v>
      </c>
      <c r="I531" s="1" t="s">
        <v>6493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6494</v>
      </c>
      <c r="AK531" s="1" t="s">
        <v>6495</v>
      </c>
      <c r="AL531" s="1">
        <v>13</v>
      </c>
      <c r="AM531" s="1" t="s">
        <v>4798</v>
      </c>
      <c r="AN531" s="1" t="s">
        <v>4803</v>
      </c>
      <c r="AO531" s="1" t="s">
        <v>4986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4977</v>
      </c>
      <c r="AX531" s="1" t="s">
        <v>5424</v>
      </c>
      <c r="AY531" s="1">
        <v>6</v>
      </c>
      <c r="AZ531" s="1">
        <v>3115</v>
      </c>
      <c r="BA531" s="1" t="s">
        <v>329</v>
      </c>
      <c r="BB531" s="1" t="s">
        <v>5000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4395</v>
      </c>
      <c r="C532" s="247" t="s">
        <v>1454</v>
      </c>
      <c r="D532" s="1" t="s">
        <v>1454</v>
      </c>
      <c r="E532" s="1"/>
      <c r="F532" s="1"/>
      <c r="G532" s="1" t="s">
        <v>4396</v>
      </c>
      <c r="H532" s="1" t="s">
        <v>4397</v>
      </c>
      <c r="I532" s="1" t="s">
        <v>4398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4727</v>
      </c>
      <c r="AN532" s="1" t="s">
        <v>4892</v>
      </c>
      <c r="AO532" s="1" t="s">
        <v>5452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4968</v>
      </c>
      <c r="AX532" s="1" t="s">
        <v>5424</v>
      </c>
      <c r="AY532" s="1">
        <v>6</v>
      </c>
      <c r="AZ532" s="1">
        <v>3122</v>
      </c>
      <c r="BA532" s="1" t="s">
        <v>329</v>
      </c>
      <c r="BB532" s="1" t="s">
        <v>5014</v>
      </c>
      <c r="BC532" s="1" t="s">
        <v>4897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4399</v>
      </c>
      <c r="C533" s="247" t="s">
        <v>833</v>
      </c>
      <c r="D533" s="1" t="s">
        <v>4400</v>
      </c>
      <c r="E533" s="1"/>
      <c r="F533" s="1"/>
      <c r="G533" s="1" t="s">
        <v>4401</v>
      </c>
      <c r="H533" s="1" t="s">
        <v>4402</v>
      </c>
      <c r="I533" s="1" t="s">
        <v>4403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4770</v>
      </c>
      <c r="AN533" s="1" t="s">
        <v>5397</v>
      </c>
      <c r="AO533" s="1" t="s">
        <v>4840</v>
      </c>
      <c r="AP533" s="1">
        <v>0</v>
      </c>
      <c r="AQ533" s="1" t="s">
        <v>1147</v>
      </c>
      <c r="AR533" s="1" t="s">
        <v>4843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5017</v>
      </c>
      <c r="AX533" s="1" t="s">
        <v>5424</v>
      </c>
      <c r="AY533" s="1">
        <v>4</v>
      </c>
      <c r="AZ533" s="1">
        <v>3124</v>
      </c>
      <c r="BA533" s="1" t="s">
        <v>329</v>
      </c>
      <c r="BB533" s="1" t="s">
        <v>5018</v>
      </c>
      <c r="BC533" s="1" t="s">
        <v>4728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4404</v>
      </c>
      <c r="C534" s="247" t="s">
        <v>930</v>
      </c>
      <c r="D534" s="1" t="s">
        <v>930</v>
      </c>
      <c r="E534" s="1"/>
      <c r="F534" s="1"/>
      <c r="G534" s="1" t="s">
        <v>4405</v>
      </c>
      <c r="H534" s="1" t="s">
        <v>4406</v>
      </c>
      <c r="I534" s="1" t="s">
        <v>4407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4866</v>
      </c>
      <c r="AN534" s="1" t="s">
        <v>4992</v>
      </c>
      <c r="AO534" s="1" t="s">
        <v>5453</v>
      </c>
      <c r="AP534" s="1">
        <v>0</v>
      </c>
      <c r="AQ534" s="1" t="s">
        <v>5020</v>
      </c>
      <c r="AR534" s="1" t="s">
        <v>4919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4850</v>
      </c>
      <c r="AX534" s="1" t="s">
        <v>5424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4408</v>
      </c>
      <c r="C535" s="247" t="s">
        <v>1691</v>
      </c>
      <c r="D535" s="1" t="s">
        <v>1691</v>
      </c>
      <c r="E535" s="1"/>
      <c r="F535" s="1"/>
      <c r="G535" s="1" t="s">
        <v>4409</v>
      </c>
      <c r="H535" s="1" t="s">
        <v>4410</v>
      </c>
      <c r="I535" s="1" t="s">
        <v>4411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4798</v>
      </c>
      <c r="AN535" s="1" t="s">
        <v>5001</v>
      </c>
      <c r="AO535" s="1" t="s">
        <v>5454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4816</v>
      </c>
      <c r="AX535" s="1" t="s">
        <v>5424</v>
      </c>
      <c r="AY535" s="1">
        <v>5</v>
      </c>
      <c r="AZ535" s="1">
        <v>3136</v>
      </c>
      <c r="BA535" s="1" t="s">
        <v>329</v>
      </c>
      <c r="BB535" s="1" t="s">
        <v>4801</v>
      </c>
      <c r="BC535" s="1" t="s">
        <v>4765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4412</v>
      </c>
      <c r="C536" s="247" t="s">
        <v>826</v>
      </c>
      <c r="D536" s="1" t="s">
        <v>826</v>
      </c>
      <c r="E536" s="1"/>
      <c r="F536" s="1"/>
      <c r="G536" s="1" t="s">
        <v>4413</v>
      </c>
      <c r="H536" s="1" t="s">
        <v>4414</v>
      </c>
      <c r="I536" s="1" t="s">
        <v>4415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4798</v>
      </c>
      <c r="AN536" s="1" t="s">
        <v>4955</v>
      </c>
      <c r="AO536" s="1" t="s">
        <v>5455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5045</v>
      </c>
      <c r="AX536" s="1" t="s">
        <v>5424</v>
      </c>
      <c r="AY536" s="1">
        <v>6</v>
      </c>
      <c r="AZ536" s="1">
        <v>3143</v>
      </c>
      <c r="BA536" s="1" t="s">
        <v>329</v>
      </c>
      <c r="BB536" s="1" t="s">
        <v>5055</v>
      </c>
      <c r="BC536" s="1" t="s">
        <v>4868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4416</v>
      </c>
      <c r="C537" s="247" t="s">
        <v>725</v>
      </c>
      <c r="D537" s="1" t="s">
        <v>725</v>
      </c>
      <c r="E537" s="1"/>
      <c r="F537" s="1"/>
      <c r="G537" s="1" t="s">
        <v>4417</v>
      </c>
      <c r="H537" s="1" t="s">
        <v>4418</v>
      </c>
      <c r="I537" s="1" t="s">
        <v>4419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4724</v>
      </c>
      <c r="AN537" s="1" t="s">
        <v>5456</v>
      </c>
      <c r="AO537" s="1" t="s">
        <v>5457</v>
      </c>
      <c r="AP537" s="1">
        <v>0</v>
      </c>
      <c r="AQ537" s="1" t="s">
        <v>1207</v>
      </c>
      <c r="AR537" s="1" t="s">
        <v>5068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5069</v>
      </c>
      <c r="AX537" s="1" t="s">
        <v>5424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4420</v>
      </c>
      <c r="C538" s="247" t="s">
        <v>716</v>
      </c>
      <c r="D538" s="1" t="s">
        <v>716</v>
      </c>
      <c r="E538" s="1"/>
      <c r="F538" s="1"/>
      <c r="G538" s="1" t="s">
        <v>4421</v>
      </c>
      <c r="H538" s="1" t="s">
        <v>4422</v>
      </c>
      <c r="I538" s="1" t="s">
        <v>4423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4724</v>
      </c>
      <c r="AN538" s="1" t="s">
        <v>471</v>
      </c>
      <c r="AO538" s="1" t="s">
        <v>5458</v>
      </c>
      <c r="AP538" s="1">
        <v>0</v>
      </c>
      <c r="AQ538" s="1" t="s">
        <v>1207</v>
      </c>
      <c r="AR538" s="1" t="s">
        <v>1208</v>
      </c>
      <c r="AS538" s="1" t="s">
        <v>5070</v>
      </c>
      <c r="AT538" s="1" t="s">
        <v>329</v>
      </c>
      <c r="AU538" s="1">
        <v>154</v>
      </c>
      <c r="AV538" s="1">
        <v>0</v>
      </c>
      <c r="AW538" s="1" t="s">
        <v>5045</v>
      </c>
      <c r="AX538" s="1" t="s">
        <v>5424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4424</v>
      </c>
      <c r="C539" s="247" t="s">
        <v>931</v>
      </c>
      <c r="D539" s="1" t="s">
        <v>931</v>
      </c>
      <c r="E539" s="1"/>
      <c r="F539" s="1"/>
      <c r="G539" s="1" t="s">
        <v>4425</v>
      </c>
      <c r="H539" s="1" t="s">
        <v>4426</v>
      </c>
      <c r="I539" s="1" t="s">
        <v>4427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4724</v>
      </c>
      <c r="AN539" s="1" t="s">
        <v>366</v>
      </c>
      <c r="AO539" s="1" t="s">
        <v>5459</v>
      </c>
      <c r="AP539" s="1">
        <v>0</v>
      </c>
      <c r="AQ539" s="1" t="s">
        <v>5075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5045</v>
      </c>
      <c r="AX539" s="1" t="s">
        <v>5424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4428</v>
      </c>
      <c r="C540" s="247" t="s">
        <v>734</v>
      </c>
      <c r="D540" s="1" t="s">
        <v>4429</v>
      </c>
      <c r="E540" s="1"/>
      <c r="F540" s="1"/>
      <c r="G540" s="1" t="s">
        <v>4430</v>
      </c>
      <c r="H540" s="1" t="s">
        <v>4431</v>
      </c>
      <c r="I540" s="1" t="s">
        <v>4432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4724</v>
      </c>
      <c r="AN540" s="1" t="s">
        <v>5460</v>
      </c>
      <c r="AO540" s="1" t="s">
        <v>5076</v>
      </c>
      <c r="AP540" s="1">
        <v>0</v>
      </c>
      <c r="AQ540" s="1" t="s">
        <v>5075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5045</v>
      </c>
      <c r="AX540" s="1" t="s">
        <v>5424</v>
      </c>
      <c r="AY540" s="1">
        <v>5</v>
      </c>
      <c r="AZ540" s="1">
        <v>3161</v>
      </c>
      <c r="BA540" s="1" t="s">
        <v>329</v>
      </c>
      <c r="BB540" s="1" t="s">
        <v>4960</v>
      </c>
      <c r="BC540" s="1" t="s">
        <v>4791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4459</v>
      </c>
      <c r="C541" s="247" t="s">
        <v>1761</v>
      </c>
      <c r="D541" s="1" t="s">
        <v>4460</v>
      </c>
      <c r="E541" s="1"/>
      <c r="F541" s="1"/>
      <c r="G541" s="1" t="s">
        <v>4461</v>
      </c>
      <c r="H541" s="1" t="s">
        <v>4462</v>
      </c>
      <c r="I541" s="1" t="s">
        <v>4463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4798</v>
      </c>
      <c r="AN541" s="1" t="s">
        <v>465</v>
      </c>
      <c r="AO541" s="1" t="s">
        <v>5366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5092</v>
      </c>
      <c r="AX541" s="1" t="s">
        <v>5424</v>
      </c>
      <c r="AY541" s="1">
        <v>5</v>
      </c>
      <c r="AZ541" s="1">
        <v>3171</v>
      </c>
      <c r="BA541" s="1" t="s">
        <v>329</v>
      </c>
      <c r="BB541" s="1" t="s">
        <v>5097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4433</v>
      </c>
      <c r="C542" s="247" t="s">
        <v>827</v>
      </c>
      <c r="D542" s="1" t="s">
        <v>827</v>
      </c>
      <c r="E542" s="1"/>
      <c r="F542" s="1"/>
      <c r="G542" s="1" t="s">
        <v>4434</v>
      </c>
      <c r="H542" s="1" t="s">
        <v>4435</v>
      </c>
      <c r="I542" s="1" t="s">
        <v>4436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5461</v>
      </c>
      <c r="AO542" s="1" t="s">
        <v>5462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4975</v>
      </c>
      <c r="AX542" s="1" t="s">
        <v>5424</v>
      </c>
      <c r="AY542" s="1">
        <v>4</v>
      </c>
      <c r="AZ542" s="1">
        <v>3178</v>
      </c>
      <c r="BA542" s="1" t="s">
        <v>329</v>
      </c>
      <c r="BB542" s="1" t="s">
        <v>5112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4437</v>
      </c>
      <c r="C543" s="247" t="s">
        <v>834</v>
      </c>
      <c r="D543" s="1" t="s">
        <v>4438</v>
      </c>
      <c r="E543" s="1"/>
      <c r="F543" s="1"/>
      <c r="G543" s="1" t="s">
        <v>4439</v>
      </c>
      <c r="H543" s="1" t="s">
        <v>4440</v>
      </c>
      <c r="I543" s="1" t="s">
        <v>4441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5463</v>
      </c>
      <c r="AO543" s="1" t="s">
        <v>5275</v>
      </c>
      <c r="AP543" s="1">
        <v>0</v>
      </c>
      <c r="AQ543" s="1" t="s">
        <v>5020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5041</v>
      </c>
      <c r="AX543" s="1" t="s">
        <v>5424</v>
      </c>
      <c r="AY543" s="1">
        <v>5</v>
      </c>
      <c r="AZ543" s="1">
        <v>3199</v>
      </c>
      <c r="BA543" s="1" t="s">
        <v>329</v>
      </c>
      <c r="BB543" s="1" t="s">
        <v>5145</v>
      </c>
      <c r="BC543" s="1" t="s">
        <v>4791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4442</v>
      </c>
      <c r="C544" s="247" t="s">
        <v>932</v>
      </c>
      <c r="D544" s="1" t="s">
        <v>932</v>
      </c>
      <c r="E544" s="1"/>
      <c r="F544" s="1"/>
      <c r="G544" s="1" t="s">
        <v>4443</v>
      </c>
      <c r="H544" s="1" t="s">
        <v>4444</v>
      </c>
      <c r="I544" s="1" t="s">
        <v>4445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4770</v>
      </c>
      <c r="AN544" s="1" t="s">
        <v>4837</v>
      </c>
      <c r="AO544" s="1" t="s">
        <v>4853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5139</v>
      </c>
      <c r="AX544" s="1" t="s">
        <v>5424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4464</v>
      </c>
      <c r="C545" s="247" t="s">
        <v>1762</v>
      </c>
      <c r="D545" s="1" t="s">
        <v>4465</v>
      </c>
      <c r="E545" s="1"/>
      <c r="F545" s="1"/>
      <c r="G545" s="1" t="s">
        <v>4466</v>
      </c>
      <c r="H545" s="1" t="s">
        <v>4467</v>
      </c>
      <c r="I545" s="1" t="s">
        <v>4468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4770</v>
      </c>
      <c r="AN545" s="1" t="s">
        <v>4892</v>
      </c>
      <c r="AO545" s="1" t="s">
        <v>4840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5147</v>
      </c>
      <c r="AX545" s="1" t="s">
        <v>5424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5737</v>
      </c>
      <c r="C546" s="247" t="s">
        <v>5738</v>
      </c>
      <c r="D546" s="1" t="s">
        <v>5738</v>
      </c>
      <c r="E546" s="1"/>
      <c r="F546" s="1"/>
      <c r="G546" s="1" t="s">
        <v>5739</v>
      </c>
      <c r="H546" s="1" t="s">
        <v>5740</v>
      </c>
      <c r="I546" s="1" t="s">
        <v>5741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5742</v>
      </c>
      <c r="AK546" s="1" t="s">
        <v>329</v>
      </c>
      <c r="AL546" s="1">
        <v>12</v>
      </c>
      <c r="AM546" s="1" t="s">
        <v>4727</v>
      </c>
      <c r="AN546" s="1" t="s">
        <v>5155</v>
      </c>
      <c r="AO546" s="1" t="s">
        <v>5743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4826</v>
      </c>
      <c r="AX546" s="1" t="s">
        <v>5424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5744</v>
      </c>
      <c r="C547" s="247" t="s">
        <v>5745</v>
      </c>
      <c r="D547" s="1" t="s">
        <v>5745</v>
      </c>
      <c r="E547" s="1"/>
      <c r="F547" s="1"/>
      <c r="G547" s="1" t="s">
        <v>5746</v>
      </c>
      <c r="H547" s="1" t="s">
        <v>5747</v>
      </c>
      <c r="I547" s="1" t="s">
        <v>5748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5749</v>
      </c>
      <c r="AK547" s="1" t="s">
        <v>5750</v>
      </c>
      <c r="AL547" s="1">
        <v>14</v>
      </c>
      <c r="AM547" s="1" t="s">
        <v>4727</v>
      </c>
      <c r="AN547" s="1" t="s">
        <v>5751</v>
      </c>
      <c r="AO547" s="1" t="s">
        <v>5752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5170</v>
      </c>
      <c r="AX547" s="1" t="s">
        <v>5424</v>
      </c>
      <c r="AY547" s="1">
        <v>5</v>
      </c>
      <c r="AZ547" s="1">
        <v>3216</v>
      </c>
      <c r="BA547" s="1" t="s">
        <v>329</v>
      </c>
      <c r="BB547" s="1" t="s">
        <v>5178</v>
      </c>
      <c r="BC547" s="1" t="s">
        <v>4777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4469</v>
      </c>
      <c r="C548" s="247" t="s">
        <v>1760</v>
      </c>
      <c r="D548" s="1" t="s">
        <v>1760</v>
      </c>
      <c r="E548" s="1"/>
      <c r="F548" s="1"/>
      <c r="G548" s="1" t="s">
        <v>4470</v>
      </c>
      <c r="H548" s="1" t="s">
        <v>4471</v>
      </c>
      <c r="I548" s="1" t="s">
        <v>4472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1814</v>
      </c>
      <c r="AN548" s="1" t="s">
        <v>4869</v>
      </c>
      <c r="AO548" s="1" t="s">
        <v>4962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5182</v>
      </c>
      <c r="AX548" s="1" t="s">
        <v>5424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4446</v>
      </c>
      <c r="C549" s="247" t="s">
        <v>1692</v>
      </c>
      <c r="D549" s="1" t="s">
        <v>4447</v>
      </c>
      <c r="E549" s="1"/>
      <c r="F549" s="1"/>
      <c r="G549" s="1" t="s">
        <v>4448</v>
      </c>
      <c r="H549" s="1" t="s">
        <v>4449</v>
      </c>
      <c r="I549" s="1" t="s">
        <v>4450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1814</v>
      </c>
      <c r="AN549" s="1" t="s">
        <v>5464</v>
      </c>
      <c r="AO549" s="1" t="s">
        <v>5071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5184</v>
      </c>
      <c r="AX549" s="1" t="s">
        <v>5424</v>
      </c>
      <c r="AY549" s="1">
        <v>4</v>
      </c>
      <c r="AZ549" s="1">
        <v>3221</v>
      </c>
      <c r="BA549" s="1" t="s">
        <v>329</v>
      </c>
      <c r="BB549" s="1" t="s">
        <v>5185</v>
      </c>
      <c r="BC549" s="1" t="s">
        <v>4765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6496</v>
      </c>
      <c r="C550" s="247" t="s">
        <v>6497</v>
      </c>
      <c r="D550" s="1" t="s">
        <v>6497</v>
      </c>
      <c r="E550" s="1"/>
      <c r="F550" s="1"/>
      <c r="G550" s="1" t="s">
        <v>6498</v>
      </c>
      <c r="H550" s="1" t="s">
        <v>6499</v>
      </c>
      <c r="I550" s="1" t="s">
        <v>6500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6501</v>
      </c>
      <c r="AK550" s="1" t="s">
        <v>6502</v>
      </c>
      <c r="AL550" s="1">
        <v>13</v>
      </c>
      <c r="AM550" s="1" t="s">
        <v>4770</v>
      </c>
      <c r="AN550" s="1" t="s">
        <v>4842</v>
      </c>
      <c r="AO550" s="1" t="s">
        <v>4840</v>
      </c>
      <c r="AP550" s="1">
        <v>0</v>
      </c>
      <c r="AQ550" s="1" t="s">
        <v>1147</v>
      </c>
      <c r="AR550" s="1" t="s">
        <v>4843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5199</v>
      </c>
      <c r="AX550" s="1" t="s">
        <v>5424</v>
      </c>
      <c r="AY550" s="1">
        <v>4</v>
      </c>
      <c r="AZ550" s="1">
        <v>3230</v>
      </c>
      <c r="BA550" s="1" t="s">
        <v>329</v>
      </c>
      <c r="BB550" s="1" t="s">
        <v>5200</v>
      </c>
      <c r="BC550" s="1" t="s">
        <v>4728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4451</v>
      </c>
      <c r="C551" s="247" t="s">
        <v>266</v>
      </c>
      <c r="D551" s="1" t="s">
        <v>266</v>
      </c>
      <c r="E551" s="1"/>
      <c r="F551" s="1"/>
      <c r="G551" s="1" t="s">
        <v>4452</v>
      </c>
      <c r="H551" s="1" t="s">
        <v>4453</v>
      </c>
      <c r="I551" s="1" t="s">
        <v>4454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5465</v>
      </c>
      <c r="AN551" s="1" t="s">
        <v>5466</v>
      </c>
      <c r="AO551" s="1" t="s">
        <v>4840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5197</v>
      </c>
      <c r="AX551" s="1" t="s">
        <v>5424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5753</v>
      </c>
      <c r="C552" s="247" t="s">
        <v>5754</v>
      </c>
      <c r="D552" s="1" t="s">
        <v>5754</v>
      </c>
      <c r="E552" s="1"/>
      <c r="F552" s="1"/>
      <c r="G552" s="1" t="s">
        <v>5755</v>
      </c>
      <c r="H552" s="1" t="s">
        <v>5756</v>
      </c>
      <c r="I552" s="1" t="s">
        <v>5757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5758</v>
      </c>
      <c r="AK552" s="1" t="s">
        <v>5759</v>
      </c>
      <c r="AL552" s="1">
        <v>13</v>
      </c>
      <c r="AM552" s="1" t="s">
        <v>4727</v>
      </c>
      <c r="AN552" s="1" t="s">
        <v>4872</v>
      </c>
      <c r="AO552" s="1" t="s">
        <v>5760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5290</v>
      </c>
      <c r="AX552" s="1" t="s">
        <v>5424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6295</v>
      </c>
      <c r="C553" s="247" t="s">
        <v>5788</v>
      </c>
      <c r="D553" s="1" t="s">
        <v>6296</v>
      </c>
      <c r="E553" s="1"/>
      <c r="F553" s="1"/>
      <c r="G553" s="1" t="s">
        <v>6297</v>
      </c>
      <c r="H553" s="1" t="s">
        <v>6298</v>
      </c>
      <c r="I553" s="1" t="s">
        <v>6299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4724</v>
      </c>
      <c r="AN553" s="1" t="s">
        <v>477</v>
      </c>
      <c r="AO553" s="1" t="s">
        <v>5071</v>
      </c>
      <c r="AP553" s="1">
        <v>0</v>
      </c>
      <c r="AQ553" s="1" t="s">
        <v>5799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5801</v>
      </c>
      <c r="AX553" s="1" t="s">
        <v>1814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6300</v>
      </c>
      <c r="C554" s="247" t="s">
        <v>5789</v>
      </c>
      <c r="D554" s="1" t="s">
        <v>6301</v>
      </c>
      <c r="E554" s="1"/>
      <c r="F554" s="1"/>
      <c r="G554" s="1" t="s">
        <v>6302</v>
      </c>
      <c r="H554" s="1" t="s">
        <v>6303</v>
      </c>
      <c r="I554" s="1" t="s">
        <v>6304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6305</v>
      </c>
      <c r="AK554" s="1" t="s">
        <v>1217</v>
      </c>
      <c r="AL554" s="1">
        <v>7</v>
      </c>
      <c r="AM554" s="1" t="s">
        <v>4724</v>
      </c>
      <c r="AN554" s="1" t="s">
        <v>5081</v>
      </c>
      <c r="AO554" s="1" t="s">
        <v>5082</v>
      </c>
      <c r="AP554" s="1">
        <v>0</v>
      </c>
      <c r="AQ554" s="1" t="s">
        <v>5799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5801</v>
      </c>
      <c r="AX554" s="1" t="s">
        <v>1814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6306</v>
      </c>
      <c r="C555" s="247" t="s">
        <v>237</v>
      </c>
      <c r="D555" s="1" t="s">
        <v>6307</v>
      </c>
      <c r="E555" s="1"/>
      <c r="F555" s="1"/>
      <c r="G555" s="1" t="s">
        <v>6308</v>
      </c>
      <c r="H555" s="1" t="s">
        <v>6309</v>
      </c>
      <c r="I555" s="1" t="s">
        <v>6310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6311</v>
      </c>
      <c r="AK555" s="1" t="s">
        <v>1251</v>
      </c>
      <c r="AL555" s="1">
        <v>9</v>
      </c>
      <c r="AM555" s="1" t="s">
        <v>4724</v>
      </c>
      <c r="AN555" s="1" t="s">
        <v>355</v>
      </c>
      <c r="AO555" s="1" t="s">
        <v>5198</v>
      </c>
      <c r="AP555" s="1">
        <v>0</v>
      </c>
      <c r="AQ555" s="1" t="s">
        <v>5799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5801</v>
      </c>
      <c r="AX555" s="1" t="s">
        <v>1814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6312</v>
      </c>
      <c r="C556" s="247" t="s">
        <v>5787</v>
      </c>
      <c r="D556" s="1" t="s">
        <v>6313</v>
      </c>
      <c r="E556" s="1"/>
      <c r="F556" s="1"/>
      <c r="G556" s="1" t="s">
        <v>6314</v>
      </c>
      <c r="H556" s="1" t="s">
        <v>6315</v>
      </c>
      <c r="I556" s="1" t="s">
        <v>6316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4798</v>
      </c>
      <c r="AN556" s="1" t="s">
        <v>465</v>
      </c>
      <c r="AO556" s="1" t="s">
        <v>4812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5801</v>
      </c>
      <c r="AX556" s="1" t="s">
        <v>1814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6654</v>
      </c>
      <c r="C557" s="247" t="s">
        <v>6655</v>
      </c>
      <c r="D557" s="1" t="s">
        <v>6655</v>
      </c>
      <c r="E557" s="1" t="s">
        <v>329</v>
      </c>
      <c r="F557" s="1" t="s">
        <v>329</v>
      </c>
      <c r="G557" s="1" t="s">
        <v>6656</v>
      </c>
      <c r="H557" s="1" t="s">
        <v>6657</v>
      </c>
      <c r="I557" s="1" t="s">
        <v>6658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6659</v>
      </c>
      <c r="AK557" s="1" t="s">
        <v>6660</v>
      </c>
      <c r="AL557" s="1">
        <v>14</v>
      </c>
      <c r="AM557" s="1" t="s">
        <v>1814</v>
      </c>
      <c r="AN557" s="1" t="s">
        <v>6661</v>
      </c>
      <c r="AO557" s="1" t="s">
        <v>4962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6662</v>
      </c>
      <c r="AX557" s="1" t="s">
        <v>6663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6664</v>
      </c>
      <c r="C558" s="247" t="s">
        <v>6665</v>
      </c>
      <c r="D558" s="1" t="s">
        <v>6665</v>
      </c>
      <c r="E558" s="1" t="s">
        <v>329</v>
      </c>
      <c r="F558" s="1" t="s">
        <v>329</v>
      </c>
      <c r="G558" s="1" t="s">
        <v>6666</v>
      </c>
      <c r="H558" s="1" t="s">
        <v>6667</v>
      </c>
      <c r="I558" s="1" t="s">
        <v>6668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6669</v>
      </c>
      <c r="AK558" s="1" t="s">
        <v>6670</v>
      </c>
      <c r="AL558" s="1">
        <v>13</v>
      </c>
      <c r="AM558" s="1" t="s">
        <v>1814</v>
      </c>
      <c r="AN558" s="1" t="s">
        <v>5736</v>
      </c>
      <c r="AO558" s="1" t="s">
        <v>6671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6662</v>
      </c>
      <c r="AX558" s="1" t="s">
        <v>6663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6672</v>
      </c>
      <c r="C559" s="247" t="s">
        <v>6673</v>
      </c>
      <c r="D559" s="1" t="s">
        <v>6673</v>
      </c>
      <c r="E559" s="1" t="s">
        <v>329</v>
      </c>
      <c r="F559" s="1" t="s">
        <v>329</v>
      </c>
      <c r="G559" s="1" t="s">
        <v>6674</v>
      </c>
      <c r="H559" s="1" t="s">
        <v>6675</v>
      </c>
      <c r="I559" s="1" t="s">
        <v>6676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6677</v>
      </c>
      <c r="AK559" s="1" t="s">
        <v>329</v>
      </c>
      <c r="AL559" s="1">
        <v>13</v>
      </c>
      <c r="AM559" s="1" t="s">
        <v>1814</v>
      </c>
      <c r="AN559" s="1" t="s">
        <v>5736</v>
      </c>
      <c r="AO559" s="1" t="s">
        <v>4840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6662</v>
      </c>
      <c r="AX559" s="1" t="s">
        <v>6678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6679</v>
      </c>
      <c r="C560" s="247" t="s">
        <v>6680</v>
      </c>
      <c r="D560" s="1" t="s">
        <v>6680</v>
      </c>
      <c r="E560" s="1" t="s">
        <v>329</v>
      </c>
      <c r="F560" s="1" t="s">
        <v>329</v>
      </c>
      <c r="G560" s="1" t="s">
        <v>6681</v>
      </c>
      <c r="H560" s="1" t="s">
        <v>6682</v>
      </c>
      <c r="I560" s="1" t="s">
        <v>6683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6684</v>
      </c>
      <c r="AK560" s="1" t="s">
        <v>6685</v>
      </c>
      <c r="AL560" s="1">
        <v>14</v>
      </c>
      <c r="AM560" s="1" t="s">
        <v>399</v>
      </c>
      <c r="AN560" s="1" t="s">
        <v>5319</v>
      </c>
      <c r="AO560" s="1" t="s">
        <v>5065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6662</v>
      </c>
      <c r="AX560" s="1" t="s">
        <v>6686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6687</v>
      </c>
      <c r="C561" s="247" t="s">
        <v>6688</v>
      </c>
      <c r="D561" s="1" t="s">
        <v>6688</v>
      </c>
      <c r="E561" s="1" t="s">
        <v>329</v>
      </c>
      <c r="F561" s="1" t="s">
        <v>329</v>
      </c>
      <c r="G561" s="1" t="s">
        <v>6689</v>
      </c>
      <c r="H561" s="1" t="s">
        <v>6690</v>
      </c>
      <c r="I561" s="1" t="s">
        <v>6691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6692</v>
      </c>
      <c r="AL561" s="1">
        <v>13</v>
      </c>
      <c r="AM561" s="1" t="s">
        <v>4727</v>
      </c>
      <c r="AN561" s="1" t="s">
        <v>4872</v>
      </c>
      <c r="AO561" s="1" t="s">
        <v>4840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6662</v>
      </c>
      <c r="AX561" s="1" t="s">
        <v>6678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6693</v>
      </c>
      <c r="C562" s="247" t="s">
        <v>6694</v>
      </c>
      <c r="D562" s="1" t="s">
        <v>6694</v>
      </c>
      <c r="E562" s="1" t="s">
        <v>329</v>
      </c>
      <c r="F562" s="1" t="s">
        <v>329</v>
      </c>
      <c r="G562" s="1" t="s">
        <v>6695</v>
      </c>
      <c r="H562" s="1" t="s">
        <v>6696</v>
      </c>
      <c r="I562" s="1" t="s">
        <v>6697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6698</v>
      </c>
      <c r="AK562" s="1" t="s">
        <v>6699</v>
      </c>
      <c r="AL562" s="1">
        <v>19</v>
      </c>
      <c r="AM562" s="1" t="s">
        <v>388</v>
      </c>
      <c r="AN562" s="1" t="s">
        <v>6700</v>
      </c>
      <c r="AO562" s="1" t="s">
        <v>6701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6662</v>
      </c>
      <c r="AX562" s="1" t="s">
        <v>6678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6702</v>
      </c>
      <c r="C563" s="247" t="s">
        <v>6703</v>
      </c>
      <c r="D563" s="1" t="s">
        <v>6703</v>
      </c>
      <c r="E563" s="1" t="s">
        <v>329</v>
      </c>
      <c r="F563" s="1" t="s">
        <v>329</v>
      </c>
      <c r="G563" s="1" t="s">
        <v>6704</v>
      </c>
      <c r="H563" s="1" t="s">
        <v>6705</v>
      </c>
      <c r="I563" s="1" t="s">
        <v>6706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4727</v>
      </c>
      <c r="AN563" s="1" t="s">
        <v>5319</v>
      </c>
      <c r="AO563" s="1" t="s">
        <v>5065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5801</v>
      </c>
      <c r="AX563" s="1" t="s">
        <v>1814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6707</v>
      </c>
      <c r="C564" s="247" t="s">
        <v>6708</v>
      </c>
      <c r="D564" s="1" t="s">
        <v>6708</v>
      </c>
      <c r="E564" s="1" t="s">
        <v>329</v>
      </c>
      <c r="F564" s="1" t="s">
        <v>329</v>
      </c>
      <c r="G564" s="1" t="s">
        <v>6709</v>
      </c>
      <c r="H564" s="1" t="s">
        <v>6710</v>
      </c>
      <c r="I564" s="1" t="s">
        <v>6711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4798</v>
      </c>
      <c r="AN564" s="1" t="s">
        <v>4869</v>
      </c>
      <c r="AO564" s="1" t="s">
        <v>5436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5801</v>
      </c>
      <c r="AX564" s="1" t="s">
        <v>1814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6712</v>
      </c>
      <c r="C565" s="247" t="s">
        <v>6713</v>
      </c>
      <c r="D565" s="1" t="s">
        <v>6713</v>
      </c>
      <c r="E565" s="1" t="s">
        <v>329</v>
      </c>
      <c r="F565" s="1" t="s">
        <v>329</v>
      </c>
      <c r="G565" s="1" t="s">
        <v>6714</v>
      </c>
      <c r="H565" s="1" t="s">
        <v>6715</v>
      </c>
      <c r="I565" s="1" t="s">
        <v>6716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1814</v>
      </c>
      <c r="AN565" s="1" t="s">
        <v>4755</v>
      </c>
      <c r="AO565" s="1" t="s">
        <v>4752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5801</v>
      </c>
      <c r="AX565" s="1" t="s">
        <v>1814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6717</v>
      </c>
      <c r="C566" s="247" t="s">
        <v>6771</v>
      </c>
      <c r="D566" s="1" t="s">
        <v>6718</v>
      </c>
      <c r="E566" s="1" t="s">
        <v>6646</v>
      </c>
      <c r="F566" s="1" t="s">
        <v>6647</v>
      </c>
      <c r="G566" s="1" t="s">
        <v>6719</v>
      </c>
      <c r="H566" s="1" t="s">
        <v>6720</v>
      </c>
      <c r="I566" s="1" t="s">
        <v>6721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6722</v>
      </c>
      <c r="AK566" s="1" t="s">
        <v>6723</v>
      </c>
      <c r="AL566" s="1">
        <v>13</v>
      </c>
      <c r="AM566" s="1" t="s">
        <v>1814</v>
      </c>
      <c r="AN566" s="1" t="s">
        <v>4788</v>
      </c>
      <c r="AO566" s="1" t="s">
        <v>6724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4500</v>
      </c>
      <c r="AX566" s="1" t="s">
        <v>5424</v>
      </c>
      <c r="AY566" s="1">
        <v>4</v>
      </c>
      <c r="AZ566" s="1">
        <v>3013</v>
      </c>
      <c r="BA566" s="1" t="s">
        <v>329</v>
      </c>
      <c r="BB566" s="1" t="s">
        <v>4790</v>
      </c>
      <c r="BC566" s="1" t="s">
        <v>4791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6725</v>
      </c>
      <c r="C567" s="247" t="s">
        <v>6772</v>
      </c>
      <c r="D567" s="1" t="s">
        <v>6726</v>
      </c>
      <c r="E567" s="1" t="s">
        <v>6648</v>
      </c>
      <c r="F567" s="1" t="s">
        <v>6649</v>
      </c>
      <c r="G567" s="1" t="s">
        <v>6727</v>
      </c>
      <c r="H567" s="1" t="s">
        <v>6728</v>
      </c>
      <c r="I567" s="1" t="s">
        <v>6729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6730</v>
      </c>
      <c r="AK567" s="1" t="s">
        <v>329</v>
      </c>
      <c r="AL567" s="1">
        <v>13</v>
      </c>
      <c r="AM567" s="1" t="s">
        <v>4770</v>
      </c>
      <c r="AN567" s="1" t="s">
        <v>4872</v>
      </c>
      <c r="AO567" s="1" t="s">
        <v>5435</v>
      </c>
      <c r="AP567" s="1">
        <v>0</v>
      </c>
      <c r="AQ567" s="1" t="s">
        <v>1147</v>
      </c>
      <c r="AR567" s="1" t="s">
        <v>4843</v>
      </c>
      <c r="AS567" s="1" t="s">
        <v>4847</v>
      </c>
      <c r="AT567" s="1" t="s">
        <v>329</v>
      </c>
      <c r="AU567" s="1">
        <v>46</v>
      </c>
      <c r="AV567" s="1">
        <v>0</v>
      </c>
      <c r="AW567" s="1" t="s">
        <v>4500</v>
      </c>
      <c r="AX567" s="1" t="s">
        <v>5424</v>
      </c>
      <c r="AY567" s="1">
        <v>6</v>
      </c>
      <c r="AZ567" s="1">
        <v>3046</v>
      </c>
      <c r="BA567" s="1" t="s">
        <v>329</v>
      </c>
      <c r="BB567" s="1" t="s">
        <v>4854</v>
      </c>
      <c r="BC567" s="1" t="s">
        <v>4777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6731</v>
      </c>
      <c r="C568" s="247" t="s">
        <v>6773</v>
      </c>
      <c r="D568" s="1" t="s">
        <v>6732</v>
      </c>
      <c r="E568" s="1" t="s">
        <v>6650</v>
      </c>
      <c r="F568" s="1" t="s">
        <v>6651</v>
      </c>
      <c r="G568" s="1" t="s">
        <v>6733</v>
      </c>
      <c r="H568" s="1" t="s">
        <v>6734</v>
      </c>
      <c r="I568" s="1" t="s">
        <v>6735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6736</v>
      </c>
      <c r="AK568" s="1" t="s">
        <v>6737</v>
      </c>
      <c r="AL568" s="1">
        <v>13</v>
      </c>
      <c r="AM568" s="1" t="s">
        <v>4770</v>
      </c>
      <c r="AN568" s="1" t="s">
        <v>5736</v>
      </c>
      <c r="AO568" s="1" t="s">
        <v>5435</v>
      </c>
      <c r="AP568" s="1">
        <v>0</v>
      </c>
      <c r="AQ568" s="1" t="s">
        <v>1753</v>
      </c>
      <c r="AR568" s="1" t="s">
        <v>4843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4500</v>
      </c>
      <c r="AX568" s="1" t="s">
        <v>5424</v>
      </c>
      <c r="AY568" s="1">
        <v>6</v>
      </c>
      <c r="AZ568" s="1">
        <v>3050</v>
      </c>
      <c r="BA568" s="1" t="s">
        <v>329</v>
      </c>
      <c r="BB568" s="1" t="s">
        <v>4859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6738</v>
      </c>
      <c r="C569" s="247" t="s">
        <v>6775</v>
      </c>
      <c r="D569" s="1" t="s">
        <v>6739</v>
      </c>
      <c r="E569" s="1" t="s">
        <v>6652</v>
      </c>
      <c r="F569" s="1" t="s">
        <v>6653</v>
      </c>
      <c r="G569" s="1" t="s">
        <v>6740</v>
      </c>
      <c r="H569" s="1" t="s">
        <v>6741</v>
      </c>
      <c r="I569" s="1" t="s">
        <v>6742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6743</v>
      </c>
      <c r="AK569" s="1" t="s">
        <v>6744</v>
      </c>
      <c r="AL569" s="1">
        <v>13</v>
      </c>
      <c r="AM569" s="1" t="s">
        <v>4727</v>
      </c>
      <c r="AN569" s="1" t="s">
        <v>4872</v>
      </c>
      <c r="AO569" s="1" t="s">
        <v>6745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4500</v>
      </c>
      <c r="AX569" s="1" t="s">
        <v>5424</v>
      </c>
      <c r="AY569" s="1">
        <v>5</v>
      </c>
      <c r="AZ569" s="1">
        <v>3066</v>
      </c>
      <c r="BA569" s="1" t="s">
        <v>329</v>
      </c>
      <c r="BB569" s="1" t="s">
        <v>4899</v>
      </c>
      <c r="BC569" s="1" t="s">
        <v>4791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6891</v>
      </c>
      <c r="C570" s="247" t="s">
        <v>6892</v>
      </c>
      <c r="D570" s="1" t="s">
        <v>6892</v>
      </c>
      <c r="E570" s="1" t="s">
        <v>329</v>
      </c>
      <c r="F570" s="1" t="s">
        <v>329</v>
      </c>
      <c r="G570" s="1" t="s">
        <v>6893</v>
      </c>
      <c r="H570" s="1" t="s">
        <v>6894</v>
      </c>
      <c r="I570" s="1" t="s">
        <v>6895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6896</v>
      </c>
      <c r="AK570" s="1" t="s">
        <v>6897</v>
      </c>
      <c r="AL570" s="1">
        <v>18</v>
      </c>
      <c r="AM570" s="1" t="s">
        <v>1814</v>
      </c>
      <c r="AN570" s="1" t="s">
        <v>6898</v>
      </c>
      <c r="AO570" s="1" t="s">
        <v>6899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6900</v>
      </c>
      <c r="AX570" s="1" t="s">
        <v>4770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6901</v>
      </c>
      <c r="C571" s="247" t="s">
        <v>6902</v>
      </c>
      <c r="D571" s="1" t="s">
        <v>6902</v>
      </c>
      <c r="E571" s="1" t="s">
        <v>329</v>
      </c>
      <c r="F571" s="1" t="s">
        <v>329</v>
      </c>
      <c r="G571" s="1" t="s">
        <v>6903</v>
      </c>
      <c r="H571" s="1" t="s">
        <v>6904</v>
      </c>
      <c r="I571" s="1" t="s">
        <v>6905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6906</v>
      </c>
      <c r="AK571" s="1" t="s">
        <v>6907</v>
      </c>
      <c r="AL571" s="1">
        <v>14</v>
      </c>
      <c r="AM571" s="1" t="s">
        <v>1814</v>
      </c>
      <c r="AN571" s="1" t="s">
        <v>6908</v>
      </c>
      <c r="AO571" s="1" t="s">
        <v>6909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6900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6910</v>
      </c>
      <c r="C572" s="247" t="s">
        <v>6911</v>
      </c>
      <c r="D572" s="1" t="s">
        <v>6912</v>
      </c>
      <c r="E572" s="1" t="s">
        <v>329</v>
      </c>
      <c r="F572" s="1" t="s">
        <v>329</v>
      </c>
      <c r="G572" s="1" t="s">
        <v>6913</v>
      </c>
      <c r="H572" s="1" t="s">
        <v>6914</v>
      </c>
      <c r="I572" s="1" t="s">
        <v>6915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6916</v>
      </c>
      <c r="AK572" s="1" t="s">
        <v>6917</v>
      </c>
      <c r="AL572" s="1">
        <v>13</v>
      </c>
      <c r="AM572" s="1" t="s">
        <v>355</v>
      </c>
      <c r="AN572" s="1" t="s">
        <v>5392</v>
      </c>
      <c r="AO572" s="1" t="s">
        <v>5071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6900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6918</v>
      </c>
      <c r="C573" s="247" t="s">
        <v>6919</v>
      </c>
      <c r="D573" s="1" t="s">
        <v>6920</v>
      </c>
      <c r="E573" s="1" t="s">
        <v>329</v>
      </c>
      <c r="F573" s="1" t="s">
        <v>329</v>
      </c>
      <c r="G573" s="1" t="s">
        <v>6921</v>
      </c>
      <c r="H573" s="1" t="s">
        <v>6922</v>
      </c>
      <c r="I573" s="1" t="s">
        <v>6923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6924</v>
      </c>
      <c r="AK573" s="1" t="s">
        <v>329</v>
      </c>
      <c r="AL573" s="1">
        <v>13</v>
      </c>
      <c r="AM573" s="1" t="s">
        <v>355</v>
      </c>
      <c r="AN573" s="1" t="s">
        <v>5392</v>
      </c>
      <c r="AO573" s="1" t="s">
        <v>5071</v>
      </c>
      <c r="AP573" s="1">
        <v>0</v>
      </c>
      <c r="AQ573" s="1" t="s">
        <v>1137</v>
      </c>
      <c r="AR573" s="1" t="s">
        <v>4876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6900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6987</v>
      </c>
      <c r="C574" s="247" t="s">
        <v>6988</v>
      </c>
      <c r="D574" s="1" t="s">
        <v>6988</v>
      </c>
      <c r="E574" s="1" t="s">
        <v>329</v>
      </c>
      <c r="F574" s="1" t="s">
        <v>329</v>
      </c>
      <c r="G574" s="1" t="s">
        <v>6989</v>
      </c>
      <c r="H574" s="1" t="s">
        <v>6990</v>
      </c>
      <c r="I574" s="1" t="s">
        <v>6991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6992</v>
      </c>
      <c r="AK574" s="1" t="s">
        <v>6993</v>
      </c>
      <c r="AL574" s="1">
        <v>13</v>
      </c>
      <c r="AM574" s="1" t="s">
        <v>1814</v>
      </c>
      <c r="AN574" s="1" t="s">
        <v>6994</v>
      </c>
      <c r="AO574" s="1" t="s">
        <v>4759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6995</v>
      </c>
      <c r="AX574" s="1" t="s">
        <v>6996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6997</v>
      </c>
      <c r="C575" s="247" t="s">
        <v>6998</v>
      </c>
      <c r="D575" s="1" t="s">
        <v>6998</v>
      </c>
      <c r="E575" s="1" t="s">
        <v>329</v>
      </c>
      <c r="F575" s="1" t="s">
        <v>329</v>
      </c>
      <c r="G575" s="1" t="s">
        <v>6999</v>
      </c>
      <c r="H575" s="1" t="s">
        <v>7000</v>
      </c>
      <c r="I575" s="1" t="s">
        <v>7001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7002</v>
      </c>
      <c r="AK575" s="1" t="s">
        <v>329</v>
      </c>
      <c r="AL575" s="1">
        <v>12</v>
      </c>
      <c r="AM575" s="1" t="s">
        <v>1814</v>
      </c>
      <c r="AN575" s="1" t="s">
        <v>7003</v>
      </c>
      <c r="AO575" s="1" t="s">
        <v>4817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6995</v>
      </c>
      <c r="AX575" s="1" t="s">
        <v>6996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7004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7005</v>
      </c>
      <c r="H576" s="1" t="s">
        <v>7006</v>
      </c>
      <c r="I576" s="1" t="s">
        <v>7007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7008</v>
      </c>
      <c r="AK576" s="1" t="s">
        <v>7009</v>
      </c>
      <c r="AL576" s="1">
        <v>18</v>
      </c>
      <c r="AM576" s="1" t="s">
        <v>1814</v>
      </c>
      <c r="AN576" s="1" t="s">
        <v>7010</v>
      </c>
      <c r="AO576" s="1" t="s">
        <v>5027</v>
      </c>
      <c r="AP576" s="1">
        <v>0</v>
      </c>
      <c r="AQ576" s="1" t="s">
        <v>1147</v>
      </c>
      <c r="AR576" s="1" t="s">
        <v>4843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6995</v>
      </c>
      <c r="AX576" s="1" t="s">
        <v>7011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7012</v>
      </c>
      <c r="C577" s="247" t="s">
        <v>7013</v>
      </c>
      <c r="D577" s="1" t="s">
        <v>7013</v>
      </c>
      <c r="E577" s="1" t="s">
        <v>329</v>
      </c>
      <c r="F577" s="1" t="s">
        <v>329</v>
      </c>
      <c r="G577" s="1" t="s">
        <v>7014</v>
      </c>
      <c r="H577" s="1" t="s">
        <v>7015</v>
      </c>
      <c r="I577" s="1" t="s">
        <v>7016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7017</v>
      </c>
      <c r="AK577" s="1" t="s">
        <v>7018</v>
      </c>
      <c r="AL577" s="1">
        <v>19</v>
      </c>
      <c r="AM577" s="1" t="s">
        <v>1814</v>
      </c>
      <c r="AN577" s="1" t="s">
        <v>7019</v>
      </c>
      <c r="AO577" s="1" t="s">
        <v>5266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6995</v>
      </c>
      <c r="AX577" s="1" t="s">
        <v>7020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7021</v>
      </c>
      <c r="C578" s="247" t="s">
        <v>7022</v>
      </c>
      <c r="D578" s="1" t="s">
        <v>7022</v>
      </c>
      <c r="E578" s="1" t="s">
        <v>329</v>
      </c>
      <c r="F578" s="1" t="s">
        <v>329</v>
      </c>
      <c r="G578" s="1" t="s">
        <v>7023</v>
      </c>
      <c r="H578" s="1" t="s">
        <v>7024</v>
      </c>
      <c r="I578" s="1" t="s">
        <v>7025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7026</v>
      </c>
      <c r="AK578" s="1" t="s">
        <v>329</v>
      </c>
      <c r="AL578" s="1">
        <v>17</v>
      </c>
      <c r="AM578" s="1" t="s">
        <v>1814</v>
      </c>
      <c r="AN578" s="1" t="s">
        <v>7027</v>
      </c>
      <c r="AO578" s="1" t="s">
        <v>5266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6995</v>
      </c>
      <c r="AX578" s="1" t="s">
        <v>7020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7028</v>
      </c>
      <c r="C579" s="247" t="s">
        <v>7029</v>
      </c>
      <c r="D579" s="1" t="s">
        <v>7029</v>
      </c>
      <c r="E579" s="1" t="s">
        <v>329</v>
      </c>
      <c r="F579" s="1" t="s">
        <v>329</v>
      </c>
      <c r="G579" s="1" t="s">
        <v>7030</v>
      </c>
      <c r="H579" s="1" t="s">
        <v>7031</v>
      </c>
      <c r="I579" s="1" t="s">
        <v>7032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7033</v>
      </c>
      <c r="AK579" s="1" t="s">
        <v>7034</v>
      </c>
      <c r="AL579" s="1">
        <v>14</v>
      </c>
      <c r="AM579" s="1" t="s">
        <v>1814</v>
      </c>
      <c r="AN579" s="1" t="s">
        <v>7035</v>
      </c>
      <c r="AO579" s="1" t="s">
        <v>4993</v>
      </c>
      <c r="AP579" s="1">
        <v>0</v>
      </c>
      <c r="AQ579" s="1" t="s">
        <v>1174</v>
      </c>
      <c r="AR579" s="1" t="s">
        <v>4919</v>
      </c>
      <c r="AS579" s="1" t="s">
        <v>6985</v>
      </c>
      <c r="AT579" s="1" t="s">
        <v>329</v>
      </c>
      <c r="AU579" s="1">
        <v>1040</v>
      </c>
      <c r="AV579" s="1">
        <v>1</v>
      </c>
      <c r="AW579" s="1" t="s">
        <v>6995</v>
      </c>
      <c r="AX579" s="1" t="s">
        <v>6996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7036</v>
      </c>
      <c r="C580" s="247" t="s">
        <v>7037</v>
      </c>
      <c r="D580" s="1" t="s">
        <v>7037</v>
      </c>
      <c r="E580" s="1" t="s">
        <v>329</v>
      </c>
      <c r="F580" s="1" t="s">
        <v>329</v>
      </c>
      <c r="G580" s="1" t="s">
        <v>7038</v>
      </c>
      <c r="H580" s="1" t="s">
        <v>7039</v>
      </c>
      <c r="I580" s="1" t="s">
        <v>7040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7041</v>
      </c>
      <c r="AK580" s="1" t="s">
        <v>329</v>
      </c>
      <c r="AL580" s="1">
        <v>8</v>
      </c>
      <c r="AM580" s="1" t="s">
        <v>1814</v>
      </c>
      <c r="AN580" s="1" t="s">
        <v>7042</v>
      </c>
      <c r="AO580" s="1" t="s">
        <v>4950</v>
      </c>
      <c r="AP580" s="1">
        <v>0</v>
      </c>
      <c r="AQ580" s="1" t="s">
        <v>5075</v>
      </c>
      <c r="AR580" s="1" t="s">
        <v>1208</v>
      </c>
      <c r="AS580" s="1" t="s">
        <v>6986</v>
      </c>
      <c r="AT580" s="1" t="s">
        <v>329</v>
      </c>
      <c r="AU580" s="1">
        <v>1041</v>
      </c>
      <c r="AV580" s="1">
        <v>1</v>
      </c>
      <c r="AW580" s="1" t="s">
        <v>6995</v>
      </c>
      <c r="AX580" s="1" t="s">
        <v>7011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7043</v>
      </c>
      <c r="C581" s="247" t="s">
        <v>7102</v>
      </c>
      <c r="D581" s="1" t="s">
        <v>7037</v>
      </c>
      <c r="E581" s="1" t="s">
        <v>329</v>
      </c>
      <c r="F581" s="1" t="s">
        <v>329</v>
      </c>
      <c r="G581" s="1" t="s">
        <v>7044</v>
      </c>
      <c r="H581" s="1" t="s">
        <v>7045</v>
      </c>
      <c r="I581" s="1" t="s">
        <v>7046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7047</v>
      </c>
      <c r="AK581" s="1" t="s">
        <v>329</v>
      </c>
      <c r="AL581" s="1">
        <v>13</v>
      </c>
      <c r="AM581" s="1" t="s">
        <v>1814</v>
      </c>
      <c r="AN581" s="1" t="s">
        <v>4755</v>
      </c>
      <c r="AO581" s="1" t="s">
        <v>4752</v>
      </c>
      <c r="AP581" s="1">
        <v>0</v>
      </c>
      <c r="AQ581" s="1" t="s">
        <v>5863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5801</v>
      </c>
      <c r="AX581" s="1" t="s">
        <v>1814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7048</v>
      </c>
      <c r="C582" s="247" t="s">
        <v>7049</v>
      </c>
      <c r="D582" s="1" t="s">
        <v>7049</v>
      </c>
      <c r="E582" s="1" t="s">
        <v>329</v>
      </c>
      <c r="F582" s="1" t="s">
        <v>329</v>
      </c>
      <c r="G582" s="1" t="s">
        <v>7050</v>
      </c>
      <c r="H582" s="1" t="s">
        <v>7051</v>
      </c>
      <c r="I582" s="1" t="s">
        <v>7052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4798</v>
      </c>
      <c r="AN582" s="1" t="s">
        <v>4801</v>
      </c>
      <c r="AO582" s="1" t="s">
        <v>4810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5801</v>
      </c>
      <c r="AX582" s="1" t="s">
        <v>1814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7053</v>
      </c>
      <c r="C583" s="247" t="s">
        <v>7103</v>
      </c>
      <c r="D583" s="1" t="s">
        <v>6988</v>
      </c>
      <c r="E583" s="1" t="s">
        <v>329</v>
      </c>
      <c r="F583" s="1" t="s">
        <v>329</v>
      </c>
      <c r="G583" s="1" t="s">
        <v>7054</v>
      </c>
      <c r="H583" s="1" t="s">
        <v>7055</v>
      </c>
      <c r="I583" s="1" t="s">
        <v>7056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7057</v>
      </c>
      <c r="AK583" s="1" t="s">
        <v>329</v>
      </c>
      <c r="AL583" s="1">
        <v>17</v>
      </c>
      <c r="AM583" s="1" t="s">
        <v>1814</v>
      </c>
      <c r="AN583" s="1" t="s">
        <v>7058</v>
      </c>
      <c r="AO583" s="1" t="s">
        <v>4759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5801</v>
      </c>
      <c r="AX583" s="1" t="s">
        <v>1814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7059</v>
      </c>
      <c r="C584" s="247" t="s">
        <v>7104</v>
      </c>
      <c r="D584" s="1" t="s">
        <v>236</v>
      </c>
      <c r="E584" s="1" t="s">
        <v>329</v>
      </c>
      <c r="F584" s="1" t="s">
        <v>329</v>
      </c>
      <c r="G584" s="1" t="s">
        <v>7060</v>
      </c>
      <c r="H584" s="1" t="s">
        <v>7061</v>
      </c>
      <c r="I584" s="1" t="s">
        <v>7062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7063</v>
      </c>
      <c r="AK584" s="1" t="s">
        <v>329</v>
      </c>
      <c r="AL584" s="1">
        <v>19</v>
      </c>
      <c r="AM584" s="1" t="s">
        <v>1814</v>
      </c>
      <c r="AN584" s="1" t="s">
        <v>7064</v>
      </c>
      <c r="AO584" s="1" t="s">
        <v>5027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5801</v>
      </c>
      <c r="AX584" s="1" t="s">
        <v>1814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7065</v>
      </c>
      <c r="C585" s="247" t="s">
        <v>7066</v>
      </c>
      <c r="D585" s="1" t="s">
        <v>7066</v>
      </c>
      <c r="E585" s="1" t="s">
        <v>329</v>
      </c>
      <c r="F585" s="1" t="s">
        <v>329</v>
      </c>
      <c r="G585" s="1" t="s">
        <v>7067</v>
      </c>
      <c r="H585" s="1" t="s">
        <v>7068</v>
      </c>
      <c r="I585" s="1" t="s">
        <v>7069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1814</v>
      </c>
      <c r="AN585" s="1" t="s">
        <v>4755</v>
      </c>
      <c r="AO585" s="1" t="s">
        <v>4752</v>
      </c>
      <c r="AP585" s="1">
        <v>0</v>
      </c>
      <c r="AQ585" s="1" t="s">
        <v>5863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5801</v>
      </c>
      <c r="AX585" s="1" t="s">
        <v>1814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7124</v>
      </c>
      <c r="C586" s="247" t="s">
        <v>7125</v>
      </c>
      <c r="D586" s="1" t="s">
        <v>7125</v>
      </c>
      <c r="E586" s="1" t="s">
        <v>329</v>
      </c>
      <c r="F586" s="1" t="s">
        <v>329</v>
      </c>
      <c r="G586" s="1" t="s">
        <v>7126</v>
      </c>
      <c r="H586" s="1" t="s">
        <v>7127</v>
      </c>
      <c r="I586" s="1" t="s">
        <v>7128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1814</v>
      </c>
      <c r="AN586" s="1" t="s">
        <v>7129</v>
      </c>
      <c r="AO586" s="1" t="s">
        <v>5071</v>
      </c>
      <c r="AP586" s="1">
        <v>0</v>
      </c>
      <c r="AQ586" s="1" t="s">
        <v>1125</v>
      </c>
      <c r="AR586" s="1" t="s">
        <v>1126</v>
      </c>
      <c r="AS586" s="1" t="s">
        <v>1127</v>
      </c>
      <c r="AT586" s="1" t="s">
        <v>329</v>
      </c>
      <c r="AU586" s="1">
        <v>212</v>
      </c>
      <c r="AV586" s="1">
        <v>0</v>
      </c>
      <c r="AW586" s="1" t="s">
        <v>7130</v>
      </c>
      <c r="AX586" s="1" t="s">
        <v>4770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7131</v>
      </c>
      <c r="C587" s="247" t="s">
        <v>7132</v>
      </c>
      <c r="D587" s="1" t="s">
        <v>7132</v>
      </c>
      <c r="E587" s="1" t="s">
        <v>329</v>
      </c>
      <c r="F587" s="1" t="s">
        <v>329</v>
      </c>
      <c r="G587" s="1" t="s">
        <v>7133</v>
      </c>
      <c r="H587" s="1" t="s">
        <v>7134</v>
      </c>
      <c r="I587" s="1" t="s">
        <v>7135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7136</v>
      </c>
      <c r="AK587" s="1" t="s">
        <v>7137</v>
      </c>
      <c r="AL587" s="1">
        <v>13</v>
      </c>
      <c r="AM587" s="1" t="s">
        <v>4798</v>
      </c>
      <c r="AN587" s="1" t="s">
        <v>4803</v>
      </c>
      <c r="AO587" s="1" t="s">
        <v>5425</v>
      </c>
      <c r="AP587" s="1">
        <v>0</v>
      </c>
      <c r="AQ587" s="1" t="s">
        <v>1136</v>
      </c>
      <c r="AR587" s="1" t="s">
        <v>1126</v>
      </c>
      <c r="AS587" s="1" t="s">
        <v>1137</v>
      </c>
      <c r="AT587" s="1" t="s">
        <v>329</v>
      </c>
      <c r="AU587" s="1">
        <v>150</v>
      </c>
      <c r="AV587" s="1">
        <v>0</v>
      </c>
      <c r="AW587" s="1" t="s">
        <v>7130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7138</v>
      </c>
      <c r="C588" s="247" t="s">
        <v>7139</v>
      </c>
      <c r="D588" s="1" t="s">
        <v>7139</v>
      </c>
      <c r="E588" s="1" t="s">
        <v>329</v>
      </c>
      <c r="F588" s="1" t="s">
        <v>329</v>
      </c>
      <c r="G588" s="1" t="s">
        <v>7140</v>
      </c>
      <c r="H588" s="1" t="s">
        <v>7141</v>
      </c>
      <c r="I588" s="1" t="s">
        <v>7142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7143</v>
      </c>
      <c r="AK588" s="1" t="s">
        <v>329</v>
      </c>
      <c r="AL588" s="1">
        <v>17</v>
      </c>
      <c r="AM588" s="1" t="s">
        <v>4770</v>
      </c>
      <c r="AN588" s="1" t="s">
        <v>7144</v>
      </c>
      <c r="AO588" s="1" t="s">
        <v>4853</v>
      </c>
      <c r="AP588" s="1">
        <v>0</v>
      </c>
      <c r="AQ588" s="1" t="s">
        <v>1147</v>
      </c>
      <c r="AR588" s="1" t="s">
        <v>1148</v>
      </c>
      <c r="AS588" s="1" t="s">
        <v>1149</v>
      </c>
      <c r="AT588" s="1" t="s">
        <v>329</v>
      </c>
      <c r="AU588" s="1">
        <v>241</v>
      </c>
      <c r="AV588" s="1">
        <v>0</v>
      </c>
      <c r="AW588" s="1" t="s">
        <v>7130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4728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7145</v>
      </c>
      <c r="C589" s="247" t="s">
        <v>7146</v>
      </c>
      <c r="D589" s="1" t="s">
        <v>7146</v>
      </c>
      <c r="E589" s="1" t="s">
        <v>329</v>
      </c>
      <c r="F589" s="1" t="s">
        <v>329</v>
      </c>
      <c r="G589" s="1" t="s">
        <v>7147</v>
      </c>
      <c r="H589" s="1" t="s">
        <v>7148</v>
      </c>
      <c r="I589" s="1" t="s">
        <v>7149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7150</v>
      </c>
      <c r="AK589" s="1" t="s">
        <v>7151</v>
      </c>
      <c r="AL589" s="1">
        <v>12</v>
      </c>
      <c r="AM589" s="1" t="s">
        <v>399</v>
      </c>
      <c r="AN589" s="1" t="s">
        <v>7152</v>
      </c>
      <c r="AO589" s="1" t="s">
        <v>5006</v>
      </c>
      <c r="AP589" s="1">
        <v>0</v>
      </c>
      <c r="AQ589" s="1" t="s">
        <v>1137</v>
      </c>
      <c r="AR589" s="1" t="s">
        <v>1161</v>
      </c>
      <c r="AS589" s="1" t="s">
        <v>1136</v>
      </c>
      <c r="AT589" s="1" t="s">
        <v>329</v>
      </c>
      <c r="AU589" s="1">
        <v>48</v>
      </c>
      <c r="AV589" s="1">
        <v>0</v>
      </c>
      <c r="AW589" s="1" t="s">
        <v>7130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7160</v>
      </c>
      <c r="C590" s="248" t="s">
        <v>7161</v>
      </c>
      <c r="D590" t="s">
        <v>7161</v>
      </c>
      <c r="E590" t="s">
        <v>7153</v>
      </c>
      <c r="F590" t="s">
        <v>7154</v>
      </c>
      <c r="G590" t="s">
        <v>7162</v>
      </c>
      <c r="H590" t="s">
        <v>7163</v>
      </c>
      <c r="I590" t="s">
        <v>7164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7165</v>
      </c>
      <c r="AK590" t="s">
        <v>329</v>
      </c>
      <c r="AL590">
        <v>19</v>
      </c>
      <c r="AM590" t="s">
        <v>4866</v>
      </c>
      <c r="AN590" t="s">
        <v>5212</v>
      </c>
      <c r="AO590" t="s">
        <v>7166</v>
      </c>
      <c r="AP590">
        <v>0</v>
      </c>
      <c r="AQ590" t="s">
        <v>1174</v>
      </c>
      <c r="AR590" t="s">
        <v>4919</v>
      </c>
      <c r="AS590" t="s">
        <v>7155</v>
      </c>
      <c r="AT590" t="s">
        <v>329</v>
      </c>
      <c r="AU590">
        <v>80</v>
      </c>
      <c r="AV590">
        <v>0</v>
      </c>
      <c r="AW590" t="s">
        <v>4500</v>
      </c>
      <c r="AX590" t="s">
        <v>5424</v>
      </c>
      <c r="AY590">
        <v>4</v>
      </c>
      <c r="AZ590">
        <v>3080</v>
      </c>
      <c r="BA590" t="s">
        <v>329</v>
      </c>
      <c r="BB590" t="s">
        <v>4933</v>
      </c>
      <c r="BC590" t="s">
        <v>4728</v>
      </c>
      <c r="BD590">
        <v>0</v>
      </c>
      <c r="BE590">
        <v>0</v>
      </c>
    </row>
    <row r="591" spans="1:57" x14ac:dyDescent="0.25">
      <c r="A591">
        <v>20212</v>
      </c>
      <c r="B591" t="s">
        <v>7167</v>
      </c>
      <c r="C591" s="248" t="s">
        <v>7168</v>
      </c>
      <c r="D591" t="s">
        <v>7168</v>
      </c>
      <c r="E591" t="s">
        <v>7156</v>
      </c>
      <c r="F591" t="s">
        <v>7157</v>
      </c>
      <c r="G591" t="s">
        <v>7169</v>
      </c>
      <c r="H591" t="s">
        <v>7170</v>
      </c>
      <c r="I591" t="s">
        <v>7171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7172</v>
      </c>
      <c r="AL591">
        <v>13</v>
      </c>
      <c r="AM591" t="s">
        <v>1814</v>
      </c>
      <c r="AN591" t="s">
        <v>5169</v>
      </c>
      <c r="AO591" t="s">
        <v>5362</v>
      </c>
      <c r="AP591">
        <v>0</v>
      </c>
      <c r="AQ591" t="s">
        <v>1125</v>
      </c>
      <c r="AR591" t="s">
        <v>1126</v>
      </c>
      <c r="AS591" t="s">
        <v>4769</v>
      </c>
      <c r="AT591" t="s">
        <v>329</v>
      </c>
      <c r="AU591">
        <v>212</v>
      </c>
      <c r="AV591">
        <v>0</v>
      </c>
      <c r="AW591" t="s">
        <v>5170</v>
      </c>
      <c r="AX591" t="s">
        <v>5424</v>
      </c>
      <c r="AY591">
        <v>5</v>
      </c>
      <c r="AZ591">
        <v>3212</v>
      </c>
      <c r="BA591" t="s">
        <v>329</v>
      </c>
      <c r="BB591" t="s">
        <v>5171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7173</v>
      </c>
      <c r="C592" s="248" t="s">
        <v>7212</v>
      </c>
      <c r="D592" t="s">
        <v>7174</v>
      </c>
      <c r="E592" t="s">
        <v>7158</v>
      </c>
      <c r="F592" t="s">
        <v>7159</v>
      </c>
      <c r="G592" t="s">
        <v>7175</v>
      </c>
      <c r="H592" t="s">
        <v>7176</v>
      </c>
      <c r="I592" t="s">
        <v>7177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7178</v>
      </c>
      <c r="AK592" t="s">
        <v>7179</v>
      </c>
      <c r="AL592">
        <v>14</v>
      </c>
      <c r="AM592" t="s">
        <v>4798</v>
      </c>
      <c r="AN592" t="s">
        <v>7180</v>
      </c>
      <c r="AO592" t="s">
        <v>7181</v>
      </c>
      <c r="AP592">
        <v>0</v>
      </c>
      <c r="AQ592" t="s">
        <v>1136</v>
      </c>
      <c r="AR592" t="s">
        <v>1750</v>
      </c>
      <c r="AS592" t="s">
        <v>1752</v>
      </c>
      <c r="AT592" t="s">
        <v>329</v>
      </c>
      <c r="AU592">
        <v>228</v>
      </c>
      <c r="AV592">
        <v>0</v>
      </c>
      <c r="AW592" t="s">
        <v>5197</v>
      </c>
      <c r="AX592" t="s">
        <v>5424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7182</v>
      </c>
      <c r="C593" s="248" t="s">
        <v>7183</v>
      </c>
      <c r="D593" t="s">
        <v>7183</v>
      </c>
      <c r="E593" t="s">
        <v>329</v>
      </c>
      <c r="F593" t="s">
        <v>329</v>
      </c>
      <c r="G593" t="s">
        <v>7184</v>
      </c>
      <c r="H593" t="s">
        <v>7185</v>
      </c>
      <c r="I593" t="s">
        <v>7186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1303</v>
      </c>
      <c r="AK593" t="s">
        <v>7187</v>
      </c>
      <c r="AL593">
        <v>8</v>
      </c>
      <c r="AM593" t="s">
        <v>336</v>
      </c>
      <c r="AN593" t="s">
        <v>4736</v>
      </c>
      <c r="AO593" t="s">
        <v>7188</v>
      </c>
      <c r="AP593">
        <v>0</v>
      </c>
      <c r="AQ593" t="s">
        <v>5075</v>
      </c>
      <c r="AR593" t="s">
        <v>1208</v>
      </c>
      <c r="AS593" t="s">
        <v>6986</v>
      </c>
      <c r="AT593" t="s">
        <v>329</v>
      </c>
      <c r="AU593">
        <v>164</v>
      </c>
      <c r="AV593">
        <v>0</v>
      </c>
      <c r="AW593" t="s">
        <v>5273</v>
      </c>
      <c r="AX593" t="s">
        <v>5424</v>
      </c>
      <c r="AY593">
        <v>6</v>
      </c>
      <c r="AZ593">
        <v>3282</v>
      </c>
      <c r="BA593" t="s">
        <v>329</v>
      </c>
      <c r="BB593" t="s">
        <v>329</v>
      </c>
      <c r="BC593" t="s">
        <v>4728</v>
      </c>
      <c r="BD593">
        <v>0</v>
      </c>
      <c r="BE593">
        <v>0</v>
      </c>
    </row>
    <row r="594" spans="1:57" x14ac:dyDescent="0.25">
      <c r="A594">
        <v>383</v>
      </c>
      <c r="B594" t="s">
        <v>7213</v>
      </c>
      <c r="C594" s="248" t="s">
        <v>7214</v>
      </c>
      <c r="D594" t="s">
        <v>7214</v>
      </c>
      <c r="E594" t="s">
        <v>329</v>
      </c>
      <c r="F594" t="s">
        <v>329</v>
      </c>
      <c r="G594" t="s">
        <v>7215</v>
      </c>
      <c r="H594" t="s">
        <v>7216</v>
      </c>
      <c r="I594" t="s">
        <v>7217</v>
      </c>
      <c r="J594">
        <v>1</v>
      </c>
      <c r="K594">
        <v>4</v>
      </c>
      <c r="L594">
        <v>3240</v>
      </c>
      <c r="M594">
        <v>10</v>
      </c>
      <c r="N594">
        <v>10</v>
      </c>
      <c r="O594">
        <v>5</v>
      </c>
      <c r="P594">
        <v>5</v>
      </c>
      <c r="Q594">
        <v>2</v>
      </c>
      <c r="R594">
        <v>2</v>
      </c>
      <c r="S594">
        <v>2</v>
      </c>
      <c r="T594">
        <v>0</v>
      </c>
      <c r="U594">
        <v>110</v>
      </c>
      <c r="V594">
        <v>105</v>
      </c>
      <c r="W594">
        <v>116</v>
      </c>
      <c r="X594">
        <v>100</v>
      </c>
      <c r="Y594">
        <v>112</v>
      </c>
      <c r="Z594">
        <v>110</v>
      </c>
      <c r="AA594">
        <v>0</v>
      </c>
      <c r="AB594">
        <v>15</v>
      </c>
      <c r="AC594">
        <v>20</v>
      </c>
      <c r="AD594">
        <v>0</v>
      </c>
      <c r="AE594">
        <v>116</v>
      </c>
      <c r="AF594">
        <v>100</v>
      </c>
      <c r="AG594">
        <v>750755</v>
      </c>
      <c r="AH594">
        <v>0</v>
      </c>
      <c r="AI594">
        <v>300101</v>
      </c>
      <c r="AJ594" t="s">
        <v>7218</v>
      </c>
      <c r="AK594" t="s">
        <v>329</v>
      </c>
      <c r="AL594">
        <v>13</v>
      </c>
      <c r="AM594" t="s">
        <v>1814</v>
      </c>
      <c r="AN594" t="s">
        <v>5406</v>
      </c>
      <c r="AO594" t="s">
        <v>7219</v>
      </c>
      <c r="AP594">
        <v>0</v>
      </c>
      <c r="AQ594" t="s">
        <v>1125</v>
      </c>
      <c r="AR594" t="s">
        <v>1126</v>
      </c>
      <c r="AS594" t="s">
        <v>1127</v>
      </c>
      <c r="AT594" t="s">
        <v>329</v>
      </c>
      <c r="AU594">
        <v>212</v>
      </c>
      <c r="AV594">
        <v>0</v>
      </c>
      <c r="AW594" t="s">
        <v>7220</v>
      </c>
      <c r="AX594" t="s">
        <v>7221</v>
      </c>
      <c r="AY594">
        <v>4</v>
      </c>
      <c r="AZ594">
        <v>0</v>
      </c>
      <c r="BA594" t="s">
        <v>329</v>
      </c>
      <c r="BB594" t="s">
        <v>329</v>
      </c>
      <c r="BC594" t="s">
        <v>4777</v>
      </c>
      <c r="BD594">
        <v>10703</v>
      </c>
      <c r="BE594">
        <v>0</v>
      </c>
    </row>
    <row r="595" spans="1:57" x14ac:dyDescent="0.25">
      <c r="A595">
        <v>384</v>
      </c>
      <c r="B595" t="s">
        <v>7222</v>
      </c>
      <c r="C595" s="248" t="s">
        <v>7223</v>
      </c>
      <c r="D595" t="s">
        <v>7223</v>
      </c>
      <c r="E595" t="s">
        <v>329</v>
      </c>
      <c r="F595" t="s">
        <v>329</v>
      </c>
      <c r="G595" t="s">
        <v>7224</v>
      </c>
      <c r="H595" t="s">
        <v>7225</v>
      </c>
      <c r="I595" t="s">
        <v>7226</v>
      </c>
      <c r="J595">
        <v>2</v>
      </c>
      <c r="K595">
        <v>5</v>
      </c>
      <c r="L595">
        <v>9300</v>
      </c>
      <c r="M595">
        <v>25</v>
      </c>
      <c r="N595">
        <v>20</v>
      </c>
      <c r="O595">
        <v>15</v>
      </c>
      <c r="P595">
        <v>10</v>
      </c>
      <c r="Q595">
        <v>5</v>
      </c>
      <c r="R595">
        <v>5</v>
      </c>
      <c r="S595">
        <v>2</v>
      </c>
      <c r="T595">
        <v>0</v>
      </c>
      <c r="U595">
        <v>130</v>
      </c>
      <c r="V595">
        <v>95</v>
      </c>
      <c r="W595">
        <v>110</v>
      </c>
      <c r="X595">
        <v>100</v>
      </c>
      <c r="Y595">
        <v>105</v>
      </c>
      <c r="Z595">
        <v>120</v>
      </c>
      <c r="AA595">
        <v>0</v>
      </c>
      <c r="AB595">
        <v>15</v>
      </c>
      <c r="AC595">
        <v>5</v>
      </c>
      <c r="AD595">
        <v>0</v>
      </c>
      <c r="AE595">
        <v>115</v>
      </c>
      <c r="AF595">
        <v>100</v>
      </c>
      <c r="AG595">
        <v>750754</v>
      </c>
      <c r="AH595">
        <v>0</v>
      </c>
      <c r="AI595">
        <v>750757</v>
      </c>
      <c r="AJ595" t="s">
        <v>7227</v>
      </c>
      <c r="AK595" t="s">
        <v>7228</v>
      </c>
      <c r="AL595">
        <v>13</v>
      </c>
      <c r="AM595" t="s">
        <v>4798</v>
      </c>
      <c r="AN595" t="s">
        <v>389</v>
      </c>
      <c r="AO595" t="s">
        <v>5038</v>
      </c>
      <c r="AP595">
        <v>0</v>
      </c>
      <c r="AQ595" t="s">
        <v>1136</v>
      </c>
      <c r="AR595" t="s">
        <v>1126</v>
      </c>
      <c r="AS595" t="s">
        <v>1137</v>
      </c>
      <c r="AT595" t="s">
        <v>329</v>
      </c>
      <c r="AU595">
        <v>150</v>
      </c>
      <c r="AV595">
        <v>0</v>
      </c>
      <c r="AW595" t="s">
        <v>7220</v>
      </c>
      <c r="AX595" t="s">
        <v>7229</v>
      </c>
      <c r="AY595">
        <v>5</v>
      </c>
      <c r="AZ595">
        <v>0</v>
      </c>
      <c r="BA595" t="s">
        <v>329</v>
      </c>
      <c r="BB595" t="s">
        <v>329</v>
      </c>
      <c r="BC595" t="s">
        <v>329</v>
      </c>
      <c r="BD595">
        <v>10702</v>
      </c>
      <c r="BE595">
        <v>0</v>
      </c>
    </row>
    <row r="596" spans="1:57" x14ac:dyDescent="0.25">
      <c r="A596">
        <v>385</v>
      </c>
      <c r="B596" t="s">
        <v>7230</v>
      </c>
      <c r="C596" s="248" t="s">
        <v>7231</v>
      </c>
      <c r="D596" t="s">
        <v>7231</v>
      </c>
      <c r="E596" t="s">
        <v>329</v>
      </c>
      <c r="F596" t="s">
        <v>329</v>
      </c>
      <c r="G596" t="s">
        <v>7232</v>
      </c>
      <c r="H596" t="s">
        <v>7233</v>
      </c>
      <c r="I596" t="s">
        <v>7234</v>
      </c>
      <c r="J596">
        <v>4</v>
      </c>
      <c r="K596">
        <v>5</v>
      </c>
      <c r="L596">
        <v>13800</v>
      </c>
      <c r="M596">
        <v>20</v>
      </c>
      <c r="N596">
        <v>20</v>
      </c>
      <c r="O596">
        <v>10</v>
      </c>
      <c r="P596">
        <v>10</v>
      </c>
      <c r="Q596">
        <v>2</v>
      </c>
      <c r="R596">
        <v>5</v>
      </c>
      <c r="S596">
        <v>5</v>
      </c>
      <c r="T596">
        <v>0</v>
      </c>
      <c r="U596">
        <v>115</v>
      </c>
      <c r="V596">
        <v>120</v>
      </c>
      <c r="W596">
        <v>80</v>
      </c>
      <c r="X596">
        <v>100</v>
      </c>
      <c r="Y596">
        <v>130</v>
      </c>
      <c r="Z596">
        <v>116</v>
      </c>
      <c r="AA596">
        <v>0</v>
      </c>
      <c r="AB596">
        <v>15</v>
      </c>
      <c r="AC596">
        <v>20</v>
      </c>
      <c r="AD596">
        <v>0</v>
      </c>
      <c r="AE596">
        <v>125</v>
      </c>
      <c r="AF596">
        <v>100</v>
      </c>
      <c r="AG596">
        <v>121501</v>
      </c>
      <c r="AH596">
        <v>0</v>
      </c>
      <c r="AI596">
        <v>121503</v>
      </c>
      <c r="AJ596" t="s">
        <v>7235</v>
      </c>
      <c r="AK596" t="s">
        <v>7236</v>
      </c>
      <c r="AL596">
        <v>12</v>
      </c>
      <c r="AM596" t="s">
        <v>4727</v>
      </c>
      <c r="AN596" t="s">
        <v>5196</v>
      </c>
      <c r="AO596" t="s">
        <v>5098</v>
      </c>
      <c r="AP596">
        <v>0</v>
      </c>
      <c r="AQ596" t="s">
        <v>1137</v>
      </c>
      <c r="AR596" t="s">
        <v>1161</v>
      </c>
      <c r="AS596" t="s">
        <v>1136</v>
      </c>
      <c r="AT596" t="s">
        <v>329</v>
      </c>
      <c r="AU596">
        <v>48</v>
      </c>
      <c r="AV596">
        <v>0</v>
      </c>
      <c r="AW596" t="s">
        <v>7220</v>
      </c>
      <c r="AX596" t="s">
        <v>7237</v>
      </c>
      <c r="AY596">
        <v>5</v>
      </c>
      <c r="AZ596">
        <v>0</v>
      </c>
      <c r="BA596" t="s">
        <v>329</v>
      </c>
      <c r="BB596" t="s">
        <v>329</v>
      </c>
      <c r="BC596" t="s">
        <v>4777</v>
      </c>
      <c r="BD596">
        <v>10402</v>
      </c>
      <c r="BE596">
        <v>0</v>
      </c>
    </row>
    <row r="597" spans="1:57" x14ac:dyDescent="0.25">
      <c r="A597">
        <v>386</v>
      </c>
      <c r="B597" t="s">
        <v>7238</v>
      </c>
      <c r="C597" s="248" t="s">
        <v>7239</v>
      </c>
      <c r="D597" t="s">
        <v>7239</v>
      </c>
      <c r="E597" t="s">
        <v>329</v>
      </c>
      <c r="F597" t="s">
        <v>329</v>
      </c>
      <c r="G597" t="s">
        <v>7240</v>
      </c>
      <c r="H597" t="s">
        <v>7241</v>
      </c>
      <c r="I597" t="s">
        <v>7242</v>
      </c>
      <c r="J597">
        <v>5</v>
      </c>
      <c r="K597">
        <v>5</v>
      </c>
      <c r="L597">
        <v>22560</v>
      </c>
      <c r="M597">
        <v>40</v>
      </c>
      <c r="N597">
        <v>30</v>
      </c>
      <c r="O597">
        <v>25</v>
      </c>
      <c r="P597">
        <v>15</v>
      </c>
      <c r="Q597">
        <v>5</v>
      </c>
      <c r="R597">
        <v>5</v>
      </c>
      <c r="S597">
        <v>2</v>
      </c>
      <c r="T597">
        <v>5</v>
      </c>
      <c r="U597">
        <v>115</v>
      </c>
      <c r="V597">
        <v>95</v>
      </c>
      <c r="W597">
        <v>120</v>
      </c>
      <c r="X597">
        <v>100</v>
      </c>
      <c r="Y597">
        <v>130</v>
      </c>
      <c r="Z597">
        <v>115</v>
      </c>
      <c r="AA597">
        <v>0</v>
      </c>
      <c r="AB597">
        <v>15</v>
      </c>
      <c r="AC597">
        <v>5</v>
      </c>
      <c r="AD597">
        <v>10</v>
      </c>
      <c r="AE597">
        <v>130</v>
      </c>
      <c r="AF597">
        <v>100</v>
      </c>
      <c r="AG597">
        <v>121401</v>
      </c>
      <c r="AH597">
        <v>0</v>
      </c>
      <c r="AI597">
        <v>121402</v>
      </c>
      <c r="AJ597" t="s">
        <v>7243</v>
      </c>
      <c r="AK597" t="s">
        <v>329</v>
      </c>
      <c r="AL597">
        <v>17</v>
      </c>
      <c r="AM597" t="s">
        <v>4866</v>
      </c>
      <c r="AN597" t="s">
        <v>7244</v>
      </c>
      <c r="AO597" t="s">
        <v>5163</v>
      </c>
      <c r="AP597">
        <v>0</v>
      </c>
      <c r="AQ597" t="s">
        <v>7245</v>
      </c>
      <c r="AR597" t="s">
        <v>5967</v>
      </c>
      <c r="AS597" t="s">
        <v>7246</v>
      </c>
      <c r="AT597" t="s">
        <v>329</v>
      </c>
      <c r="AU597">
        <v>238</v>
      </c>
      <c r="AV597">
        <v>0</v>
      </c>
      <c r="AW597" t="s">
        <v>7220</v>
      </c>
      <c r="AX597" t="s">
        <v>7237</v>
      </c>
      <c r="AY597">
        <v>5</v>
      </c>
      <c r="AZ597">
        <v>0</v>
      </c>
      <c r="BA597" t="s">
        <v>329</v>
      </c>
      <c r="BB597" t="s">
        <v>329</v>
      </c>
      <c r="BC597" t="s">
        <v>4728</v>
      </c>
      <c r="BD597">
        <v>10202</v>
      </c>
      <c r="BE597">
        <v>0</v>
      </c>
    </row>
    <row r="598" spans="1:57" x14ac:dyDescent="0.25">
      <c r="A598">
        <v>387</v>
      </c>
      <c r="B598" t="s">
        <v>7247</v>
      </c>
      <c r="C598" s="248" t="s">
        <v>7248</v>
      </c>
      <c r="D598" t="s">
        <v>7248</v>
      </c>
      <c r="E598" t="s">
        <v>329</v>
      </c>
      <c r="F598" t="s">
        <v>329</v>
      </c>
      <c r="G598" t="s">
        <v>7249</v>
      </c>
      <c r="H598" t="s">
        <v>7250</v>
      </c>
      <c r="I598" t="s">
        <v>7251</v>
      </c>
      <c r="J598">
        <v>6</v>
      </c>
      <c r="K598">
        <v>5</v>
      </c>
      <c r="L598">
        <v>29160</v>
      </c>
      <c r="M598">
        <v>30</v>
      </c>
      <c r="N598">
        <v>40</v>
      </c>
      <c r="O598">
        <v>15</v>
      </c>
      <c r="P598">
        <v>25</v>
      </c>
      <c r="Q598">
        <v>5</v>
      </c>
      <c r="R598">
        <v>2</v>
      </c>
      <c r="S598">
        <v>5</v>
      </c>
      <c r="T598">
        <v>5</v>
      </c>
      <c r="U598">
        <v>115</v>
      </c>
      <c r="V598">
        <v>95</v>
      </c>
      <c r="W598">
        <v>125</v>
      </c>
      <c r="X598">
        <v>100</v>
      </c>
      <c r="Y598">
        <v>130</v>
      </c>
      <c r="Z598">
        <v>120</v>
      </c>
      <c r="AA598">
        <v>125</v>
      </c>
      <c r="AB598">
        <v>15</v>
      </c>
      <c r="AC598">
        <v>40</v>
      </c>
      <c r="AD598">
        <v>6</v>
      </c>
      <c r="AE598">
        <v>110</v>
      </c>
      <c r="AF598">
        <v>100</v>
      </c>
      <c r="AG598">
        <v>750756</v>
      </c>
      <c r="AH598">
        <v>0</v>
      </c>
      <c r="AI598">
        <v>300106</v>
      </c>
      <c r="AJ598" t="s">
        <v>7252</v>
      </c>
      <c r="AK598" t="s">
        <v>7253</v>
      </c>
      <c r="AL598">
        <v>7</v>
      </c>
      <c r="AM598" t="s">
        <v>388</v>
      </c>
      <c r="AN598" t="s">
        <v>7254</v>
      </c>
      <c r="AO598" t="s">
        <v>4918</v>
      </c>
      <c r="AP598">
        <v>0</v>
      </c>
      <c r="AQ598" t="s">
        <v>1207</v>
      </c>
      <c r="AR598" t="s">
        <v>1208</v>
      </c>
      <c r="AS598" t="s">
        <v>6986</v>
      </c>
      <c r="AT598" t="s">
        <v>329</v>
      </c>
      <c r="AU598">
        <v>229</v>
      </c>
      <c r="AV598">
        <v>0</v>
      </c>
      <c r="AW598" t="s">
        <v>7220</v>
      </c>
      <c r="AX598" t="s">
        <v>7221</v>
      </c>
      <c r="AY598">
        <v>5</v>
      </c>
      <c r="AZ598">
        <v>0</v>
      </c>
      <c r="BA598" t="s">
        <v>329</v>
      </c>
      <c r="BB598" t="s">
        <v>329</v>
      </c>
      <c r="BC598" t="s">
        <v>4861</v>
      </c>
      <c r="BD598">
        <v>10802</v>
      </c>
      <c r="BE598">
        <v>0</v>
      </c>
    </row>
    <row r="599" spans="1:57" x14ac:dyDescent="0.25">
      <c r="A599">
        <v>9110</v>
      </c>
      <c r="B599" t="s">
        <v>7255</v>
      </c>
      <c r="C599" s="248" t="s">
        <v>6132</v>
      </c>
      <c r="D599" t="s">
        <v>6132</v>
      </c>
      <c r="E599" t="s">
        <v>329</v>
      </c>
      <c r="F599" t="s">
        <v>329</v>
      </c>
      <c r="G599" t="s">
        <v>7256</v>
      </c>
      <c r="H599" t="s">
        <v>7257</v>
      </c>
      <c r="I599" t="s">
        <v>7258</v>
      </c>
      <c r="J599">
        <v>2</v>
      </c>
      <c r="K599">
        <v>5</v>
      </c>
      <c r="L599">
        <v>9300</v>
      </c>
      <c r="M599">
        <v>20</v>
      </c>
      <c r="N599">
        <v>20</v>
      </c>
      <c r="O599">
        <v>10</v>
      </c>
      <c r="P599">
        <v>10</v>
      </c>
      <c r="Q599">
        <v>2</v>
      </c>
      <c r="R599">
        <v>5</v>
      </c>
      <c r="S599">
        <v>5</v>
      </c>
      <c r="T599">
        <v>0</v>
      </c>
      <c r="U599">
        <v>1200</v>
      </c>
      <c r="V599">
        <v>120</v>
      </c>
      <c r="W599">
        <v>112</v>
      </c>
      <c r="X599">
        <v>60</v>
      </c>
      <c r="Y599">
        <v>120</v>
      </c>
      <c r="Z599">
        <v>98</v>
      </c>
      <c r="AA599">
        <v>0</v>
      </c>
      <c r="AB599">
        <v>15</v>
      </c>
      <c r="AC599">
        <v>20</v>
      </c>
      <c r="AD599">
        <v>0</v>
      </c>
      <c r="AE599">
        <v>100</v>
      </c>
      <c r="AF599">
        <v>999</v>
      </c>
      <c r="AG599">
        <v>100107</v>
      </c>
      <c r="AH599">
        <v>0</v>
      </c>
      <c r="AI599">
        <v>755307</v>
      </c>
      <c r="AJ599" t="s">
        <v>329</v>
      </c>
      <c r="AK599" t="s">
        <v>329</v>
      </c>
      <c r="AL599">
        <v>13</v>
      </c>
      <c r="AM599" t="s">
        <v>4798</v>
      </c>
      <c r="AN599" t="s">
        <v>4801</v>
      </c>
      <c r="AO599" t="s">
        <v>4810</v>
      </c>
      <c r="AP599">
        <v>0</v>
      </c>
      <c r="AQ599" t="s">
        <v>1136</v>
      </c>
      <c r="AR599" t="s">
        <v>1126</v>
      </c>
      <c r="AS599" t="s">
        <v>1137</v>
      </c>
      <c r="AT599" t="s">
        <v>329</v>
      </c>
      <c r="AU599">
        <v>20</v>
      </c>
      <c r="AV599">
        <v>0</v>
      </c>
      <c r="AW599" t="s">
        <v>5801</v>
      </c>
      <c r="AX599" t="s">
        <v>1814</v>
      </c>
      <c r="AY599">
        <v>5</v>
      </c>
      <c r="AZ599">
        <v>0</v>
      </c>
      <c r="BA599" t="s">
        <v>329</v>
      </c>
      <c r="BB599" t="s">
        <v>329</v>
      </c>
      <c r="BC599" t="s">
        <v>329</v>
      </c>
      <c r="BD599">
        <v>0</v>
      </c>
      <c r="BE599">
        <v>0</v>
      </c>
    </row>
    <row r="600" spans="1:57" x14ac:dyDescent="0.25">
      <c r="A600">
        <v>9111</v>
      </c>
      <c r="B600" t="s">
        <v>7259</v>
      </c>
      <c r="C600" s="248" t="s">
        <v>7260</v>
      </c>
      <c r="D600" t="s">
        <v>7261</v>
      </c>
      <c r="E600" t="s">
        <v>329</v>
      </c>
      <c r="F600" t="s">
        <v>329</v>
      </c>
      <c r="G600" t="s">
        <v>7262</v>
      </c>
      <c r="H600" t="s">
        <v>7263</v>
      </c>
      <c r="I600" t="s">
        <v>7264</v>
      </c>
      <c r="J600">
        <v>2</v>
      </c>
      <c r="K600">
        <v>5</v>
      </c>
      <c r="L600">
        <v>9300</v>
      </c>
      <c r="M600">
        <v>20</v>
      </c>
      <c r="N600">
        <v>20</v>
      </c>
      <c r="O600">
        <v>10</v>
      </c>
      <c r="P600">
        <v>10</v>
      </c>
      <c r="Q600">
        <v>2</v>
      </c>
      <c r="R600">
        <v>5</v>
      </c>
      <c r="S600">
        <v>5</v>
      </c>
      <c r="T600">
        <v>0</v>
      </c>
      <c r="U600">
        <v>800</v>
      </c>
      <c r="V600">
        <v>120</v>
      </c>
      <c r="W600">
        <v>112</v>
      </c>
      <c r="X600">
        <v>60</v>
      </c>
      <c r="Y600">
        <v>250</v>
      </c>
      <c r="Z600">
        <v>60</v>
      </c>
      <c r="AA600">
        <v>0</v>
      </c>
      <c r="AB600">
        <v>0</v>
      </c>
      <c r="AC600">
        <v>0</v>
      </c>
      <c r="AD600">
        <v>0</v>
      </c>
      <c r="AE600">
        <v>100</v>
      </c>
      <c r="AF600">
        <v>100</v>
      </c>
      <c r="AG600">
        <v>100107</v>
      </c>
      <c r="AH600">
        <v>0</v>
      </c>
      <c r="AI600">
        <v>300103</v>
      </c>
      <c r="AJ600" t="s">
        <v>329</v>
      </c>
      <c r="AK600" t="s">
        <v>329</v>
      </c>
      <c r="AL600">
        <v>13</v>
      </c>
      <c r="AM600" t="s">
        <v>4798</v>
      </c>
      <c r="AN600" t="s">
        <v>4801</v>
      </c>
      <c r="AO600" t="s">
        <v>4810</v>
      </c>
      <c r="AP600">
        <v>0</v>
      </c>
      <c r="AQ600" t="s">
        <v>1136</v>
      </c>
      <c r="AR600" t="s">
        <v>1126</v>
      </c>
      <c r="AS600" t="s">
        <v>1137</v>
      </c>
      <c r="AT600" t="s">
        <v>329</v>
      </c>
      <c r="AU600">
        <v>20</v>
      </c>
      <c r="AV600">
        <v>0</v>
      </c>
      <c r="AW600" t="s">
        <v>5801</v>
      </c>
      <c r="AX600" t="s">
        <v>1814</v>
      </c>
      <c r="AY600">
        <v>5</v>
      </c>
      <c r="AZ600">
        <v>0</v>
      </c>
      <c r="BA600" t="s">
        <v>329</v>
      </c>
      <c r="BB600" t="s">
        <v>329</v>
      </c>
      <c r="BC600" t="s">
        <v>329</v>
      </c>
      <c r="BD600">
        <v>0</v>
      </c>
      <c r="BE600">
        <v>0</v>
      </c>
    </row>
    <row r="601" spans="1:57" x14ac:dyDescent="0.25">
      <c r="A601">
        <v>9112</v>
      </c>
      <c r="B601" t="s">
        <v>7265</v>
      </c>
      <c r="C601" s="248" t="s">
        <v>7266</v>
      </c>
      <c r="D601" t="s">
        <v>7267</v>
      </c>
      <c r="E601" t="s">
        <v>329</v>
      </c>
      <c r="F601" t="s">
        <v>329</v>
      </c>
      <c r="G601" t="s">
        <v>7268</v>
      </c>
      <c r="H601" t="s">
        <v>7269</v>
      </c>
      <c r="I601" t="s">
        <v>7270</v>
      </c>
      <c r="J601">
        <v>2</v>
      </c>
      <c r="K601">
        <v>5</v>
      </c>
      <c r="L601">
        <v>9300</v>
      </c>
      <c r="M601">
        <v>20</v>
      </c>
      <c r="N601">
        <v>20</v>
      </c>
      <c r="O601">
        <v>10</v>
      </c>
      <c r="P601">
        <v>10</v>
      </c>
      <c r="Q601">
        <v>2</v>
      </c>
      <c r="R601">
        <v>5</v>
      </c>
      <c r="S601">
        <v>5</v>
      </c>
      <c r="T601">
        <v>0</v>
      </c>
      <c r="U601">
        <v>800</v>
      </c>
      <c r="V601">
        <v>120</v>
      </c>
      <c r="W601">
        <v>112</v>
      </c>
      <c r="X601">
        <v>60</v>
      </c>
      <c r="Y601">
        <v>250</v>
      </c>
      <c r="Z601">
        <v>60</v>
      </c>
      <c r="AA601">
        <v>0</v>
      </c>
      <c r="AB601">
        <v>0</v>
      </c>
      <c r="AC601">
        <v>0</v>
      </c>
      <c r="AD601">
        <v>0</v>
      </c>
      <c r="AE601">
        <v>100</v>
      </c>
      <c r="AF601">
        <v>100</v>
      </c>
      <c r="AG601">
        <v>100107</v>
      </c>
      <c r="AH601">
        <v>0</v>
      </c>
      <c r="AI601">
        <v>300103</v>
      </c>
      <c r="AJ601" t="s">
        <v>329</v>
      </c>
      <c r="AK601" t="s">
        <v>329</v>
      </c>
      <c r="AL601">
        <v>13</v>
      </c>
      <c r="AM601" t="s">
        <v>4798</v>
      </c>
      <c r="AN601" t="s">
        <v>4801</v>
      </c>
      <c r="AO601" t="s">
        <v>4810</v>
      </c>
      <c r="AP601">
        <v>0</v>
      </c>
      <c r="AQ601" t="s">
        <v>1136</v>
      </c>
      <c r="AR601" t="s">
        <v>1126</v>
      </c>
      <c r="AS601" t="s">
        <v>1137</v>
      </c>
      <c r="AT601" t="s">
        <v>329</v>
      </c>
      <c r="AU601">
        <v>20</v>
      </c>
      <c r="AV601">
        <v>0</v>
      </c>
      <c r="AW601" t="s">
        <v>5801</v>
      </c>
      <c r="AX601" t="s">
        <v>1814</v>
      </c>
      <c r="AY601">
        <v>5</v>
      </c>
      <c r="AZ601">
        <v>0</v>
      </c>
      <c r="BA601" t="s">
        <v>329</v>
      </c>
      <c r="BB601" t="s">
        <v>329</v>
      </c>
      <c r="BC601" t="s">
        <v>329</v>
      </c>
      <c r="BD601">
        <v>0</v>
      </c>
      <c r="BE601">
        <v>0</v>
      </c>
    </row>
    <row r="602" spans="1:57" x14ac:dyDescent="0.25">
      <c r="A602">
        <v>9113</v>
      </c>
      <c r="B602" t="s">
        <v>7271</v>
      </c>
      <c r="C602" s="248" t="s">
        <v>7272</v>
      </c>
      <c r="D602" t="s">
        <v>7273</v>
      </c>
      <c r="E602" t="s">
        <v>329</v>
      </c>
      <c r="F602" t="s">
        <v>329</v>
      </c>
      <c r="G602" t="s">
        <v>7274</v>
      </c>
      <c r="H602" t="s">
        <v>7275</v>
      </c>
      <c r="I602" t="s">
        <v>7276</v>
      </c>
      <c r="J602">
        <v>1</v>
      </c>
      <c r="K602">
        <v>5</v>
      </c>
      <c r="L602">
        <v>3000</v>
      </c>
      <c r="M602">
        <v>10</v>
      </c>
      <c r="N602">
        <v>10</v>
      </c>
      <c r="O602">
        <v>5</v>
      </c>
      <c r="P602">
        <v>5</v>
      </c>
      <c r="Q602">
        <v>2</v>
      </c>
      <c r="R602">
        <v>2</v>
      </c>
      <c r="S602">
        <v>2</v>
      </c>
      <c r="T602">
        <v>0</v>
      </c>
      <c r="U602">
        <v>1200</v>
      </c>
      <c r="V602">
        <v>100</v>
      </c>
      <c r="W602">
        <v>98</v>
      </c>
      <c r="X602">
        <v>100</v>
      </c>
      <c r="Y602">
        <v>100</v>
      </c>
      <c r="Z602">
        <v>100</v>
      </c>
      <c r="AA602">
        <v>0</v>
      </c>
      <c r="AB602">
        <v>0</v>
      </c>
      <c r="AC602">
        <v>0</v>
      </c>
      <c r="AD602">
        <v>0</v>
      </c>
      <c r="AE602">
        <v>98</v>
      </c>
      <c r="AF602">
        <v>100</v>
      </c>
      <c r="AG602">
        <v>100504</v>
      </c>
      <c r="AH602">
        <v>0</v>
      </c>
      <c r="AI602">
        <v>300101</v>
      </c>
      <c r="AJ602" t="s">
        <v>329</v>
      </c>
      <c r="AK602" t="s">
        <v>329</v>
      </c>
      <c r="AL602">
        <v>13</v>
      </c>
      <c r="AM602" t="s">
        <v>4798</v>
      </c>
      <c r="AN602" t="s">
        <v>4801</v>
      </c>
      <c r="AO602" t="s">
        <v>4810</v>
      </c>
      <c r="AP602">
        <v>0</v>
      </c>
      <c r="AQ602" t="s">
        <v>1136</v>
      </c>
      <c r="AR602" t="s">
        <v>1126</v>
      </c>
      <c r="AS602" t="s">
        <v>1137</v>
      </c>
      <c r="AT602" t="s">
        <v>329</v>
      </c>
      <c r="AU602">
        <v>20</v>
      </c>
      <c r="AV602">
        <v>0</v>
      </c>
      <c r="AW602" t="s">
        <v>5801</v>
      </c>
      <c r="AX602" t="s">
        <v>1814</v>
      </c>
      <c r="AY602">
        <v>5</v>
      </c>
      <c r="AZ602">
        <v>0</v>
      </c>
      <c r="BA602" t="s">
        <v>329</v>
      </c>
      <c r="BB602" t="s">
        <v>329</v>
      </c>
      <c r="BC602" t="s">
        <v>329</v>
      </c>
      <c r="BD602">
        <v>0</v>
      </c>
      <c r="BE602">
        <v>0</v>
      </c>
    </row>
    <row r="603" spans="1:57" x14ac:dyDescent="0.25">
      <c r="A603">
        <v>9114</v>
      </c>
      <c r="B603" t="s">
        <v>7277</v>
      </c>
      <c r="C603" s="248" t="s">
        <v>7278</v>
      </c>
      <c r="D603" t="s">
        <v>7279</v>
      </c>
      <c r="E603" t="s">
        <v>329</v>
      </c>
      <c r="F603" t="s">
        <v>329</v>
      </c>
      <c r="G603" t="s">
        <v>7280</v>
      </c>
      <c r="H603" t="s">
        <v>7281</v>
      </c>
      <c r="I603" t="s">
        <v>7282</v>
      </c>
      <c r="J603">
        <v>1</v>
      </c>
      <c r="K603">
        <v>5</v>
      </c>
      <c r="L603">
        <v>3000</v>
      </c>
      <c r="M603">
        <v>10</v>
      </c>
      <c r="N603">
        <v>10</v>
      </c>
      <c r="O603">
        <v>5</v>
      </c>
      <c r="P603">
        <v>5</v>
      </c>
      <c r="Q603">
        <v>2</v>
      </c>
      <c r="R603">
        <v>2</v>
      </c>
      <c r="S603">
        <v>2</v>
      </c>
      <c r="T603">
        <v>0</v>
      </c>
      <c r="U603">
        <v>1200</v>
      </c>
      <c r="V603">
        <v>100</v>
      </c>
      <c r="W603">
        <v>98</v>
      </c>
      <c r="X603">
        <v>100</v>
      </c>
      <c r="Y603">
        <v>100</v>
      </c>
      <c r="Z603">
        <v>100</v>
      </c>
      <c r="AA603">
        <v>0</v>
      </c>
      <c r="AB603">
        <v>0</v>
      </c>
      <c r="AC603">
        <v>0</v>
      </c>
      <c r="AD603">
        <v>0</v>
      </c>
      <c r="AE603">
        <v>98</v>
      </c>
      <c r="AF603">
        <v>100</v>
      </c>
      <c r="AG603">
        <v>100504</v>
      </c>
      <c r="AH603">
        <v>0</v>
      </c>
      <c r="AI603">
        <v>300101</v>
      </c>
      <c r="AJ603" t="s">
        <v>329</v>
      </c>
      <c r="AK603" t="s">
        <v>329</v>
      </c>
      <c r="AL603">
        <v>13</v>
      </c>
      <c r="AM603" t="s">
        <v>4798</v>
      </c>
      <c r="AN603" t="s">
        <v>4801</v>
      </c>
      <c r="AO603" t="s">
        <v>4810</v>
      </c>
      <c r="AP603">
        <v>0</v>
      </c>
      <c r="AQ603" t="s">
        <v>1136</v>
      </c>
      <c r="AR603" t="s">
        <v>1126</v>
      </c>
      <c r="AS603" t="s">
        <v>1137</v>
      </c>
      <c r="AT603" t="s">
        <v>329</v>
      </c>
      <c r="AU603">
        <v>20</v>
      </c>
      <c r="AV603">
        <v>0</v>
      </c>
      <c r="AW603" t="s">
        <v>5801</v>
      </c>
      <c r="AX603" t="s">
        <v>1814</v>
      </c>
      <c r="AY603">
        <v>5</v>
      </c>
      <c r="AZ603">
        <v>0</v>
      </c>
      <c r="BA603" t="s">
        <v>329</v>
      </c>
      <c r="BB603" t="s">
        <v>329</v>
      </c>
      <c r="BC603" t="s">
        <v>329</v>
      </c>
      <c r="BD603">
        <v>0</v>
      </c>
      <c r="BE603">
        <v>0</v>
      </c>
    </row>
    <row r="604" spans="1:57" x14ac:dyDescent="0.25">
      <c r="A604">
        <v>9115</v>
      </c>
      <c r="B604" t="s">
        <v>7283</v>
      </c>
      <c r="C604" s="248" t="s">
        <v>7284</v>
      </c>
      <c r="D604" t="s">
        <v>7285</v>
      </c>
      <c r="E604" t="s">
        <v>329</v>
      </c>
      <c r="F604" t="s">
        <v>329</v>
      </c>
      <c r="G604" t="s">
        <v>7286</v>
      </c>
      <c r="H604" t="s">
        <v>7287</v>
      </c>
      <c r="I604" t="s">
        <v>7288</v>
      </c>
      <c r="J604">
        <v>1</v>
      </c>
      <c r="K604">
        <v>5</v>
      </c>
      <c r="L604">
        <v>3000</v>
      </c>
      <c r="M604">
        <v>10</v>
      </c>
      <c r="N604">
        <v>10</v>
      </c>
      <c r="O604">
        <v>5</v>
      </c>
      <c r="P604">
        <v>5</v>
      </c>
      <c r="Q604">
        <v>2</v>
      </c>
      <c r="R604">
        <v>2</v>
      </c>
      <c r="S604">
        <v>2</v>
      </c>
      <c r="T604">
        <v>0</v>
      </c>
      <c r="U604">
        <v>1200</v>
      </c>
      <c r="V604">
        <v>100</v>
      </c>
      <c r="W604">
        <v>98</v>
      </c>
      <c r="X604">
        <v>100</v>
      </c>
      <c r="Y604">
        <v>100</v>
      </c>
      <c r="Z604">
        <v>100</v>
      </c>
      <c r="AA604">
        <v>0</v>
      </c>
      <c r="AB604">
        <v>0</v>
      </c>
      <c r="AC604">
        <v>0</v>
      </c>
      <c r="AD604">
        <v>0</v>
      </c>
      <c r="AE604">
        <v>98</v>
      </c>
      <c r="AF604">
        <v>100</v>
      </c>
      <c r="AG604">
        <v>100504</v>
      </c>
      <c r="AH604">
        <v>0</v>
      </c>
      <c r="AI604">
        <v>300101</v>
      </c>
      <c r="AJ604" t="s">
        <v>329</v>
      </c>
      <c r="AK604" t="s">
        <v>329</v>
      </c>
      <c r="AL604">
        <v>13</v>
      </c>
      <c r="AM604" t="s">
        <v>4798</v>
      </c>
      <c r="AN604" t="s">
        <v>4801</v>
      </c>
      <c r="AO604" t="s">
        <v>4810</v>
      </c>
      <c r="AP604">
        <v>0</v>
      </c>
      <c r="AQ604" t="s">
        <v>1136</v>
      </c>
      <c r="AR604" t="s">
        <v>1126</v>
      </c>
      <c r="AS604" t="s">
        <v>1137</v>
      </c>
      <c r="AT604" t="s">
        <v>329</v>
      </c>
      <c r="AU604">
        <v>20</v>
      </c>
      <c r="AV604">
        <v>0</v>
      </c>
      <c r="AW604" t="s">
        <v>5801</v>
      </c>
      <c r="AX604" t="s">
        <v>1814</v>
      </c>
      <c r="AY604">
        <v>5</v>
      </c>
      <c r="AZ604">
        <v>0</v>
      </c>
      <c r="BA604" t="s">
        <v>329</v>
      </c>
      <c r="BB604" t="s">
        <v>329</v>
      </c>
      <c r="BC604" t="s">
        <v>329</v>
      </c>
      <c r="BD604">
        <v>0</v>
      </c>
      <c r="BE604">
        <v>0</v>
      </c>
    </row>
    <row r="605" spans="1:57" x14ac:dyDescent="0.25">
      <c r="A605">
        <v>9116</v>
      </c>
      <c r="B605" t="s">
        <v>7289</v>
      </c>
      <c r="C605" s="248" t="s">
        <v>7290</v>
      </c>
      <c r="D605" t="s">
        <v>7291</v>
      </c>
      <c r="E605" t="s">
        <v>329</v>
      </c>
      <c r="F605" t="s">
        <v>329</v>
      </c>
      <c r="G605" t="s">
        <v>7292</v>
      </c>
      <c r="H605" t="s">
        <v>7293</v>
      </c>
      <c r="I605" t="s">
        <v>7294</v>
      </c>
      <c r="J605">
        <v>1</v>
      </c>
      <c r="K605">
        <v>5</v>
      </c>
      <c r="L605">
        <v>3000</v>
      </c>
      <c r="M605">
        <v>10</v>
      </c>
      <c r="N605">
        <v>10</v>
      </c>
      <c r="O605">
        <v>5</v>
      </c>
      <c r="P605">
        <v>5</v>
      </c>
      <c r="Q605">
        <v>2</v>
      </c>
      <c r="R605">
        <v>2</v>
      </c>
      <c r="S605">
        <v>2</v>
      </c>
      <c r="T605">
        <v>0</v>
      </c>
      <c r="U605">
        <v>1200</v>
      </c>
      <c r="V605">
        <v>100</v>
      </c>
      <c r="W605">
        <v>98</v>
      </c>
      <c r="X605">
        <v>100</v>
      </c>
      <c r="Y605">
        <v>100</v>
      </c>
      <c r="Z605">
        <v>100</v>
      </c>
      <c r="AA605">
        <v>0</v>
      </c>
      <c r="AB605">
        <v>0</v>
      </c>
      <c r="AC605">
        <v>0</v>
      </c>
      <c r="AD605">
        <v>0</v>
      </c>
      <c r="AE605">
        <v>98</v>
      </c>
      <c r="AF605">
        <v>100</v>
      </c>
      <c r="AG605">
        <v>100504</v>
      </c>
      <c r="AH605">
        <v>0</v>
      </c>
      <c r="AI605">
        <v>300101</v>
      </c>
      <c r="AJ605" t="s">
        <v>329</v>
      </c>
      <c r="AK605" t="s">
        <v>329</v>
      </c>
      <c r="AL605">
        <v>13</v>
      </c>
      <c r="AM605" t="s">
        <v>4798</v>
      </c>
      <c r="AN605" t="s">
        <v>4801</v>
      </c>
      <c r="AO605" t="s">
        <v>4810</v>
      </c>
      <c r="AP605">
        <v>0</v>
      </c>
      <c r="AQ605" t="s">
        <v>1136</v>
      </c>
      <c r="AR605" t="s">
        <v>1126</v>
      </c>
      <c r="AS605" t="s">
        <v>1137</v>
      </c>
      <c r="AT605" t="s">
        <v>329</v>
      </c>
      <c r="AU605">
        <v>20</v>
      </c>
      <c r="AV605">
        <v>0</v>
      </c>
      <c r="AW605" t="s">
        <v>5801</v>
      </c>
      <c r="AX605" t="s">
        <v>1814</v>
      </c>
      <c r="AY605">
        <v>5</v>
      </c>
      <c r="AZ605">
        <v>0</v>
      </c>
      <c r="BA605" t="s">
        <v>329</v>
      </c>
      <c r="BB605" t="s">
        <v>329</v>
      </c>
      <c r="BC605" t="s">
        <v>329</v>
      </c>
      <c r="BD605">
        <v>0</v>
      </c>
      <c r="BE605">
        <v>0</v>
      </c>
    </row>
    <row r="606" spans="1:57" x14ac:dyDescent="0.25">
      <c r="A606">
        <v>9117</v>
      </c>
      <c r="B606" t="s">
        <v>7295</v>
      </c>
      <c r="C606" s="248" t="s">
        <v>7296</v>
      </c>
      <c r="D606" t="s">
        <v>7296</v>
      </c>
      <c r="E606" t="s">
        <v>329</v>
      </c>
      <c r="F606" t="s">
        <v>329</v>
      </c>
      <c r="G606" t="s">
        <v>7297</v>
      </c>
      <c r="H606" t="s">
        <v>7298</v>
      </c>
      <c r="I606" t="s">
        <v>7299</v>
      </c>
      <c r="J606">
        <v>1</v>
      </c>
      <c r="K606">
        <v>5</v>
      </c>
      <c r="L606">
        <v>3000</v>
      </c>
      <c r="M606">
        <v>10</v>
      </c>
      <c r="N606">
        <v>10</v>
      </c>
      <c r="O606">
        <v>5</v>
      </c>
      <c r="P606">
        <v>5</v>
      </c>
      <c r="Q606">
        <v>2</v>
      </c>
      <c r="R606">
        <v>2</v>
      </c>
      <c r="S606">
        <v>2</v>
      </c>
      <c r="T606">
        <v>0</v>
      </c>
      <c r="U606">
        <v>1200</v>
      </c>
      <c r="V606">
        <v>100</v>
      </c>
      <c r="W606">
        <v>98</v>
      </c>
      <c r="X606">
        <v>100</v>
      </c>
      <c r="Y606">
        <v>100</v>
      </c>
      <c r="Z606">
        <v>100</v>
      </c>
      <c r="AA606">
        <v>0</v>
      </c>
      <c r="AB606">
        <v>0</v>
      </c>
      <c r="AC606">
        <v>0</v>
      </c>
      <c r="AD606">
        <v>0</v>
      </c>
      <c r="AE606">
        <v>98</v>
      </c>
      <c r="AF606">
        <v>100</v>
      </c>
      <c r="AG606">
        <v>100504</v>
      </c>
      <c r="AH606">
        <v>0</v>
      </c>
      <c r="AI606">
        <v>300101</v>
      </c>
      <c r="AJ606" t="s">
        <v>329</v>
      </c>
      <c r="AK606" t="s">
        <v>329</v>
      </c>
      <c r="AL606">
        <v>13</v>
      </c>
      <c r="AM606" t="s">
        <v>4798</v>
      </c>
      <c r="AN606" t="s">
        <v>4801</v>
      </c>
      <c r="AO606" t="s">
        <v>4810</v>
      </c>
      <c r="AP606">
        <v>0</v>
      </c>
      <c r="AQ606" t="s">
        <v>1136</v>
      </c>
      <c r="AR606" t="s">
        <v>1126</v>
      </c>
      <c r="AS606" t="s">
        <v>1137</v>
      </c>
      <c r="AT606" t="s">
        <v>329</v>
      </c>
      <c r="AU606">
        <v>20</v>
      </c>
      <c r="AV606">
        <v>0</v>
      </c>
      <c r="AW606" t="s">
        <v>5801</v>
      </c>
      <c r="AX606" t="s">
        <v>1814</v>
      </c>
      <c r="AY606">
        <v>5</v>
      </c>
      <c r="AZ606">
        <v>0</v>
      </c>
      <c r="BA606" t="s">
        <v>329</v>
      </c>
      <c r="BB606" t="s">
        <v>329</v>
      </c>
      <c r="BC606" t="s">
        <v>329</v>
      </c>
      <c r="BD606">
        <v>0</v>
      </c>
      <c r="BE606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2"/>
  <sheetViews>
    <sheetView workbookViewId="0">
      <pane ySplit="1" topLeftCell="A16" activePane="bottomLeft" state="frozen"/>
      <selection activeCell="AG316" sqref="AG316"/>
      <selection pane="bottomLeft" activeCell="F47" sqref="A1:BI5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1785</v>
      </c>
      <c r="C1" s="43" t="s">
        <v>219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4473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4474</v>
      </c>
      <c r="Q1" s="43" t="s">
        <v>220</v>
      </c>
      <c r="R1" s="43" t="s">
        <v>41</v>
      </c>
      <c r="S1" s="43" t="s">
        <v>4475</v>
      </c>
      <c r="T1" s="43" t="s">
        <v>42</v>
      </c>
      <c r="U1" s="43" t="s">
        <v>882</v>
      </c>
      <c r="V1" s="43" t="s">
        <v>976</v>
      </c>
      <c r="W1" s="43" t="s">
        <v>4476</v>
      </c>
      <c r="X1" s="43" t="s">
        <v>4477</v>
      </c>
      <c r="Y1" s="43" t="s">
        <v>1121</v>
      </c>
      <c r="Z1" s="43" t="s">
        <v>1120</v>
      </c>
      <c r="AA1" s="43" t="s">
        <v>2617</v>
      </c>
      <c r="AB1" s="43" t="s">
        <v>2618</v>
      </c>
      <c r="AC1" s="43" t="s">
        <v>2619</v>
      </c>
      <c r="AD1" s="43" t="s">
        <v>2620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2626</v>
      </c>
      <c r="AM1" s="43" t="s">
        <v>4478</v>
      </c>
      <c r="AN1" s="43" t="s">
        <v>1119</v>
      </c>
      <c r="AO1" s="10" t="s">
        <v>2625</v>
      </c>
      <c r="AP1" s="10" t="s">
        <v>2627</v>
      </c>
      <c r="AQ1" s="10" t="s">
        <v>4479</v>
      </c>
      <c r="AR1" s="10" t="s">
        <v>4480</v>
      </c>
      <c r="AS1" s="10" t="s">
        <v>2628</v>
      </c>
      <c r="AT1" s="10" t="s">
        <v>4481</v>
      </c>
      <c r="AU1" s="10" t="s">
        <v>2632</v>
      </c>
      <c r="AV1" s="10" t="s">
        <v>4482</v>
      </c>
      <c r="AW1" s="10" t="s">
        <v>4483</v>
      </c>
      <c r="AX1" s="10" t="s">
        <v>4484</v>
      </c>
      <c r="AY1" s="10" t="s">
        <v>4485</v>
      </c>
      <c r="AZ1" s="10" t="s">
        <v>2635</v>
      </c>
      <c r="BA1" s="10" t="s">
        <v>583</v>
      </c>
      <c r="BB1" s="10" t="s">
        <v>2636</v>
      </c>
      <c r="BC1" s="10" t="s">
        <v>2637</v>
      </c>
      <c r="BD1" s="10" t="s">
        <v>4486</v>
      </c>
      <c r="BE1" s="10" t="s">
        <v>4487</v>
      </c>
      <c r="BF1" s="10" t="s">
        <v>4488</v>
      </c>
      <c r="BG1" s="10" t="s">
        <v>4489</v>
      </c>
      <c r="BH1" s="10" t="s">
        <v>2643</v>
      </c>
    </row>
    <row r="2" spans="1:61" x14ac:dyDescent="0.25">
      <c r="A2">
        <v>1012</v>
      </c>
      <c r="B2" t="s">
        <v>4508</v>
      </c>
      <c r="C2" t="s">
        <v>991</v>
      </c>
      <c r="D2" t="s">
        <v>991</v>
      </c>
      <c r="E2" t="s">
        <v>4509</v>
      </c>
      <c r="G2" t="s">
        <v>4493</v>
      </c>
      <c r="H2" t="s">
        <v>4510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4511</v>
      </c>
      <c r="X2" t="s">
        <v>329</v>
      </c>
      <c r="Y2" t="s">
        <v>4512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4513</v>
      </c>
      <c r="AV2" t="s">
        <v>4499</v>
      </c>
      <c r="AW2" t="s">
        <v>4499</v>
      </c>
      <c r="AX2" t="s">
        <v>4499</v>
      </c>
      <c r="AY2">
        <v>45</v>
      </c>
      <c r="AZ2">
        <v>11002</v>
      </c>
      <c r="BA2">
        <v>1</v>
      </c>
      <c r="BB2" t="s">
        <v>4500</v>
      </c>
      <c r="BC2" t="s">
        <v>1814</v>
      </c>
      <c r="BD2">
        <v>930012</v>
      </c>
      <c r="BE2" t="s">
        <v>4501</v>
      </c>
      <c r="BF2" t="s">
        <v>4502</v>
      </c>
      <c r="BG2">
        <v>100</v>
      </c>
      <c r="BH2">
        <v>10604</v>
      </c>
    </row>
    <row r="3" spans="1:61" x14ac:dyDescent="0.25">
      <c r="A3">
        <v>1008</v>
      </c>
      <c r="B3" t="s">
        <v>4514</v>
      </c>
      <c r="C3" t="s">
        <v>986</v>
      </c>
      <c r="D3" t="s">
        <v>986</v>
      </c>
      <c r="E3" t="s">
        <v>4515</v>
      </c>
      <c r="G3" t="s">
        <v>4493</v>
      </c>
      <c r="H3" t="s">
        <v>4516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4517</v>
      </c>
      <c r="X3" t="s">
        <v>4518</v>
      </c>
      <c r="Y3" t="s">
        <v>4519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4520</v>
      </c>
      <c r="AV3" t="s">
        <v>4499</v>
      </c>
      <c r="AW3" t="s">
        <v>4499</v>
      </c>
      <c r="AX3" t="s">
        <v>4499</v>
      </c>
      <c r="AY3">
        <v>23</v>
      </c>
      <c r="AZ3">
        <v>11002</v>
      </c>
      <c r="BA3">
        <v>2</v>
      </c>
      <c r="BB3" t="s">
        <v>4500</v>
      </c>
      <c r="BC3" t="s">
        <v>1814</v>
      </c>
      <c r="BD3">
        <v>930008</v>
      </c>
      <c r="BE3" t="s">
        <v>4501</v>
      </c>
      <c r="BF3" t="s">
        <v>4502</v>
      </c>
      <c r="BG3">
        <v>100</v>
      </c>
      <c r="BH3">
        <v>10602</v>
      </c>
    </row>
    <row r="4" spans="1:61" x14ac:dyDescent="0.25">
      <c r="A4">
        <v>1006</v>
      </c>
      <c r="B4" t="s">
        <v>4521</v>
      </c>
      <c r="C4" t="s">
        <v>1702</v>
      </c>
      <c r="D4" t="s">
        <v>4522</v>
      </c>
      <c r="E4" t="s">
        <v>4523</v>
      </c>
      <c r="G4" t="s">
        <v>4493</v>
      </c>
      <c r="H4" t="s">
        <v>4524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4525</v>
      </c>
      <c r="X4" t="s">
        <v>4526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4527</v>
      </c>
      <c r="AV4" t="s">
        <v>4499</v>
      </c>
      <c r="AW4" t="s">
        <v>4499</v>
      </c>
      <c r="AX4" t="s">
        <v>4499</v>
      </c>
      <c r="AY4">
        <v>27</v>
      </c>
      <c r="AZ4">
        <v>11002</v>
      </c>
      <c r="BA4">
        <v>1</v>
      </c>
      <c r="BB4" t="s">
        <v>4500</v>
      </c>
      <c r="BC4" t="s">
        <v>1814</v>
      </c>
      <c r="BD4">
        <v>930006</v>
      </c>
      <c r="BE4" t="s">
        <v>4501</v>
      </c>
      <c r="BF4" t="s">
        <v>4502</v>
      </c>
      <c r="BG4">
        <v>100</v>
      </c>
      <c r="BH4">
        <v>10603</v>
      </c>
    </row>
    <row r="5" spans="1:61" x14ac:dyDescent="0.25">
      <c r="A5">
        <v>1015</v>
      </c>
      <c r="B5" t="s">
        <v>4528</v>
      </c>
      <c r="C5" t="s">
        <v>1704</v>
      </c>
      <c r="D5" t="s">
        <v>4529</v>
      </c>
      <c r="E5" t="s">
        <v>4530</v>
      </c>
      <c r="G5" t="s">
        <v>4493</v>
      </c>
      <c r="H5" t="s">
        <v>4531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4532</v>
      </c>
      <c r="X5" t="s">
        <v>4533</v>
      </c>
      <c r="Y5" t="s">
        <v>4534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4535</v>
      </c>
      <c r="AV5" t="s">
        <v>4499</v>
      </c>
      <c r="AW5" t="s">
        <v>4499</v>
      </c>
      <c r="AX5" t="s">
        <v>4499</v>
      </c>
      <c r="AY5">
        <v>126</v>
      </c>
      <c r="AZ5">
        <v>11002</v>
      </c>
      <c r="BA5">
        <v>1</v>
      </c>
      <c r="BB5" t="s">
        <v>4500</v>
      </c>
      <c r="BC5" t="s">
        <v>1814</v>
      </c>
      <c r="BD5">
        <v>930016</v>
      </c>
      <c r="BE5" t="s">
        <v>4501</v>
      </c>
      <c r="BF5" t="s">
        <v>4502</v>
      </c>
      <c r="BG5">
        <v>100</v>
      </c>
      <c r="BH5">
        <v>10603</v>
      </c>
    </row>
    <row r="6" spans="1:61" x14ac:dyDescent="0.25">
      <c r="A6">
        <v>1019</v>
      </c>
      <c r="B6" t="s">
        <v>6463</v>
      </c>
      <c r="C6" t="s">
        <v>6464</v>
      </c>
      <c r="D6" t="s">
        <v>6465</v>
      </c>
      <c r="E6" t="s">
        <v>6466</v>
      </c>
      <c r="G6" t="s">
        <v>4493</v>
      </c>
      <c r="H6" t="s">
        <v>6467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6468</v>
      </c>
      <c r="X6" t="s">
        <v>6469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6470</v>
      </c>
      <c r="AV6" t="s">
        <v>4499</v>
      </c>
      <c r="AW6" t="s">
        <v>4499</v>
      </c>
      <c r="AX6" t="s">
        <v>4499</v>
      </c>
      <c r="AY6">
        <v>33</v>
      </c>
      <c r="AZ6">
        <v>11002</v>
      </c>
      <c r="BA6">
        <v>1</v>
      </c>
      <c r="BB6" t="s">
        <v>4500</v>
      </c>
      <c r="BC6" t="s">
        <v>1814</v>
      </c>
      <c r="BD6">
        <v>930020</v>
      </c>
      <c r="BE6" t="s">
        <v>4501</v>
      </c>
      <c r="BF6" t="s">
        <v>4502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4536</v>
      </c>
      <c r="C7" t="s">
        <v>984</v>
      </c>
      <c r="D7" t="s">
        <v>984</v>
      </c>
      <c r="E7" t="s">
        <v>4537</v>
      </c>
      <c r="G7" t="s">
        <v>4493</v>
      </c>
      <c r="H7" t="s">
        <v>4538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4539</v>
      </c>
      <c r="X7" t="s">
        <v>4540</v>
      </c>
      <c r="Y7" t="s">
        <v>4541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4542</v>
      </c>
      <c r="AV7" t="s">
        <v>4499</v>
      </c>
      <c r="AW7" t="s">
        <v>4499</v>
      </c>
      <c r="AX7" t="s">
        <v>4499</v>
      </c>
      <c r="AY7">
        <v>18</v>
      </c>
      <c r="AZ7">
        <v>11002</v>
      </c>
      <c r="BA7">
        <v>1</v>
      </c>
      <c r="BB7" t="s">
        <v>4500</v>
      </c>
      <c r="BC7" t="s">
        <v>1814</v>
      </c>
      <c r="BD7">
        <v>930005</v>
      </c>
      <c r="BE7" t="s">
        <v>4501</v>
      </c>
      <c r="BF7" t="s">
        <v>4502</v>
      </c>
      <c r="BG7">
        <v>100</v>
      </c>
      <c r="BH7">
        <v>10603</v>
      </c>
    </row>
    <row r="8" spans="1:61" x14ac:dyDescent="0.25">
      <c r="A8">
        <v>1017</v>
      </c>
      <c r="B8" t="s">
        <v>5661</v>
      </c>
      <c r="C8" t="s">
        <v>5662</v>
      </c>
      <c r="D8" t="s">
        <v>5662</v>
      </c>
      <c r="E8" t="s">
        <v>5663</v>
      </c>
      <c r="G8" t="s">
        <v>4493</v>
      </c>
      <c r="H8" t="s">
        <v>5664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5665</v>
      </c>
      <c r="X8" t="s">
        <v>5666</v>
      </c>
      <c r="Y8" t="s">
        <v>5667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5668</v>
      </c>
      <c r="AV8" t="s">
        <v>4499</v>
      </c>
      <c r="AW8" t="s">
        <v>4499</v>
      </c>
      <c r="AX8" t="s">
        <v>4499</v>
      </c>
      <c r="AY8">
        <v>147</v>
      </c>
      <c r="AZ8">
        <v>11002</v>
      </c>
      <c r="BA8">
        <v>1</v>
      </c>
      <c r="BB8" t="s">
        <v>4500</v>
      </c>
      <c r="BC8" t="s">
        <v>329</v>
      </c>
      <c r="BD8">
        <v>930018</v>
      </c>
      <c r="BE8" t="s">
        <v>4501</v>
      </c>
      <c r="BF8" t="s">
        <v>4502</v>
      </c>
      <c r="BG8">
        <v>100</v>
      </c>
      <c r="BH8">
        <v>10603</v>
      </c>
    </row>
    <row r="9" spans="1:61" x14ac:dyDescent="0.25">
      <c r="A9">
        <v>1009</v>
      </c>
      <c r="B9" t="s">
        <v>4543</v>
      </c>
      <c r="C9" t="s">
        <v>987</v>
      </c>
      <c r="D9" t="s">
        <v>987</v>
      </c>
      <c r="E9" t="s">
        <v>4544</v>
      </c>
      <c r="G9" t="s">
        <v>4493</v>
      </c>
      <c r="H9" t="s">
        <v>4545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4546</v>
      </c>
      <c r="X9" t="s">
        <v>4547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4548</v>
      </c>
      <c r="AV9" t="s">
        <v>4499</v>
      </c>
      <c r="AW9" t="s">
        <v>4499</v>
      </c>
      <c r="AX9" t="s">
        <v>4499</v>
      </c>
      <c r="AY9">
        <v>24</v>
      </c>
      <c r="AZ9">
        <v>11002</v>
      </c>
      <c r="BA9">
        <v>1</v>
      </c>
      <c r="BB9" t="s">
        <v>4549</v>
      </c>
      <c r="BC9" t="s">
        <v>1814</v>
      </c>
      <c r="BD9">
        <v>930009</v>
      </c>
      <c r="BE9" t="s">
        <v>4501</v>
      </c>
      <c r="BF9" t="s">
        <v>4502</v>
      </c>
      <c r="BG9">
        <v>100</v>
      </c>
      <c r="BH9">
        <v>10604</v>
      </c>
    </row>
    <row r="10" spans="1:61" x14ac:dyDescent="0.25">
      <c r="A10">
        <v>1002</v>
      </c>
      <c r="B10" t="s">
        <v>4550</v>
      </c>
      <c r="C10" t="s">
        <v>980</v>
      </c>
      <c r="D10" t="s">
        <v>980</v>
      </c>
      <c r="E10" t="s">
        <v>4551</v>
      </c>
      <c r="G10" t="s">
        <v>4493</v>
      </c>
      <c r="H10" t="s">
        <v>4552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4553</v>
      </c>
      <c r="X10" t="s">
        <v>4554</v>
      </c>
      <c r="Y10" t="s">
        <v>4555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4520</v>
      </c>
      <c r="AV10" t="s">
        <v>4499</v>
      </c>
      <c r="AW10" t="s">
        <v>4499</v>
      </c>
      <c r="AX10" t="s">
        <v>4499</v>
      </c>
      <c r="AY10">
        <v>8</v>
      </c>
      <c r="AZ10">
        <v>11002</v>
      </c>
      <c r="BA10">
        <v>2</v>
      </c>
      <c r="BB10" t="s">
        <v>4500</v>
      </c>
      <c r="BC10" t="s">
        <v>1814</v>
      </c>
      <c r="BD10">
        <v>930002</v>
      </c>
      <c r="BE10" t="s">
        <v>4501</v>
      </c>
      <c r="BF10" t="s">
        <v>4502</v>
      </c>
      <c r="BG10">
        <v>100</v>
      </c>
      <c r="BH10">
        <v>10602</v>
      </c>
    </row>
    <row r="11" spans="1:61" x14ac:dyDescent="0.25">
      <c r="A11">
        <v>1021</v>
      </c>
      <c r="B11" t="s">
        <v>6799</v>
      </c>
      <c r="C11" t="s">
        <v>6800</v>
      </c>
      <c r="D11" t="s">
        <v>6800</v>
      </c>
      <c r="E11" t="s">
        <v>6801</v>
      </c>
      <c r="F11" t="s">
        <v>6798</v>
      </c>
      <c r="G11" t="s">
        <v>4493</v>
      </c>
      <c r="H11" t="s">
        <v>6802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6803</v>
      </c>
      <c r="X11" t="s">
        <v>6804</v>
      </c>
      <c r="Y11" t="s">
        <v>6805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6806</v>
      </c>
      <c r="AV11" t="s">
        <v>4499</v>
      </c>
      <c r="AW11" t="s">
        <v>4499</v>
      </c>
      <c r="AX11" t="s">
        <v>4499</v>
      </c>
      <c r="AY11">
        <v>175</v>
      </c>
      <c r="AZ11">
        <v>11002</v>
      </c>
      <c r="BA11">
        <v>2</v>
      </c>
      <c r="BB11" t="s">
        <v>4500</v>
      </c>
      <c r="BC11" t="s">
        <v>1814</v>
      </c>
      <c r="BD11">
        <v>930022</v>
      </c>
      <c r="BE11" t="s">
        <v>4501</v>
      </c>
      <c r="BF11" t="s">
        <v>4502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4556</v>
      </c>
      <c r="C12" t="s">
        <v>988</v>
      </c>
      <c r="D12" t="s">
        <v>4557</v>
      </c>
      <c r="E12" t="s">
        <v>4558</v>
      </c>
      <c r="G12" t="s">
        <v>4493</v>
      </c>
      <c r="H12" t="s">
        <v>4559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4560</v>
      </c>
      <c r="X12" t="s">
        <v>4561</v>
      </c>
      <c r="Y12" t="s">
        <v>4562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4563</v>
      </c>
      <c r="AV12" t="s">
        <v>4499</v>
      </c>
      <c r="AW12" t="s">
        <v>4499</v>
      </c>
      <c r="AX12" t="s">
        <v>4499</v>
      </c>
      <c r="AY12">
        <v>26</v>
      </c>
      <c r="AZ12">
        <v>11002</v>
      </c>
      <c r="BA12">
        <v>1</v>
      </c>
      <c r="BB12" t="s">
        <v>4500</v>
      </c>
      <c r="BC12" t="s">
        <v>1814</v>
      </c>
      <c r="BD12">
        <v>930010</v>
      </c>
      <c r="BE12" t="s">
        <v>4501</v>
      </c>
      <c r="BF12" t="s">
        <v>4502</v>
      </c>
      <c r="BG12">
        <v>100</v>
      </c>
      <c r="BH12">
        <v>10602</v>
      </c>
    </row>
    <row r="13" spans="1:61" x14ac:dyDescent="0.25">
      <c r="A13">
        <v>1003</v>
      </c>
      <c r="B13" t="s">
        <v>4564</v>
      </c>
      <c r="C13" t="s">
        <v>982</v>
      </c>
      <c r="D13" t="s">
        <v>982</v>
      </c>
      <c r="E13" t="s">
        <v>4565</v>
      </c>
      <c r="G13" t="s">
        <v>4493</v>
      </c>
      <c r="H13" t="s">
        <v>4566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4567</v>
      </c>
      <c r="X13" t="s">
        <v>329</v>
      </c>
      <c r="Y13" t="s">
        <v>4568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4499</v>
      </c>
      <c r="AW13" t="s">
        <v>4499</v>
      </c>
      <c r="AX13" t="s">
        <v>4499</v>
      </c>
      <c r="AY13">
        <v>11</v>
      </c>
      <c r="AZ13">
        <v>11002</v>
      </c>
      <c r="BA13">
        <v>1</v>
      </c>
      <c r="BB13" t="s">
        <v>4500</v>
      </c>
      <c r="BC13" t="s">
        <v>1814</v>
      </c>
      <c r="BD13">
        <v>930003</v>
      </c>
      <c r="BE13" t="s">
        <v>4501</v>
      </c>
      <c r="BF13" t="s">
        <v>4502</v>
      </c>
      <c r="BG13">
        <v>100</v>
      </c>
      <c r="BH13">
        <v>10602</v>
      </c>
    </row>
    <row r="14" spans="1:61" x14ac:dyDescent="0.25">
      <c r="A14">
        <v>1018</v>
      </c>
      <c r="B14" t="s">
        <v>6358</v>
      </c>
      <c r="C14" t="s">
        <v>6359</v>
      </c>
      <c r="D14" t="s">
        <v>6359</v>
      </c>
      <c r="E14" t="s">
        <v>6360</v>
      </c>
      <c r="G14" t="s">
        <v>4493</v>
      </c>
      <c r="H14" t="s">
        <v>6361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6362</v>
      </c>
      <c r="X14" t="s">
        <v>6363</v>
      </c>
      <c r="Y14" t="s">
        <v>6364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6365</v>
      </c>
      <c r="AV14" t="s">
        <v>4499</v>
      </c>
      <c r="AW14" t="s">
        <v>4499</v>
      </c>
      <c r="AX14" t="s">
        <v>4499</v>
      </c>
      <c r="AY14">
        <v>157</v>
      </c>
      <c r="AZ14">
        <v>11002</v>
      </c>
      <c r="BA14">
        <v>1</v>
      </c>
      <c r="BB14" t="s">
        <v>4500</v>
      </c>
      <c r="BC14" t="s">
        <v>1814</v>
      </c>
      <c r="BD14">
        <v>930019</v>
      </c>
      <c r="BE14" t="s">
        <v>4501</v>
      </c>
      <c r="BF14" t="s">
        <v>4502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4570</v>
      </c>
      <c r="C15" t="s">
        <v>983</v>
      </c>
      <c r="D15" t="s">
        <v>983</v>
      </c>
      <c r="E15" t="s">
        <v>4571</v>
      </c>
      <c r="G15" t="s">
        <v>4493</v>
      </c>
      <c r="H15" t="s">
        <v>4572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4574</v>
      </c>
      <c r="AV15" t="s">
        <v>4499</v>
      </c>
      <c r="AW15" t="s">
        <v>4499</v>
      </c>
      <c r="AX15" t="s">
        <v>4499</v>
      </c>
      <c r="AY15">
        <v>17</v>
      </c>
      <c r="AZ15">
        <v>11002</v>
      </c>
      <c r="BA15">
        <v>1</v>
      </c>
      <c r="BB15" t="s">
        <v>4500</v>
      </c>
      <c r="BC15" t="s">
        <v>1814</v>
      </c>
      <c r="BD15">
        <v>930004</v>
      </c>
      <c r="BE15" t="s">
        <v>4501</v>
      </c>
      <c r="BF15" t="s">
        <v>4502</v>
      </c>
      <c r="BG15">
        <v>100</v>
      </c>
      <c r="BH15">
        <v>10602</v>
      </c>
    </row>
    <row r="16" spans="1:61" x14ac:dyDescent="0.25">
      <c r="A16">
        <v>1016</v>
      </c>
      <c r="B16" t="s">
        <v>4490</v>
      </c>
      <c r="C16" t="s">
        <v>4491</v>
      </c>
      <c r="D16" t="s">
        <v>4491</v>
      </c>
      <c r="E16" t="s">
        <v>4492</v>
      </c>
      <c r="G16" t="s">
        <v>4493</v>
      </c>
      <c r="H16" t="s">
        <v>4494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4495</v>
      </c>
      <c r="X16" t="s">
        <v>4496</v>
      </c>
      <c r="Y16" t="s">
        <v>4497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4498</v>
      </c>
      <c r="AV16" t="s">
        <v>4499</v>
      </c>
      <c r="AW16" t="s">
        <v>4499</v>
      </c>
      <c r="AX16" t="s">
        <v>4499</v>
      </c>
      <c r="AY16">
        <v>140</v>
      </c>
      <c r="AZ16">
        <v>11002</v>
      </c>
      <c r="BA16">
        <v>1</v>
      </c>
      <c r="BB16" t="s">
        <v>4500</v>
      </c>
      <c r="BC16" t="s">
        <v>1814</v>
      </c>
      <c r="BD16">
        <v>930017</v>
      </c>
      <c r="BE16" t="s">
        <v>4501</v>
      </c>
      <c r="BF16" t="s">
        <v>4502</v>
      </c>
      <c r="BG16">
        <v>100</v>
      </c>
      <c r="BH16">
        <v>10602</v>
      </c>
    </row>
    <row r="17" spans="1:61" x14ac:dyDescent="0.25">
      <c r="A17">
        <v>1011</v>
      </c>
      <c r="B17" t="s">
        <v>4575</v>
      </c>
      <c r="C17" t="s">
        <v>989</v>
      </c>
      <c r="D17" t="s">
        <v>989</v>
      </c>
      <c r="E17" t="s">
        <v>4576</v>
      </c>
      <c r="G17" t="s">
        <v>4493</v>
      </c>
      <c r="H17" t="s">
        <v>4577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4578</v>
      </c>
      <c r="X17" t="s">
        <v>4579</v>
      </c>
      <c r="Y17" t="s">
        <v>4580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4581</v>
      </c>
      <c r="AV17" t="s">
        <v>4499</v>
      </c>
      <c r="AW17" t="s">
        <v>4499</v>
      </c>
      <c r="AX17" t="s">
        <v>4499</v>
      </c>
      <c r="AY17">
        <v>35</v>
      </c>
      <c r="AZ17">
        <v>11002</v>
      </c>
      <c r="BA17">
        <v>1</v>
      </c>
      <c r="BB17" t="s">
        <v>4500</v>
      </c>
      <c r="BC17" t="s">
        <v>1814</v>
      </c>
      <c r="BD17">
        <v>930011</v>
      </c>
      <c r="BE17" t="s">
        <v>4501</v>
      </c>
      <c r="BF17" t="s">
        <v>4502</v>
      </c>
      <c r="BG17">
        <v>100</v>
      </c>
      <c r="BH17">
        <v>10604</v>
      </c>
    </row>
    <row r="18" spans="1:61" x14ac:dyDescent="0.25">
      <c r="A18">
        <v>1013</v>
      </c>
      <c r="B18" t="s">
        <v>4582</v>
      </c>
      <c r="C18" t="s">
        <v>992</v>
      </c>
      <c r="D18" t="s">
        <v>992</v>
      </c>
      <c r="E18" t="s">
        <v>4583</v>
      </c>
      <c r="G18" t="s">
        <v>4493</v>
      </c>
      <c r="H18" t="s">
        <v>4584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4585</v>
      </c>
      <c r="X18" t="s">
        <v>329</v>
      </c>
      <c r="Y18" t="s">
        <v>4586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4587</v>
      </c>
      <c r="AV18" t="s">
        <v>4499</v>
      </c>
      <c r="AW18" t="s">
        <v>4499</v>
      </c>
      <c r="AX18" t="s">
        <v>4499</v>
      </c>
      <c r="AY18">
        <v>50</v>
      </c>
      <c r="AZ18">
        <v>11002</v>
      </c>
      <c r="BA18">
        <v>1</v>
      </c>
      <c r="BB18" t="s">
        <v>4500</v>
      </c>
      <c r="BC18" t="s">
        <v>1814</v>
      </c>
      <c r="BD18">
        <v>930013</v>
      </c>
      <c r="BE18" t="s">
        <v>4501</v>
      </c>
      <c r="BF18" t="s">
        <v>4502</v>
      </c>
      <c r="BG18">
        <v>100</v>
      </c>
      <c r="BH18">
        <v>10603</v>
      </c>
    </row>
    <row r="19" spans="1:61" x14ac:dyDescent="0.25">
      <c r="A19">
        <v>1022</v>
      </c>
      <c r="B19" t="s">
        <v>6935</v>
      </c>
      <c r="C19" t="s">
        <v>6936</v>
      </c>
      <c r="D19" t="s">
        <v>6936</v>
      </c>
      <c r="E19" t="s">
        <v>6937</v>
      </c>
      <c r="F19" t="s">
        <v>6798</v>
      </c>
      <c r="G19" t="s">
        <v>4493</v>
      </c>
      <c r="H19" t="s">
        <v>6938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6939</v>
      </c>
      <c r="X19" t="s">
        <v>6940</v>
      </c>
      <c r="Y19" t="s">
        <v>6941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6942</v>
      </c>
      <c r="AV19" t="s">
        <v>4499</v>
      </c>
      <c r="AW19" t="s">
        <v>4499</v>
      </c>
      <c r="AX19" t="s">
        <v>4499</v>
      </c>
      <c r="AY19">
        <v>176</v>
      </c>
      <c r="AZ19">
        <v>11002</v>
      </c>
      <c r="BA19">
        <v>1</v>
      </c>
      <c r="BB19" t="s">
        <v>4500</v>
      </c>
      <c r="BC19" t="s">
        <v>1814</v>
      </c>
      <c r="BD19">
        <v>930023</v>
      </c>
      <c r="BE19" t="s">
        <v>4501</v>
      </c>
      <c r="BF19" t="s">
        <v>4502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4588</v>
      </c>
      <c r="C20" t="s">
        <v>993</v>
      </c>
      <c r="D20" t="s">
        <v>993</v>
      </c>
      <c r="E20" t="s">
        <v>4589</v>
      </c>
      <c r="G20" t="s">
        <v>4493</v>
      </c>
      <c r="H20" t="s">
        <v>4590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4591</v>
      </c>
      <c r="X20" t="s">
        <v>4592</v>
      </c>
      <c r="Y20" t="s">
        <v>4593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4594</v>
      </c>
      <c r="AV20" t="s">
        <v>4499</v>
      </c>
      <c r="AW20" t="s">
        <v>4499</v>
      </c>
      <c r="AX20" t="s">
        <v>4499</v>
      </c>
      <c r="AY20">
        <v>51</v>
      </c>
      <c r="AZ20">
        <v>11002</v>
      </c>
      <c r="BA20">
        <v>1</v>
      </c>
      <c r="BB20" t="s">
        <v>4500</v>
      </c>
      <c r="BC20" t="s">
        <v>1814</v>
      </c>
      <c r="BD20">
        <v>930014</v>
      </c>
      <c r="BE20" t="s">
        <v>4501</v>
      </c>
      <c r="BF20" t="s">
        <v>4502</v>
      </c>
      <c r="BG20">
        <v>100</v>
      </c>
      <c r="BH20">
        <v>10603</v>
      </c>
    </row>
    <row r="21" spans="1:61" x14ac:dyDescent="0.25">
      <c r="A21">
        <v>1020</v>
      </c>
      <c r="B21" t="s">
        <v>6535</v>
      </c>
      <c r="C21" t="s">
        <v>6536</v>
      </c>
      <c r="D21" t="s">
        <v>6536</v>
      </c>
      <c r="E21" t="s">
        <v>6537</v>
      </c>
      <c r="G21" t="s">
        <v>4493</v>
      </c>
      <c r="H21" t="s">
        <v>6538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6539</v>
      </c>
      <c r="X21" t="s">
        <v>6540</v>
      </c>
      <c r="Y21" t="s">
        <v>6541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6542</v>
      </c>
      <c r="AV21" t="s">
        <v>4499</v>
      </c>
      <c r="AW21" t="s">
        <v>4499</v>
      </c>
      <c r="AX21" t="s">
        <v>4499</v>
      </c>
      <c r="AY21">
        <v>166</v>
      </c>
      <c r="AZ21">
        <v>11002</v>
      </c>
      <c r="BA21">
        <v>1</v>
      </c>
      <c r="BB21" t="s">
        <v>4500</v>
      </c>
      <c r="BC21" t="s">
        <v>1814</v>
      </c>
      <c r="BD21">
        <v>930021</v>
      </c>
      <c r="BE21" t="s">
        <v>4501</v>
      </c>
      <c r="BF21" t="s">
        <v>4502</v>
      </c>
      <c r="BG21">
        <v>100</v>
      </c>
      <c r="BH21">
        <v>10603</v>
      </c>
      <c r="BI21">
        <v>0</v>
      </c>
    </row>
    <row r="22" spans="1:61" x14ac:dyDescent="0.25">
      <c r="A22">
        <v>1024</v>
      </c>
      <c r="B22" t="s">
        <v>8011</v>
      </c>
      <c r="C22" t="s">
        <v>8012</v>
      </c>
      <c r="D22" t="s">
        <v>8013</v>
      </c>
      <c r="E22" t="s">
        <v>8014</v>
      </c>
      <c r="F22" t="s">
        <v>6798</v>
      </c>
      <c r="G22" t="s">
        <v>4493</v>
      </c>
      <c r="H22" t="s">
        <v>8015</v>
      </c>
      <c r="I22">
        <v>3</v>
      </c>
      <c r="J22">
        <v>1</v>
      </c>
      <c r="K22" t="s">
        <v>990</v>
      </c>
      <c r="L22">
        <v>1</v>
      </c>
      <c r="M22">
        <v>124</v>
      </c>
      <c r="N22" t="s">
        <v>979</v>
      </c>
      <c r="O22">
        <v>10</v>
      </c>
      <c r="P22">
        <v>0</v>
      </c>
      <c r="Q22">
        <v>5</v>
      </c>
      <c r="R22">
        <v>750783</v>
      </c>
      <c r="S22">
        <v>1</v>
      </c>
      <c r="T22">
        <v>750785</v>
      </c>
      <c r="U22">
        <v>750786</v>
      </c>
      <c r="V22">
        <v>750787</v>
      </c>
      <c r="W22" t="s">
        <v>8016</v>
      </c>
      <c r="X22" t="s">
        <v>8017</v>
      </c>
      <c r="Y22" t="s">
        <v>8018</v>
      </c>
      <c r="Z22">
        <v>750788</v>
      </c>
      <c r="AA22">
        <v>10</v>
      </c>
      <c r="AB22">
        <v>10</v>
      </c>
      <c r="AC22">
        <v>5</v>
      </c>
      <c r="AD22">
        <v>5</v>
      </c>
      <c r="AE22">
        <v>170</v>
      </c>
      <c r="AF22">
        <v>138</v>
      </c>
      <c r="AG22">
        <v>50</v>
      </c>
      <c r="AH22">
        <v>200</v>
      </c>
      <c r="AI22">
        <v>60</v>
      </c>
      <c r="AJ22">
        <v>75</v>
      </c>
      <c r="AK22">
        <v>180</v>
      </c>
      <c r="AL22">
        <v>20</v>
      </c>
      <c r="AM22">
        <v>150</v>
      </c>
      <c r="AN22">
        <v>100</v>
      </c>
      <c r="AO22">
        <v>10</v>
      </c>
      <c r="AP22">
        <v>0</v>
      </c>
      <c r="AQ22">
        <v>2</v>
      </c>
      <c r="AR22">
        <v>15</v>
      </c>
      <c r="AS22">
        <v>500</v>
      </c>
      <c r="AT22">
        <v>8</v>
      </c>
      <c r="AU22" t="s">
        <v>8019</v>
      </c>
      <c r="AV22" t="s">
        <v>4499</v>
      </c>
      <c r="AW22" t="s">
        <v>4499</v>
      </c>
      <c r="AX22" t="s">
        <v>4499</v>
      </c>
      <c r="AY22">
        <v>214</v>
      </c>
      <c r="AZ22">
        <v>11002</v>
      </c>
      <c r="BA22">
        <v>1</v>
      </c>
      <c r="BB22" t="s">
        <v>4500</v>
      </c>
      <c r="BC22" t="s">
        <v>1814</v>
      </c>
      <c r="BD22">
        <v>930025</v>
      </c>
      <c r="BE22" t="s">
        <v>4501</v>
      </c>
      <c r="BF22" t="s">
        <v>4502</v>
      </c>
      <c r="BG22">
        <v>100</v>
      </c>
      <c r="BH22">
        <v>10604</v>
      </c>
      <c r="BI22">
        <v>0</v>
      </c>
    </row>
    <row r="23" spans="1:61" x14ac:dyDescent="0.25">
      <c r="A23">
        <v>1001</v>
      </c>
      <c r="B23" t="s">
        <v>4595</v>
      </c>
      <c r="C23" t="s">
        <v>977</v>
      </c>
      <c r="D23" t="s">
        <v>977</v>
      </c>
      <c r="E23" t="s">
        <v>4596</v>
      </c>
      <c r="G23" t="s">
        <v>4493</v>
      </c>
      <c r="H23" t="s">
        <v>4597</v>
      </c>
      <c r="I23">
        <v>1</v>
      </c>
      <c r="J23">
        <v>1</v>
      </c>
      <c r="K23" t="s">
        <v>978</v>
      </c>
      <c r="L23">
        <v>1</v>
      </c>
      <c r="M23">
        <v>101</v>
      </c>
      <c r="N23" t="s">
        <v>979</v>
      </c>
      <c r="O23">
        <v>10</v>
      </c>
      <c r="P23">
        <v>0</v>
      </c>
      <c r="Q23">
        <v>5</v>
      </c>
      <c r="R23">
        <v>900515</v>
      </c>
      <c r="S23">
        <v>2</v>
      </c>
      <c r="T23">
        <v>30006</v>
      </c>
      <c r="U23">
        <v>900511</v>
      </c>
      <c r="V23">
        <v>900512</v>
      </c>
      <c r="W23" t="s">
        <v>4598</v>
      </c>
      <c r="X23" t="s">
        <v>329</v>
      </c>
      <c r="Y23" t="s">
        <v>4599</v>
      </c>
      <c r="Z23">
        <v>900510</v>
      </c>
      <c r="AA23">
        <v>10</v>
      </c>
      <c r="AB23">
        <v>10</v>
      </c>
      <c r="AC23">
        <v>5</v>
      </c>
      <c r="AD23">
        <v>5</v>
      </c>
      <c r="AE23">
        <v>95</v>
      </c>
      <c r="AF23">
        <v>95</v>
      </c>
      <c r="AG23">
        <v>116</v>
      </c>
      <c r="AH23">
        <v>90</v>
      </c>
      <c r="AI23">
        <v>120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12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4600</v>
      </c>
      <c r="AV23" t="s">
        <v>4499</v>
      </c>
      <c r="AW23" t="s">
        <v>4499</v>
      </c>
      <c r="AX23" t="s">
        <v>4499</v>
      </c>
      <c r="AY23">
        <v>5</v>
      </c>
      <c r="AZ23">
        <v>11001</v>
      </c>
      <c r="BA23">
        <v>1</v>
      </c>
      <c r="BB23" t="s">
        <v>4500</v>
      </c>
      <c r="BC23" t="s">
        <v>1814</v>
      </c>
      <c r="BD23">
        <v>930001</v>
      </c>
      <c r="BE23" t="s">
        <v>4501</v>
      </c>
      <c r="BF23" t="s">
        <v>4502</v>
      </c>
      <c r="BG23">
        <v>100</v>
      </c>
      <c r="BH23">
        <v>10604</v>
      </c>
    </row>
    <row r="24" spans="1:61" x14ac:dyDescent="0.25">
      <c r="A24">
        <v>1023</v>
      </c>
      <c r="B24" t="s">
        <v>6976</v>
      </c>
      <c r="C24" t="s">
        <v>6977</v>
      </c>
      <c r="D24" t="s">
        <v>6977</v>
      </c>
      <c r="E24" t="s">
        <v>6978</v>
      </c>
      <c r="F24" t="s">
        <v>6798</v>
      </c>
      <c r="G24" t="s">
        <v>4493</v>
      </c>
      <c r="H24" t="s">
        <v>6979</v>
      </c>
      <c r="I24">
        <v>1</v>
      </c>
      <c r="J24">
        <v>1</v>
      </c>
      <c r="K24" t="s">
        <v>978</v>
      </c>
      <c r="L24">
        <v>1</v>
      </c>
      <c r="M24">
        <v>123</v>
      </c>
      <c r="N24" t="s">
        <v>979</v>
      </c>
      <c r="O24">
        <v>10</v>
      </c>
      <c r="P24">
        <v>0</v>
      </c>
      <c r="Q24">
        <v>5</v>
      </c>
      <c r="R24">
        <v>750700</v>
      </c>
      <c r="S24">
        <v>1</v>
      </c>
      <c r="T24">
        <v>750702</v>
      </c>
      <c r="U24">
        <v>750703</v>
      </c>
      <c r="V24">
        <v>750704</v>
      </c>
      <c r="W24" t="s">
        <v>6980</v>
      </c>
      <c r="X24" t="s">
        <v>6981</v>
      </c>
      <c r="Y24" t="s">
        <v>329</v>
      </c>
      <c r="Z24">
        <v>750706</v>
      </c>
      <c r="AA24">
        <v>10</v>
      </c>
      <c r="AB24">
        <v>10</v>
      </c>
      <c r="AC24">
        <v>5</v>
      </c>
      <c r="AD24">
        <v>5</v>
      </c>
      <c r="AE24">
        <v>135</v>
      </c>
      <c r="AF24">
        <v>112</v>
      </c>
      <c r="AG24">
        <v>100</v>
      </c>
      <c r="AH24">
        <v>126</v>
      </c>
      <c r="AI24">
        <v>90</v>
      </c>
      <c r="AJ24">
        <v>0</v>
      </c>
      <c r="AK24">
        <v>15</v>
      </c>
      <c r="AL24">
        <v>20</v>
      </c>
      <c r="AM24">
        <v>150</v>
      </c>
      <c r="AN24">
        <v>100</v>
      </c>
      <c r="AO24">
        <v>18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6982</v>
      </c>
      <c r="AV24" t="s">
        <v>4499</v>
      </c>
      <c r="AW24" t="s">
        <v>4499</v>
      </c>
      <c r="AX24" t="s">
        <v>4499</v>
      </c>
      <c r="AY24">
        <v>181</v>
      </c>
      <c r="AZ24">
        <v>11002</v>
      </c>
      <c r="BA24">
        <v>1</v>
      </c>
      <c r="BB24" t="s">
        <v>6983</v>
      </c>
      <c r="BC24" t="s">
        <v>1814</v>
      </c>
      <c r="BD24">
        <v>930024</v>
      </c>
      <c r="BE24" t="s">
        <v>4501</v>
      </c>
      <c r="BF24" t="s">
        <v>4502</v>
      </c>
      <c r="BG24">
        <v>100</v>
      </c>
      <c r="BH24">
        <v>10604</v>
      </c>
      <c r="BI24">
        <v>0</v>
      </c>
    </row>
    <row r="25" spans="1:61" x14ac:dyDescent="0.25">
      <c r="A25">
        <v>1007</v>
      </c>
      <c r="B25" t="s">
        <v>4601</v>
      </c>
      <c r="C25" t="s">
        <v>985</v>
      </c>
      <c r="D25" t="s">
        <v>985</v>
      </c>
      <c r="E25" t="s">
        <v>4602</v>
      </c>
      <c r="G25" t="s">
        <v>4493</v>
      </c>
      <c r="H25" t="s">
        <v>4603</v>
      </c>
      <c r="I25">
        <v>1</v>
      </c>
      <c r="J25">
        <v>1</v>
      </c>
      <c r="K25" t="s">
        <v>978</v>
      </c>
      <c r="L25">
        <v>1</v>
      </c>
      <c r="M25">
        <v>107</v>
      </c>
      <c r="N25" t="s">
        <v>979</v>
      </c>
      <c r="O25">
        <v>10</v>
      </c>
      <c r="P25">
        <v>0</v>
      </c>
      <c r="Q25">
        <v>5</v>
      </c>
      <c r="R25">
        <v>900833</v>
      </c>
      <c r="S25">
        <v>2</v>
      </c>
      <c r="T25">
        <v>30008</v>
      </c>
      <c r="U25">
        <v>900831</v>
      </c>
      <c r="V25">
        <v>900832</v>
      </c>
      <c r="W25" t="s">
        <v>4604</v>
      </c>
      <c r="X25" t="s">
        <v>329</v>
      </c>
      <c r="Y25" t="s">
        <v>4605</v>
      </c>
      <c r="Z25">
        <v>900830</v>
      </c>
      <c r="AA25">
        <v>10</v>
      </c>
      <c r="AB25">
        <v>10</v>
      </c>
      <c r="AC25">
        <v>5</v>
      </c>
      <c r="AD25">
        <v>5</v>
      </c>
      <c r="AE25">
        <v>105</v>
      </c>
      <c r="AF25">
        <v>105</v>
      </c>
      <c r="AG25">
        <v>105</v>
      </c>
      <c r="AH25">
        <v>105</v>
      </c>
      <c r="AI25">
        <v>105</v>
      </c>
      <c r="AJ25">
        <v>0</v>
      </c>
      <c r="AK25">
        <v>15</v>
      </c>
      <c r="AL25">
        <v>40</v>
      </c>
      <c r="AM25">
        <v>150</v>
      </c>
      <c r="AN25">
        <v>100</v>
      </c>
      <c r="AO25">
        <v>15</v>
      </c>
      <c r="AP25">
        <v>0</v>
      </c>
      <c r="AQ25">
        <v>2</v>
      </c>
      <c r="AR25">
        <v>15</v>
      </c>
      <c r="AS25">
        <v>500</v>
      </c>
      <c r="AT25">
        <v>7</v>
      </c>
      <c r="AU25" t="s">
        <v>4606</v>
      </c>
      <c r="AV25" t="s">
        <v>4499</v>
      </c>
      <c r="AW25" t="s">
        <v>4499</v>
      </c>
      <c r="AX25" t="s">
        <v>4499</v>
      </c>
      <c r="AY25">
        <v>21</v>
      </c>
      <c r="AZ25">
        <v>11002</v>
      </c>
      <c r="BA25">
        <v>1</v>
      </c>
      <c r="BB25" t="s">
        <v>4500</v>
      </c>
      <c r="BC25" t="s">
        <v>1814</v>
      </c>
      <c r="BD25">
        <v>930007</v>
      </c>
      <c r="BE25" t="s">
        <v>4501</v>
      </c>
      <c r="BF25" t="s">
        <v>4502</v>
      </c>
      <c r="BG25">
        <v>88</v>
      </c>
      <c r="BH25">
        <v>10603</v>
      </c>
    </row>
    <row r="26" spans="1:61" x14ac:dyDescent="0.25">
      <c r="A26">
        <v>2003</v>
      </c>
      <c r="B26" t="s">
        <v>4607</v>
      </c>
      <c r="C26" t="s">
        <v>996</v>
      </c>
      <c r="D26" t="s">
        <v>996</v>
      </c>
      <c r="E26" t="s">
        <v>4608</v>
      </c>
      <c r="G26" t="s">
        <v>4493</v>
      </c>
      <c r="H26" t="s">
        <v>4609</v>
      </c>
      <c r="I26">
        <v>1</v>
      </c>
      <c r="J26">
        <v>2</v>
      </c>
      <c r="K26" t="s">
        <v>997</v>
      </c>
      <c r="L26">
        <v>5</v>
      </c>
      <c r="M26">
        <v>203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600701</v>
      </c>
      <c r="V26">
        <v>600703</v>
      </c>
      <c r="W26" t="s">
        <v>1814</v>
      </c>
      <c r="X26" t="s">
        <v>4507</v>
      </c>
      <c r="Y26" t="s">
        <v>4610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140</v>
      </c>
      <c r="AF26">
        <v>90</v>
      </c>
      <c r="AG26">
        <v>75</v>
      </c>
      <c r="AH26">
        <v>110</v>
      </c>
      <c r="AI26">
        <v>40</v>
      </c>
      <c r="AJ26">
        <v>100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15</v>
      </c>
      <c r="AZ26">
        <v>3045</v>
      </c>
      <c r="BA26">
        <v>9</v>
      </c>
      <c r="BB26" t="s">
        <v>4500</v>
      </c>
      <c r="BC26" t="s">
        <v>1814</v>
      </c>
      <c r="BD26">
        <v>910015</v>
      </c>
      <c r="BE26" t="s">
        <v>4501</v>
      </c>
      <c r="BF26" t="s">
        <v>4502</v>
      </c>
      <c r="BG26">
        <v>100</v>
      </c>
      <c r="BH26">
        <v>0</v>
      </c>
    </row>
    <row r="27" spans="1:61" x14ac:dyDescent="0.25">
      <c r="A27">
        <v>2014</v>
      </c>
      <c r="B27" t="s">
        <v>4611</v>
      </c>
      <c r="C27" t="s">
        <v>1010</v>
      </c>
      <c r="D27" t="s">
        <v>1010</v>
      </c>
      <c r="E27" t="s">
        <v>4612</v>
      </c>
      <c r="G27" t="s">
        <v>4493</v>
      </c>
      <c r="H27" t="s">
        <v>4613</v>
      </c>
      <c r="I27">
        <v>1</v>
      </c>
      <c r="J27">
        <v>2</v>
      </c>
      <c r="K27" t="s">
        <v>997</v>
      </c>
      <c r="L27">
        <v>5</v>
      </c>
      <c r="M27">
        <v>214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902200</v>
      </c>
      <c r="V27">
        <v>902201</v>
      </c>
      <c r="W27" t="s">
        <v>1814</v>
      </c>
      <c r="X27" t="s">
        <v>4507</v>
      </c>
      <c r="Y27" t="s">
        <v>329</v>
      </c>
      <c r="Z27">
        <v>600704</v>
      </c>
      <c r="AA27">
        <v>10</v>
      </c>
      <c r="AB27">
        <v>10</v>
      </c>
      <c r="AC27">
        <v>5</v>
      </c>
      <c r="AD27">
        <v>5</v>
      </c>
      <c r="AE27">
        <v>180</v>
      </c>
      <c r="AF27">
        <v>75</v>
      </c>
      <c r="AG27">
        <v>50</v>
      </c>
      <c r="AH27">
        <v>110</v>
      </c>
      <c r="AI27">
        <v>50</v>
      </c>
      <c r="AJ27">
        <v>105</v>
      </c>
      <c r="AK27">
        <v>15</v>
      </c>
      <c r="AL27">
        <v>20</v>
      </c>
      <c r="AM27">
        <v>150</v>
      </c>
      <c r="AN27">
        <v>95</v>
      </c>
      <c r="AO27">
        <v>8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60</v>
      </c>
      <c r="AZ27">
        <v>3045</v>
      </c>
      <c r="BA27">
        <v>9</v>
      </c>
      <c r="BB27" t="s">
        <v>4500</v>
      </c>
      <c r="BC27" t="s">
        <v>1814</v>
      </c>
      <c r="BD27">
        <v>911011</v>
      </c>
      <c r="BE27" t="s">
        <v>4501</v>
      </c>
      <c r="BF27" t="s">
        <v>4502</v>
      </c>
      <c r="BG27">
        <v>95</v>
      </c>
      <c r="BH27">
        <v>0</v>
      </c>
    </row>
    <row r="28" spans="1:61" x14ac:dyDescent="0.25">
      <c r="A28">
        <v>2001</v>
      </c>
      <c r="B28" t="s">
        <v>4614</v>
      </c>
      <c r="C28" t="s">
        <v>994</v>
      </c>
      <c r="D28" t="s">
        <v>994</v>
      </c>
      <c r="E28" t="s">
        <v>4615</v>
      </c>
      <c r="G28" t="s">
        <v>4493</v>
      </c>
      <c r="H28" t="s">
        <v>4616</v>
      </c>
      <c r="I28">
        <v>1</v>
      </c>
      <c r="J28">
        <v>2</v>
      </c>
      <c r="K28" t="s">
        <v>981</v>
      </c>
      <c r="L28">
        <v>5</v>
      </c>
      <c r="M28">
        <v>201</v>
      </c>
      <c r="N28" t="s">
        <v>979</v>
      </c>
      <c r="O28">
        <v>4</v>
      </c>
      <c r="P28">
        <v>0</v>
      </c>
      <c r="Q28">
        <v>4</v>
      </c>
      <c r="R28">
        <v>0</v>
      </c>
      <c r="S28">
        <v>1</v>
      </c>
      <c r="T28">
        <v>0</v>
      </c>
      <c r="U28">
        <v>900578</v>
      </c>
      <c r="V28">
        <v>900579</v>
      </c>
      <c r="W28" t="s">
        <v>1814</v>
      </c>
      <c r="X28" t="s">
        <v>4507</v>
      </c>
      <c r="Y28" t="s">
        <v>4617</v>
      </c>
      <c r="Z28">
        <v>900577</v>
      </c>
      <c r="AA28">
        <v>10</v>
      </c>
      <c r="AB28">
        <v>10</v>
      </c>
      <c r="AC28">
        <v>5</v>
      </c>
      <c r="AD28">
        <v>5</v>
      </c>
      <c r="AE28">
        <v>75</v>
      </c>
      <c r="AF28">
        <v>62</v>
      </c>
      <c r="AG28">
        <v>80</v>
      </c>
      <c r="AH28">
        <v>100</v>
      </c>
      <c r="AI28">
        <v>90</v>
      </c>
      <c r="AJ28">
        <v>0</v>
      </c>
      <c r="AK28">
        <v>180</v>
      </c>
      <c r="AL28">
        <v>10</v>
      </c>
      <c r="AM28">
        <v>150</v>
      </c>
      <c r="AN28">
        <v>95</v>
      </c>
      <c r="AO28">
        <v>20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28</v>
      </c>
      <c r="AZ28">
        <v>3045</v>
      </c>
      <c r="BA28">
        <v>7</v>
      </c>
      <c r="BB28" t="s">
        <v>4500</v>
      </c>
      <c r="BC28" t="s">
        <v>1814</v>
      </c>
      <c r="BD28">
        <v>910017</v>
      </c>
      <c r="BE28" t="s">
        <v>4501</v>
      </c>
      <c r="BF28" t="s">
        <v>4502</v>
      </c>
      <c r="BG28">
        <v>75</v>
      </c>
      <c r="BH28">
        <v>0</v>
      </c>
    </row>
    <row r="29" spans="1:61" x14ac:dyDescent="0.25">
      <c r="A29">
        <v>2002</v>
      </c>
      <c r="B29" t="s">
        <v>4618</v>
      </c>
      <c r="C29" t="s">
        <v>995</v>
      </c>
      <c r="D29" t="s">
        <v>995</v>
      </c>
      <c r="E29" t="s">
        <v>4619</v>
      </c>
      <c r="G29" t="s">
        <v>4493</v>
      </c>
      <c r="H29" t="s">
        <v>4620</v>
      </c>
      <c r="I29">
        <v>1</v>
      </c>
      <c r="J29">
        <v>2</v>
      </c>
      <c r="K29" t="s">
        <v>981</v>
      </c>
      <c r="L29">
        <v>5</v>
      </c>
      <c r="M29">
        <v>202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900520</v>
      </c>
      <c r="V29">
        <v>900527</v>
      </c>
      <c r="W29" t="s">
        <v>1814</v>
      </c>
      <c r="X29" t="s">
        <v>4621</v>
      </c>
      <c r="Y29" t="s">
        <v>329</v>
      </c>
      <c r="Z29">
        <v>900519</v>
      </c>
      <c r="AA29">
        <v>10</v>
      </c>
      <c r="AB29">
        <v>10</v>
      </c>
      <c r="AC29">
        <v>5</v>
      </c>
      <c r="AD29">
        <v>5</v>
      </c>
      <c r="AE29">
        <v>132</v>
      </c>
      <c r="AF29">
        <v>105</v>
      </c>
      <c r="AG29">
        <v>65</v>
      </c>
      <c r="AH29">
        <v>105</v>
      </c>
      <c r="AI29">
        <v>75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12</v>
      </c>
      <c r="AZ29">
        <v>3045</v>
      </c>
      <c r="BA29">
        <v>8</v>
      </c>
      <c r="BB29" t="s">
        <v>4500</v>
      </c>
      <c r="BC29" t="s">
        <v>1814</v>
      </c>
      <c r="BD29">
        <v>910008</v>
      </c>
      <c r="BE29" t="s">
        <v>4501</v>
      </c>
      <c r="BF29" t="s">
        <v>4502</v>
      </c>
      <c r="BG29">
        <v>90</v>
      </c>
      <c r="BH29">
        <v>0</v>
      </c>
    </row>
    <row r="30" spans="1:61" x14ac:dyDescent="0.25">
      <c r="A30">
        <v>2012</v>
      </c>
      <c r="B30" t="s">
        <v>4622</v>
      </c>
      <c r="C30" t="s">
        <v>1008</v>
      </c>
      <c r="D30" t="s">
        <v>1008</v>
      </c>
      <c r="E30" t="s">
        <v>4623</v>
      </c>
      <c r="G30" t="s">
        <v>4493</v>
      </c>
      <c r="H30" t="s">
        <v>4624</v>
      </c>
      <c r="I30">
        <v>1</v>
      </c>
      <c r="J30">
        <v>2</v>
      </c>
      <c r="K30" t="s">
        <v>981</v>
      </c>
      <c r="L30">
        <v>5</v>
      </c>
      <c r="M30">
        <v>212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900982</v>
      </c>
      <c r="V30">
        <v>900981</v>
      </c>
      <c r="W30" t="s">
        <v>1814</v>
      </c>
      <c r="X30" t="s">
        <v>4507</v>
      </c>
      <c r="Y30" t="s">
        <v>4625</v>
      </c>
      <c r="Z30">
        <v>900980</v>
      </c>
      <c r="AA30">
        <v>10</v>
      </c>
      <c r="AB30">
        <v>10</v>
      </c>
      <c r="AC30">
        <v>5</v>
      </c>
      <c r="AD30">
        <v>5</v>
      </c>
      <c r="AE30">
        <v>135</v>
      </c>
      <c r="AF30">
        <v>122</v>
      </c>
      <c r="AG30">
        <v>65</v>
      </c>
      <c r="AH30">
        <v>115</v>
      </c>
      <c r="AI30">
        <v>80</v>
      </c>
      <c r="AJ30">
        <v>0</v>
      </c>
      <c r="AK30">
        <v>50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329</v>
      </c>
      <c r="AV30" t="s">
        <v>329</v>
      </c>
      <c r="AW30" t="s">
        <v>329</v>
      </c>
      <c r="AX30" t="s">
        <v>329</v>
      </c>
      <c r="AY30">
        <v>58</v>
      </c>
      <c r="AZ30">
        <v>3045</v>
      </c>
      <c r="BA30">
        <v>8</v>
      </c>
      <c r="BB30" t="s">
        <v>4500</v>
      </c>
      <c r="BC30" t="s">
        <v>1814</v>
      </c>
      <c r="BD30">
        <v>911008</v>
      </c>
      <c r="BE30" t="s">
        <v>4501</v>
      </c>
      <c r="BF30" t="s">
        <v>4502</v>
      </c>
      <c r="BG30">
        <v>90</v>
      </c>
      <c r="BH30">
        <v>0</v>
      </c>
    </row>
    <row r="31" spans="1:61" x14ac:dyDescent="0.25">
      <c r="A31">
        <v>2016</v>
      </c>
      <c r="B31" t="s">
        <v>5669</v>
      </c>
      <c r="C31" t="s">
        <v>5673</v>
      </c>
      <c r="D31" t="s">
        <v>5670</v>
      </c>
      <c r="E31" t="s">
        <v>5671</v>
      </c>
      <c r="G31" t="s">
        <v>4493</v>
      </c>
      <c r="H31" t="s">
        <v>5672</v>
      </c>
      <c r="I31">
        <v>1</v>
      </c>
      <c r="J31">
        <v>2</v>
      </c>
      <c r="K31" t="s">
        <v>981</v>
      </c>
      <c r="L31">
        <v>5</v>
      </c>
      <c r="M31">
        <v>216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750298</v>
      </c>
      <c r="W31" t="s">
        <v>1814</v>
      </c>
      <c r="X31" t="s">
        <v>4507</v>
      </c>
      <c r="Y31" t="s">
        <v>4629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200</v>
      </c>
      <c r="AF31">
        <v>115</v>
      </c>
      <c r="AG31">
        <v>75</v>
      </c>
      <c r="AH31">
        <v>165</v>
      </c>
      <c r="AI31">
        <v>40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108</v>
      </c>
      <c r="AZ31">
        <v>3045</v>
      </c>
      <c r="BA31">
        <v>8</v>
      </c>
      <c r="BB31" t="s">
        <v>4500</v>
      </c>
      <c r="BC31" t="s">
        <v>1814</v>
      </c>
      <c r="BD31">
        <v>913124</v>
      </c>
      <c r="BE31" t="s">
        <v>4501</v>
      </c>
      <c r="BF31" t="s">
        <v>4502</v>
      </c>
      <c r="BG31">
        <v>95</v>
      </c>
      <c r="BH31">
        <v>0</v>
      </c>
    </row>
    <row r="32" spans="1:61" x14ac:dyDescent="0.25">
      <c r="A32">
        <v>2008</v>
      </c>
      <c r="B32" t="s">
        <v>4626</v>
      </c>
      <c r="C32" t="s">
        <v>1003</v>
      </c>
      <c r="D32" t="s">
        <v>1003</v>
      </c>
      <c r="E32" t="s">
        <v>4627</v>
      </c>
      <c r="G32" t="s">
        <v>4493</v>
      </c>
      <c r="H32" t="s">
        <v>4628</v>
      </c>
      <c r="I32">
        <v>1</v>
      </c>
      <c r="J32">
        <v>2</v>
      </c>
      <c r="K32" t="s">
        <v>981</v>
      </c>
      <c r="L32">
        <v>5</v>
      </c>
      <c r="M32">
        <v>208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900746</v>
      </c>
      <c r="V32">
        <v>900744</v>
      </c>
      <c r="W32" t="s">
        <v>1814</v>
      </c>
      <c r="X32" t="s">
        <v>4507</v>
      </c>
      <c r="Y32" t="s">
        <v>4629</v>
      </c>
      <c r="Z32">
        <v>900745</v>
      </c>
      <c r="AA32">
        <v>10</v>
      </c>
      <c r="AB32">
        <v>10</v>
      </c>
      <c r="AC32">
        <v>5</v>
      </c>
      <c r="AD32">
        <v>5</v>
      </c>
      <c r="AE32">
        <v>140</v>
      </c>
      <c r="AF32">
        <v>100</v>
      </c>
      <c r="AG32">
        <v>75</v>
      </c>
      <c r="AH32">
        <v>130</v>
      </c>
      <c r="AI32">
        <v>80</v>
      </c>
      <c r="AJ32">
        <v>0</v>
      </c>
      <c r="AK32">
        <v>50</v>
      </c>
      <c r="AL32">
        <v>20</v>
      </c>
      <c r="AM32">
        <v>150</v>
      </c>
      <c r="AN32">
        <v>95</v>
      </c>
      <c r="AO32">
        <v>16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329</v>
      </c>
      <c r="AV32" t="s">
        <v>329</v>
      </c>
      <c r="AW32" t="s">
        <v>329</v>
      </c>
      <c r="AX32" t="s">
        <v>329</v>
      </c>
      <c r="AY32">
        <v>57</v>
      </c>
      <c r="AZ32">
        <v>3045</v>
      </c>
      <c r="BA32">
        <v>8</v>
      </c>
      <c r="BB32" t="s">
        <v>4500</v>
      </c>
      <c r="BC32" t="s">
        <v>1814</v>
      </c>
      <c r="BD32">
        <v>911007</v>
      </c>
      <c r="BE32" t="s">
        <v>4501</v>
      </c>
      <c r="BF32" t="s">
        <v>4502</v>
      </c>
      <c r="BG32">
        <v>90</v>
      </c>
      <c r="BH32">
        <v>0</v>
      </c>
    </row>
    <row r="33" spans="1:61" x14ac:dyDescent="0.25">
      <c r="A33">
        <v>2015</v>
      </c>
      <c r="B33" t="s">
        <v>4503</v>
      </c>
      <c r="C33" t="s">
        <v>4504</v>
      </c>
      <c r="D33" t="s">
        <v>4504</v>
      </c>
      <c r="E33" t="s">
        <v>4505</v>
      </c>
      <c r="G33" t="s">
        <v>4493</v>
      </c>
      <c r="H33" t="s">
        <v>4506</v>
      </c>
      <c r="I33">
        <v>1</v>
      </c>
      <c r="J33">
        <v>2</v>
      </c>
      <c r="K33" t="s">
        <v>978</v>
      </c>
      <c r="L33">
        <v>5</v>
      </c>
      <c r="M33">
        <v>215</v>
      </c>
      <c r="N33" t="s">
        <v>979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750056</v>
      </c>
      <c r="V33">
        <v>750058</v>
      </c>
      <c r="W33" t="s">
        <v>1814</v>
      </c>
      <c r="X33" t="s">
        <v>4507</v>
      </c>
      <c r="Y33" t="s">
        <v>329</v>
      </c>
      <c r="Z33">
        <v>750057</v>
      </c>
      <c r="AA33">
        <v>10</v>
      </c>
      <c r="AB33">
        <v>10</v>
      </c>
      <c r="AC33">
        <v>5</v>
      </c>
      <c r="AD33">
        <v>5</v>
      </c>
      <c r="AE33">
        <v>80</v>
      </c>
      <c r="AF33">
        <v>140</v>
      </c>
      <c r="AG33">
        <v>70</v>
      </c>
      <c r="AH33">
        <v>130</v>
      </c>
      <c r="AI33">
        <v>55</v>
      </c>
      <c r="AJ33">
        <v>0</v>
      </c>
      <c r="AK33">
        <v>180</v>
      </c>
      <c r="AL33">
        <v>50</v>
      </c>
      <c r="AM33">
        <v>200</v>
      </c>
      <c r="AN33">
        <v>95</v>
      </c>
      <c r="AO33">
        <v>6</v>
      </c>
      <c r="AP33">
        <v>0</v>
      </c>
      <c r="AQ33">
        <v>2</v>
      </c>
      <c r="AR33">
        <v>15</v>
      </c>
      <c r="AS33">
        <v>500</v>
      </c>
      <c r="AT33">
        <v>9</v>
      </c>
      <c r="AU33" t="s">
        <v>329</v>
      </c>
      <c r="AV33" t="s">
        <v>329</v>
      </c>
      <c r="AW33" t="s">
        <v>329</v>
      </c>
      <c r="AX33" t="s">
        <v>329</v>
      </c>
      <c r="AY33">
        <v>56</v>
      </c>
      <c r="AZ33">
        <v>3045</v>
      </c>
      <c r="BA33">
        <v>17</v>
      </c>
      <c r="BB33" t="s">
        <v>4500</v>
      </c>
      <c r="BC33" t="s">
        <v>1814</v>
      </c>
      <c r="BD33">
        <v>911006</v>
      </c>
      <c r="BE33" t="s">
        <v>4501</v>
      </c>
      <c r="BF33" t="s">
        <v>4502</v>
      </c>
      <c r="BG33">
        <v>95</v>
      </c>
      <c r="BH33">
        <v>0</v>
      </c>
    </row>
    <row r="34" spans="1:61" x14ac:dyDescent="0.25">
      <c r="A34">
        <v>2006</v>
      </c>
      <c r="B34" t="s">
        <v>4630</v>
      </c>
      <c r="C34" t="s">
        <v>1002</v>
      </c>
      <c r="D34" t="s">
        <v>1002</v>
      </c>
      <c r="E34" t="s">
        <v>4631</v>
      </c>
      <c r="G34" t="s">
        <v>4493</v>
      </c>
      <c r="H34" t="s">
        <v>4632</v>
      </c>
      <c r="I34">
        <v>1</v>
      </c>
      <c r="J34">
        <v>2</v>
      </c>
      <c r="K34" t="s">
        <v>999</v>
      </c>
      <c r="L34">
        <v>1</v>
      </c>
      <c r="M34">
        <v>206</v>
      </c>
      <c r="N34" t="s">
        <v>979</v>
      </c>
      <c r="O34">
        <v>10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900617</v>
      </c>
      <c r="V34">
        <v>900618</v>
      </c>
      <c r="W34" t="s">
        <v>1814</v>
      </c>
      <c r="X34" t="s">
        <v>4633</v>
      </c>
      <c r="Y34" t="s">
        <v>4634</v>
      </c>
      <c r="Z34">
        <v>900615</v>
      </c>
      <c r="AA34">
        <v>10</v>
      </c>
      <c r="AB34">
        <v>10</v>
      </c>
      <c r="AC34">
        <v>5</v>
      </c>
      <c r="AD34">
        <v>5</v>
      </c>
      <c r="AE34">
        <v>165</v>
      </c>
      <c r="AF34">
        <v>130</v>
      </c>
      <c r="AG34">
        <v>85</v>
      </c>
      <c r="AH34">
        <v>110</v>
      </c>
      <c r="AI34">
        <v>50</v>
      </c>
      <c r="AJ34">
        <v>120</v>
      </c>
      <c r="AK34">
        <v>180</v>
      </c>
      <c r="AL34">
        <v>20</v>
      </c>
      <c r="AM34">
        <v>150</v>
      </c>
      <c r="AN34">
        <v>75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5</v>
      </c>
      <c r="AU34" t="s">
        <v>329</v>
      </c>
      <c r="AV34" t="s">
        <v>329</v>
      </c>
      <c r="AW34" t="s">
        <v>329</v>
      </c>
      <c r="AX34" t="s">
        <v>329</v>
      </c>
      <c r="AY34">
        <v>16</v>
      </c>
      <c r="AZ34">
        <v>3045</v>
      </c>
      <c r="BA34">
        <v>9</v>
      </c>
      <c r="BB34" t="s">
        <v>4500</v>
      </c>
      <c r="BC34" t="s">
        <v>1814</v>
      </c>
      <c r="BD34">
        <v>910010</v>
      </c>
      <c r="BE34" t="s">
        <v>4501</v>
      </c>
      <c r="BF34" t="s">
        <v>4502</v>
      </c>
      <c r="BG34">
        <v>100</v>
      </c>
      <c r="BH34">
        <v>0</v>
      </c>
    </row>
    <row r="35" spans="1:61" x14ac:dyDescent="0.25">
      <c r="A35">
        <v>2004</v>
      </c>
      <c r="B35" t="s">
        <v>4635</v>
      </c>
      <c r="C35" t="s">
        <v>998</v>
      </c>
      <c r="D35" t="s">
        <v>998</v>
      </c>
      <c r="E35" t="s">
        <v>4636</v>
      </c>
      <c r="G35" t="s">
        <v>4493</v>
      </c>
      <c r="H35" t="s">
        <v>4637</v>
      </c>
      <c r="I35">
        <v>1</v>
      </c>
      <c r="J35">
        <v>2</v>
      </c>
      <c r="K35" t="s">
        <v>999</v>
      </c>
      <c r="L35">
        <v>5</v>
      </c>
      <c r="M35">
        <v>204</v>
      </c>
      <c r="N35" t="s">
        <v>979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900612</v>
      </c>
      <c r="V35">
        <v>900613</v>
      </c>
      <c r="W35" t="s">
        <v>1814</v>
      </c>
      <c r="X35" t="s">
        <v>4507</v>
      </c>
      <c r="Y35" t="s">
        <v>329</v>
      </c>
      <c r="Z35">
        <v>900611</v>
      </c>
      <c r="AA35">
        <v>10</v>
      </c>
      <c r="AB35">
        <v>10</v>
      </c>
      <c r="AC35">
        <v>5</v>
      </c>
      <c r="AD35">
        <v>5</v>
      </c>
      <c r="AE35">
        <v>98</v>
      </c>
      <c r="AF35">
        <v>165</v>
      </c>
      <c r="AG35">
        <v>60</v>
      </c>
      <c r="AH35">
        <v>110</v>
      </c>
      <c r="AI35">
        <v>30</v>
      </c>
      <c r="AJ35">
        <v>50</v>
      </c>
      <c r="AK35">
        <v>100</v>
      </c>
      <c r="AL35">
        <v>20</v>
      </c>
      <c r="AM35">
        <v>150</v>
      </c>
      <c r="AN35">
        <v>95</v>
      </c>
      <c r="AO35">
        <v>8</v>
      </c>
      <c r="AP35">
        <v>0</v>
      </c>
      <c r="AQ35">
        <v>2</v>
      </c>
      <c r="AR35">
        <v>15</v>
      </c>
      <c r="AS35">
        <v>500</v>
      </c>
      <c r="AT35">
        <v>3</v>
      </c>
      <c r="AU35" t="s">
        <v>329</v>
      </c>
      <c r="AV35" t="s">
        <v>329</v>
      </c>
      <c r="AW35" t="s">
        <v>329</v>
      </c>
      <c r="AX35" t="s">
        <v>329</v>
      </c>
      <c r="AY35">
        <v>14</v>
      </c>
      <c r="AZ35">
        <v>3045</v>
      </c>
      <c r="BA35">
        <v>9</v>
      </c>
      <c r="BB35" t="s">
        <v>4500</v>
      </c>
      <c r="BC35" t="s">
        <v>1814</v>
      </c>
      <c r="BD35">
        <v>910016</v>
      </c>
      <c r="BE35" t="s">
        <v>4501</v>
      </c>
      <c r="BF35" t="s">
        <v>4502</v>
      </c>
      <c r="BG35">
        <v>100</v>
      </c>
      <c r="BH35">
        <v>0</v>
      </c>
    </row>
    <row r="36" spans="1:61" x14ac:dyDescent="0.25">
      <c r="A36">
        <v>2011</v>
      </c>
      <c r="B36" t="s">
        <v>4638</v>
      </c>
      <c r="C36" t="s">
        <v>1006</v>
      </c>
      <c r="D36" t="s">
        <v>1006</v>
      </c>
      <c r="E36" t="s">
        <v>4639</v>
      </c>
      <c r="G36" t="s">
        <v>4493</v>
      </c>
      <c r="H36" t="s">
        <v>4640</v>
      </c>
      <c r="I36">
        <v>1</v>
      </c>
      <c r="J36">
        <v>2</v>
      </c>
      <c r="K36" t="s">
        <v>1007</v>
      </c>
      <c r="L36">
        <v>5</v>
      </c>
      <c r="M36">
        <v>211</v>
      </c>
      <c r="N36" t="s">
        <v>979</v>
      </c>
      <c r="O36">
        <v>4</v>
      </c>
      <c r="P36">
        <v>0</v>
      </c>
      <c r="Q36">
        <v>4</v>
      </c>
      <c r="R36">
        <v>0</v>
      </c>
      <c r="S36">
        <v>1</v>
      </c>
      <c r="T36">
        <v>0</v>
      </c>
      <c r="U36">
        <v>900934</v>
      </c>
      <c r="V36">
        <v>900937</v>
      </c>
      <c r="W36" t="s">
        <v>1814</v>
      </c>
      <c r="X36" t="s">
        <v>4507</v>
      </c>
      <c r="Y36" t="s">
        <v>4641</v>
      </c>
      <c r="Z36">
        <v>900574</v>
      </c>
      <c r="AA36">
        <v>10</v>
      </c>
      <c r="AB36">
        <v>10</v>
      </c>
      <c r="AC36">
        <v>5</v>
      </c>
      <c r="AD36">
        <v>5</v>
      </c>
      <c r="AE36">
        <v>95</v>
      </c>
      <c r="AF36">
        <v>75</v>
      </c>
      <c r="AG36">
        <v>120</v>
      </c>
      <c r="AH36">
        <v>110</v>
      </c>
      <c r="AI36">
        <v>95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1</v>
      </c>
      <c r="AR36">
        <v>15</v>
      </c>
      <c r="AS36">
        <v>500</v>
      </c>
      <c r="AT36">
        <v>4</v>
      </c>
      <c r="AU36" t="s">
        <v>329</v>
      </c>
      <c r="AV36" t="s">
        <v>329</v>
      </c>
      <c r="AW36" t="s">
        <v>329</v>
      </c>
      <c r="AX36" t="s">
        <v>329</v>
      </c>
      <c r="AY36">
        <v>55</v>
      </c>
      <c r="AZ36">
        <v>3045</v>
      </c>
      <c r="BA36">
        <v>21</v>
      </c>
      <c r="BB36" t="s">
        <v>4500</v>
      </c>
      <c r="BC36" t="s">
        <v>1814</v>
      </c>
      <c r="BD36">
        <v>911001</v>
      </c>
      <c r="BE36" t="s">
        <v>4501</v>
      </c>
      <c r="BF36" t="s">
        <v>4502</v>
      </c>
      <c r="BG36">
        <v>80</v>
      </c>
      <c r="BH36">
        <v>0</v>
      </c>
    </row>
    <row r="37" spans="1:61" x14ac:dyDescent="0.25">
      <c r="A37">
        <v>2018</v>
      </c>
      <c r="B37" t="s">
        <v>6543</v>
      </c>
      <c r="C37" t="s">
        <v>6551</v>
      </c>
      <c r="D37" t="s">
        <v>6544</v>
      </c>
      <c r="E37" t="s">
        <v>6545</v>
      </c>
      <c r="G37" t="s">
        <v>4493</v>
      </c>
      <c r="H37" t="s">
        <v>6546</v>
      </c>
      <c r="I37">
        <v>1</v>
      </c>
      <c r="J37">
        <v>2</v>
      </c>
      <c r="K37" t="s">
        <v>999</v>
      </c>
      <c r="L37">
        <v>1</v>
      </c>
      <c r="M37">
        <v>218</v>
      </c>
      <c r="N37" t="s">
        <v>6547</v>
      </c>
      <c r="O37">
        <v>8</v>
      </c>
      <c r="P37">
        <v>0</v>
      </c>
      <c r="Q37">
        <v>4</v>
      </c>
      <c r="R37">
        <v>0</v>
      </c>
      <c r="S37">
        <v>1</v>
      </c>
      <c r="T37">
        <v>0</v>
      </c>
      <c r="U37">
        <v>750433</v>
      </c>
      <c r="V37">
        <v>750444</v>
      </c>
      <c r="W37" t="s">
        <v>1814</v>
      </c>
      <c r="X37" t="s">
        <v>6548</v>
      </c>
      <c r="Y37" t="s">
        <v>6549</v>
      </c>
      <c r="Z37">
        <v>900107</v>
      </c>
      <c r="AA37">
        <v>10</v>
      </c>
      <c r="AB37">
        <v>10</v>
      </c>
      <c r="AC37">
        <v>5</v>
      </c>
      <c r="AD37">
        <v>5</v>
      </c>
      <c r="AE37">
        <v>100</v>
      </c>
      <c r="AF37">
        <v>330</v>
      </c>
      <c r="AG37">
        <v>95</v>
      </c>
      <c r="AH37">
        <v>300</v>
      </c>
      <c r="AI37">
        <v>0</v>
      </c>
      <c r="AJ37">
        <v>85</v>
      </c>
      <c r="AK37">
        <v>100</v>
      </c>
      <c r="AL37">
        <v>5</v>
      </c>
      <c r="AM37">
        <v>150</v>
      </c>
      <c r="AN37">
        <v>75</v>
      </c>
      <c r="AO37">
        <v>3</v>
      </c>
      <c r="AP37">
        <v>0</v>
      </c>
      <c r="AQ37">
        <v>2</v>
      </c>
      <c r="AR37">
        <v>15</v>
      </c>
      <c r="AS37">
        <v>500</v>
      </c>
      <c r="AT37">
        <v>5</v>
      </c>
      <c r="AU37" t="s">
        <v>329</v>
      </c>
      <c r="AV37" t="s">
        <v>329</v>
      </c>
      <c r="AW37" t="s">
        <v>329</v>
      </c>
      <c r="AX37" t="s">
        <v>329</v>
      </c>
      <c r="AY37">
        <v>123</v>
      </c>
      <c r="AZ37">
        <v>3045</v>
      </c>
      <c r="BA37">
        <v>21</v>
      </c>
      <c r="BB37" t="s">
        <v>4500</v>
      </c>
      <c r="BC37" t="s">
        <v>1814</v>
      </c>
      <c r="BD37">
        <v>913217</v>
      </c>
      <c r="BE37" t="s">
        <v>4501</v>
      </c>
      <c r="BF37" t="s">
        <v>4502</v>
      </c>
      <c r="BG37">
        <v>100</v>
      </c>
      <c r="BH37">
        <v>0</v>
      </c>
      <c r="BI37">
        <v>0</v>
      </c>
    </row>
    <row r="38" spans="1:61" x14ac:dyDescent="0.25">
      <c r="A38">
        <v>2009</v>
      </c>
      <c r="B38" t="s">
        <v>4642</v>
      </c>
      <c r="C38" t="s">
        <v>1004</v>
      </c>
      <c r="D38" t="s">
        <v>1004</v>
      </c>
      <c r="E38" t="s">
        <v>4643</v>
      </c>
      <c r="G38" t="s">
        <v>4493</v>
      </c>
      <c r="H38" t="s">
        <v>4644</v>
      </c>
      <c r="I38">
        <v>1</v>
      </c>
      <c r="J38">
        <v>2</v>
      </c>
      <c r="K38" t="s">
        <v>978</v>
      </c>
      <c r="L38">
        <v>5</v>
      </c>
      <c r="M38">
        <v>209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900770</v>
      </c>
      <c r="V38">
        <v>910774</v>
      </c>
      <c r="W38" t="s">
        <v>1814</v>
      </c>
      <c r="X38" t="s">
        <v>4645</v>
      </c>
      <c r="Y38" t="s">
        <v>4646</v>
      </c>
      <c r="Z38">
        <v>900772</v>
      </c>
      <c r="AA38">
        <v>10</v>
      </c>
      <c r="AB38">
        <v>10</v>
      </c>
      <c r="AC38">
        <v>5</v>
      </c>
      <c r="AD38">
        <v>5</v>
      </c>
      <c r="AE38">
        <v>115</v>
      </c>
      <c r="AF38">
        <v>72</v>
      </c>
      <c r="AG38">
        <v>100</v>
      </c>
      <c r="AH38">
        <v>85</v>
      </c>
      <c r="AI38">
        <v>140</v>
      </c>
      <c r="AJ38">
        <v>0</v>
      </c>
      <c r="AK38">
        <v>15</v>
      </c>
      <c r="AL38">
        <v>10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86</v>
      </c>
      <c r="AZ38">
        <v>3045</v>
      </c>
      <c r="BA38">
        <v>8</v>
      </c>
      <c r="BB38" t="s">
        <v>4500</v>
      </c>
      <c r="BC38" t="s">
        <v>1814</v>
      </c>
      <c r="BD38">
        <v>911104</v>
      </c>
      <c r="BE38" t="s">
        <v>4501</v>
      </c>
      <c r="BF38" t="s">
        <v>4502</v>
      </c>
      <c r="BG38">
        <v>90</v>
      </c>
      <c r="BH38">
        <v>0</v>
      </c>
    </row>
    <row r="39" spans="1:61" x14ac:dyDescent="0.25">
      <c r="A39">
        <v>2013</v>
      </c>
      <c r="B39" t="s">
        <v>4647</v>
      </c>
      <c r="C39" t="s">
        <v>1009</v>
      </c>
      <c r="D39" t="s">
        <v>1009</v>
      </c>
      <c r="E39" t="s">
        <v>4648</v>
      </c>
      <c r="G39" t="s">
        <v>4493</v>
      </c>
      <c r="H39" t="s">
        <v>4649</v>
      </c>
      <c r="I39">
        <v>1</v>
      </c>
      <c r="J39">
        <v>2</v>
      </c>
      <c r="K39" t="s">
        <v>978</v>
      </c>
      <c r="L39">
        <v>5</v>
      </c>
      <c r="M39">
        <v>213</v>
      </c>
      <c r="N39" t="s">
        <v>979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901251</v>
      </c>
      <c r="V39">
        <v>901253</v>
      </c>
      <c r="W39" t="s">
        <v>1814</v>
      </c>
      <c r="X39" t="s">
        <v>4650</v>
      </c>
      <c r="Y39" t="s">
        <v>4651</v>
      </c>
      <c r="Z39">
        <v>901250</v>
      </c>
      <c r="AA39">
        <v>10</v>
      </c>
      <c r="AB39">
        <v>10</v>
      </c>
      <c r="AC39">
        <v>5</v>
      </c>
      <c r="AD39">
        <v>5</v>
      </c>
      <c r="AE39">
        <v>100</v>
      </c>
      <c r="AF39">
        <v>100</v>
      </c>
      <c r="AG39">
        <v>115</v>
      </c>
      <c r="AH39">
        <v>80</v>
      </c>
      <c r="AI39">
        <v>45</v>
      </c>
      <c r="AJ39">
        <v>0</v>
      </c>
      <c r="AK39">
        <v>180</v>
      </c>
      <c r="AL39">
        <v>5</v>
      </c>
      <c r="AM39">
        <v>150</v>
      </c>
      <c r="AN39">
        <v>95</v>
      </c>
      <c r="AO39">
        <v>5</v>
      </c>
      <c r="AP39">
        <v>0</v>
      </c>
      <c r="AQ39">
        <v>2</v>
      </c>
      <c r="AR39">
        <v>15</v>
      </c>
      <c r="AS39">
        <v>500</v>
      </c>
      <c r="AT39">
        <v>9</v>
      </c>
      <c r="AU39" t="s">
        <v>329</v>
      </c>
      <c r="AV39" t="s">
        <v>329</v>
      </c>
      <c r="AW39" t="s">
        <v>329</v>
      </c>
      <c r="AX39" t="s">
        <v>329</v>
      </c>
      <c r="AY39">
        <v>59</v>
      </c>
      <c r="AZ39">
        <v>3045</v>
      </c>
      <c r="BA39">
        <v>18</v>
      </c>
      <c r="BB39" t="s">
        <v>4500</v>
      </c>
      <c r="BC39" t="s">
        <v>1814</v>
      </c>
      <c r="BD39">
        <v>911012</v>
      </c>
      <c r="BE39" t="s">
        <v>4501</v>
      </c>
      <c r="BF39" t="s">
        <v>4502</v>
      </c>
      <c r="BG39">
        <v>95</v>
      </c>
      <c r="BH39">
        <v>0</v>
      </c>
    </row>
    <row r="40" spans="1:61" x14ac:dyDescent="0.25">
      <c r="A40">
        <v>2005</v>
      </c>
      <c r="B40" t="s">
        <v>4652</v>
      </c>
      <c r="C40" t="s">
        <v>1000</v>
      </c>
      <c r="D40" t="s">
        <v>1000</v>
      </c>
      <c r="E40" t="s">
        <v>4653</v>
      </c>
      <c r="G40" t="s">
        <v>4493</v>
      </c>
      <c r="H40" t="s">
        <v>4654</v>
      </c>
      <c r="I40">
        <v>1</v>
      </c>
      <c r="J40">
        <v>2</v>
      </c>
      <c r="K40" t="s">
        <v>1001</v>
      </c>
      <c r="L40">
        <v>5</v>
      </c>
      <c r="M40">
        <v>205</v>
      </c>
      <c r="N40" t="s">
        <v>979</v>
      </c>
      <c r="O40">
        <v>3</v>
      </c>
      <c r="P40">
        <v>0</v>
      </c>
      <c r="Q40">
        <v>4</v>
      </c>
      <c r="R40">
        <v>0</v>
      </c>
      <c r="S40">
        <v>1</v>
      </c>
      <c r="T40">
        <v>0</v>
      </c>
      <c r="U40">
        <v>900653</v>
      </c>
      <c r="V40">
        <v>900661</v>
      </c>
      <c r="W40" t="s">
        <v>1814</v>
      </c>
      <c r="X40" t="s">
        <v>4655</v>
      </c>
      <c r="Y40" t="s">
        <v>4656</v>
      </c>
      <c r="Z40">
        <v>900655</v>
      </c>
      <c r="AA40">
        <v>10</v>
      </c>
      <c r="AB40">
        <v>10</v>
      </c>
      <c r="AC40">
        <v>5</v>
      </c>
      <c r="AD40">
        <v>5</v>
      </c>
      <c r="AE40">
        <v>36</v>
      </c>
      <c r="AF40">
        <v>100</v>
      </c>
      <c r="AG40">
        <v>105</v>
      </c>
      <c r="AH40">
        <v>105</v>
      </c>
      <c r="AI40">
        <v>50</v>
      </c>
      <c r="AJ40">
        <v>60</v>
      </c>
      <c r="AK40">
        <v>15</v>
      </c>
      <c r="AL40">
        <v>20</v>
      </c>
      <c r="AM40">
        <v>150</v>
      </c>
      <c r="AN40">
        <v>95</v>
      </c>
      <c r="AO40">
        <v>10</v>
      </c>
      <c r="AP40">
        <v>0</v>
      </c>
      <c r="AQ40">
        <v>1</v>
      </c>
      <c r="AR40">
        <v>15</v>
      </c>
      <c r="AS40">
        <v>500</v>
      </c>
      <c r="AT40">
        <v>3</v>
      </c>
      <c r="AU40" t="s">
        <v>329</v>
      </c>
      <c r="AV40" t="s">
        <v>329</v>
      </c>
      <c r="AW40" t="s">
        <v>329</v>
      </c>
      <c r="AX40" t="s">
        <v>329</v>
      </c>
      <c r="AY40">
        <v>30</v>
      </c>
      <c r="AZ40">
        <v>3045</v>
      </c>
      <c r="BA40">
        <v>9</v>
      </c>
      <c r="BB40" t="s">
        <v>4500</v>
      </c>
      <c r="BC40" t="s">
        <v>1814</v>
      </c>
      <c r="BD40">
        <v>910018</v>
      </c>
      <c r="BE40" t="s">
        <v>4501</v>
      </c>
      <c r="BF40" t="s">
        <v>4502</v>
      </c>
      <c r="BG40">
        <v>100</v>
      </c>
      <c r="BH40">
        <v>0</v>
      </c>
    </row>
    <row r="41" spans="1:61" x14ac:dyDescent="0.25">
      <c r="A41">
        <v>2017</v>
      </c>
      <c r="B41" t="s">
        <v>6366</v>
      </c>
      <c r="C41" t="s">
        <v>6373</v>
      </c>
      <c r="D41" t="s">
        <v>6367</v>
      </c>
      <c r="E41" t="s">
        <v>6368</v>
      </c>
      <c r="G41" t="s">
        <v>4493</v>
      </c>
      <c r="H41" t="s">
        <v>6369</v>
      </c>
      <c r="I41">
        <v>1</v>
      </c>
      <c r="J41">
        <v>2</v>
      </c>
      <c r="K41" t="s">
        <v>978</v>
      </c>
      <c r="L41">
        <v>5</v>
      </c>
      <c r="M41">
        <v>217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750377</v>
      </c>
      <c r="W41" t="s">
        <v>1814</v>
      </c>
      <c r="X41" t="s">
        <v>4507</v>
      </c>
      <c r="Y41" t="s">
        <v>329</v>
      </c>
      <c r="Z41">
        <v>750378</v>
      </c>
      <c r="AA41">
        <v>10</v>
      </c>
      <c r="AB41">
        <v>10</v>
      </c>
      <c r="AC41">
        <v>5</v>
      </c>
      <c r="AD41">
        <v>5</v>
      </c>
      <c r="AE41">
        <v>110</v>
      </c>
      <c r="AF41">
        <v>80</v>
      </c>
      <c r="AG41">
        <v>110</v>
      </c>
      <c r="AH41">
        <v>125</v>
      </c>
      <c r="AI41">
        <v>100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121</v>
      </c>
      <c r="AZ41">
        <v>3045</v>
      </c>
      <c r="BA41">
        <v>8</v>
      </c>
      <c r="BB41" t="s">
        <v>4500</v>
      </c>
      <c r="BC41" t="s">
        <v>1814</v>
      </c>
      <c r="BD41">
        <v>913101</v>
      </c>
      <c r="BE41" t="s">
        <v>4501</v>
      </c>
      <c r="BF41" t="s">
        <v>4502</v>
      </c>
      <c r="BG41">
        <v>90</v>
      </c>
      <c r="BH41">
        <v>0</v>
      </c>
      <c r="BI41">
        <v>0</v>
      </c>
    </row>
    <row r="42" spans="1:61" x14ac:dyDescent="0.25">
      <c r="A42">
        <v>2010</v>
      </c>
      <c r="B42" t="s">
        <v>4657</v>
      </c>
      <c r="C42" t="s">
        <v>1005</v>
      </c>
      <c r="D42" t="s">
        <v>1005</v>
      </c>
      <c r="E42" t="s">
        <v>4658</v>
      </c>
      <c r="G42" t="s">
        <v>4493</v>
      </c>
      <c r="H42" t="s">
        <v>4659</v>
      </c>
      <c r="I42">
        <v>1</v>
      </c>
      <c r="J42">
        <v>2</v>
      </c>
      <c r="K42" t="s">
        <v>978</v>
      </c>
      <c r="L42">
        <v>5</v>
      </c>
      <c r="M42">
        <v>210</v>
      </c>
      <c r="N42" t="s">
        <v>979</v>
      </c>
      <c r="O42">
        <v>6</v>
      </c>
      <c r="P42">
        <v>0</v>
      </c>
      <c r="Q42">
        <v>4</v>
      </c>
      <c r="R42">
        <v>0</v>
      </c>
      <c r="S42">
        <v>1</v>
      </c>
      <c r="T42">
        <v>0</v>
      </c>
      <c r="U42">
        <v>900841</v>
      </c>
      <c r="V42">
        <v>900842</v>
      </c>
      <c r="W42" t="s">
        <v>1814</v>
      </c>
      <c r="X42" t="s">
        <v>4507</v>
      </c>
      <c r="Y42" t="s">
        <v>4660</v>
      </c>
      <c r="Z42">
        <v>900840</v>
      </c>
      <c r="AA42">
        <v>10</v>
      </c>
      <c r="AB42">
        <v>10</v>
      </c>
      <c r="AC42">
        <v>5</v>
      </c>
      <c r="AD42">
        <v>5</v>
      </c>
      <c r="AE42">
        <v>95</v>
      </c>
      <c r="AF42">
        <v>95</v>
      </c>
      <c r="AG42">
        <v>105</v>
      </c>
      <c r="AH42">
        <v>115</v>
      </c>
      <c r="AI42">
        <v>95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329</v>
      </c>
      <c r="AV42" t="s">
        <v>329</v>
      </c>
      <c r="AW42" t="s">
        <v>329</v>
      </c>
      <c r="AX42" t="s">
        <v>329</v>
      </c>
      <c r="AY42">
        <v>94</v>
      </c>
      <c r="AZ42">
        <v>3045</v>
      </c>
      <c r="BA42">
        <v>8</v>
      </c>
      <c r="BB42" t="s">
        <v>4500</v>
      </c>
      <c r="BC42" t="s">
        <v>1814</v>
      </c>
      <c r="BD42">
        <v>911105</v>
      </c>
      <c r="BE42" t="s">
        <v>4501</v>
      </c>
      <c r="BF42" t="s">
        <v>4502</v>
      </c>
      <c r="BG42">
        <v>90</v>
      </c>
      <c r="BH42">
        <v>0</v>
      </c>
    </row>
    <row r="43" spans="1:61" x14ac:dyDescent="0.25">
      <c r="A43">
        <v>3006</v>
      </c>
      <c r="B43" t="s">
        <v>4661</v>
      </c>
      <c r="C43" t="s">
        <v>1016</v>
      </c>
      <c r="D43" t="s">
        <v>1016</v>
      </c>
      <c r="E43" t="s">
        <v>4662</v>
      </c>
      <c r="G43" t="s">
        <v>4493</v>
      </c>
      <c r="H43" t="s">
        <v>4663</v>
      </c>
      <c r="I43">
        <v>1</v>
      </c>
      <c r="J43">
        <v>3</v>
      </c>
      <c r="K43" t="s">
        <v>1007</v>
      </c>
      <c r="L43">
        <v>5</v>
      </c>
      <c r="M43">
        <v>306</v>
      </c>
      <c r="N43" t="s">
        <v>979</v>
      </c>
      <c r="O43">
        <v>2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900676</v>
      </c>
      <c r="W43" t="s">
        <v>1814</v>
      </c>
      <c r="X43" t="s">
        <v>4655</v>
      </c>
      <c r="Y43" t="s">
        <v>4664</v>
      </c>
      <c r="Z43">
        <v>900654</v>
      </c>
      <c r="AA43">
        <v>10</v>
      </c>
      <c r="AB43">
        <v>10</v>
      </c>
      <c r="AC43">
        <v>5</v>
      </c>
      <c r="AD43">
        <v>5</v>
      </c>
      <c r="AE43">
        <v>36</v>
      </c>
      <c r="AF43">
        <v>90</v>
      </c>
      <c r="AG43">
        <v>100</v>
      </c>
      <c r="AH43">
        <v>100</v>
      </c>
      <c r="AI43">
        <v>100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15</v>
      </c>
      <c r="AP43">
        <v>0</v>
      </c>
      <c r="AQ43">
        <v>1</v>
      </c>
      <c r="AR43">
        <v>15</v>
      </c>
      <c r="AS43">
        <v>500</v>
      </c>
      <c r="AT43">
        <v>3</v>
      </c>
      <c r="AU43" t="s">
        <v>329</v>
      </c>
      <c r="AV43" t="s">
        <v>329</v>
      </c>
      <c r="AW43" t="s">
        <v>329</v>
      </c>
      <c r="AX43" t="s">
        <v>329</v>
      </c>
      <c r="AY43">
        <v>6</v>
      </c>
      <c r="AZ43">
        <v>3045</v>
      </c>
      <c r="BA43">
        <v>18</v>
      </c>
      <c r="BB43" t="s">
        <v>4500</v>
      </c>
      <c r="BC43" t="s">
        <v>1814</v>
      </c>
      <c r="BD43">
        <v>910003</v>
      </c>
      <c r="BE43" t="s">
        <v>4501</v>
      </c>
      <c r="BF43" t="s">
        <v>4502</v>
      </c>
      <c r="BG43">
        <v>95</v>
      </c>
      <c r="BH43">
        <v>0</v>
      </c>
    </row>
    <row r="44" spans="1:61" x14ac:dyDescent="0.25">
      <c r="A44">
        <v>3010</v>
      </c>
      <c r="B44" t="s">
        <v>4665</v>
      </c>
      <c r="C44" t="s">
        <v>1021</v>
      </c>
      <c r="D44" t="s">
        <v>1021</v>
      </c>
      <c r="E44" t="s">
        <v>4666</v>
      </c>
      <c r="G44" t="s">
        <v>4493</v>
      </c>
      <c r="H44" t="s">
        <v>4667</v>
      </c>
      <c r="I44">
        <v>1</v>
      </c>
      <c r="J44">
        <v>3</v>
      </c>
      <c r="K44" t="s">
        <v>999</v>
      </c>
      <c r="L44">
        <v>1</v>
      </c>
      <c r="M44">
        <v>310</v>
      </c>
      <c r="N44" t="s">
        <v>979</v>
      </c>
      <c r="O44">
        <v>8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901041</v>
      </c>
      <c r="W44" t="s">
        <v>1814</v>
      </c>
      <c r="X44" t="s">
        <v>4668</v>
      </c>
      <c r="Y44" t="s">
        <v>329</v>
      </c>
      <c r="Z44">
        <v>900107</v>
      </c>
      <c r="AA44">
        <v>10</v>
      </c>
      <c r="AB44">
        <v>10</v>
      </c>
      <c r="AC44">
        <v>5</v>
      </c>
      <c r="AD44">
        <v>5</v>
      </c>
      <c r="AE44">
        <v>160</v>
      </c>
      <c r="AF44">
        <v>320</v>
      </c>
      <c r="AG44">
        <v>90</v>
      </c>
      <c r="AH44">
        <v>350</v>
      </c>
      <c r="AI44">
        <v>0</v>
      </c>
      <c r="AJ44">
        <v>90</v>
      </c>
      <c r="AK44">
        <v>100</v>
      </c>
      <c r="AL44">
        <v>5</v>
      </c>
      <c r="AM44">
        <v>150</v>
      </c>
      <c r="AN44">
        <v>75</v>
      </c>
      <c r="AO44">
        <v>3</v>
      </c>
      <c r="AP44">
        <v>0</v>
      </c>
      <c r="AQ44">
        <v>2</v>
      </c>
      <c r="AR44">
        <v>15</v>
      </c>
      <c r="AS44">
        <v>500</v>
      </c>
      <c r="AT44">
        <v>5</v>
      </c>
      <c r="AU44" t="s">
        <v>329</v>
      </c>
      <c r="AV44" t="s">
        <v>329</v>
      </c>
      <c r="AW44" t="s">
        <v>329</v>
      </c>
      <c r="AX44" t="s">
        <v>329</v>
      </c>
      <c r="AY44">
        <v>99</v>
      </c>
      <c r="AZ44">
        <v>3045</v>
      </c>
      <c r="BA44">
        <v>21</v>
      </c>
      <c r="BB44" t="s">
        <v>4500</v>
      </c>
      <c r="BC44" t="s">
        <v>1814</v>
      </c>
      <c r="BD44">
        <v>910021</v>
      </c>
      <c r="BE44" t="s">
        <v>4501</v>
      </c>
      <c r="BF44" t="s">
        <v>4502</v>
      </c>
      <c r="BG44">
        <v>100</v>
      </c>
      <c r="BH44">
        <v>0</v>
      </c>
    </row>
    <row r="45" spans="1:61" x14ac:dyDescent="0.25">
      <c r="A45">
        <v>3003</v>
      </c>
      <c r="B45" t="s">
        <v>4669</v>
      </c>
      <c r="C45" t="s">
        <v>1013</v>
      </c>
      <c r="D45" t="s">
        <v>1013</v>
      </c>
      <c r="E45" t="s">
        <v>4670</v>
      </c>
      <c r="G45" t="s">
        <v>4493</v>
      </c>
      <c r="H45" t="s">
        <v>4671</v>
      </c>
      <c r="I45">
        <v>1</v>
      </c>
      <c r="J45">
        <v>3</v>
      </c>
      <c r="K45" t="s">
        <v>981</v>
      </c>
      <c r="L45">
        <v>5</v>
      </c>
      <c r="M45">
        <v>303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900525</v>
      </c>
      <c r="W45" t="s">
        <v>1814</v>
      </c>
      <c r="X45" t="s">
        <v>4507</v>
      </c>
      <c r="Y45" t="s">
        <v>4672</v>
      </c>
      <c r="Z45">
        <v>900524</v>
      </c>
      <c r="AA45">
        <v>10</v>
      </c>
      <c r="AB45">
        <v>10</v>
      </c>
      <c r="AC45">
        <v>5</v>
      </c>
      <c r="AD45">
        <v>5</v>
      </c>
      <c r="AE45">
        <v>135</v>
      </c>
      <c r="AF45">
        <v>80</v>
      </c>
      <c r="AG45">
        <v>75</v>
      </c>
      <c r="AH45">
        <v>120</v>
      </c>
      <c r="AI45">
        <v>80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1</v>
      </c>
      <c r="AR45">
        <v>15</v>
      </c>
      <c r="AS45">
        <v>500</v>
      </c>
      <c r="AT45">
        <v>3</v>
      </c>
      <c r="AU45" t="s">
        <v>329</v>
      </c>
      <c r="AV45" t="s">
        <v>329</v>
      </c>
      <c r="AW45" t="s">
        <v>329</v>
      </c>
      <c r="AX45" t="s">
        <v>329</v>
      </c>
      <c r="AY45">
        <v>10</v>
      </c>
      <c r="AZ45">
        <v>3045</v>
      </c>
      <c r="BA45">
        <v>16</v>
      </c>
      <c r="BB45" t="s">
        <v>4500</v>
      </c>
      <c r="BC45" t="s">
        <v>1814</v>
      </c>
      <c r="BD45">
        <v>910007</v>
      </c>
      <c r="BE45" t="s">
        <v>4501</v>
      </c>
      <c r="BF45" t="s">
        <v>4502</v>
      </c>
      <c r="BG45">
        <v>92</v>
      </c>
      <c r="BH45">
        <v>0</v>
      </c>
    </row>
    <row r="46" spans="1:61" x14ac:dyDescent="0.25">
      <c r="A46">
        <v>3004</v>
      </c>
      <c r="B46" t="s">
        <v>4673</v>
      </c>
      <c r="C46" t="s">
        <v>1014</v>
      </c>
      <c r="D46" t="s">
        <v>1014</v>
      </c>
      <c r="E46" t="s">
        <v>4674</v>
      </c>
      <c r="G46" t="s">
        <v>4493</v>
      </c>
      <c r="H46" t="s">
        <v>4675</v>
      </c>
      <c r="I46">
        <v>1</v>
      </c>
      <c r="J46">
        <v>3</v>
      </c>
      <c r="K46" t="s">
        <v>978</v>
      </c>
      <c r="L46">
        <v>5</v>
      </c>
      <c r="M46">
        <v>304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900523</v>
      </c>
      <c r="W46" t="s">
        <v>1814</v>
      </c>
      <c r="X46" t="s">
        <v>4507</v>
      </c>
      <c r="Y46" t="s">
        <v>329</v>
      </c>
      <c r="Z46">
        <v>900522</v>
      </c>
      <c r="AA46">
        <v>10</v>
      </c>
      <c r="AB46">
        <v>10</v>
      </c>
      <c r="AC46">
        <v>5</v>
      </c>
      <c r="AD46">
        <v>5</v>
      </c>
      <c r="AE46">
        <v>65</v>
      </c>
      <c r="AF46">
        <v>105</v>
      </c>
      <c r="AG46">
        <v>65</v>
      </c>
      <c r="AH46">
        <v>125</v>
      </c>
      <c r="AI46">
        <v>55</v>
      </c>
      <c r="AJ46">
        <v>0</v>
      </c>
      <c r="AK46">
        <v>180</v>
      </c>
      <c r="AL46">
        <v>50</v>
      </c>
      <c r="AM46">
        <v>200</v>
      </c>
      <c r="AN46">
        <v>95</v>
      </c>
      <c r="AO46">
        <v>6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9</v>
      </c>
      <c r="AZ46">
        <v>3045</v>
      </c>
      <c r="BA46">
        <v>17</v>
      </c>
      <c r="BB46" t="s">
        <v>4500</v>
      </c>
      <c r="BC46" t="s">
        <v>1814</v>
      </c>
      <c r="BD46">
        <v>910006</v>
      </c>
      <c r="BE46" t="s">
        <v>4501</v>
      </c>
      <c r="BF46" t="s">
        <v>4502</v>
      </c>
      <c r="BG46">
        <v>100</v>
      </c>
      <c r="BH46">
        <v>0</v>
      </c>
    </row>
    <row r="47" spans="1:61" x14ac:dyDescent="0.25">
      <c r="A47">
        <v>3009</v>
      </c>
      <c r="B47" t="s">
        <v>4676</v>
      </c>
      <c r="C47" t="s">
        <v>1019</v>
      </c>
      <c r="D47" t="s">
        <v>1019</v>
      </c>
      <c r="E47" t="s">
        <v>4677</v>
      </c>
      <c r="G47" t="s">
        <v>4493</v>
      </c>
      <c r="H47" t="s">
        <v>4678</v>
      </c>
      <c r="I47">
        <v>1</v>
      </c>
      <c r="J47">
        <v>3</v>
      </c>
      <c r="K47" t="s">
        <v>1020</v>
      </c>
      <c r="L47">
        <v>5</v>
      </c>
      <c r="M47">
        <v>309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900741</v>
      </c>
      <c r="W47" t="s">
        <v>1814</v>
      </c>
      <c r="X47" t="s">
        <v>4507</v>
      </c>
      <c r="Y47" t="s">
        <v>329</v>
      </c>
      <c r="Z47">
        <v>900740</v>
      </c>
      <c r="AA47">
        <v>10</v>
      </c>
      <c r="AB47">
        <v>10</v>
      </c>
      <c r="AC47">
        <v>5</v>
      </c>
      <c r="AD47">
        <v>5</v>
      </c>
      <c r="AE47">
        <v>55</v>
      </c>
      <c r="AF47">
        <v>72</v>
      </c>
      <c r="AG47">
        <v>50</v>
      </c>
      <c r="AH47">
        <v>130</v>
      </c>
      <c r="AI47">
        <v>90</v>
      </c>
      <c r="AJ47">
        <v>0</v>
      </c>
      <c r="AK47">
        <v>100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13</v>
      </c>
      <c r="AZ47">
        <v>3045</v>
      </c>
      <c r="BA47">
        <v>21</v>
      </c>
      <c r="BB47" t="s">
        <v>4500</v>
      </c>
      <c r="BC47" t="s">
        <v>1814</v>
      </c>
      <c r="BD47">
        <v>910009</v>
      </c>
      <c r="BE47" t="s">
        <v>4501</v>
      </c>
      <c r="BF47" t="s">
        <v>4502</v>
      </c>
      <c r="BG47">
        <v>80</v>
      </c>
      <c r="BH47">
        <v>0</v>
      </c>
    </row>
    <row r="48" spans="1:61" x14ac:dyDescent="0.25">
      <c r="A48">
        <v>3008</v>
      </c>
      <c r="B48" t="s">
        <v>4679</v>
      </c>
      <c r="C48" t="s">
        <v>1018</v>
      </c>
      <c r="D48" t="s">
        <v>1018</v>
      </c>
      <c r="E48" t="s">
        <v>4680</v>
      </c>
      <c r="G48" t="s">
        <v>4493</v>
      </c>
      <c r="H48" t="s">
        <v>4681</v>
      </c>
      <c r="I48">
        <v>1</v>
      </c>
      <c r="J48">
        <v>3</v>
      </c>
      <c r="K48" t="s">
        <v>1007</v>
      </c>
      <c r="L48">
        <v>5</v>
      </c>
      <c r="M48">
        <v>308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900575</v>
      </c>
      <c r="W48" t="s">
        <v>1814</v>
      </c>
      <c r="X48" t="s">
        <v>4507</v>
      </c>
      <c r="Y48" t="s">
        <v>4682</v>
      </c>
      <c r="Z48">
        <v>900574</v>
      </c>
      <c r="AA48">
        <v>10</v>
      </c>
      <c r="AB48">
        <v>10</v>
      </c>
      <c r="AC48">
        <v>5</v>
      </c>
      <c r="AD48">
        <v>5</v>
      </c>
      <c r="AE48">
        <v>90</v>
      </c>
      <c r="AF48">
        <v>68</v>
      </c>
      <c r="AG48">
        <v>120</v>
      </c>
      <c r="AH48">
        <v>110</v>
      </c>
      <c r="AI48">
        <v>95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1</v>
      </c>
      <c r="AR48">
        <v>15</v>
      </c>
      <c r="AS48">
        <v>500</v>
      </c>
      <c r="AT48">
        <v>4</v>
      </c>
      <c r="AU48" t="s">
        <v>329</v>
      </c>
      <c r="AV48" t="s">
        <v>329</v>
      </c>
      <c r="AW48" t="s">
        <v>329</v>
      </c>
      <c r="AX48" t="s">
        <v>329</v>
      </c>
      <c r="AY48">
        <v>2</v>
      </c>
      <c r="AZ48">
        <v>3045</v>
      </c>
      <c r="BA48">
        <v>21</v>
      </c>
      <c r="BB48" t="s">
        <v>4500</v>
      </c>
      <c r="BC48" t="s">
        <v>1814</v>
      </c>
      <c r="BD48">
        <v>910001</v>
      </c>
      <c r="BE48" t="s">
        <v>4501</v>
      </c>
      <c r="BF48" t="s">
        <v>4502</v>
      </c>
      <c r="BG48">
        <v>80</v>
      </c>
      <c r="BH48">
        <v>0</v>
      </c>
    </row>
    <row r="49" spans="1:60" x14ac:dyDescent="0.25">
      <c r="A49">
        <v>3001</v>
      </c>
      <c r="B49" t="s">
        <v>4683</v>
      </c>
      <c r="C49" t="s">
        <v>1011</v>
      </c>
      <c r="D49" t="s">
        <v>1011</v>
      </c>
      <c r="E49" t="s">
        <v>4684</v>
      </c>
      <c r="G49" t="s">
        <v>4493</v>
      </c>
      <c r="H49" t="s">
        <v>4685</v>
      </c>
      <c r="I49">
        <v>1</v>
      </c>
      <c r="J49">
        <v>3</v>
      </c>
      <c r="K49" t="s">
        <v>978</v>
      </c>
      <c r="L49">
        <v>5</v>
      </c>
      <c r="M49">
        <v>301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600501</v>
      </c>
      <c r="W49" t="s">
        <v>1814</v>
      </c>
      <c r="X49" t="s">
        <v>4507</v>
      </c>
      <c r="Y49" t="s">
        <v>4686</v>
      </c>
      <c r="Z49">
        <v>600503</v>
      </c>
      <c r="AA49">
        <v>10</v>
      </c>
      <c r="AB49">
        <v>10</v>
      </c>
      <c r="AC49">
        <v>5</v>
      </c>
      <c r="AD49">
        <v>5</v>
      </c>
      <c r="AE49">
        <v>100</v>
      </c>
      <c r="AF49">
        <v>62</v>
      </c>
      <c r="AG49">
        <v>100</v>
      </c>
      <c r="AH49">
        <v>65</v>
      </c>
      <c r="AI49">
        <v>130</v>
      </c>
      <c r="AJ49">
        <v>0</v>
      </c>
      <c r="AK49">
        <v>15</v>
      </c>
      <c r="AL49">
        <v>10</v>
      </c>
      <c r="AM49">
        <v>150</v>
      </c>
      <c r="AN49">
        <v>95</v>
      </c>
      <c r="AO49">
        <v>15</v>
      </c>
      <c r="AP49">
        <v>0</v>
      </c>
      <c r="AQ49">
        <v>2</v>
      </c>
      <c r="AR49">
        <v>15</v>
      </c>
      <c r="AS49">
        <v>500</v>
      </c>
      <c r="AT49">
        <v>7</v>
      </c>
      <c r="AU49" t="s">
        <v>329</v>
      </c>
      <c r="AV49" t="s">
        <v>329</v>
      </c>
      <c r="AW49" t="s">
        <v>329</v>
      </c>
      <c r="AX49" t="s">
        <v>329</v>
      </c>
      <c r="AY49">
        <v>4</v>
      </c>
      <c r="AZ49">
        <v>3045</v>
      </c>
      <c r="BA49">
        <v>14</v>
      </c>
      <c r="BB49" t="s">
        <v>4500</v>
      </c>
      <c r="BC49" t="s">
        <v>1814</v>
      </c>
      <c r="BD49">
        <v>910004</v>
      </c>
      <c r="BE49" t="s">
        <v>4501</v>
      </c>
      <c r="BF49" t="s">
        <v>4502</v>
      </c>
      <c r="BG49">
        <v>95</v>
      </c>
      <c r="BH49">
        <v>0</v>
      </c>
    </row>
    <row r="50" spans="1:60" x14ac:dyDescent="0.25">
      <c r="A50">
        <v>3007</v>
      </c>
      <c r="B50" t="s">
        <v>4687</v>
      </c>
      <c r="C50" t="s">
        <v>1017</v>
      </c>
      <c r="D50" t="s">
        <v>1017</v>
      </c>
      <c r="E50" t="s">
        <v>4688</v>
      </c>
      <c r="G50" t="s">
        <v>4493</v>
      </c>
      <c r="H50" t="s">
        <v>4689</v>
      </c>
      <c r="I50">
        <v>1</v>
      </c>
      <c r="J50">
        <v>3</v>
      </c>
      <c r="K50" t="s">
        <v>1007</v>
      </c>
      <c r="L50">
        <v>5</v>
      </c>
      <c r="M50">
        <v>307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900573</v>
      </c>
      <c r="W50" t="s">
        <v>1814</v>
      </c>
      <c r="X50" t="s">
        <v>4507</v>
      </c>
      <c r="Y50" t="s">
        <v>329</v>
      </c>
      <c r="Z50">
        <v>900572</v>
      </c>
      <c r="AA50">
        <v>10</v>
      </c>
      <c r="AB50">
        <v>10</v>
      </c>
      <c r="AC50">
        <v>5</v>
      </c>
      <c r="AD50">
        <v>5</v>
      </c>
      <c r="AE50">
        <v>75</v>
      </c>
      <c r="AF50">
        <v>72</v>
      </c>
      <c r="AG50">
        <v>100</v>
      </c>
      <c r="AH50">
        <v>100</v>
      </c>
      <c r="AI50">
        <v>140</v>
      </c>
      <c r="AJ50">
        <v>0</v>
      </c>
      <c r="AK50">
        <v>15</v>
      </c>
      <c r="AL50">
        <v>20</v>
      </c>
      <c r="AM50">
        <v>150</v>
      </c>
      <c r="AN50">
        <v>95</v>
      </c>
      <c r="AO50">
        <v>12</v>
      </c>
      <c r="AP50">
        <v>0</v>
      </c>
      <c r="AQ50">
        <v>2</v>
      </c>
      <c r="AR50">
        <v>15</v>
      </c>
      <c r="AS50">
        <v>500</v>
      </c>
      <c r="AT50">
        <v>5</v>
      </c>
      <c r="AU50" t="s">
        <v>329</v>
      </c>
      <c r="AV50" t="s">
        <v>329</v>
      </c>
      <c r="AW50" t="s">
        <v>329</v>
      </c>
      <c r="AX50" t="s">
        <v>329</v>
      </c>
      <c r="AY50">
        <v>3</v>
      </c>
      <c r="AZ50">
        <v>3045</v>
      </c>
      <c r="BA50">
        <v>20</v>
      </c>
      <c r="BB50" t="s">
        <v>4500</v>
      </c>
      <c r="BC50" t="s">
        <v>1814</v>
      </c>
      <c r="BD50">
        <v>910002</v>
      </c>
      <c r="BE50" t="s">
        <v>4501</v>
      </c>
      <c r="BF50" t="s">
        <v>4502</v>
      </c>
      <c r="BG50">
        <v>80</v>
      </c>
      <c r="BH50">
        <v>0</v>
      </c>
    </row>
    <row r="51" spans="1:60" x14ac:dyDescent="0.25">
      <c r="A51">
        <v>3005</v>
      </c>
      <c r="B51" t="s">
        <v>4690</v>
      </c>
      <c r="C51" t="s">
        <v>1015</v>
      </c>
      <c r="D51" t="s">
        <v>1015</v>
      </c>
      <c r="E51" t="s">
        <v>4691</v>
      </c>
      <c r="G51" t="s">
        <v>4493</v>
      </c>
      <c r="H51" t="s">
        <v>4692</v>
      </c>
      <c r="I51">
        <v>1</v>
      </c>
      <c r="J51">
        <v>3</v>
      </c>
      <c r="K51" t="s">
        <v>978</v>
      </c>
      <c r="L51">
        <v>5</v>
      </c>
      <c r="M51">
        <v>305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900571</v>
      </c>
      <c r="W51" t="s">
        <v>1814</v>
      </c>
      <c r="X51" t="s">
        <v>4507</v>
      </c>
      <c r="Y51" t="s">
        <v>4693</v>
      </c>
      <c r="Z51">
        <v>900570</v>
      </c>
      <c r="AA51">
        <v>10</v>
      </c>
      <c r="AB51">
        <v>10</v>
      </c>
      <c r="AC51">
        <v>5</v>
      </c>
      <c r="AD51">
        <v>5</v>
      </c>
      <c r="AE51">
        <v>80</v>
      </c>
      <c r="AF51">
        <v>80</v>
      </c>
      <c r="AG51">
        <v>115</v>
      </c>
      <c r="AH51">
        <v>50</v>
      </c>
      <c r="AI51">
        <v>45</v>
      </c>
      <c r="AJ51">
        <v>0</v>
      </c>
      <c r="AK51">
        <v>180</v>
      </c>
      <c r="AL51">
        <v>5</v>
      </c>
      <c r="AM51">
        <v>150</v>
      </c>
      <c r="AN51">
        <v>95</v>
      </c>
      <c r="AO51">
        <v>5</v>
      </c>
      <c r="AP51">
        <v>0</v>
      </c>
      <c r="AQ51">
        <v>2</v>
      </c>
      <c r="AR51">
        <v>15</v>
      </c>
      <c r="AS51">
        <v>500</v>
      </c>
      <c r="AT51">
        <v>9</v>
      </c>
      <c r="AU51" t="s">
        <v>329</v>
      </c>
      <c r="AV51" t="s">
        <v>329</v>
      </c>
      <c r="AW51" t="s">
        <v>329</v>
      </c>
      <c r="AX51" t="s">
        <v>329</v>
      </c>
      <c r="AY51">
        <v>29</v>
      </c>
      <c r="AZ51">
        <v>3045</v>
      </c>
      <c r="BA51">
        <v>18</v>
      </c>
      <c r="BB51" t="s">
        <v>4500</v>
      </c>
      <c r="BC51" t="s">
        <v>1814</v>
      </c>
      <c r="BD51">
        <v>910012</v>
      </c>
      <c r="BE51" t="s">
        <v>4501</v>
      </c>
      <c r="BF51" t="s">
        <v>4502</v>
      </c>
      <c r="BG51">
        <v>95</v>
      </c>
      <c r="BH51">
        <v>0</v>
      </c>
    </row>
    <row r="52" spans="1:60" x14ac:dyDescent="0.25">
      <c r="A52">
        <v>3002</v>
      </c>
      <c r="B52" t="s">
        <v>4694</v>
      </c>
      <c r="C52" t="s">
        <v>1012</v>
      </c>
      <c r="D52" t="s">
        <v>1012</v>
      </c>
      <c r="E52" t="s">
        <v>4695</v>
      </c>
      <c r="G52" t="s">
        <v>4493</v>
      </c>
      <c r="H52" t="s">
        <v>4696</v>
      </c>
      <c r="I52">
        <v>1</v>
      </c>
      <c r="J52">
        <v>3</v>
      </c>
      <c r="K52" t="s">
        <v>978</v>
      </c>
      <c r="L52">
        <v>5</v>
      </c>
      <c r="M52">
        <v>302</v>
      </c>
      <c r="N52" t="s">
        <v>979</v>
      </c>
      <c r="O52">
        <v>4</v>
      </c>
      <c r="P52">
        <v>0</v>
      </c>
      <c r="Q52">
        <v>3</v>
      </c>
      <c r="R52">
        <v>0</v>
      </c>
      <c r="S52">
        <v>1</v>
      </c>
      <c r="T52">
        <v>0</v>
      </c>
      <c r="U52">
        <v>0</v>
      </c>
      <c r="V52">
        <v>600601</v>
      </c>
      <c r="W52" t="s">
        <v>1814</v>
      </c>
      <c r="X52" t="s">
        <v>4507</v>
      </c>
      <c r="Y52" t="s">
        <v>329</v>
      </c>
      <c r="Z52">
        <v>600602</v>
      </c>
      <c r="AA52">
        <v>10</v>
      </c>
      <c r="AB52">
        <v>10</v>
      </c>
      <c r="AC52">
        <v>5</v>
      </c>
      <c r="AD52">
        <v>5</v>
      </c>
      <c r="AE52">
        <v>92</v>
      </c>
      <c r="AF52">
        <v>85</v>
      </c>
      <c r="AG52">
        <v>100</v>
      </c>
      <c r="AH52">
        <v>110</v>
      </c>
      <c r="AI52">
        <v>90</v>
      </c>
      <c r="AJ52">
        <v>0</v>
      </c>
      <c r="AK52">
        <v>15</v>
      </c>
      <c r="AL52">
        <v>20</v>
      </c>
      <c r="AM52">
        <v>150</v>
      </c>
      <c r="AN52">
        <v>95</v>
      </c>
      <c r="AO52">
        <v>12</v>
      </c>
      <c r="AP52">
        <v>0</v>
      </c>
      <c r="AQ52">
        <v>2</v>
      </c>
      <c r="AR52">
        <v>15</v>
      </c>
      <c r="AS52">
        <v>500</v>
      </c>
      <c r="AT52">
        <v>7</v>
      </c>
      <c r="AU52" t="s">
        <v>329</v>
      </c>
      <c r="AV52" t="s">
        <v>329</v>
      </c>
      <c r="AW52" t="s">
        <v>329</v>
      </c>
      <c r="AX52" t="s">
        <v>329</v>
      </c>
      <c r="AY52">
        <v>7</v>
      </c>
      <c r="AZ52">
        <v>3045</v>
      </c>
      <c r="BA52">
        <v>15</v>
      </c>
      <c r="BB52" t="s">
        <v>4500</v>
      </c>
      <c r="BC52" t="s">
        <v>1814</v>
      </c>
      <c r="BD52">
        <v>910005</v>
      </c>
      <c r="BE52" t="s">
        <v>4501</v>
      </c>
      <c r="BF52" t="s">
        <v>4502</v>
      </c>
      <c r="BG52">
        <v>100</v>
      </c>
      <c r="BH52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2">
    <sortCondition ref="J2:J52"/>
    <sortCondition ref="C2:C52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6865</v>
      </c>
      <c r="C4" t="s">
        <v>1088</v>
      </c>
    </row>
    <row r="5" spans="1:3" x14ac:dyDescent="0.25">
      <c r="A5" s="1">
        <v>1004</v>
      </c>
      <c r="B5" t="s">
        <v>6866</v>
      </c>
      <c r="C5" t="s">
        <v>1089</v>
      </c>
    </row>
    <row r="6" spans="1:3" x14ac:dyDescent="0.25">
      <c r="A6" s="1">
        <v>1005</v>
      </c>
      <c r="B6" t="s">
        <v>6867</v>
      </c>
      <c r="C6" t="s">
        <v>1090</v>
      </c>
    </row>
    <row r="7" spans="1:3" x14ac:dyDescent="0.25">
      <c r="A7" s="1">
        <v>2003</v>
      </c>
      <c r="B7" t="s">
        <v>6868</v>
      </c>
      <c r="C7" t="s">
        <v>1091</v>
      </c>
    </row>
    <row r="8" spans="1:3" x14ac:dyDescent="0.25">
      <c r="A8" s="1">
        <v>2004</v>
      </c>
      <c r="B8" t="s">
        <v>6869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6870</v>
      </c>
      <c r="C10" t="s">
        <v>1094</v>
      </c>
    </row>
    <row r="11" spans="1:3" x14ac:dyDescent="0.25">
      <c r="A11" s="1">
        <v>3003</v>
      </c>
      <c r="B11" t="s">
        <v>6871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6872</v>
      </c>
      <c r="C13" t="s">
        <v>1097</v>
      </c>
    </row>
    <row r="14" spans="1:3" x14ac:dyDescent="0.25">
      <c r="A14" s="1">
        <v>3006</v>
      </c>
      <c r="B14" t="s">
        <v>6873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301"/>
  <sheetViews>
    <sheetView workbookViewId="0">
      <pane ySplit="1" topLeftCell="A288" activePane="bottomLeft" state="frozen"/>
      <selection activeCell="AG316" sqref="AG316"/>
      <selection pane="bottomLeft" activeCell="A297" sqref="A297:Y30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4697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2632</v>
      </c>
      <c r="S1" s="10" t="s">
        <v>4474</v>
      </c>
      <c r="T1" s="10" t="s">
        <v>4698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4700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4600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4600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4600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4600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4600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4600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4520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4520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4520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4520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4710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6370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4600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4600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4600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4600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4520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4520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4520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4520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6471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6470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6470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6470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6470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6550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6542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6542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6542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6542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6807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6806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6806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6806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6806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6943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6942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6942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6942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6942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6984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6982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6982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6982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6982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  <row r="297" spans="1:25" x14ac:dyDescent="0.25">
      <c r="A297">
        <v>12400</v>
      </c>
      <c r="B297">
        <v>124</v>
      </c>
      <c r="C297">
        <v>0</v>
      </c>
      <c r="D297">
        <v>0</v>
      </c>
      <c r="E297">
        <v>0</v>
      </c>
      <c r="F297">
        <v>1</v>
      </c>
      <c r="G297">
        <v>153</v>
      </c>
      <c r="H297">
        <v>60</v>
      </c>
      <c r="I297">
        <v>17</v>
      </c>
      <c r="J297">
        <v>65</v>
      </c>
      <c r="K297">
        <v>20</v>
      </c>
      <c r="L297">
        <v>7</v>
      </c>
      <c r="M297">
        <v>0</v>
      </c>
      <c r="N297">
        <v>0</v>
      </c>
      <c r="O297">
        <v>0</v>
      </c>
      <c r="P297">
        <v>0</v>
      </c>
      <c r="Q297">
        <v>0</v>
      </c>
      <c r="R297" t="s">
        <v>8020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5">
      <c r="A298">
        <v>12401</v>
      </c>
      <c r="B298">
        <v>124</v>
      </c>
      <c r="C298">
        <v>1</v>
      </c>
      <c r="D298">
        <v>1</v>
      </c>
      <c r="E298">
        <v>0</v>
      </c>
      <c r="F298">
        <v>1</v>
      </c>
      <c r="G298">
        <v>153</v>
      </c>
      <c r="H298">
        <v>60</v>
      </c>
      <c r="I298">
        <v>17</v>
      </c>
      <c r="J298">
        <v>65</v>
      </c>
      <c r="K298">
        <v>20</v>
      </c>
      <c r="L298">
        <v>7</v>
      </c>
      <c r="M298">
        <v>0</v>
      </c>
      <c r="N298">
        <v>0</v>
      </c>
      <c r="O298">
        <v>0</v>
      </c>
      <c r="P298">
        <v>0</v>
      </c>
      <c r="Q298">
        <v>200</v>
      </c>
      <c r="R298" t="s">
        <v>8019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5">
      <c r="A299">
        <v>12402</v>
      </c>
      <c r="B299">
        <v>124</v>
      </c>
      <c r="C299">
        <v>2</v>
      </c>
      <c r="D299">
        <v>1</v>
      </c>
      <c r="E299">
        <v>0</v>
      </c>
      <c r="F299">
        <v>1</v>
      </c>
      <c r="G299">
        <v>333</v>
      </c>
      <c r="H299">
        <v>60</v>
      </c>
      <c r="I299">
        <v>17</v>
      </c>
      <c r="J299">
        <v>65</v>
      </c>
      <c r="K299">
        <v>36</v>
      </c>
      <c r="L299">
        <v>7</v>
      </c>
      <c r="M299">
        <v>0</v>
      </c>
      <c r="N299">
        <v>0</v>
      </c>
      <c r="O299">
        <v>0</v>
      </c>
      <c r="P299">
        <v>0</v>
      </c>
      <c r="Q299">
        <v>200</v>
      </c>
      <c r="R299" t="s">
        <v>8019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5">
      <c r="A300">
        <v>12403</v>
      </c>
      <c r="B300">
        <v>124</v>
      </c>
      <c r="C300">
        <v>3</v>
      </c>
      <c r="D300">
        <v>1</v>
      </c>
      <c r="E300">
        <v>0</v>
      </c>
      <c r="F300">
        <v>1</v>
      </c>
      <c r="G300">
        <v>593</v>
      </c>
      <c r="H300">
        <v>106</v>
      </c>
      <c r="I300">
        <v>17</v>
      </c>
      <c r="J300">
        <v>65</v>
      </c>
      <c r="K300">
        <v>36</v>
      </c>
      <c r="L300">
        <v>7</v>
      </c>
      <c r="M300">
        <v>0</v>
      </c>
      <c r="N300">
        <v>0</v>
      </c>
      <c r="O300">
        <v>0</v>
      </c>
      <c r="P300">
        <v>0</v>
      </c>
      <c r="Q300">
        <v>200</v>
      </c>
      <c r="R300" t="s">
        <v>8019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5">
      <c r="A301">
        <v>12404</v>
      </c>
      <c r="B301">
        <v>124</v>
      </c>
      <c r="C301">
        <v>4</v>
      </c>
      <c r="D301">
        <v>1</v>
      </c>
      <c r="E301">
        <v>1</v>
      </c>
      <c r="F301">
        <v>1</v>
      </c>
      <c r="G301">
        <v>593</v>
      </c>
      <c r="H301">
        <v>106</v>
      </c>
      <c r="I301">
        <v>17</v>
      </c>
      <c r="J301">
        <v>65</v>
      </c>
      <c r="K301">
        <v>36</v>
      </c>
      <c r="L301">
        <v>7</v>
      </c>
      <c r="M301">
        <v>0</v>
      </c>
      <c r="N301">
        <v>0</v>
      </c>
      <c r="O301">
        <v>0</v>
      </c>
      <c r="P301">
        <v>0</v>
      </c>
      <c r="Q301">
        <v>200</v>
      </c>
      <c r="R301" t="s">
        <v>8019</v>
      </c>
      <c r="S301">
        <v>0</v>
      </c>
      <c r="T301">
        <v>0</v>
      </c>
      <c r="U301">
        <v>750784</v>
      </c>
      <c r="V301">
        <v>0</v>
      </c>
      <c r="W301">
        <v>0</v>
      </c>
      <c r="X301">
        <v>0</v>
      </c>
      <c r="Y30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workbookViewId="0">
      <selection activeCell="C17" sqref="C17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6606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6610</v>
      </c>
      <c r="L8" s="131" t="s">
        <v>6599</v>
      </c>
      <c r="M8" s="132" t="s">
        <v>943</v>
      </c>
    </row>
    <row r="9" spans="1:13" x14ac:dyDescent="0.25">
      <c r="A9"/>
      <c r="B9" t="s">
        <v>952</v>
      </c>
      <c r="C9" t="s">
        <v>6345</v>
      </c>
      <c r="G9" s="133" t="str">
        <f>IFERROR(INDEX('Strat Buff Data'!B:B,MATCH(Main!$B78,'Strat Buff Data'!$A:$A,0)),"N/A")</f>
        <v>N/A</v>
      </c>
      <c r="H9" s="134" t="str">
        <f>IFERROR(INDEX('Strat Buff Data'!C:C,MATCH(Main!$B78,'Strat Buff Data'!$A:$A,0)),"N/A")</f>
        <v>N/A</v>
      </c>
      <c r="J9" t="s">
        <v>6611</v>
      </c>
      <c r="K9" s="1"/>
      <c r="L9" s="133" t="str">
        <f>IFERROR(INDEX('Strat Buff Data'!F:F,MATCH(Main!$B84,'Strat Buff Data'!$E:$E,0)),"N/A")</f>
        <v>N/A</v>
      </c>
      <c r="M9" s="134" t="str">
        <f>IFERROR(INDEX('Strat Buff Data'!G:G,MATCH(Main!$B84,'Strat Buff Data'!$E:$E,0)),"N/A")</f>
        <v>N/A</v>
      </c>
    </row>
    <row r="10" spans="1:13" x14ac:dyDescent="0.25">
      <c r="A10"/>
      <c r="B10" t="s">
        <v>953</v>
      </c>
      <c r="C10" t="s">
        <v>6346</v>
      </c>
      <c r="G10" s="133" t="str">
        <f>IFERROR(INDEX('Strat Buff Data'!B:B,MATCH(Main!$B79,'Strat Buff Data'!$A:$A,0)),"N/A")</f>
        <v>N/A</v>
      </c>
      <c r="H10" s="134" t="str">
        <f>IFERROR(INDEX('Strat Buff Data'!C:C,MATCH(Main!$B79,'Strat Buff Data'!$A:$A,0)),"N/A")</f>
        <v>N/A</v>
      </c>
      <c r="J10" t="s">
        <v>6612</v>
      </c>
      <c r="K10" s="1"/>
      <c r="L10" s="133" t="str">
        <f>IFERROR(INDEX('Strat Buff Data'!F:F,MATCH(Main!$B85,'Strat Buff Data'!$E:$E,0)),"N/A")</f>
        <v>N/A</v>
      </c>
      <c r="M10" s="134" t="str">
        <f>IFERROR(INDEX('Strat Buff Data'!G:G,MATCH(Main!$B85,'Strat Buff Data'!$E:$E,0)),"N/A")</f>
        <v>N/A</v>
      </c>
    </row>
    <row r="11" spans="1:13" x14ac:dyDescent="0.25">
      <c r="A11"/>
      <c r="B11" t="s">
        <v>954</v>
      </c>
      <c r="C11" t="s">
        <v>6347</v>
      </c>
      <c r="G11" s="135" t="str">
        <f>IFERROR(INDEX('Strat Buff Data'!B:B,MATCH(Main!$B80,'Strat Buff Data'!$A:$A,0)),"N/A")</f>
        <v>N/A</v>
      </c>
      <c r="H11" s="136" t="str">
        <f>IFERROR(INDEX('Strat Buff Data'!C:C,MATCH(Main!$B80,'Strat Buff Data'!$A:$A,0)),"N/A")</f>
        <v>N/A</v>
      </c>
      <c r="J11" t="s">
        <v>6613</v>
      </c>
      <c r="L11" s="135" t="str">
        <f>IFERROR(INDEX('Strat Buff Data'!F:F,MATCH(Main!$B86,'Strat Buff Data'!$E:$E,0)),"N/A")</f>
        <v>N/A</v>
      </c>
      <c r="M11" s="136" t="str">
        <f>IFERROR(INDEX('Strat Buff Data'!G:G,MATCH(Main!$B86,'Strat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6607</v>
      </c>
    </row>
    <row r="14" spans="1:13" x14ac:dyDescent="0.25">
      <c r="A14"/>
      <c r="B14" t="s">
        <v>955</v>
      </c>
      <c r="C14" t="str">
        <f>INDEX($C$8:$C$11,COUNTA(Main!$B$78:$B$80)+1)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SUBSTITUTE(SUBSTITUTE(SUBSTITUTE(C16,"skill1",IF(StratSL1=0,"",TEXT(StratSL1,"00"))),"skill2",IF(StratSL2=0,"",TEXT(StratSL2,"00"))),"skill3",IF(StratSL3=0,"",TEXT(StratSL3,"00")))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6608</v>
      </c>
    </row>
    <row r="21" spans="1:11" x14ac:dyDescent="0.25">
      <c r="A21"/>
      <c r="B21" t="s">
        <v>955</v>
      </c>
      <c r="C21" t="str">
        <f>INDEX($J$8:$J$11,COUNTA(Main!$B$84:$B$86)+1)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7107</v>
      </c>
      <c r="C27" s="9"/>
    </row>
    <row r="28" spans="1:11" x14ac:dyDescent="0.25">
      <c r="A28"/>
      <c r="B28" s="9" t="s">
        <v>955</v>
      </c>
      <c r="C28" t="str">
        <f>INDEX($F$28:$F$31,COUNTA(Main!$B$90:$B$92)+1)</f>
        <v>"building_info": "{}",</v>
      </c>
      <c r="F28" t="s">
        <v>7110</v>
      </c>
    </row>
    <row r="29" spans="1:11" x14ac:dyDescent="0.25">
      <c r="A29"/>
      <c r="B29" s="256" t="s">
        <v>7111</v>
      </c>
      <c r="C29" t="str">
        <f>SUBSTITUTE(SUBSTITUTE(C28,"building1",Main!B90),"spot1",Main!C90)</f>
        <v>"building_info": "{}",</v>
      </c>
      <c r="F29" s="9" t="s">
        <v>7114</v>
      </c>
    </row>
    <row r="30" spans="1:11" x14ac:dyDescent="0.25">
      <c r="A30"/>
      <c r="B30" s="256" t="s">
        <v>7112</v>
      </c>
      <c r="C30" t="str">
        <f>SUBSTITUTE(SUBSTITUTE(C29,"building2",Main!B91),"spot2",Main!C91)</f>
        <v>"building_info": "{}",</v>
      </c>
      <c r="F30" s="9" t="s">
        <v>7115</v>
      </c>
    </row>
    <row r="31" spans="1:11" x14ac:dyDescent="0.25">
      <c r="A31"/>
      <c r="B31" s="256" t="s">
        <v>7113</v>
      </c>
      <c r="C31" t="str">
        <f>SUBSTITUTE(SUBSTITUTE(C30,"building3",Main!B92),"spot3",Main!C92)</f>
        <v>"building_info": "{}",</v>
      </c>
      <c r="F31" s="9" t="s">
        <v>7116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6454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6455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6573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6573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6573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6573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6573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C:\Users\danny\Documents\GitHub\GFLBattleSim-JSONGenerator\Preset\battle_day\mission_act_info.json</v>
      </c>
      <c r="D41" s="153" t="s">
        <v>6573</v>
      </c>
      <c r="E41" s="150" t="str">
        <f>"Preset\"&amp;IF(DayNight="Day","battle_day\","battle_night_new\")&amp;"mission_act_info.json"</f>
        <v>Preset\battle_day\mission_act_info.json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6573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6573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6573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6573</v>
      </c>
      <c r="E45" s="150" t="str">
        <f>"GFBattleSimulator.json"</f>
        <v>GFBattleSimulator.json</v>
      </c>
    </row>
    <row r="46" spans="2:9" x14ac:dyDescent="0.25">
      <c r="B46" t="s">
        <v>1782</v>
      </c>
      <c r="C46" s="150" t="str">
        <f t="shared" ca="1" si="0"/>
        <v>C:\Users\danny\Documents\GitHub\GFLBattleSim-JSONGenerator\Preset\battle_day\spot_act_info.json</v>
      </c>
      <c r="D46" s="153" t="s">
        <v>6573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1783</v>
      </c>
      <c r="C47" s="150" t="str">
        <f t="shared" ca="1" si="0"/>
        <v>C:\Users\danny\Documents\GitHub\GFLBattleSim-JSONGenerator\Preset\battle_night_new\spot_act_info.json</v>
      </c>
      <c r="D47" s="153" t="s">
        <v>6573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5516</v>
      </c>
    </row>
    <row r="50" spans="2:3" x14ac:dyDescent="0.25">
      <c r="B50" t="s">
        <v>770</v>
      </c>
      <c r="C50" s="219" t="s">
        <v>5786</v>
      </c>
    </row>
    <row r="51" spans="2:3" x14ac:dyDescent="0.25">
      <c r="B51" t="s">
        <v>771</v>
      </c>
      <c r="C51" s="219" t="s">
        <v>5639</v>
      </c>
    </row>
    <row r="52" spans="2:3" x14ac:dyDescent="0.25">
      <c r="B52" t="s">
        <v>6350</v>
      </c>
      <c r="C52" s="219" t="s">
        <v>6371</v>
      </c>
    </row>
    <row r="53" spans="2:3" x14ac:dyDescent="0.25">
      <c r="B53" t="s">
        <v>6351</v>
      </c>
      <c r="C53" s="219" t="s">
        <v>6352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topLeftCell="AJ1" workbookViewId="0">
      <pane ySplit="1" topLeftCell="A2" activePane="bottomLeft" state="frozen"/>
      <selection activeCell="AG332" sqref="AG332:AG336"/>
      <selection pane="bottomLeft" activeCell="AV1" sqref="AV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6377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6450</v>
      </c>
      <c r="AZ1" s="43" t="s">
        <v>6433</v>
      </c>
      <c r="BA1" s="43" t="s">
        <v>6434</v>
      </c>
      <c r="BB1" s="43" t="s">
        <v>6451</v>
      </c>
      <c r="BC1" s="43" t="s">
        <v>6452</v>
      </c>
      <c r="BD1" s="43" t="s">
        <v>6453</v>
      </c>
      <c r="BE1" s="43" t="s">
        <v>6435</v>
      </c>
      <c r="BF1" s="43" t="s">
        <v>6438</v>
      </c>
      <c r="BG1" s="43" t="s">
        <v>6441</v>
      </c>
      <c r="BH1" s="43" t="s">
        <v>6444</v>
      </c>
      <c r="BI1" s="43" t="s">
        <v>6447</v>
      </c>
      <c r="BJ1" s="43" t="s">
        <v>6436</v>
      </c>
      <c r="BK1" s="43" t="s">
        <v>6439</v>
      </c>
      <c r="BL1" s="43" t="s">
        <v>6442</v>
      </c>
      <c r="BM1" s="43" t="s">
        <v>6445</v>
      </c>
      <c r="BN1" s="43" t="s">
        <v>6448</v>
      </c>
      <c r="BO1" s="43" t="s">
        <v>6437</v>
      </c>
      <c r="BP1" s="43" t="s">
        <v>6440</v>
      </c>
      <c r="BQ1" s="43" t="s">
        <v>6443</v>
      </c>
      <c r="BR1" s="43" t="s">
        <v>6446</v>
      </c>
      <c r="BS1" s="43" t="s">
        <v>6449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7132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6772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5754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F2" s="9" t="s">
        <v>7183</v>
      </c>
      <c r="AH2" t="s">
        <v>520</v>
      </c>
      <c r="AI2" t="s">
        <v>524</v>
      </c>
      <c r="AJ2" t="s">
        <v>6378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1681</v>
      </c>
      <c r="K3" s="9" t="s">
        <v>1695</v>
      </c>
      <c r="L3" t="s">
        <v>7212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6773</v>
      </c>
      <c r="R3" s="9" t="s">
        <v>1168</v>
      </c>
      <c r="S3" s="9" t="s">
        <v>1623</v>
      </c>
      <c r="T3" s="9" t="s">
        <v>1653</v>
      </c>
      <c r="U3" t="s">
        <v>5492</v>
      </c>
      <c r="V3" t="s">
        <v>5738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7212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6892</v>
      </c>
      <c r="H4" s="9" t="s">
        <v>83</v>
      </c>
      <c r="I4" s="9" t="s">
        <v>135</v>
      </c>
      <c r="J4" s="9" t="s">
        <v>794</v>
      </c>
      <c r="K4" s="9" t="s">
        <v>1624</v>
      </c>
      <c r="L4" s="9" t="s">
        <v>826</v>
      </c>
      <c r="M4" s="9" t="s">
        <v>90</v>
      </c>
      <c r="N4" s="9" t="s">
        <v>173</v>
      </c>
      <c r="O4" t="s">
        <v>1762</v>
      </c>
      <c r="P4" s="9" t="s">
        <v>170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6380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6522</v>
      </c>
      <c r="M5" s="9" t="s">
        <v>1619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6381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717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827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5498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5723</v>
      </c>
      <c r="Z6" t="s">
        <v>7239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1615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1726</v>
      </c>
      <c r="K7" s="9" t="s">
        <v>722</v>
      </c>
      <c r="N7" s="9" t="s">
        <v>88</v>
      </c>
      <c r="O7" s="9" t="s">
        <v>255</v>
      </c>
      <c r="P7" s="9" t="s">
        <v>1644</v>
      </c>
      <c r="R7" s="9" t="s">
        <v>136</v>
      </c>
      <c r="S7" s="9" t="s">
        <v>1627</v>
      </c>
      <c r="T7" s="9" t="s">
        <v>101</v>
      </c>
      <c r="U7" s="9" t="s">
        <v>7013</v>
      </c>
      <c r="X7" s="9" t="s">
        <v>1178</v>
      </c>
      <c r="Y7" s="9" t="s">
        <v>261</v>
      </c>
      <c r="Z7" s="9" t="s">
        <v>241</v>
      </c>
      <c r="AC7" s="9" t="s">
        <v>1640</v>
      </c>
      <c r="AD7" s="9" t="s">
        <v>147</v>
      </c>
      <c r="AE7" t="s">
        <v>4718</v>
      </c>
      <c r="AP7" t="s">
        <v>566</v>
      </c>
      <c r="AQ7" t="s">
        <v>548</v>
      </c>
      <c r="AU7" t="s">
        <v>6856</v>
      </c>
      <c r="AV7" t="s">
        <v>724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9A91Login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262</v>
      </c>
      <c r="K8" s="9" t="s">
        <v>6902</v>
      </c>
      <c r="N8" s="9" t="s">
        <v>789</v>
      </c>
      <c r="O8" s="9" t="s">
        <v>788</v>
      </c>
      <c r="P8" s="9" t="s">
        <v>235</v>
      </c>
      <c r="S8" s="9" t="s">
        <v>1172</v>
      </c>
      <c r="T8" t="s">
        <v>6688</v>
      </c>
      <c r="U8" s="9" t="s">
        <v>234</v>
      </c>
      <c r="X8" s="9" t="s">
        <v>790</v>
      </c>
      <c r="Y8" s="9" t="s">
        <v>837</v>
      </c>
      <c r="Z8" s="9" t="s">
        <v>260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6857</v>
      </c>
      <c r="AV8" t="s">
        <v>213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AA12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157</v>
      </c>
      <c r="K9" s="9" t="s">
        <v>1609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1668</v>
      </c>
      <c r="U9" s="9" t="s">
        <v>1670</v>
      </c>
      <c r="X9" s="9" t="s">
        <v>112</v>
      </c>
      <c r="Y9" s="9" t="s">
        <v>105</v>
      </c>
      <c r="Z9" t="s">
        <v>6694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6858</v>
      </c>
      <c r="AV9" t="s">
        <v>210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ACR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1667</v>
      </c>
      <c r="K10" s="9" t="s">
        <v>248</v>
      </c>
      <c r="N10" s="9" t="s">
        <v>184</v>
      </c>
      <c r="O10" s="9" t="s">
        <v>729</v>
      </c>
      <c r="P10" s="9" t="s">
        <v>1738</v>
      </c>
      <c r="S10" s="9" t="s">
        <v>216</v>
      </c>
      <c r="T10" s="9" t="s">
        <v>175</v>
      </c>
      <c r="U10" s="9" t="s">
        <v>1673</v>
      </c>
      <c r="X10" s="9" t="s">
        <v>110</v>
      </c>
      <c r="Y10" t="s">
        <v>7161</v>
      </c>
      <c r="Z10" s="9" t="s">
        <v>1721</v>
      </c>
      <c r="AD10" t="s">
        <v>5469</v>
      </c>
      <c r="AE10" s="9" t="s">
        <v>811</v>
      </c>
      <c r="AU10" t="s">
        <v>917</v>
      </c>
      <c r="AV10" t="s">
        <v>923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ADS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715</v>
      </c>
      <c r="K11" t="s">
        <v>1698</v>
      </c>
      <c r="N11" s="9" t="s">
        <v>1637</v>
      </c>
      <c r="O11" s="9" t="s">
        <v>6497</v>
      </c>
      <c r="P11" s="9" t="s">
        <v>143</v>
      </c>
      <c r="S11" s="9" t="s">
        <v>203</v>
      </c>
      <c r="T11" s="9" t="s">
        <v>1662</v>
      </c>
      <c r="U11" s="9" t="s">
        <v>233</v>
      </c>
      <c r="X11" s="9" t="s">
        <v>240</v>
      </c>
      <c r="Y11" s="9" t="s">
        <v>106</v>
      </c>
      <c r="Z11" s="9" t="s">
        <v>205</v>
      </c>
      <c r="AD11" t="s">
        <v>4739</v>
      </c>
      <c r="AE11" s="9" t="s">
        <v>145</v>
      </c>
      <c r="AL11" s="40"/>
      <c r="AU11" t="s">
        <v>909</v>
      </c>
      <c r="AV11" t="s">
        <v>922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Agent416HV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1664</v>
      </c>
      <c r="K12" t="s">
        <v>7223</v>
      </c>
      <c r="N12" s="9" t="s">
        <v>1656</v>
      </c>
      <c r="O12" s="9" t="s">
        <v>1630</v>
      </c>
      <c r="P12" s="9" t="s">
        <v>166</v>
      </c>
      <c r="S12" s="9" t="s">
        <v>182</v>
      </c>
      <c r="T12" s="9" t="s">
        <v>711</v>
      </c>
      <c r="U12" s="9" t="s">
        <v>252</v>
      </c>
      <c r="Y12" s="9" t="s">
        <v>114</v>
      </c>
      <c r="Z12" s="9" t="s">
        <v>6484</v>
      </c>
      <c r="AD12" s="9" t="s">
        <v>931</v>
      </c>
      <c r="AE12" t="s">
        <v>4730</v>
      </c>
      <c r="AL12" s="40"/>
      <c r="AU12" t="s">
        <v>6948</v>
      </c>
      <c r="AV12" t="s">
        <v>924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Agent416VFL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254</v>
      </c>
      <c r="K13" s="9" t="s">
        <v>238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1718</v>
      </c>
      <c r="U13" t="s">
        <v>6680</v>
      </c>
      <c r="Y13" s="9" t="s">
        <v>189</v>
      </c>
      <c r="Z13" s="9" t="s">
        <v>300</v>
      </c>
      <c r="AD13" s="9" t="s">
        <v>1642</v>
      </c>
      <c r="AE13" s="9" t="s">
        <v>812</v>
      </c>
      <c r="AL13" s="40"/>
      <c r="AU13" t="s">
        <v>6859</v>
      </c>
      <c r="AV13" t="s">
        <v>919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Agent416XExo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7125</v>
      </c>
      <c r="F14" t="s">
        <v>7168</v>
      </c>
      <c r="G14" s="9"/>
      <c r="I14" s="9" t="s">
        <v>1617</v>
      </c>
      <c r="J14" s="9" t="s">
        <v>730</v>
      </c>
      <c r="K14" s="9" t="s">
        <v>6998</v>
      </c>
      <c r="N14" s="9" t="s">
        <v>1649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155</v>
      </c>
      <c r="Y14" s="9" t="s">
        <v>128</v>
      </c>
      <c r="Z14" s="9" t="s">
        <v>301</v>
      </c>
      <c r="AD14" s="9" t="s">
        <v>1639</v>
      </c>
      <c r="AE14" s="9" t="s">
        <v>5640</v>
      </c>
      <c r="AL14" s="40"/>
      <c r="AM14" s="40"/>
      <c r="AU14" t="s">
        <v>6860</v>
      </c>
      <c r="AV14" t="s">
        <v>921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AgentVectorHP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6665</v>
      </c>
      <c r="F15" s="9" t="s">
        <v>820</v>
      </c>
      <c r="G15" s="9"/>
      <c r="I15" s="9" t="s">
        <v>81</v>
      </c>
      <c r="J15" s="9" t="s">
        <v>6400</v>
      </c>
      <c r="K15" s="9" t="s">
        <v>804</v>
      </c>
      <c r="N15" s="9" t="s">
        <v>142</v>
      </c>
      <c r="O15" t="s">
        <v>6673</v>
      </c>
      <c r="P15" s="9" t="s">
        <v>96</v>
      </c>
      <c r="S15" s="9" t="s">
        <v>1677</v>
      </c>
      <c r="T15" s="9" t="s">
        <v>1682</v>
      </c>
      <c r="U15" s="9" t="s">
        <v>258</v>
      </c>
      <c r="Y15" s="9" t="s">
        <v>111</v>
      </c>
      <c r="Z15" s="9" t="s">
        <v>126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920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AgentVectorSPP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209</v>
      </c>
      <c r="F16" s="9" t="s">
        <v>815</v>
      </c>
      <c r="G16" s="9"/>
      <c r="I16" s="9" t="s">
        <v>828</v>
      </c>
      <c r="J16" s="9" t="s">
        <v>2143</v>
      </c>
      <c r="K16" s="9" t="s">
        <v>1416</v>
      </c>
      <c r="N16" s="9" t="s">
        <v>130</v>
      </c>
      <c r="O16" s="9" t="s">
        <v>187</v>
      </c>
      <c r="P16" s="9" t="s">
        <v>7139</v>
      </c>
      <c r="S16" s="9" t="s">
        <v>167</v>
      </c>
      <c r="T16" s="9" t="s">
        <v>1169</v>
      </c>
      <c r="U16" s="9" t="s">
        <v>104</v>
      </c>
      <c r="Y16" s="9" t="s">
        <v>808</v>
      </c>
      <c r="Z16" s="9" t="s">
        <v>154</v>
      </c>
      <c r="AD16" s="9" t="s">
        <v>1646</v>
      </c>
      <c r="AE16" t="s">
        <v>6585</v>
      </c>
      <c r="AL16" s="40"/>
      <c r="AM16" s="40"/>
      <c r="AP16" s="40"/>
      <c r="AU16" t="s">
        <v>926</v>
      </c>
      <c r="AV16" t="s">
        <v>7013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AgentVectorTExo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6655</v>
      </c>
      <c r="G17" s="9"/>
      <c r="I17" s="9" t="s">
        <v>1680</v>
      </c>
      <c r="J17" s="9" t="s">
        <v>1634</v>
      </c>
      <c r="K17" s="9" t="s">
        <v>82</v>
      </c>
      <c r="N17" s="9" t="s">
        <v>1620</v>
      </c>
      <c r="O17" s="9" t="s">
        <v>87</v>
      </c>
      <c r="P17" s="9" t="s">
        <v>201</v>
      </c>
      <c r="S17" s="9" t="s">
        <v>239</v>
      </c>
      <c r="T17" s="9" t="s">
        <v>1434</v>
      </c>
      <c r="U17" s="9" t="s">
        <v>124</v>
      </c>
      <c r="Y17" s="9" t="s">
        <v>787</v>
      </c>
      <c r="Z17" s="9" t="s">
        <v>786</v>
      </c>
      <c r="AD17" t="s">
        <v>6594</v>
      </c>
      <c r="AE17" s="9" t="s">
        <v>1641</v>
      </c>
      <c r="AU17" t="s">
        <v>927</v>
      </c>
      <c r="AV17" t="s">
        <v>5754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Ai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6476</v>
      </c>
      <c r="F18" s="9" t="s">
        <v>121</v>
      </c>
      <c r="G18" s="9"/>
      <c r="I18" s="9" t="s">
        <v>181</v>
      </c>
      <c r="J18" s="9" t="s">
        <v>226</v>
      </c>
      <c r="K18" s="9" t="s">
        <v>190</v>
      </c>
      <c r="N18" s="9" t="s">
        <v>1663</v>
      </c>
      <c r="O18" s="9" t="s">
        <v>244</v>
      </c>
      <c r="P18" s="9" t="s">
        <v>185</v>
      </c>
      <c r="S18" s="9" t="s">
        <v>797</v>
      </c>
      <c r="T18" s="9" t="s">
        <v>832</v>
      </c>
      <c r="U18" s="9" t="s">
        <v>1193</v>
      </c>
      <c r="Y18" s="9" t="s">
        <v>1658</v>
      </c>
      <c r="Z18" s="9" t="s">
        <v>1669</v>
      </c>
      <c r="AD18" s="9" t="s">
        <v>1679</v>
      </c>
      <c r="AE18" s="255" t="s">
        <v>7037</v>
      </c>
      <c r="AU18" t="s">
        <v>916</v>
      </c>
      <c r="AV18" t="s">
        <v>708</v>
      </c>
      <c r="AZ18" s="1" t="str">
        <f t="shared" si="2"/>
        <v>FAL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AK15Mod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5692</v>
      </c>
      <c r="F19" s="9" t="s">
        <v>193</v>
      </c>
      <c r="G19" s="9"/>
      <c r="I19" s="9" t="s">
        <v>156</v>
      </c>
      <c r="J19" s="9" t="s">
        <v>1618</v>
      </c>
      <c r="K19" s="9" t="s">
        <v>1652</v>
      </c>
      <c r="N19" s="9" t="s">
        <v>222</v>
      </c>
      <c r="O19" s="9" t="s">
        <v>833</v>
      </c>
      <c r="P19" s="9" t="s">
        <v>132</v>
      </c>
      <c r="T19" s="9" t="s">
        <v>98</v>
      </c>
      <c r="U19" s="9" t="s">
        <v>1436</v>
      </c>
      <c r="Z19" s="9" t="s">
        <v>1684</v>
      </c>
      <c r="AE19" s="216" t="s">
        <v>3429</v>
      </c>
      <c r="AU19" t="s">
        <v>915</v>
      </c>
      <c r="AV19" t="s">
        <v>709</v>
      </c>
      <c r="AZ19" s="1" t="str">
        <f t="shared" si="2"/>
        <v>G11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AK47-1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1629</v>
      </c>
      <c r="J20" s="9" t="s">
        <v>1683</v>
      </c>
      <c r="K20" s="9" t="s">
        <v>1659</v>
      </c>
      <c r="N20" s="9" t="s">
        <v>1610</v>
      </c>
      <c r="O20" s="9" t="s">
        <v>1687</v>
      </c>
      <c r="P20" s="9" t="s">
        <v>821</v>
      </c>
      <c r="T20" s="9" t="s">
        <v>99</v>
      </c>
      <c r="U20" s="9" t="s">
        <v>735</v>
      </c>
      <c r="Z20" s="9" t="s">
        <v>834</v>
      </c>
      <c r="AE20" s="216" t="s">
        <v>825</v>
      </c>
      <c r="AU20" t="s">
        <v>5678</v>
      </c>
      <c r="AV20" t="s">
        <v>710</v>
      </c>
      <c r="AZ20" s="1" t="str">
        <f t="shared" si="2"/>
        <v>G36Mod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AK47-2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5783</v>
      </c>
      <c r="K21" s="9" t="s">
        <v>1691</v>
      </c>
      <c r="N21" s="9" t="s">
        <v>119</v>
      </c>
      <c r="O21" s="9" t="s">
        <v>92</v>
      </c>
      <c r="P21" s="9" t="s">
        <v>1686</v>
      </c>
      <c r="T21" s="9" t="s">
        <v>22</v>
      </c>
      <c r="U21" s="9" t="s">
        <v>824</v>
      </c>
      <c r="Z21" t="s">
        <v>1697</v>
      </c>
      <c r="AE21" t="s">
        <v>6575</v>
      </c>
      <c r="AU21" t="s">
        <v>5677</v>
      </c>
      <c r="AV21" t="s">
        <v>231</v>
      </c>
      <c r="AZ21" s="1" t="str">
        <f t="shared" si="2"/>
        <v>G41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AK47-3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1660</v>
      </c>
      <c r="J22" s="9" t="s">
        <v>799</v>
      </c>
      <c r="K22" s="9" t="s">
        <v>141</v>
      </c>
      <c r="N22" s="9" t="s">
        <v>3404</v>
      </c>
      <c r="O22" s="9" t="s">
        <v>1645</v>
      </c>
      <c r="P22" s="9" t="s">
        <v>1621</v>
      </c>
      <c r="T22" s="9" t="s">
        <v>796</v>
      </c>
      <c r="U22" s="9" t="s">
        <v>223</v>
      </c>
      <c r="Z22" s="9" t="s">
        <v>7029</v>
      </c>
      <c r="AE22" t="s">
        <v>7248</v>
      </c>
      <c r="AU22" t="s">
        <v>6855</v>
      </c>
      <c r="AV22" t="s">
        <v>738</v>
      </c>
      <c r="AZ22" s="1" t="str">
        <f t="shared" si="2"/>
        <v>Himeko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Ak5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1626</v>
      </c>
      <c r="F23" s="9" t="s">
        <v>186</v>
      </c>
      <c r="J23" s="9" t="s">
        <v>144</v>
      </c>
      <c r="K23" s="9" t="s">
        <v>1709</v>
      </c>
      <c r="N23" s="9" t="s">
        <v>218</v>
      </c>
      <c r="O23" s="9" t="s">
        <v>800</v>
      </c>
      <c r="P23" t="s">
        <v>1400</v>
      </c>
      <c r="T23" s="9" t="s">
        <v>7146</v>
      </c>
      <c r="U23" s="9" t="s">
        <v>7022</v>
      </c>
      <c r="Z23" s="9" t="s">
        <v>1674</v>
      </c>
      <c r="AE23" s="9" t="s">
        <v>250</v>
      </c>
      <c r="AU23" t="s">
        <v>6949</v>
      </c>
      <c r="AV23" t="s">
        <v>162</v>
      </c>
      <c r="AZ23" s="1" t="str">
        <f t="shared" si="2"/>
        <v>HK416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TPS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Alma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829</v>
      </c>
      <c r="K24" s="9" t="s">
        <v>1735</v>
      </c>
      <c r="O24" s="9" t="s">
        <v>5707</v>
      </c>
      <c r="P24" s="9" t="s">
        <v>1661</v>
      </c>
      <c r="T24" s="9" t="s">
        <v>229</v>
      </c>
      <c r="U24" s="9" t="s">
        <v>188</v>
      </c>
      <c r="AE24" s="216" t="s">
        <v>734</v>
      </c>
      <c r="AQ24" s="9"/>
      <c r="AU24" t="s">
        <v>6950</v>
      </c>
      <c r="AV24" t="s">
        <v>5738</v>
      </c>
      <c r="AZ24" s="1" t="str">
        <f t="shared" si="2"/>
        <v>Junko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Triela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Ameli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5500</v>
      </c>
      <c r="F25" t="s">
        <v>5682</v>
      </c>
      <c r="J25" s="9" t="s">
        <v>741</v>
      </c>
      <c r="K25" s="9" t="s">
        <v>1633</v>
      </c>
      <c r="O25" s="9" t="s">
        <v>243</v>
      </c>
      <c r="P25" s="9" t="s">
        <v>207</v>
      </c>
      <c r="T25" s="9" t="s">
        <v>1655</v>
      </c>
      <c r="U25" s="9" t="s">
        <v>168</v>
      </c>
      <c r="AQ25" s="9"/>
      <c r="AU25" t="s">
        <v>6951</v>
      </c>
      <c r="AV25" t="s">
        <v>252</v>
      </c>
      <c r="AZ25" s="1" t="str">
        <f t="shared" si="2"/>
        <v>K11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>Type97SMod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AN94Mod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6771</v>
      </c>
      <c r="F26" s="9" t="s">
        <v>267</v>
      </c>
      <c r="J26" s="9" t="s">
        <v>24</v>
      </c>
      <c r="K26" s="9" t="s">
        <v>5699</v>
      </c>
      <c r="O26" s="9" t="s">
        <v>830</v>
      </c>
      <c r="P26" s="9" t="s">
        <v>249</v>
      </c>
      <c r="T26" s="9" t="s">
        <v>1622</v>
      </c>
      <c r="U26" s="9" t="s">
        <v>1712</v>
      </c>
      <c r="AQ26" s="9"/>
      <c r="AV26" t="s">
        <v>1632</v>
      </c>
      <c r="AZ26" s="1" t="str">
        <f t="shared" si="2"/>
        <v>K2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Angelica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7214</v>
      </c>
      <c r="F27" s="9" t="s">
        <v>732</v>
      </c>
      <c r="J27" s="9" t="s">
        <v>23</v>
      </c>
      <c r="K27" s="9" t="s">
        <v>127</v>
      </c>
      <c r="O27" s="9" t="s">
        <v>839</v>
      </c>
      <c r="P27" t="s">
        <v>236</v>
      </c>
      <c r="T27" s="9" t="s">
        <v>831</v>
      </c>
      <c r="U27" s="9" t="s">
        <v>257</v>
      </c>
      <c r="AQ27" s="9"/>
      <c r="AV27" t="s">
        <v>258</v>
      </c>
      <c r="AZ27" s="1" t="str">
        <f t="shared" si="2"/>
        <v>KH2002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ARX160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 t="s">
        <v>5499</v>
      </c>
      <c r="F28" s="9" t="s">
        <v>740</v>
      </c>
      <c r="J28" s="9" t="s">
        <v>123</v>
      </c>
      <c r="K28" s="9" t="s">
        <v>76</v>
      </c>
      <c r="O28" s="9" t="s">
        <v>172</v>
      </c>
      <c r="P28" s="9" t="s">
        <v>818</v>
      </c>
      <c r="T28" s="9" t="s">
        <v>739</v>
      </c>
      <c r="U28" s="9" t="s">
        <v>256</v>
      </c>
      <c r="AV28" t="s">
        <v>74</v>
      </c>
      <c r="AZ28" s="1" t="str">
        <f t="shared" si="2"/>
        <v>M4 SOPMOD IIMod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 ValMod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6988</v>
      </c>
      <c r="J29" t="s">
        <v>5486</v>
      </c>
      <c r="K29" s="9" t="s">
        <v>224</v>
      </c>
      <c r="P29" s="9" t="s">
        <v>6911</v>
      </c>
      <c r="T29" s="9" t="s">
        <v>6774</v>
      </c>
      <c r="U29" s="9" t="s">
        <v>179</v>
      </c>
      <c r="AV29" t="s">
        <v>104</v>
      </c>
      <c r="AZ29" s="1" t="str">
        <f t="shared" si="2"/>
        <v>M4A1Mod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Astra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K30" s="9" t="s">
        <v>265</v>
      </c>
      <c r="P30" s="9" t="s">
        <v>795</v>
      </c>
      <c r="T30" s="9" t="s">
        <v>180</v>
      </c>
      <c r="U30" t="s">
        <v>1403</v>
      </c>
      <c r="AV30" t="s">
        <v>744</v>
      </c>
      <c r="AZ30" s="1" t="str">
        <f t="shared" si="2"/>
        <v>MDR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AUG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264</v>
      </c>
      <c r="P31" s="9" t="s">
        <v>737</v>
      </c>
      <c r="U31" s="9" t="s">
        <v>1631</v>
      </c>
      <c r="AV31" t="s">
        <v>3221</v>
      </c>
      <c r="AZ31" s="1" t="str">
        <f t="shared" si="2"/>
        <v>Medusa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BrenMod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79</v>
      </c>
      <c r="P32" s="9" t="s">
        <v>814</v>
      </c>
      <c r="U32" t="s">
        <v>5716</v>
      </c>
      <c r="AV32" t="s">
        <v>746</v>
      </c>
      <c r="AZ32" s="1" t="str">
        <f t="shared" si="2"/>
        <v>OTs14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BrenTen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817</v>
      </c>
      <c r="P33" s="9" t="s">
        <v>1244</v>
      </c>
      <c r="U33" s="9" t="s">
        <v>791</v>
      </c>
      <c r="AV33" t="s">
        <v>748</v>
      </c>
      <c r="AZ33" s="1" t="str">
        <f t="shared" si="2"/>
        <v>QBZ191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C96Mod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K34" s="9" t="s">
        <v>198</v>
      </c>
      <c r="P34" s="9" t="s">
        <v>1675</v>
      </c>
      <c r="U34" s="9" t="s">
        <v>230</v>
      </c>
      <c r="AV34" t="s">
        <v>747</v>
      </c>
      <c r="AZ34" s="1" t="str">
        <f t="shared" si="2"/>
        <v>R5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ClaesMeteorite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P35" s="9" t="s">
        <v>95</v>
      </c>
      <c r="U35" t="s">
        <v>1761</v>
      </c>
      <c r="AV35" t="s">
        <v>749</v>
      </c>
      <c r="AZ35" s="1" t="str">
        <f t="shared" si="2"/>
        <v>RFB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ClaesSpectacles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932</v>
      </c>
      <c r="U36" s="9" t="s">
        <v>1676</v>
      </c>
      <c r="AV36" t="s">
        <v>718</v>
      </c>
      <c r="AZ36" s="1" t="str">
        <f t="shared" si="2"/>
        <v>Ribeyrolles1918Mod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ClaesWristwatch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6919</v>
      </c>
      <c r="AV37" t="s">
        <v>152</v>
      </c>
      <c r="AZ37" s="1" t="str">
        <f t="shared" si="2"/>
        <v>SACR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Clear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6408</v>
      </c>
      <c r="AV38" t="s">
        <v>736</v>
      </c>
      <c r="AZ38" s="1" t="str">
        <f t="shared" si="2"/>
        <v>SCAR-L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CZ75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894</v>
      </c>
      <c r="AV39" t="s">
        <v>1611</v>
      </c>
      <c r="AZ39" s="1" t="str">
        <f t="shared" si="2"/>
        <v>SCR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Dana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246</v>
      </c>
      <c r="AV40" t="s">
        <v>722</v>
      </c>
      <c r="AZ40" s="1" t="str">
        <f t="shared" si="2"/>
        <v>SIG MCX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Defender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1689</v>
      </c>
      <c r="AV41" t="s">
        <v>7183</v>
      </c>
      <c r="AZ41" s="1" t="str">
        <f t="shared" si="2"/>
        <v>SIG556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Dorothy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160</v>
      </c>
      <c r="AV42" t="s">
        <v>109</v>
      </c>
      <c r="AZ42" s="1" t="str">
        <f t="shared" si="2"/>
        <v>ST AR15Mod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DP12Mod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t="s">
        <v>1685</v>
      </c>
      <c r="AV43" t="s">
        <v>3186</v>
      </c>
      <c r="AZ43" s="1" t="str">
        <f t="shared" si="2"/>
        <v>T91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DP28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6775</v>
      </c>
      <c r="AV44" t="s">
        <v>827</v>
      </c>
      <c r="AZ44" s="1" t="str">
        <f t="shared" si="2"/>
        <v>TKB408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EVO3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792</v>
      </c>
      <c r="AV45" t="s">
        <v>1190</v>
      </c>
      <c r="AZ45" s="1" t="str">
        <f t="shared" si="2"/>
        <v>Type56-1mod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F1Mod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133</v>
      </c>
      <c r="AV46" t="s">
        <v>719</v>
      </c>
      <c r="AZ46" s="1" t="str">
        <f t="shared" si="2"/>
        <v>Type89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F2000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134</v>
      </c>
      <c r="AV47" t="s">
        <v>711</v>
      </c>
      <c r="AZ47" s="1" t="str">
        <f t="shared" si="2"/>
        <v>Type95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Fail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807</v>
      </c>
      <c r="AV48" t="s">
        <v>125</v>
      </c>
      <c r="AZ48" s="1" t="str">
        <f t="shared" si="2"/>
        <v>Type97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FAMAS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t="s">
        <v>7231</v>
      </c>
      <c r="AV49" t="s">
        <v>1635</v>
      </c>
      <c r="AZ49" s="1" t="str">
        <f t="shared" si="2"/>
        <v>VHS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FG42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t="s">
        <v>5745</v>
      </c>
      <c r="AV50" t="s">
        <v>1424</v>
      </c>
      <c r="AZ50" s="1" t="str">
        <f t="shared" si="2"/>
        <v>VRB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Fiveseven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U51" s="9" t="s">
        <v>169</v>
      </c>
      <c r="AV51" t="s">
        <v>1643</v>
      </c>
      <c r="AZ51" s="1" t="str">
        <f t="shared" si="2"/>
        <v>XM8Mod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FN49Mod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1454</v>
      </c>
      <c r="AZ52" s="1" t="str">
        <f t="shared" si="2"/>
        <v>Zas M21</v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FP6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75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G11Mod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1755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G17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1436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G36CMod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1434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G36Mod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735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G3Mod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94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G41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832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G43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1762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Galil Mod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120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Gepard M1Mod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1692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Grizzly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248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GSh18Mod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223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Henrietta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259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HK416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1726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HK416Mod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262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Honey Badger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78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IDWMod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1698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Ingram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192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Jashin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756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Jericho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759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JillAdelhyde1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760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JillAdelhyde2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757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JillBronsonExtract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755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JillFlanergide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758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JillKarmotrine1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761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JillKarmotrine2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842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JillKarmotrine3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7022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JillPowderedDelta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168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Junko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7168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K2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93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K5Mod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6772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Kar98k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723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Kar98kmod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266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KS23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96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KSVKMod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6773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Lee Enfield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6998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Lee Enfieldmod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261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Lily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86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LWMMGMod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255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M1 Garand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98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M14Mod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145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M16A1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785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M1887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725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M1895Mod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253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M1897Mod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105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M1911Mod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260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M1918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7324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M1918Mod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107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M1918Ranking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7161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M1919A4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789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M1919A4Mod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89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M1A1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1178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M21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77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M249SAW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147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M3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715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M37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257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M38Mod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256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M4 SOPMOD IIMod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716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M4A1Mod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812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M500Mod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185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M6 ASW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63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M82A1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263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M9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68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M950AMod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941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Makarov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179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MakarovMod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1403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MDR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114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Medusa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6484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MG3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300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MG3Mod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112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MG4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930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MG42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254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MG4Mod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1407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Micro UziMod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1185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Minos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806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Mk23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729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MondragonM1908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1686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MosinNagant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7322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MosinNagantMod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1760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MosinNagantModGreyZone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1690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MP443Mod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730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MP446Mod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1416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MP5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1688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MP5Mod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131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NTW20Mod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6497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NZ75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1700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OBRMod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1701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Ots12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71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Ots44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197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P08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69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P22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122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P38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190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P7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129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P90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1400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P99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111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Pekola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154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PK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1691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PKP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1140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PP19Mod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70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PP2000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6476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PPK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908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PPKMod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5730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PPSh41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91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PPsh41Mod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186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PTRD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64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Px4 Storm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159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Python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1661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PzB39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230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QBU88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1761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RFB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249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Ribeyrolles1918Mod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931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Rico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826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RMB93Mod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110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RO635Mod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267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RPD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1641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SAAMod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7037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Saiga12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236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Saki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6911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Sakura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6919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SCAR-H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751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SCAR-L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732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SCW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750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Sei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745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Serdyukov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81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SIG510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795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Skorpion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116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SL8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87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Spectre M4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1633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Springfield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100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SR3MP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1689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ST AR-15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7323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ST AR15Mod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67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ST AR15ModGreyZone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740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Stechkin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7990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StechkinMod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737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StechkinModGreyZone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829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Stella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726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STEN MkIIMod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127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Stg44Mod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6522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Suomi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833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SuomiMod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1687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Super SASSMod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92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SV98Mod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1619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SVD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181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SVT38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1244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T77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6988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TAC50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739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Tae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76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TAR21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66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Thompson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250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Tokarev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243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Triela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830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Type 4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224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Type 56 RMod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239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Type 79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6775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Type03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136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Type56-1mod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118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Type63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741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Type64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7989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Type64Mod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834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Type64ModGreyZone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119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Type80Mod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839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Type88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6771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Type88Mod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712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Type92mod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734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Type95/97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1658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Type97SMod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V219" t="s">
        <v>731</v>
      </c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UKM2000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V220" t="s">
        <v>265</v>
      </c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>UMP</v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V221" t="s">
        <v>264</v>
      </c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>UMP45Mod</v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V222" t="s">
        <v>97</v>
      </c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>UMP9Mod</v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V223" t="s">
        <v>95</v>
      </c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>VM59</v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V224" t="s">
        <v>835</v>
      </c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>WA2000</v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48:72" x14ac:dyDescent="0.25">
      <c r="AV225" t="s">
        <v>932</v>
      </c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>Welrod MkIIMod</v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48:72" x14ac:dyDescent="0.25">
      <c r="AV226" t="s">
        <v>5745</v>
      </c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>XM3Mod</v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48:72" x14ac:dyDescent="0.25">
      <c r="AV227" t="s">
        <v>1697</v>
      </c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>XM8Mod</v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48:72" x14ac:dyDescent="0.25">
      <c r="AV228" t="s">
        <v>7029</v>
      </c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>Yurine</v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48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>Yuugiri</v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48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48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48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48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48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48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48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48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48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48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48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52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52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52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52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AV2:AV228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5E35DC3-3181-41C6-BC69-3F0DF65E6B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65</vt:i4>
      </vt:variant>
    </vt:vector>
  </HeadingPairs>
  <TitlesOfParts>
    <vt:vector size="94" baseType="lpstr">
      <vt:lpstr>Main</vt:lpstr>
      <vt:lpstr>Mapwide Buffs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EnemyHPPercent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2023-05-31T22:06:27Z</dcterms:modified>
</cp:coreProperties>
</file>