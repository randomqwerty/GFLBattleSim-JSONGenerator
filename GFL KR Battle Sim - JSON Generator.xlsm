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71E4E56E-3439-4623-89C6-813AC4B9E8A1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Inputs'!$C$36</definedName>
    <definedName name="CustomStatInput">Main!$Y$21:$AC$25</definedName>
    <definedName name="DayNight">Main!$B$10</definedName>
    <definedName name="DebuffSelection">Main!$A$83:$A$84</definedName>
    <definedName name="DollJSONPath">'Misc Inputs'!$C$33</definedName>
    <definedName name="EchelonInput">Main!$B$21:$AC$25</definedName>
    <definedName name="EchType">Main!$B$9</definedName>
    <definedName name="EnemyID">Main!$E$9</definedName>
    <definedName name="EquipJSONPath">'Misc Inputs'!$C$34</definedName>
    <definedName name="equipScript">'Misc Inputs'!$C$48</definedName>
    <definedName name="FairyInput">Main!$B$30:$F$30</definedName>
    <definedName name="FairyJSONPath">'Misc Inputs'!$C$37</definedName>
    <definedName name="FairySkill">Main!$E$11</definedName>
    <definedName name="gunScript">'Misc Inputs'!$C$47</definedName>
    <definedName name="HOCJSONPath">'Misc Inputs'!$C$35</definedName>
    <definedName name="HOCSelection">Main!$A$57:$A$64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SF">Main!$B$37</definedName>
    <definedName name="SFChipJSONPath">'Misc Inputs'!$C$41</definedName>
    <definedName name="SFCustomStatInput">Main!$Q$42:$Q$50</definedName>
    <definedName name="SFEchelonInput">Main!$C$42:$N$50</definedName>
    <definedName name="SFHOCSelection">Main!$A$69:$A$73</definedName>
    <definedName name="SFJSONPath">'Misc Inputs'!$C$39</definedName>
    <definedName name="SFPositionInput">Main!$S$43:$U$45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kill1">Main!$C$77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Main!$Q$41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2" i="1" l="1"/>
  <c r="T32" i="1"/>
  <c r="Q32" i="1"/>
  <c r="P32" i="1"/>
  <c r="M32" i="1"/>
  <c r="L32" i="1"/>
  <c r="U31" i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M28" i="1"/>
  <c r="Q28" i="1"/>
  <c r="P28" i="1"/>
  <c r="L28" i="1"/>
  <c r="J44" i="18" l="1"/>
  <c r="J43" i="18"/>
  <c r="J42" i="18"/>
  <c r="J41" i="18"/>
  <c r="J40" i="18"/>
  <c r="J39" i="18"/>
  <c r="J38" i="18"/>
  <c r="J37" i="18"/>
  <c r="J36" i="18"/>
  <c r="J35" i="18"/>
  <c r="J34" i="18"/>
  <c r="J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3" i="1"/>
  <c r="B42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3" i="1"/>
  <c r="P2" i="33"/>
  <c r="O42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50" i="1" l="1"/>
  <c r="B49" i="1"/>
  <c r="B48" i="1"/>
  <c r="B47" i="1"/>
  <c r="B46" i="1"/>
  <c r="B45" i="1"/>
  <c r="B44" i="1"/>
  <c r="F2" i="33"/>
  <c r="P10" i="33" l="1"/>
  <c r="O50" i="1"/>
  <c r="P9" i="33"/>
  <c r="O49" i="1"/>
  <c r="P8" i="33"/>
  <c r="O48" i="1"/>
  <c r="P7" i="33"/>
  <c r="O47" i="1"/>
  <c r="P6" i="33"/>
  <c r="O46" i="1"/>
  <c r="P5" i="33"/>
  <c r="O45" i="1"/>
  <c r="P4" i="33"/>
  <c r="O44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41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40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40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41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41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41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5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7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7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7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8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8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8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<sst xmlns="http://schemas.openxmlformats.org/spreadsheetml/2006/main" count="21538" uniqueCount="6548">
  <si>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</si>
  <si>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</si>
  <si>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</si>
  <si>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</si>
  <si>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</si>
  <si>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</si>
  <si>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</si>
  <si>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</si>
  <si>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</si>
  <si>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</si>
  <si>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</si>
  <si>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</si>
  <si>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</si>
  <si>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</si>
  <si>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</si>
  <si>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</si>
  <si>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</si>
  <si>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</si>
  <si>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</si>
  <si>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</si>
  <si>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</si>
  <si>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</si>
  <si>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</si>
  <si>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</si>
  <si>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</si>
  <si>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</si>
  <si>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</si>
  <si>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</si>
  <si>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</si>
  <si>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</si>
  <si>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</si>
  <si>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</si>
  <si>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</si>
  <si>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</si>
  <si>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</si>
  <si>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</si>
  <si>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</si>
  <si>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</si>
  <si>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</si>
  <si>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</si>
  <si>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</si>
  <si>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</si>
  <si>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</si>
  <si>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</si>
  <si>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</si>
  <si>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</si>
  <si>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</si>
  <si>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</si>
  <si>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</si>
  <si>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</si>
  <si>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</si>
  <si>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</si>
  <si>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</si>
  <si>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</si>
  <si>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</si>
  <si>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</si>
  <si>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</si>
  <si>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</si>
  <si>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</si>
  <si>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</si>
  <si>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</si>
  <si>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</si>
  <si>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</si>
  <si>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</si>
  <si>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</si>
  <si>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</si>
  <si>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</si>
  <si>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</si>
  <si>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</si>
  <si>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</si>
  <si>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</si>
  <si>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</si>
  <si>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</si>
  <si>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</si>
  <si>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</si>
  <si>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</si>
  <si>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</si>
  <si>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</si>
  <si>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</si>
  <si>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</si>
  <si>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</si>
  <si>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</si>
  <si>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</si>
  <si>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</si>
  <si>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</si>
  <si>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</si>
  <si>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</si>
  <si>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</si>
  <si>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</si>
  <si>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</si>
  <si>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</si>
  <si>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</si>
  <si>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</si>
  <si>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</si>
  <si>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</si>
  <si>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</si>
  <si>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</si>
  <si>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</si>
  <si>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</si>
  <si>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</si>
  <si>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</si>
  <si>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</si>
  <si>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</si>
  <si>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</si>
  <si>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</si>
  <si>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</si>
  <si>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</si>
  <si>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</si>
  <si>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</si>
  <si>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</si>
  <si>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</si>
  <si>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</si>
  <si>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</si>
  <si>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</si>
  <si>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</si>
  <si>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</si>
  <si>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</si>
  <si>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</si>
  <si>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</si>
  <si>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</si>
  <si>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</si>
  <si>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</si>
  <si>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</si>
  <si>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</si>
  <si>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</si>
  <si>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</si>
  <si>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</si>
  <si>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</si>
  <si>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</si>
  <si>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</si>
  <si>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</si>
  <si>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</si>
  <si>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</si>
  <si>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</si>
  <si>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</si>
  <si>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</si>
  <si>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</si>
  <si>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</si>
  <si>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</si>
  <si>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</si>
  <si>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</si>
  <si>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</si>
  <si>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</si>
  <si>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</si>
  <si>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</si>
  <si>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</si>
  <si>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</si>
  <si>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</si>
  <si>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</si>
  <si>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</si>
  <si>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</si>
  <si>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</si>
  <si>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</si>
  <si>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</si>
  <si>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</si>
  <si>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</si>
  <si>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</si>
  <si>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</si>
  <si>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</si>
  <si>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</si>
  <si>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</si>
  <si>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</si>
  <si>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</si>
  <si>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</si>
  <si>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</si>
  <si>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</si>
  <si>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</si>
  <si>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</si>
  <si>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</si>
  <si>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</si>
  <si>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</si>
  <si>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</si>
  <si>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</si>
  <si>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</si>
  <si>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</si>
  <si>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</si>
  <si>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</si>
  <si>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</si>
  <si>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</si>
  <si>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</si>
  <si>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</si>
  <si>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</si>
  <si>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</si>
  <si>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</si>
  <si>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</si>
  <si>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</si>
  <si>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</si>
  <si>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</si>
  <si>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</si>
  <si>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</si>
  <si>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</si>
  <si>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</si>
  <si>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</si>
  <si>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</si>
  <si>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</si>
  <si>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</si>
  <si>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</si>
  <si>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</si>
  <si>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</si>
  <si>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</si>
  <si>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</si>
  <si>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</si>
  <si>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</si>
  <si>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</si>
  <si>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</si>
  <si>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</si>
  <si>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</si>
  <si>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</si>
  <si>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</si>
  <si>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</si>
  <si>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</si>
  <si>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</si>
  <si>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</si>
  <si>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</si>
  <si>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</si>
  <si>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</si>
  <si>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</si>
  <si>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</si>
  <si>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</si>
  <si>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</si>
  <si>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</si>
  <si>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</si>
  <si>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</si>
  <si>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</si>
  <si>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</si>
  <si>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</si>
  <si>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</si>
  <si>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</si>
  <si>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</si>
  <si>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</si>
  <si>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</si>
  <si>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</si>
  <si>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</si>
  <si>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</si>
  <si>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</si>
  <si>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</si>
  <si>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</si>
  <si>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</si>
  <si>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</si>
  <si>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</si>
  <si>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</si>
  <si>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</si>
  <si>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</si>
  <si>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</si>
  <si>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</si>
  <si>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</si>
  <si>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</si>
  <si>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</si>
  <si>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</si>
  <si>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</si>
  <si>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</si>
  <si>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</si>
  <si>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</si>
  <si>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</si>
  <si>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</si>
  <si>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</si>
  <si>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</si>
  <si>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</si>
  <si>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</si>
  <si>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</si>
  <si>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</si>
  <si>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</si>
  <si>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</si>
  <si>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</si>
  <si>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</si>
  <si>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</si>
  <si>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</si>
  <si>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</si>
  <si>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</si>
  <si>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</si>
  <si>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</si>
  <si>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</si>
  <si>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</si>
  <si>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</si>
  <si>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</si>
  <si>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</si>
  <si>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</si>
  <si>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</si>
  <si>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</si>
  <si>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</si>
  <si>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</si>
  <si>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</si>
  <si>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</si>
  <si>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</si>
  <si>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</si>
  <si>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</si>
  <si>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</si>
  <si>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</si>
  <si>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</si>
  <si>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</si>
  <si>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</si>
  <si>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</si>
  <si>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</si>
  <si>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</si>
  <si>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</si>
  <si>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</si>
  <si>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</si>
  <si>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</si>
  <si>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</si>
  <si>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</si>
  <si>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</si>
  <si>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</si>
  <si>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</si>
  <si>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</si>
  <si>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</si>
  <si>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</si>
  <si>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</si>
  <si>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</si>
  <si>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</si>
  <si>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</si>
  <si>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</si>
  <si>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</si>
  <si>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</si>
  <si>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</si>
  <si>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</si>
  <si>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</si>
  <si>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</si>
  <si>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</si>
  <si>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</si>
  <si>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</si>
  <si>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</si>
  <si>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</si>
  <si>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</si>
  <si>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</si>
  <si>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</si>
  <si>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</si>
  <si>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</si>
  <si>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</si>
  <si>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</si>
  <si>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</si>
  <si>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</si>
  <si>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</si>
  <si>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</si>
  <si>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</si>
  <si>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</si>
  <si>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</si>
  <si>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</si>
  <si>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</si>
  <si>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</si>
  <si>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</si>
  <si>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</si>
  <si>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</si>
  <si>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</si>
  <si>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</si>
  <si>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</si>
  <si>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</si>
  <si>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</si>
  <si>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</si>
  <si>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</si>
  <si>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</si>
  <si>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</si>
  <si>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</si>
  <si>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</si>
  <si>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</si>
  <si>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</si>
  <si>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</si>
  <si>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</si>
  <si>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</si>
  <si>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</si>
  <si>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</si>
  <si>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</si>
  <si>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</si>
  <si>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</si>
  <si>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</si>
  <si>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</si>
  <si>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</si>
  <si>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</si>
  <si>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</si>
  <si>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</si>
  <si>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</si>
  <si>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</si>
  <si>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</si>
  <si>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</si>
  <si>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</si>
  <si>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</si>
  <si>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</si>
  <si>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</si>
  <si>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</si>
  <si>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</si>
  <si>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</si>
  <si>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</si>
  <si>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</si>
  <si>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</si>
  <si>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</si>
  <si>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</si>
  <si>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</si>
  <si>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</si>
  <si>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</si>
  <si>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</si>
  <si>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</si>
  <si>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</si>
  <si>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</si>
  <si>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</si>
  <si>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</si>
  <si>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</si>
  <si>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</si>
  <si>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</si>
  <si>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</si>
  <si>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</si>
  <si>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</si>
  <si>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</si>
  <si>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</si>
  <si>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</si>
  <si>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</si>
  <si>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</si>
  <si>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</si>
  <si>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</si>
  <si>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</si>
  <si>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</si>
  <si>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</si>
  <si>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</si>
  <si>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</si>
  <si>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</si>
  <si>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</si>
  <si>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</si>
  <si>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</si>
  <si>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</si>
  <si>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</si>
  <si>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</si>
  <si>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</si>
  <si>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</si>
  <si>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</si>
  <si>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</si>
  <si>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</si>
  <si>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</si>
  <si>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</si>
  <si>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</si>
  <si>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</si>
  <si>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</si>
  <si>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</si>
  <si>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</si>
  <si>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</si>
  <si>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</si>
  <si>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</si>
  <si>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</si>
  <si>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</si>
  <si>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</si>
  <si>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</si>
  <si>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</si>
  <si>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</si>
  <si>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</si>
  <si>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</si>
  <si>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</si>
  <si>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</si>
  <si>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</si>
  <si>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</si>
  <si>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</si>
  <si>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</si>
  <si>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</si>
  <si>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</si>
  <si>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</si>
  <si>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</si>
  <si>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</si>
  <si>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</si>
  <si>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</si>
  <si>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</si>
  <si>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</si>
  <si>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</si>
  <si>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</si>
  <si>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</si>
  <si>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</si>
  <si>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</si>
  <si>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</si>
  <si>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</si>
  <si>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</si>
  <si>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</si>
  <si>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</si>
  <si>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</si>
  <si>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</si>
  <si>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</si>
  <si>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</si>
  <si>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</si>
  <si>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</si>
  <si>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</si>
  <si>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</si>
  <si>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</si>
  <si>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</si>
  <si>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</si>
  <si>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</si>
  <si>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</si>
  <si>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</si>
  <si>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</si>
  <si>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</si>
  <si>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</si>
  <si>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</si>
  <si>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</si>
  <si>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</si>
  <si>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</si>
  <si>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</si>
  <si>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</si>
  <si>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</si>
  <si>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</si>
  <si>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</si>
  <si>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</si>
  <si>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</si>
  <si>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</si>
  <si>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</si>
  <si>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</si>
  <si>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</si>
  <si>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</si>
  <si>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</si>
  <si>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</si>
  <si>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</si>
  <si>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</si>
  <si>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</si>
  <si>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</si>
  <si>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</si>
  <si>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</si>
  <si>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</si>
  <si>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</si>
  <si>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</si>
  <si>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</si>
  <si>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</si>
  <si>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</si>
  <si>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</si>
  <si>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</si>
  <si>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</si>
  <si>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</si>
  <si>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</si>
  <si>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</si>
  <si>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</si>
  <si>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</si>
  <si>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</si>
  <si>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</si>
  <si>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</si>
  <si>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</si>
  <si>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</si>
  <si>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</si>
  <si>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</si>
  <si>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</si>
  <si>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</si>
  <si>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</si>
  <si>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</si>
  <si>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</si>
  <si>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</si>
  <si>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</si>
  <si>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</si>
  <si>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</si>
  <si>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</si>
  <si>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</si>
  <si>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</si>
  <si>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</si>
  <si>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</si>
  <si>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</si>
  <si>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</si>
  <si>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</si>
  <si>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</si>
  <si>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</si>
  <si>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</si>
  <si>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</si>
  <si>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</si>
  <si>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</si>
  <si>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</si>
  <si>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</si>
  <si>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</si>
  <si>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</si>
  <si>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</si>
  <si>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</si>
  <si>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</si>
  <si>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</si>
  <si>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</si>
  <si>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</si>
  <si>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</si>
  <si>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</si>
  <si>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</si>
  <si>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</si>
  <si>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</si>
  <si>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</si>
  <si>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</si>
  <si>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</si>
  <si>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</si>
  <si>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</si>
  <si>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</si>
  <si>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</si>
  <si>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</si>
  <si>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</si>
  <si>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</si>
  <si>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</si>
  <si>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</si>
  <si>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</si>
  <si>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</si>
  <si>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</si>
  <si>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</si>
  <si>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</si>
  <si>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</si>
  <si>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</si>
  <si>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</si>
  <si>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</si>
  <si>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</si>
  <si>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</si>
  <si>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</si>
  <si>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</si>
  <si>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</si>
  <si>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</si>
  <si>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</si>
  <si>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</si>
  <si>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</si>
  <si>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</si>
  <si>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</si>
  <si>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</si>
  <si>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</si>
  <si>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</si>
  <si>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</si>
  <si>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</si>
  <si>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</si>
  <si>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</si>
  <si>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</si>
  <si>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</si>
  <si>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</si>
  <si>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</si>
  <si>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</si>
  <si>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</si>
  <si>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</si>
  <si>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</si>
  <si>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</si>
  <si>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</si>
  <si>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</si>
  <si>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</si>
  <si>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</si>
  <si>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</si>
  <si>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</si>
  <si>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</si>
  <si>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</si>
  <si>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</si>
  <si>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</si>
  <si>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</si>
  <si>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</si>
  <si>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</si>
  <si>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</si>
  <si>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</si>
  <si>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</si>
  <si>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</si>
  <si>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</si>
  <si>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</si>
  <si>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</si>
  <si>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</si>
  <si>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</si>
  <si>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</si>
  <si>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</si>
  <si>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</si>
  <si>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</si>
  <si>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</si>
  <si>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</si>
  <si>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</si>
  <si>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</si>
  <si>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</si>
  <si>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</si>
  <si>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</si>
  <si>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</si>
  <si>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</si>
  <si>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</si>
  <si>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</si>
  <si>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</si>
  <si>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</si>
  <si>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</si>
  <si>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</si>
  <si>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</si>
  <si>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</si>
  <si>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</si>
  <si>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</si>
  <si>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</si>
  <si>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</si>
  <si>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</si>
  <si>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</si>
  <si>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</si>
  <si>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</si>
  <si>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</si>
  <si>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</si>
  <si>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</si>
  <si>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</si>
  <si>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</si>
  <si>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</si>
  <si>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</si>
  <si>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</si>
  <si>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</si>
  <si>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</si>
  <si>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</si>
  <si>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</si>
  <si>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</si>
  <si>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</si>
  <si>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</si>
  <si>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</si>
  <si>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</si>
  <si>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</si>
  <si>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</si>
  <si>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</si>
  <si>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</si>
  <si>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</si>
  <si>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</si>
  <si>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</si>
  <si>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</si>
  <si>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</si>
  <si>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</si>
  <si>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</si>
  <si>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</si>
  <si>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</si>
  <si>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</si>
  <si>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</si>
  <si>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</si>
  <si>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</si>
  <si>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</si>
  <si>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</si>
  <si>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</si>
  <si>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</si>
  <si>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</si>
  <si>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</si>
  <si>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</si>
  <si>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</si>
  <si>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</si>
  <si>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</si>
  <si>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</si>
  <si>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</si>
  <si>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</si>
  <si>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</si>
  <si>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</si>
  <si>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</si>
  <si>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</si>
  <si>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</si>
  <si>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</si>
  <si>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</si>
  <si>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</si>
  <si>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</si>
  <si>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</si>
  <si>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</si>
  <si>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</si>
  <si>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</si>
  <si>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</si>
  <si>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</si>
  <si>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</si>
  <si>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</si>
  <si>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</si>
  <si>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</si>
  <si>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</si>
  <si>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</si>
  <si>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</si>
  <si>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</si>
  <si>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</si>
  <si>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</si>
  <si>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</si>
  <si>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</si>
  <si>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</si>
  <si>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</si>
  <si>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</si>
  <si>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</si>
  <si>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</si>
  <si>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</si>
  <si>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</si>
  <si>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</si>
  <si>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</si>
  <si>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</si>
  <si>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</si>
  <si>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</si>
  <si>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</si>
  <si>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</si>
  <si>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</si>
  <si>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</si>
  <si>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</si>
  <si>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</si>
  <si>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</si>
  <si>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</si>
  <si>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</si>
  <si>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</si>
  <si>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</si>
  <si>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</si>
  <si>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</si>
  <si>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</si>
  <si>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</si>
  <si>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</si>
  <si>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</si>
  <si>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</si>
  <si>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</si>
  <si>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</si>
  <si>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</si>
  <si>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</si>
  <si>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</si>
  <si>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</si>
  <si>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</si>
  <si>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</si>
  <si>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</si>
  <si>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</si>
  <si>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</si>
  <si>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</si>
  <si>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</si>
  <si>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</si>
  <si>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</si>
  <si>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</si>
  <si>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</si>
  <si>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</si>
  <si>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</si>
  <si>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</si>
  <si>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</si>
  <si>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</si>
  <si>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</si>
  <si>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</si>
  <si>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</si>
  <si>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</si>
  <si>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</si>
  <si>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</si>
  <si>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</si>
  <si>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</si>
  <si>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</si>
  <si>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</si>
  <si>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</si>
  <si>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</si>
  <si>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</si>
  <si>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</si>
  <si>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</si>
  <si>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</si>
  <si>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</si>
  <si>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</si>
  <si>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</si>
  <si>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</si>
  <si>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</si>
  <si>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</si>
  <si>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</si>
  <si>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</si>
  <si>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</si>
  <si>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</si>
  <si>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</si>
  <si>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</si>
  <si>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</si>
  <si>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</si>
  <si>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</si>
  <si>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</si>
  <si>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</si>
  <si>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</si>
  <si>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</si>
  <si>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</si>
  <si>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</si>
  <si>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</si>
  <si>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</si>
  <si>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</si>
  <si>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</si>
  <si>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</si>
  <si>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</si>
  <si>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</si>
  <si>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</si>
  <si>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</si>
  <si>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</si>
  <si>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</si>
  <si>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</si>
  <si>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</si>
  <si>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</si>
  <si>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</si>
  <si>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</si>
  <si>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</si>
  <si>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</si>
  <si>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</si>
  <si>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</si>
  <si>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</si>
  <si>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</si>
  <si>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</si>
  <si>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</si>
  <si>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</si>
  <si>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</si>
  <si>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</si>
  <si>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</si>
  <si>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</si>
  <si>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</si>
  <si>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</si>
  <si>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</si>
  <si>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</si>
  <si>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</si>
  <si>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</si>
  <si>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</si>
  <si>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</si>
  <si>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</si>
  <si>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</si>
  <si>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</si>
  <si>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</si>
  <si>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</si>
  <si>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</si>
  <si>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</si>
  <si>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</si>
  <si>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</si>
  <si>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</si>
  <si>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</si>
  <si>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</si>
  <si>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</si>
  <si>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</si>
  <si>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</si>
  <si>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</si>
  <si>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</si>
  <si>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</si>
  <si>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</si>
  <si>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</si>
  <si>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</si>
  <si>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</si>
  <si>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</si>
  <si>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</si>
  <si>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</si>
  <si>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</si>
  <si>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</si>
  <si>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</si>
  <si>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</si>
  <si>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</si>
  <si>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</si>
  <si>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</si>
  <si>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</si>
  <si>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</si>
  <si>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</si>
  <si>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</si>
  <si>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</si>
  <si>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</si>
  <si>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</si>
  <si>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</si>
  <si>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</si>
  <si>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</si>
  <si>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</si>
  <si>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</si>
  <si>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</si>
  <si>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</si>
  <si>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</si>
  <si>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</si>
  <si>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</si>
  <si>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</si>
  <si>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</si>
  <si>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</si>
  <si>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</si>
  <si>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</si>
  <si>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</si>
  <si>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</si>
  <si>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</si>
  <si>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</si>
  <si>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</si>
  <si>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</si>
  <si>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</si>
  <si>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</si>
  <si>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</si>
  <si>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</si>
  <si>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</si>
  <si>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</si>
  <si>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</si>
  <si>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</si>
  <si>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</si>
  <si>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</si>
  <si>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</si>
  <si>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</si>
  <si>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</si>
  <si>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</si>
  <si>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</si>
  <si>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</si>
  <si>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</si>
  <si>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</si>
  <si>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</si>
  <si>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</si>
  <si>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</si>
  <si>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</si>
  <si>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</si>
  <si>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</si>
  <si>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</si>
  <si>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</si>
  <si>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</si>
  <si>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</si>
  <si>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</si>
  <si>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</si>
  <si>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</si>
  <si>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</si>
  <si>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</si>
  <si>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</si>
  <si>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</si>
  <si>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</si>
  <si>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</si>
  <si>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</si>
  <si>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</si>
  <si>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</si>
  <si>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</si>
  <si>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</si>
  <si>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</si>
  <si>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</si>
  <si>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</si>
  <si>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</si>
  <si>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</si>
  <si>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</si>
  <si>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</si>
  <si>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</si>
  <si>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</si>
  <si>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</si>
  <si>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</si>
  <si>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</si>
  <si>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</si>
  <si>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</si>
  <si>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</si>
  <si>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</si>
  <si>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</si>
  <si>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</si>
  <si>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</si>
  <si>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</si>
  <si>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</si>
  <si>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</si>
  <si>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</si>
  <si>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</si>
  <si>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</si>
  <si>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</si>
  <si>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</si>
  <si>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</si>
  <si>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</si>
  <si>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</si>
  <si>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</si>
  <si>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</si>
  <si>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</si>
  <si>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</si>
  <si>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</si>
  <si>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</si>
  <si>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</si>
  <si>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</si>
  <si>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</si>
  <si>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</si>
  <si>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</si>
  <si>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</si>
  <si>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</si>
  <si>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</si>
  <si>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</si>
  <si>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</si>
  <si>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</si>
  <si>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</si>
  <si>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</si>
  <si>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</si>
  <si>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</si>
  <si>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</si>
  <si>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</si>
  <si>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</si>
  <si>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</si>
  <si>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</si>
  <si>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</si>
  <si>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</si>
  <si>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</si>
  <si>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</si>
  <si>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</si>
  <si>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</si>
  <si>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</si>
  <si>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</si>
  <si>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</si>
  <si>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</si>
  <si>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</si>
  <si>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</si>
  <si>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</si>
  <si>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</si>
  <si>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</si>
  <si>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</si>
  <si>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</si>
  <si>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</si>
  <si>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</si>
  <si>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</si>
  <si>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</si>
  <si>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</si>
  <si>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</si>
  <si>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</si>
  <si>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</si>
  <si>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</si>
  <si>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</si>
  <si>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</si>
  <si>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</si>
  <si>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</si>
  <si>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</si>
  <si>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</si>
  <si>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</si>
  <si>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</si>
  <si>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</si>
  <si>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</si>
  <si>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</si>
  <si>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</si>
  <si>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</si>
  <si>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</si>
  <si>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</si>
  <si>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</si>
  <si>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</si>
  <si>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</si>
  <si>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</si>
  <si>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</si>
  <si>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</si>
  <si>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</si>
  <si>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</si>
  <si>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</si>
  <si>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</si>
  <si>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</si>
  <si>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</si>
  <si>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</si>
  <si>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</si>
  <si>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</si>
  <si>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</si>
  <si>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</si>
  <si>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</si>
  <si>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</si>
  <si>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</si>
  <si>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</si>
  <si>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</si>
  <si>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</si>
  <si>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</si>
  <si>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</si>
  <si>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</si>
  <si>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</si>
  <si>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</si>
  <si>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</si>
  <si>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</si>
  <si>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</si>
  <si>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</si>
  <si>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</si>
  <si>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</si>
  <si>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</si>
  <si>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</si>
  <si>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</si>
  <si>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</si>
  <si>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</si>
  <si>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</si>
  <si>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</si>
  <si>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</si>
  <si>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</si>
  <si>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</si>
  <si>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</si>
  <si>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</si>
  <si>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</si>
  <si>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</si>
  <si>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</si>
  <si>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</si>
  <si>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</si>
  <si>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</si>
  <si>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</si>
  <si>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</si>
  <si>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</si>
  <si>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</si>
  <si>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</si>
  <si>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</si>
  <si>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</si>
  <si>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</si>
  <si>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</si>
  <si>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</si>
  <si>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</si>
  <si>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</si>
  <si>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</si>
  <si>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</si>
  <si>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</si>
  <si>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</si>
  <si>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</si>
  <si>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</si>
  <si>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</si>
  <si>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</si>
  <si>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</si>
  <si>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</si>
  <si>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</si>
  <si>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</si>
  <si>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</si>
  <si>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</si>
  <si>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</si>
  <si>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</si>
  <si>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</si>
  <si>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</si>
  <si>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</si>
  <si>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</si>
  <si>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</si>
  <si>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</si>
  <si>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</si>
  <si>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</si>
  <si>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</si>
  <si>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</si>
  <si>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</si>
  <si>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</si>
  <si>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</si>
  <si>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</si>
  <si>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</si>
  <si>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</si>
  <si>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</si>
  <si>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</si>
  <si>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</si>
  <si>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</si>
  <si>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</si>
  <si>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</si>
  <si>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</si>
  <si>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</si>
  <si>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</si>
  <si>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</si>
  <si>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</si>
  <si>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</si>
  <si>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</si>
  <si>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</si>
  <si>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</si>
  <si>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</si>
  <si>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</si>
  <si>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</si>
  <si>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</si>
  <si>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</si>
  <si>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</si>
  <si>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</si>
  <si>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</si>
  <si>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</si>
  <si>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</si>
  <si>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</si>
  <si>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</si>
  <si>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</si>
  <si>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</si>
  <si>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</si>
  <si>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</si>
  <si>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</si>
  <si>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</si>
  <si>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</si>
  <si>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</si>
  <si>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</si>
  <si>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</si>
  <si>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</si>
  <si>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</si>
  <si>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</si>
  <si>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</si>
  <si>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</si>
  <si>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</si>
  <si>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</si>
  <si>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</si>
  <si>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</si>
  <si>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</si>
  <si>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</si>
  <si>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</si>
  <si>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</si>
  <si>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</si>
  <si>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</si>
  <si>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</si>
  <si>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</si>
  <si>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</si>
  <si>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</si>
  <si>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</si>
  <si>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</si>
  <si>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</si>
  <si>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</si>
  <si>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</si>
  <si>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</si>
  <si>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</si>
  <si>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</si>
  <si>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</si>
  <si>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</si>
  <si>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</si>
  <si>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</si>
  <si>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</si>
  <si>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</si>
  <si>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</si>
  <si>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</si>
  <si>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</si>
  <si>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</si>
  <si>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</si>
  <si>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</si>
  <si>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</si>
  <si>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</si>
  <si>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</si>
  <si>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</si>
  <si>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</si>
  <si>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</si>
  <si>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</si>
  <si>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</si>
  <si>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</si>
  <si>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</si>
  <si>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</si>
  <si>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</si>
  <si>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</si>
  <si>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</si>
  <si>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</si>
  <si>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</si>
  <si>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</si>
  <si>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</si>
  <si>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</si>
  <si>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</si>
  <si>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</si>
  <si>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</si>
  <si>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</si>
  <si>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</si>
  <si>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</si>
  <si>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</si>
  <si>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</si>
  <si>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</si>
  <si>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</si>
  <si>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</si>
  <si>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</si>
  <si>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</si>
  <si>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</si>
  <si>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</si>
  <si>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</si>
  <si>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</si>
  <si>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</si>
  <si>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</si>
  <si>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</si>
  <si>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</si>
  <si>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</si>
  <si>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</si>
  <si>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</si>
  <si>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</si>
  <si>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</si>
  <si>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</si>
  <si>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</si>
  <si>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</si>
  <si>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</si>
  <si>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</si>
  <si>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</si>
  <si>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</si>
  <si>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</si>
  <si>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</si>
  <si>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</si>
  <si>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</si>
  <si>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</si>
  <si>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</si>
  <si>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</si>
  <si>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</si>
  <si>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</si>
  <si>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</si>
  <si>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</si>
  <si>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</si>
  <si>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</si>
  <si>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</si>
  <si>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</si>
  <si>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</si>
  <si>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</si>
  <si>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</si>
  <si>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</si>
  <si>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</si>
  <si>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</si>
  <si>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</si>
  <si>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</si>
  <si>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</si>
  <si>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</si>
  <si>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</si>
  <si>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</si>
  <si>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</si>
  <si>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</si>
  <si>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</si>
  <si>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</si>
  <si>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</si>
  <si>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</si>
  <si>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</si>
  <si>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</si>
  <si>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</si>
  <si>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</si>
  <si>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</si>
  <si>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</si>
  <si>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</si>
  <si>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</si>
  <si>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</si>
  <si>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</si>
  <si>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</si>
  <si>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</si>
  <si>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</si>
  <si>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</si>
  <si>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</si>
  <si>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</si>
  <si>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</si>
  <si>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</si>
  <si>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</si>
  <si>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</si>
  <si>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</si>
  <si>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</si>
  <si>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</si>
  <si>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</si>
  <si>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</si>
  <si>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</si>
  <si>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</si>
  <si>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</si>
  <si>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</si>
  <si>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</si>
  <si>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</si>
  <si>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</si>
  <si>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</si>
  <si>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</si>
  <si>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</si>
  <si>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</si>
  <si>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</si>
  <si>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</si>
  <si>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</si>
  <si>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</si>
  <si>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</si>
  <si>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</si>
  <si>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</si>
  <si>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</si>
  <si>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</si>
  <si>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</si>
  <si>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</si>
  <si>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</si>
  <si>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</si>
  <si>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</si>
  <si>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</si>
  <si>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</si>
  <si>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</si>
  <si>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</si>
  <si>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</si>
  <si>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</si>
  <si>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</si>
  <si>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</si>
  <si>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</si>
  <si>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</si>
  <si>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</si>
  <si>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</si>
  <si>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</si>
  <si>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</si>
  <si>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</si>
  <si>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</si>
  <si>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</si>
  <si>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</si>
  <si>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</si>
  <si>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</si>
  <si>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</si>
  <si>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</si>
  <si>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</si>
  <si>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</si>
  <si>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</si>
  <si>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</si>
  <si>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</si>
  <si>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</si>
  <si>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</si>
  <si>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</si>
  <si>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</si>
  <si>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</si>
  <si>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</si>
  <si>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</si>
  <si>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</si>
  <si>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</si>
  <si>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</si>
  <si>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</si>
  <si>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</si>
  <si>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</si>
  <si>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</si>
  <si>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</si>
  <si>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</si>
  <si>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</si>
  <si>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</si>
  <si>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</si>
  <si>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</si>
  <si>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</si>
  <si>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</si>
  <si>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</si>
  <si>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</si>
  <si>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</si>
  <si>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</si>
  <si>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</si>
  <si>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</si>
  <si>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</si>
  <si>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</si>
  <si>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</si>
  <si>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</si>
  <si>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</si>
  <si>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</si>
  <si>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</si>
  <si>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</si>
  <si>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</si>
  <si>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</si>
  <si>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</si>
  <si>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</si>
  <si>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</si>
  <si>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</si>
  <si>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</si>
  <si>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</si>
  <si>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</si>
  <si>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</si>
  <si>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</si>
  <si>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</si>
  <si>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</si>
  <si>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</si>
  <si>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</si>
  <si>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</si>
  <si>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</si>
  <si>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</si>
  <si>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</si>
  <si>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</si>
  <si>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</si>
  <si>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</si>
  <si>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</si>
  <si>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</si>
  <si>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</si>
  <si>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</si>
  <si>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</si>
  <si>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</si>
  <si>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</si>
  <si>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</si>
  <si>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</si>
  <si>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</si>
  <si>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</si>
  <si>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</si>
  <si>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</si>
  <si>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</si>
  <si>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</si>
  <si>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</si>
  <si>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</si>
  <si>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</si>
  <si>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</si>
  <si>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</si>
  <si>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</si>
  <si>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</si>
  <si>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</si>
  <si>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</si>
  <si>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</si>
  <si>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</si>
  <si>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</si>
  <si>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</si>
  <si>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</si>
  <si>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</si>
  <si>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</si>
  <si>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</si>
  <si>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</si>
  <si>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</si>
  <si>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</si>
  <si>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</si>
  <si>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</si>
  <si>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</si>
  <si>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</si>
  <si>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</si>
  <si>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</si>
  <si>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</si>
  <si>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</si>
  <si>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</si>
  <si>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</si>
  <si>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</si>
  <si>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</si>
  <si>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</si>
  <si>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</si>
  <si>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</si>
  <si>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</si>
  <si>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</si>
  <si>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</si>
  <si>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</si>
  <si>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</si>
  <si>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</si>
  <si>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</si>
  <si>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</si>
  <si>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</si>
  <si>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</si>
  <si>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</si>
  <si>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</si>
  <si>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</si>
  <si>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</si>
  <si>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</si>
  <si>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</si>
  <si>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</si>
  <si>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</si>
  <si>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</si>
  <si>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</si>
  <si>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</si>
  <si>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</si>
  <si>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</si>
  <si>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</si>
  <si>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</si>
  <si>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</si>
  <si>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</si>
  <si>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</si>
  <si>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</si>
  <si>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</si>
  <si>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</si>
  <si>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</si>
  <si>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</si>
  <si>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</si>
  <si>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</si>
  <si>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</si>
  <si>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</si>
  <si>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</si>
  <si>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</si>
  <si>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</si>
  <si>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</si>
  <si>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</si>
  <si>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</si>
  <si>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</si>
  <si>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</si>
  <si>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</si>
  <si>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</si>
  <si>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</si>
  <si>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</si>
  <si>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</si>
  <si>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</si>
  <si>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</si>
  <si>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</si>
  <si>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</si>
  <si>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</si>
  <si>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</si>
  <si>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</si>
  <si>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</si>
  <si>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</si>
  <si>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</si>
  <si>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</si>
  <si>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</si>
  <si>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</si>
  <si>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</si>
  <si>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</si>
  <si>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</si>
  <si>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</si>
  <si>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</si>
  <si>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</si>
  <si>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</si>
  <si>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</si>
  <si>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</si>
  <si>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</si>
  <si>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</si>
  <si>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</si>
  <si>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</si>
  <si>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</si>
  <si>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</si>
  <si>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</si>
  <si>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</si>
  <si>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</si>
  <si>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</si>
  <si>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</si>
  <si>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</si>
  <si>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</si>
  <si>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</si>
  <si>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</si>
  <si>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</si>
  <si>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</si>
  <si>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</si>
  <si>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</si>
  <si>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</si>
  <si>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</si>
  <si>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</si>
  <si>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</si>
  <si>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</si>
  <si>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</si>
  <si>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</si>
  <si>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</si>
  <si>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</si>
  <si>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</si>
  <si>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</si>
  <si>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</si>
  <si>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</si>
  <si>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</si>
  <si>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</si>
  <si>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</si>
  <si>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</si>
  <si>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</si>
  <si>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</si>
  <si>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</si>
  <si>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</si>
  <si>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</si>
  <si>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</si>
  <si>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</si>
  <si>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</si>
  <si>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</si>
  <si>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</si>
  <si>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</si>
  <si>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</si>
  <si>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</si>
  <si>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</si>
  <si>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</si>
  <si>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</si>
  <si>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</si>
  <si>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</si>
  <si>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</si>
  <si>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</si>
  <si>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</si>
  <si>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</si>
  <si>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</si>
  <si>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</si>
  <si>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</si>
  <si>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</si>
  <si>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</si>
  <si>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</si>
  <si>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</si>
  <si>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</si>
  <si>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</si>
  <si>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</si>
  <si>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</si>
  <si>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</si>
  <si>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</si>
  <si>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</si>
  <si>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</si>
  <si>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</si>
  <si>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</si>
  <si>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</si>
  <si>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</si>
  <si>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</si>
  <si>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</si>
  <si>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</si>
  <si>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</si>
  <si>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</si>
  <si>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</si>
  <si>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</si>
  <si>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</si>
  <si>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</si>
  <si>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</si>
  <si>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</si>
  <si>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</si>
  <si>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</si>
  <si>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</si>
  <si>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</si>
  <si>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</si>
  <si>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</si>
  <si>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</si>
  <si>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</si>
  <si>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</si>
  <si>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</si>
  <si>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</si>
  <si>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</si>
  <si>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</si>
  <si>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</si>
  <si>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</si>
  <si>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</si>
  <si>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</si>
  <si>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</si>
  <si>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</si>
  <si>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</si>
  <si>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</si>
  <si>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</si>
  <si>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</si>
  <si>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</si>
  <si>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</si>
  <si>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</si>
  <si>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</si>
  <si>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</si>
  <si>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</si>
  <si>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</si>
  <si>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</si>
  <si>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</si>
  <si>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</si>
  <si>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</si>
  <si>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</si>
  <si>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</si>
  <si>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</si>
  <si>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</si>
  <si>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</si>
  <si>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</si>
  <si>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</si>
  <si>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</si>
  <si>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</si>
  <si>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</si>
  <si>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</si>
  <si>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</si>
  <si>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</si>
  <si>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</si>
  <si>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</si>
  <si>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</si>
  <si>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</si>
  <si>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</si>
  <si>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</si>
  <si>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</si>
  <si>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</si>
  <si>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</si>
  <si>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</si>
  <si>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</si>
  <si>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</si>
  <si>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</si>
  <si>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</si>
  <si>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</si>
  <si>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</si>
  <si>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</si>
  <si>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</si>
  <si>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</si>
  <si>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</si>
  <si>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</si>
  <si>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</si>
  <si>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</si>
  <si>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</si>
  <si>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</si>
  <si>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</si>
  <si>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</si>
  <si>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</si>
  <si>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</si>
  <si>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</si>
  <si>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</si>
  <si>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</si>
  <si>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</si>
  <si>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</si>
  <si>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</si>
  <si>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</si>
  <si>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</si>
  <si>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</si>
  <si>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</si>
  <si>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</si>
  <si>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</si>
  <si>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</si>
  <si>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</si>
  <si>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</si>
  <si>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</si>
  <si>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</si>
  <si>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</si>
  <si>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</si>
  <si>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</si>
  <si>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</si>
  <si>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</si>
  <si>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</si>
  <si>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</si>
  <si>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</si>
  <si>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</si>
  <si>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</si>
  <si>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</si>
  <si>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</si>
  <si>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</si>
  <si>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</si>
  <si>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</si>
  <si>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</si>
  <si>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</si>
  <si>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</si>
  <si>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</si>
  <si>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</si>
  <si>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</si>
  <si>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</si>
  <si>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</si>
  <si>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</si>
  <si>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</si>
  <si>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</si>
  <si>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</si>
  <si>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</si>
  <si>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</si>
  <si>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</si>
  <si>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</si>
  <si>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</si>
  <si>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</si>
  <si>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</si>
  <si>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</si>
  <si>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</si>
  <si>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</si>
  <si>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</si>
  <si>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</si>
  <si>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</si>
  <si>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</si>
  <si>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</si>
  <si>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</si>
  <si>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</si>
  <si>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</si>
  <si>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</si>
  <si>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</si>
  <si>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</si>
  <si>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</si>
  <si>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</si>
  <si>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</si>
  <si>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</si>
  <si>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</si>
  <si>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</si>
  <si>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</si>
  <si>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</si>
  <si>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</si>
  <si>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</si>
  <si>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</si>
  <si>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</si>
  <si>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</si>
  <si>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</si>
  <si>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</si>
  <si>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</si>
  <si>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</si>
  <si>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</si>
  <si>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</si>
  <si>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</si>
  <si>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</si>
  <si>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</si>
  <si>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</si>
  <si>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</si>
  <si>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</si>
  <si>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</si>
  <si>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</si>
  <si>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</si>
  <si>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</si>
  <si>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</si>
  <si>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</si>
  <si>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</si>
  <si>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</si>
  <si>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</si>
  <si>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</si>
  <si>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</si>
  <si>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</si>
  <si>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</si>
  <si>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</si>
  <si>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</si>
  <si>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</si>
  <si>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</si>
  <si>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</si>
  <si>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</si>
  <si>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</si>
  <si>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</si>
  <si>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</si>
  <si>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</si>
  <si>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</si>
  <si>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</si>
  <si>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</si>
  <si>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</si>
  <si>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</si>
  <si>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</si>
  <si>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</si>
  <si>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</si>
  <si>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</si>
  <si>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</si>
  <si>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</si>
  <si>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</si>
  <si>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</si>
  <si>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</si>
  <si>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</si>
  <si>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</si>
  <si>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</si>
  <si>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</si>
  <si>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</si>
  <si>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</si>
  <si>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</si>
  <si>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</si>
  <si>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</si>
  <si>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</si>
  <si>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</si>
  <si>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</si>
  <si>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</si>
  <si>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</si>
  <si>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</si>
  <si>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</si>
  <si>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</si>
  <si>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</si>
  <si>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</si>
  <si>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</si>
  <si>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</si>
  <si>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</si>
  <si>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</si>
  <si>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</si>
  <si>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</si>
  <si>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</si>
  <si>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</si>
  <si>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</si>
  <si>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</si>
  <si>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</si>
  <si>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</si>
  <si>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</si>
  <si>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</si>
  <si>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</si>
  <si>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</si>
  <si>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</si>
  <si>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</si>
  <si>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</si>
  <si>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</si>
  <si>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</si>
  <si>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</si>
  <si>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</si>
  <si>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</si>
  <si>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</si>
  <si>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</si>
  <si>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</si>
  <si>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</si>
  <si>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</si>
  <si>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</si>
  <si>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</si>
  <si>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</si>
  <si>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</si>
  <si>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</si>
  <si>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</si>
  <si>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</si>
  <si>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</si>
  <si>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</si>
  <si>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</si>
  <si>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</si>
  <si>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</si>
  <si>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</si>
  <si>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</si>
  <si>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</si>
  <si>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</si>
  <si>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</si>
  <si>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</si>
  <si>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</si>
  <si>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</si>
  <si>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</si>
  <si>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</si>
  <si>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</si>
  <si>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</si>
  <si>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</si>
  <si>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</si>
  <si>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</si>
  <si>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</si>
  <si>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</si>
  <si>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</si>
  <si>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</si>
  <si>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</si>
  <si>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</si>
  <si>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</si>
  <si>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</si>
  <si>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</si>
  <si>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</si>
  <si>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</si>
  <si>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</si>
  <si>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</si>
  <si>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</si>
  <si>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</si>
  <si>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</si>
  <si>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</si>
  <si>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</si>
  <si>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</si>
  <si>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</si>
  <si>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</si>
  <si>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</si>
  <si>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</si>
  <si>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</si>
  <si>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</si>
  <si>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</si>
  <si>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</si>
  <si>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</si>
  <si>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</si>
  <si>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</si>
  <si>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</si>
  <si>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</si>
  <si>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</si>
  <si>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</si>
  <si>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</si>
  <si>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</si>
  <si>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</si>
  <si>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</si>
  <si>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</si>
  <si>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</si>
  <si>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</si>
  <si>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</si>
  <si>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</si>
  <si>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</si>
  <si>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</si>
  <si>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</si>
  <si>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</si>
  <si>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</si>
  <si>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</si>
  <si>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</si>
  <si>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</si>
  <si>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</si>
  <si>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</si>
  <si>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</si>
  <si>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</si>
  <si>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</si>
  <si>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</si>
  <si>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</si>
  <si>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</si>
  <si>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</si>
  <si>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</si>
  <si>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</si>
  <si>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</si>
  <si>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</si>
  <si>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</si>
  <si>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</si>
  <si>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</si>
  <si>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</si>
  <si>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</si>
  <si>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</si>
  <si>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</si>
  <si>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</si>
  <si>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</si>
  <si>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</si>
  <si>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</si>
  <si>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</si>
  <si>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</si>
  <si>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</si>
  <si>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</si>
  <si>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</si>
  <si>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</si>
  <si>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</si>
  <si>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</si>
  <si>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</si>
  <si>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</si>
  <si>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</si>
  <si>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</si>
  <si>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</si>
  <si>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</si>
  <si>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</si>
  <si>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</si>
  <si>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</si>
  <si>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</si>
  <si>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</si>
  <si>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</si>
  <si>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</si>
  <si>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</si>
  <si>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</si>
  <si>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</si>
  <si>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</si>
  <si>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</si>
  <si>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</si>
  <si>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</si>
  <si>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</si>
  <si>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</si>
  <si>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</si>
  <si>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</si>
  <si>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</si>
  <si>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</si>
  <si>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</si>
  <si>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</si>
  <si>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</si>
  <si>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</si>
  <si>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</si>
  <si>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</si>
  <si>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</si>
  <si>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</si>
  <si>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</si>
  <si>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</si>
  <si>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</si>
  <si>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</si>
  <si>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</si>
  <si>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</si>
  <si>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</si>
  <si>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</si>
  <si>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</si>
  <si>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</si>
  <si>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</si>
  <si>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</si>
  <si>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</si>
  <si>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</si>
  <si>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</si>
  <si>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</si>
  <si>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</si>
  <si>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</si>
  <si>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</si>
  <si>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</si>
  <si>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</si>
  <si>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</si>
  <si>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</si>
  <si>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</si>
  <si>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</si>
  <si>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</si>
  <si>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</si>
  <si>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</si>
  <si>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</si>
  <si>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</si>
  <si>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</si>
  <si>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</si>
  <si>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</si>
  <si>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</si>
  <si>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</si>
  <si>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</si>
  <si>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</si>
  <si>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</si>
  <si>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</si>
  <si>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</si>
  <si>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</si>
  <si>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</si>
  <si>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</si>
  <si>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</si>
  <si>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</si>
  <si>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</si>
  <si>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</si>
  <si>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</si>
  <si>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</si>
  <si>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</si>
  <si>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</si>
  <si>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</si>
  <si>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</si>
  <si>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</si>
  <si>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</si>
  <si>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</si>
  <si>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</si>
  <si>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</si>
  <si>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</si>
  <si>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</si>
  <si>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</si>
  <si>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</si>
  <si>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</si>
  <si>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</si>
  <si>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</si>
  <si>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</si>
  <si>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</si>
  <si>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</si>
  <si>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</si>
  <si>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</si>
  <si>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</si>
  <si>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</si>
  <si>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</si>
  <si>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</si>
  <si>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</si>
  <si>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</si>
  <si>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</si>
  <si>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</si>
  <si>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</si>
  <si>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</si>
  <si>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</si>
  <si>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</si>
  <si>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</si>
  <si>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</si>
  <si>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</si>
  <si>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</si>
  <si>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</si>
  <si>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</si>
  <si>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</si>
  <si>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</si>
  <si>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</si>
  <si>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</si>
  <si>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</si>
  <si>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</si>
  <si>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</si>
  <si>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</si>
  <si>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</si>
  <si>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</si>
  <si>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</si>
  <si>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</si>
  <si>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</si>
  <si>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</si>
  <si>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</si>
  <si>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</si>
  <si>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</si>
  <si>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</si>
  <si>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</si>
  <si>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</si>
  <si>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</si>
  <si>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</si>
  <si>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</si>
  <si>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</si>
  <si>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</si>
  <si>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</si>
  <si>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</si>
  <si>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</si>
  <si>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</si>
  <si>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</si>
  <si>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</si>
  <si>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</si>
  <si>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</si>
  <si>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</si>
  <si>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</si>
  <si>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</si>
  <si>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</si>
  <si>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</si>
  <si>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</si>
  <si>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</si>
  <si>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</si>
  <si>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</si>
  <si>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</si>
  <si>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</si>
  <si>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</si>
  <si>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</si>
  <si>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</si>
  <si>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</si>
  <si>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</si>
  <si>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</si>
  <si>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</si>
  <si>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</si>
  <si>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</si>
  <si>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</si>
  <si>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</si>
  <si>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</si>
  <si>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</si>
  <si>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</si>
  <si>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</si>
  <si>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</si>
  <si>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</si>
  <si>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</si>
  <si>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</si>
  <si>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</si>
  <si>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</si>
  <si>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</si>
  <si>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</si>
  <si>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</si>
  <si>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</si>
  <si>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</si>
  <si>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</si>
  <si>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</si>
  <si>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</si>
  <si>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</si>
  <si>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</si>
  <si>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</si>
  <si>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</si>
  <si>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</si>
  <si>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</si>
  <si>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</si>
  <si>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</si>
  <si>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</si>
  <si>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</si>
  <si>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</si>
  <si>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</si>
  <si>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</si>
  <si>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</si>
  <si>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</si>
  <si>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</si>
  <si>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</si>
  <si>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</si>
  <si>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</si>
  <si>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</si>
  <si>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</si>
  <si>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</si>
  <si>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</si>
  <si>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</si>
  <si>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</si>
  <si>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</si>
  <si>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</si>
  <si>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</si>
  <si>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</si>
  <si>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</si>
  <si>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</si>
  <si>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</si>
  <si>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</si>
  <si>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</si>
  <si>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</si>
  <si>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</si>
  <si>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</si>
  <si>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</si>
  <si>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</si>
  <si>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</si>
  <si>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</si>
  <si>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</si>
  <si>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</si>
  <si>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</si>
  <si>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</si>
  <si>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</si>
  <si>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</si>
  <si>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</si>
  <si>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</si>
  <si>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</si>
  <si>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</si>
  <si>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</si>
  <si>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</si>
  <si>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</si>
  <si>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</si>
  <si>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</si>
  <si>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</si>
  <si>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</si>
  <si>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</si>
  <si>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</si>
  <si>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</si>
  <si>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</si>
  <si>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</si>
  <si>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</si>
  <si>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</si>
  <si>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</si>
  <si>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</si>
  <si>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</si>
  <si>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</si>
  <si>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</si>
  <si>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</si>
  <si>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</si>
  <si>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</si>
  <si>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</si>
  <si>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</si>
  <si>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</si>
  <si>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</si>
  <si>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</si>
  <si>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</si>
  <si>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</si>
  <si>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</si>
  <si>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</si>
  <si>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</si>
  <si>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</si>
  <si>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</si>
  <si>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</si>
  <si>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</si>
  <si>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</si>
  <si>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</si>
  <si>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</si>
  <si>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</si>
  <si>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</si>
  <si>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</si>
  <si>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</si>
  <si>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</si>
  <si>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</si>
  <si>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</si>
  <si>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</si>
  <si>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</si>
  <si>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</si>
  <si>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</si>
  <si>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</si>
  <si>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</si>
  <si>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</si>
  <si>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</si>
  <si>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</si>
  <si>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</si>
  <si>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</si>
  <si>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</si>
  <si>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</si>
  <si>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</si>
  <si>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</si>
  <si>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</si>
  <si>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</si>
  <si>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</si>
  <si>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</si>
  <si>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</si>
  <si>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</si>
  <si>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</si>
  <si>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</si>
  <si>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</si>
  <si>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</si>
  <si>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</si>
  <si>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</si>
  <si>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</si>
  <si>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</si>
  <si>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</si>
  <si>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</si>
  <si>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</si>
  <si>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</si>
  <si>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</si>
  <si>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</si>
  <si>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</si>
  <si>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</si>
  <si>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</si>
  <si>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</si>
  <si>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</si>
  <si>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</si>
  <si>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</si>
  <si>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</si>
  <si>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</si>
  <si>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</si>
  <si>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</si>
  <si>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</si>
  <si>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</si>
  <si>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</si>
  <si>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</si>
  <si>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</si>
  <si>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</si>
  <si>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</si>
  <si>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</si>
  <si>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</si>
  <si>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</si>
  <si>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</si>
  <si>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</si>
  <si>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</si>
  <si>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</si>
  <si>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</si>
  <si>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</si>
  <si>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</si>
  <si>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</si>
  <si>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</si>
  <si>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</si>
  <si>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</si>
  <si>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</si>
  <si>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</si>
  <si>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</si>
  <si>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</si>
  <si>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</si>
  <si>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</si>
  <si>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</si>
  <si>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</si>
  <si>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</si>
  <si>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</si>
  <si>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</si>
  <si>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</si>
  <si>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</si>
  <si>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</si>
  <si>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</si>
  <si>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</si>
  <si>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</si>
  <si>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</si>
  <si>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</si>
  <si>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</si>
  <si>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</si>
  <si>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</si>
  <si>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</si>
  <si>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</si>
  <si>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</si>
  <si>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</si>
  <si>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</si>
  <si>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</si>
  <si>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</si>
  <si>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</si>
  <si>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</si>
  <si>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</si>
  <si>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</si>
  <si>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</si>
  <si>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</si>
  <si>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</si>
  <si>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</si>
  <si>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</si>
  <si>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</si>
  <si>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</si>
  <si>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</si>
  <si>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</si>
  <si>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</si>
  <si>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</si>
  <si>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</si>
  <si>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</si>
  <si>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</si>
  <si>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</si>
  <si>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</si>
  <si>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</si>
  <si>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</si>
  <si>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</si>
  <si>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</si>
  <si>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</si>
  <si>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</si>
  <si>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</si>
  <si>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</si>
  <si>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</si>
  <si>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</si>
  <si>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</si>
  <si>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</si>
  <si>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</si>
  <si>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</si>
  <si>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</si>
  <si>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</si>
  <si>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</si>
  <si>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</si>
  <si>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</si>
  <si>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</si>
  <si>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</si>
  <si>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</si>
  <si>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</si>
  <si>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</si>
  <si>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</si>
  <si>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</si>
  <si>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</si>
  <si>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</si>
  <si>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</si>
  <si>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</si>
  <si>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</si>
  <si>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</si>
  <si>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</si>
  <si>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</si>
  <si>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</si>
  <si>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</si>
  <si>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</si>
  <si>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</si>
  <si>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</si>
  <si>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</si>
  <si>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</si>
  <si>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</si>
  <si>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</si>
  <si>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</si>
  <si>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</si>
  <si>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</si>
  <si>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</si>
  <si>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</si>
  <si>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</si>
  <si>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</si>
  <si>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</si>
  <si>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</si>
  <si>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</si>
  <si>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</si>
  <si>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</si>
  <si>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</si>
  <si>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</si>
  <si>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</si>
  <si>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</si>
  <si>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</si>
  <si>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</si>
  <si>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</si>
  <si>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</si>
  <si>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</si>
  <si>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</si>
  <si>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</si>
  <si>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</si>
  <si>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</si>
  <si>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</si>
  <si>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</si>
  <si>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</si>
  <si>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</si>
  <si>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</si>
  <si>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</si>
  <si>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</si>
  <si>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</si>
  <si>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</si>
  <si>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</si>
  <si>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</si>
  <si>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</si>
  <si>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</si>
  <si>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</si>
  <si>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</si>
  <si>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</si>
  <si>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</si>
  <si>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</si>
  <si>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</si>
  <si>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</si>
  <si>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</si>
  <si>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</si>
  <si>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</si>
  <si>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</si>
  <si>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</si>
  <si>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</si>
  <si>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</si>
  <si>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</si>
  <si>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</si>
  <si>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</si>
  <si>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</si>
  <si>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</si>
  <si>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</si>
  <si>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</si>
  <si>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</si>
  <si>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</si>
  <si>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</si>
  <si>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</si>
  <si>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</si>
  <si>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</si>
  <si>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</si>
  <si>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</si>
  <si>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</si>
  <si>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</si>
  <si>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</si>
  <si>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</si>
  <si>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</si>
  <si>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</si>
  <si>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</si>
  <si>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</si>
  <si>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</si>
  <si>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</si>
  <si>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</si>
  <si>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</si>
  <si>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</si>
  <si>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</si>
  <si>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</si>
  <si>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</si>
  <si>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</si>
  <si>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</si>
  <si>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</si>
  <si>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</si>
  <si>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</si>
  <si>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</si>
  <si>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</si>
  <si>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</si>
  <si>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</si>
  <si>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</si>
  <si>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</si>
  <si>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</si>
  <si>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</si>
  <si>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</si>
  <si>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</si>
  <si>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</si>
  <si>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</si>
  <si>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</si>
  <si>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</si>
  <si>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</si>
  <si>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</si>
  <si>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</si>
  <si>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</si>
  <si>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</si>
  <si>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</si>
  <si>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</si>
  <si>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</si>
  <si>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</si>
  <si>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</si>
  <si>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</si>
  <si>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</si>
  <si>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</si>
  <si>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</si>
  <si>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</si>
  <si>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</si>
  <si>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</si>
  <si>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</si>
  <si>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</si>
  <si>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</si>
  <si>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</si>
  <si>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</si>
  <si>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</si>
  <si>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</si>
  <si>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</si>
  <si>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</si>
  <si>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</si>
  <si>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</si>
  <si>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</si>
  <si>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</si>
  <si>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</si>
  <si>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</si>
  <si>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</si>
  <si>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</si>
  <si>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</si>
  <si>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</si>
  <si>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</si>
  <si>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</si>
  <si>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</si>
  <si>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</si>
  <si>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</si>
  <si>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</si>
  <si>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</si>
  <si>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</si>
  <si>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</si>
  <si>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</si>
  <si>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</si>
  <si>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</si>
  <si>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</si>
  <si>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</si>
  <si>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</si>
  <si>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</si>
  <si>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</si>
  <si>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</si>
  <si>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</si>
  <si>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</si>
  <si>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</si>
  <si>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</si>
  <si>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</si>
  <si>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</si>
  <si>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</si>
  <si>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</si>
  <si>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</si>
  <si>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</si>
  <si>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</si>
  <si>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</si>
  <si>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</si>
  <si>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</si>
  <si>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</si>
  <si>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</si>
  <si>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</si>
  <si>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</si>
  <si>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</si>
  <si>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</si>
  <si>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</si>
  <si>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</si>
  <si>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</si>
  <si>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</si>
  <si>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</si>
  <si>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</si>
  <si>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</si>
  <si>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</si>
  <si>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</si>
  <si>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</si>
  <si>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</si>
  <si>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</si>
  <si>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</si>
  <si>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</si>
  <si>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</si>
  <si>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</si>
  <si>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</si>
  <si>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</si>
  <si>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</si>
  <si>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</si>
  <si>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</si>
  <si>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</si>
  <si>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</si>
  <si>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</si>
  <si>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</si>
  <si>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</si>
  <si>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</si>
  <si>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</si>
  <si>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</si>
  <si>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</si>
  <si>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</si>
  <si>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</si>
  <si>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</si>
  <si>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</si>
  <si>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</si>
  <si>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</si>
  <si>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</si>
  <si>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</si>
  <si>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</si>
  <si>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</si>
  <si>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</si>
  <si>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</si>
  <si>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</si>
  <si>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</si>
  <si>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</si>
  <si>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</si>
  <si>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</si>
  <si>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</si>
  <si>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</si>
  <si>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</si>
  <si>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</si>
  <si>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</si>
  <si>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</si>
  <si>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</si>
  <si>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</si>
  <si>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</si>
  <si>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</si>
  <si>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</si>
  <si>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</si>
  <si>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</si>
  <si>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</si>
  <si>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</si>
  <si>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</si>
  <si>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</si>
  <si>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</si>
  <si>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</si>
  <si>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</si>
  <si>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</si>
  <si>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</si>
  <si>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</si>
  <si>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</si>
  <si>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</si>
  <si>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</si>
  <si>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</si>
  <si>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</si>
  <si>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</si>
  <si>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</si>
  <si>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</si>
  <si>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</si>
  <si>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</si>
  <si>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</si>
  <si>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</si>
  <si>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</si>
  <si>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</si>
  <si>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</si>
  <si>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</si>
  <si>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</si>
  <si>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</si>
  <si>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</si>
  <si>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</si>
  <si>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</si>
  <si>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</si>
  <si>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</si>
  <si>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</si>
  <si>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</si>
  <si>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</si>
  <si>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</si>
  <si>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</si>
  <si>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</si>
  <si>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</si>
  <si>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</si>
  <si>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</si>
  <si>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</si>
  <si>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</si>
  <si>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</si>
  <si>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</si>
  <si>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</si>
  <si>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</si>
  <si>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</si>
  <si>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</si>
  <si>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</si>
  <si>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</si>
  <si>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</si>
  <si>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</si>
  <si>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</si>
  <si>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</si>
  <si>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</si>
  <si>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</si>
  <si>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</si>
  <si>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</si>
  <si>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</si>
  <si>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</si>
  <si>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</si>
  <si>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</si>
  <si>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</si>
  <si>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</si>
  <si>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</si>
  <si>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</si>
  <si>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</si>
  <si>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</si>
  <si>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</si>
  <si>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</si>
  <si>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</si>
  <si>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</si>
  <si>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</si>
  <si>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</si>
  <si>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</si>
  <si>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</si>
  <si>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</si>
  <si>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</si>
  <si>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</si>
  <si>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</si>
  <si>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</si>
  <si>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</si>
  <si>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</si>
  <si>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</si>
  <si>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</si>
  <si>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</si>
  <si>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</si>
  <si>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</si>
  <si>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</si>
  <si>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</si>
  <si>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</si>
  <si>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</si>
  <si>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</si>
  <si>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</si>
  <si>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</si>
  <si>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</si>
  <si>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</si>
  <si>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</si>
  <si>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</si>
  <si>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</si>
  <si>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</si>
  <si>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</si>
  <si>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</si>
  <si>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</si>
  <si>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</si>
  <si>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</si>
  <si>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</si>
  <si>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</si>
  <si>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</si>
  <si>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</si>
  <si>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</si>
  <si>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</si>
  <si>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</si>
  <si>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</si>
  <si>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</si>
  <si>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</si>
  <si>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</si>
  <si>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</si>
  <si>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</si>
  <si>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</si>
  <si>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</si>
  <si>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</si>
  <si>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</si>
  <si>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</si>
  <si>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</si>
  <si>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</si>
  <si>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</si>
  <si>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</si>
  <si>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</si>
  <si>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</si>
  <si>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</si>
  <si>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</si>
  <si>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</si>
  <si>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</si>
  <si>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</si>
  <si>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</si>
  <si>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</si>
  <si>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</si>
  <si>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</si>
  <si>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</si>
  <si>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</si>
  <si>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</si>
  <si>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</si>
  <si>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</si>
  <si>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</si>
  <si>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</si>
  <si>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</si>
  <si>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</si>
  <si>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</si>
  <si>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</si>
  <si>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</si>
  <si>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</si>
  <si>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</si>
  <si>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</si>
  <si>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</si>
  <si>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</si>
  <si>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</si>
  <si>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</si>
  <si>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</si>
  <si>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</si>
  <si>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</si>
  <si>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</si>
  <si>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</si>
  <si>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</si>
  <si>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</si>
  <si>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</si>
  <si>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</si>
  <si>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</si>
  <si>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</si>
  <si>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</si>
  <si>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</si>
  <si>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</si>
  <si>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</si>
  <si>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</si>
  <si>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</si>
  <si>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</si>
  <si>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</si>
  <si>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</si>
  <si>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</si>
  <si>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</si>
  <si>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</si>
  <si>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</si>
  <si>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</si>
  <si>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</si>
  <si>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</si>
  <si>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</si>
  <si>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</si>
  <si>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</si>
  <si>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</si>
  <si>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</si>
  <si>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</si>
  <si>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</si>
  <si>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</si>
  <si>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</si>
  <si>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</si>
  <si>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</si>
  <si>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</si>
  <si>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</si>
  <si>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</si>
  <si>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</si>
  <si>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</si>
  <si>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</si>
  <si>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</si>
  <si>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</si>
  <si>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</si>
  <si>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</si>
  <si>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</si>
  <si>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</si>
  <si>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</si>
  <si>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</si>
  <si>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</si>
  <si>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</si>
  <si>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</si>
  <si>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</si>
  <si>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</si>
  <si>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</si>
  <si>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</si>
  <si>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</si>
  <si>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</si>
  <si>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</si>
  <si>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</si>
  <si>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</si>
  <si>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</si>
  <si>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</si>
  <si>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</si>
  <si>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</si>
  <si>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</si>
  <si>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</si>
  <si>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</si>
  <si>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</si>
  <si>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</si>
  <si>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</si>
  <si>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</si>
  <si>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</si>
  <si>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</si>
  <si>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</si>
  <si>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</si>
  <si>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</si>
  <si>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</si>
  <si>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</si>
  <si>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</si>
  <si>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</si>
  <si>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</si>
  <si>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</si>
  <si>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</si>
  <si>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</si>
  <si>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</si>
  <si>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</si>
  <si>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</si>
  <si>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</si>
  <si>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</si>
  <si>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</si>
  <si>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</si>
  <si>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</si>
  <si>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</si>
  <si>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</si>
  <si>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</si>
  <si>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</si>
  <si>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</si>
  <si>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</si>
  <si>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</si>
  <si>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</si>
  <si>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</si>
  <si>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</si>
  <si>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</si>
  <si>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</si>
  <si>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</si>
  <si>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</si>
  <si>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</si>
  <si>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</si>
  <si>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</si>
  <si>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</si>
  <si>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</si>
  <si>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</si>
  <si>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</si>
  <si>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</si>
  <si>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</si>
  <si>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</si>
  <si>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</si>
  <si>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</si>
  <si>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</si>
  <si>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</si>
  <si>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</si>
  <si>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</si>
  <si>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</si>
  <si>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</si>
  <si>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</si>
  <si>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</si>
  <si>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</si>
  <si>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</si>
  <si>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</si>
  <si>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</si>
  <si>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</si>
  <si>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</si>
  <si>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</si>
  <si>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</si>
  <si>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</si>
  <si>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</si>
  <si>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</si>
  <si>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</si>
  <si>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</si>
  <si>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</si>
  <si>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</si>
  <si>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</si>
  <si>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</si>
  <si>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</si>
  <si>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</si>
  <si>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</si>
  <si>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</si>
  <si>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</si>
  <si>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</si>
  <si>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</si>
  <si>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</si>
  <si>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</si>
  <si>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</si>
  <si>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</si>
  <si>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</si>
  <si>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</si>
  <si>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</si>
  <si>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</si>
  <si>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</si>
  <si>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</si>
  <si>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</si>
  <si>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</si>
  <si>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</si>
  <si>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</si>
  <si>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</si>
  <si>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</si>
  <si>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</si>
  <si>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</si>
  <si>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</si>
  <si>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</si>
  <si>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</si>
  <si>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</si>
  <si>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</si>
  <si>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</si>
  <si>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</si>
  <si>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</si>
  <si>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</si>
  <si>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</si>
  <si>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</si>
  <si>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</si>
  <si>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</si>
  <si>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</si>
  <si>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</si>
  <si>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</si>
  <si>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</si>
  <si>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</si>
  <si>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</si>
  <si>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</si>
  <si>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</si>
  <si>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</si>
  <si>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</si>
  <si>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</si>
  <si>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</si>
  <si>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</si>
  <si>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</si>
  <si>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</si>
  <si>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</si>
  <si>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</si>
  <si>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</si>
  <si>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</si>
  <si>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</si>
  <si>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</si>
  <si>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</si>
  <si>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</si>
  <si>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</si>
  <si>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</si>
  <si>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</si>
  <si>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</si>
  <si>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</si>
  <si>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</si>
  <si>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</si>
  <si>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</si>
  <si>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</si>
  <si>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</si>
  <si>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</si>
  <si>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</si>
  <si>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</si>
  <si>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</si>
  <si>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</si>
  <si>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</si>
  <si>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</si>
  <si>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</si>
  <si>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</si>
  <si>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</si>
  <si>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</si>
  <si>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</si>
  <si>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</si>
  <si>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</si>
  <si>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</si>
  <si>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</si>
  <si>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</si>
  <si>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</si>
  <si>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</si>
  <si>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</si>
  <si>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</si>
  <si>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</si>
  <si>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</si>
  <si>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</si>
  <si>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</si>
  <si>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</si>
  <si>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</si>
  <si>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</si>
  <si>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</si>
  <si>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</si>
  <si>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</si>
  <si>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</si>
  <si>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</si>
  <si>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</si>
  <si>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</si>
  <si>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</si>
  <si>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</si>
  <si>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</si>
  <si>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</si>
  <si>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</si>
  <si>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</si>
  <si>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</si>
  <si>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</si>
  <si>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</si>
  <si>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</si>
  <si>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</si>
  <si>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</si>
  <si>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</si>
  <si>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</si>
  <si>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</si>
  <si>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</si>
  <si>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</si>
  <si>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</si>
  <si>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</si>
  <si>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</si>
  <si>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</si>
  <si>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</si>
  <si>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</si>
  <si>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</si>
  <si>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</si>
  <si>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</si>
  <si>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</si>
  <si>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</si>
  <si>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</si>
  <si>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</si>
  <si>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</si>
  <si>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</si>
  <si>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</si>
  <si>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</si>
  <si>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</si>
  <si>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</si>
  <si>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</si>
  <si>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</si>
  <si>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</si>
  <si>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</si>
  <si>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</si>
  <si>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</si>
  <si>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</si>
  <si>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</si>
  <si>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</si>
  <si>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</si>
  <si>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</si>
  <si>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</si>
  <si>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</si>
  <si>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</si>
  <si>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</si>
  <si>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</si>
  <si>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</si>
  <si>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</si>
  <si>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</si>
  <si>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</si>
  <si>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</si>
  <si>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</si>
  <si>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</si>
  <si>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</si>
  <si>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</si>
  <si>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</si>
  <si>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</si>
  <si>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</si>
  <si>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</si>
  <si>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</si>
  <si>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</si>
  <si>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</si>
  <si>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</si>
  <si>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</si>
  <si>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</si>
  <si>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</si>
  <si>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</si>
  <si>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</si>
  <si>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</si>
  <si>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</si>
  <si>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</si>
  <si>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</si>
  <si>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</si>
  <si>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</si>
  <si>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</si>
  <si>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</si>
  <si>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</si>
  <si>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</si>
  <si>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</si>
  <si>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</si>
  <si>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</si>
  <si>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</si>
  <si>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</si>
  <si>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</si>
  <si>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</si>
  <si>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</si>
  <si>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</si>
  <si>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</si>
  <si>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</si>
  <si>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</si>
  <si>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</si>
  <si>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</si>
  <si>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</si>
  <si>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</si>
  <si>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</si>
  <si>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</si>
  <si>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</si>
  <si>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</si>
  <si>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</si>
  <si>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</si>
  <si>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</si>
  <si>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</si>
  <si>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</si>
  <si>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</si>
  <si>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</si>
  <si>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</si>
  <si>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</si>
  <si>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</si>
  <si>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</si>
  <si>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</si>
  <si>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</si>
  <si>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</si>
  <si>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</si>
  <si>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</si>
  <si>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</si>
  <si>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</si>
  <si>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</si>
  <si>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</si>
  <si>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</si>
  <si>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</si>
  <si>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</si>
  <si>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</si>
  <si>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</si>
  <si>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</si>
  <si>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</si>
  <si>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</si>
  <si>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</si>
  <si>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</si>
  <si>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</si>
  <si>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</si>
  <si>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</si>
  <si>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</si>
  <si>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</si>
  <si>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</si>
  <si>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</si>
  <si>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</si>
  <si>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</si>
  <si>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</si>
  <si>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</si>
  <si>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</si>
  <si>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</si>
  <si>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</si>
  <si>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</si>
  <si>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</si>
  <si>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</si>
  <si>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</si>
  <si>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</si>
  <si>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</si>
  <si>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</si>
  <si>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</si>
  <si>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</si>
  <si>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</si>
  <si>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</si>
  <si>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</si>
  <si>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</si>
  <si>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</si>
  <si>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</si>
  <si>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</si>
  <si>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</si>
  <si>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</si>
  <si>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</si>
  <si>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</si>
  <si>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</si>
  <si>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</si>
  <si>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</si>
  <si>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</si>
  <si>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</si>
  <si>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</si>
  <si>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</si>
  <si>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</si>
  <si>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</si>
  <si>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</si>
  <si>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</si>
  <si>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</si>
  <si>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</si>
  <si>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</si>
  <si>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</si>
  <si>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</si>
  <si>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</si>
  <si>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</si>
  <si>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</si>
  <si>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</si>
  <si>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</si>
  <si>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</si>
  <si>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</si>
  <si>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</si>
  <si>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</si>
  <si>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</si>
  <si>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</si>
  <si>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</si>
  <si>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</si>
  <si>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</si>
  <si>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</si>
  <si>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</si>
  <si>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</si>
  <si>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</si>
  <si>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</si>
  <si>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</si>
  <si>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</si>
  <si>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</si>
  <si>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</si>
  <si>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</si>
  <si>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</si>
  <si>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</si>
  <si>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</si>
  <si>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</si>
  <si>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</si>
  <si>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</si>
  <si>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</si>
  <si>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</si>
  <si>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</si>
  <si>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</si>
  <si>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</si>
  <si>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</si>
  <si>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</si>
  <si>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</si>
  <si>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</si>
  <si>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</si>
  <si>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</si>
  <si>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</si>
  <si>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</si>
  <si>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</si>
  <si>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</si>
  <si>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</si>
  <si>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</si>
  <si>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</si>
  <si>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</si>
  <si>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</si>
  <si>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</si>
  <si>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</si>
  <si>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</si>
  <si>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</si>
  <si>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</si>
  <si>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</si>
  <si>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</si>
  <si>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</si>
  <si>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</si>
  <si>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</si>
  <si>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</si>
  <si>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</si>
  <si>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</si>
  <si>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</si>
  <si>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</si>
  <si>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</si>
  <si>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</si>
  <si>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</si>
  <si>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</si>
  <si>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</si>
  <si>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</si>
  <si>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</si>
  <si>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</si>
  <si>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</si>
  <si>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</si>
  <si>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</si>
  <si>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</si>
  <si>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</si>
  <si>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</si>
  <si>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</si>
  <si>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</si>
  <si>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</si>
  <si>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</si>
  <si>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</si>
  <si>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</si>
  <si>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</si>
  <si>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</si>
  <si>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</si>
  <si>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</si>
  <si>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</si>
  <si>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</si>
  <si>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</si>
  <si>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</si>
  <si>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</si>
  <si>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</si>
  <si>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</si>
  <si>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</si>
  <si>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</si>
  <si>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</si>
  <si>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</si>
  <si>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</si>
  <si>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</si>
  <si>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</si>
  <si>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</si>
  <si>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</si>
  <si>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</si>
  <si>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</si>
  <si>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</si>
  <si>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</si>
  <si>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</si>
  <si>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</si>
  <si>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</si>
  <si>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</si>
  <si>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</si>
  <si>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</si>
  <si>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</si>
  <si>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</si>
  <si>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</si>
  <si>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</si>
  <si>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</si>
  <si>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</si>
  <si>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</si>
  <si>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</si>
  <si>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</si>
  <si>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</si>
  <si>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</si>
  <si>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</si>
  <si>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</si>
  <si>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</si>
  <si>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</si>
  <si>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</si>
  <si>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</si>
  <si>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</si>
  <si>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</si>
  <si>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</si>
  <si>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</si>
  <si>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</si>
  <si>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</si>
  <si>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</si>
  <si>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</si>
  <si>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</si>
  <si>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</si>
  <si>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</si>
  <si>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</si>
  <si>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</si>
  <si>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</si>
  <si>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</si>
  <si>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</si>
  <si>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</si>
  <si>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</si>
  <si>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</si>
  <si>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</si>
  <si>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</si>
  <si>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</si>
  <si>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</si>
  <si>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</si>
  <si>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</si>
  <si>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</si>
  <si>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</si>
  <si>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</si>
  <si>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</si>
  <si>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</si>
  <si>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</si>
  <si>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</si>
  <si>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</si>
  <si>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</si>
  <si>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</si>
  <si>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</si>
  <si>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</si>
  <si>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</si>
  <si>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</si>
  <si>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</si>
  <si>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</si>
  <si>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</si>
  <si>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</si>
  <si>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</si>
  <si>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</si>
  <si>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</si>
  <si>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</si>
  <si>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</si>
  <si>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</si>
  <si>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</si>
  <si>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</si>
  <si>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</si>
  <si>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</si>
  <si>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</si>
  <si>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</si>
  <si>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</si>
  <si>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</si>
  <si>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</si>
  <si>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</si>
  <si>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</si>
  <si>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</si>
  <si>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</si>
  <si>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</si>
  <si>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</si>
  <si>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</si>
  <si>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</si>
  <si>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</si>
  <si>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</si>
  <si>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</si>
  <si>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</si>
  <si>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</si>
  <si>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</si>
  <si>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</si>
  <si>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</si>
  <si>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</si>
  <si>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</si>
  <si>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</si>
  <si>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</si>
  <si>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</si>
  <si>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</si>
  <si>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</si>
  <si>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</si>
  <si>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</si>
  <si>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</si>
  <si>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</si>
  <si>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</si>
  <si>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</si>
  <si>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</si>
  <si>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</si>
  <si>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</si>
  <si>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</si>
  <si>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</si>
  <si>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</si>
  <si>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</si>
  <si>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</si>
  <si>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</si>
  <si>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</si>
  <si>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</si>
  <si>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</si>
  <si>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</si>
  <si>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</si>
  <si>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</si>
  <si>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</si>
  <si>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</si>
  <si>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</si>
  <si>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</si>
  <si>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</si>
  <si>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</si>
  <si>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</si>
  <si>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</si>
  <si>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</si>
  <si>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</si>
  <si>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</si>
  <si>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</si>
  <si>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</si>
  <si>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</si>
  <si>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</si>
  <si>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</si>
  <si>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</si>
  <si>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</si>
  <si>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</si>
  <si>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</si>
  <si>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</si>
  <si>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</si>
  <si>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</si>
  <si>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</si>
  <si>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</si>
  <si>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</si>
  <si>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</si>
  <si>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</si>
  <si>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</si>
  <si>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</si>
  <si>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</si>
  <si>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</si>
  <si>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</si>
  <si>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</si>
  <si>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</si>
  <si>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</si>
  <si>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</si>
  <si>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</si>
  <si>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</si>
  <si>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</si>
  <si>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</si>
  <si>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</si>
  <si>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</si>
  <si>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</si>
  <si>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</si>
  <si>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</si>
  <si>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</si>
  <si>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</si>
  <si>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</si>
  <si>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</si>
  <si>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</si>
  <si>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</si>
  <si>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</si>
  <si>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</si>
  <si>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</si>
  <si>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</si>
  <si>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</si>
  <si>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</si>
  <si>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</si>
  <si>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</si>
  <si>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</si>
  <si>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</si>
  <si>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</si>
  <si>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</si>
  <si>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</si>
  <si>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</si>
  <si>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</si>
  <si>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</si>
  <si>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</si>
  <si>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</si>
  <si>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</si>
  <si>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</si>
  <si>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</si>
  <si>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</si>
  <si>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</si>
  <si>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</si>
  <si>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</si>
  <si>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</si>
  <si>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</si>
  <si>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</si>
  <si>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</si>
  <si>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</si>
  <si>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</si>
  <si>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</si>
  <si>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</si>
  <si>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</si>
  <si>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</si>
  <si>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</si>
  <si>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</si>
  <si>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</si>
  <si>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</si>
  <si>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</si>
  <si>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</si>
  <si>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</si>
  <si>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</si>
  <si>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</si>
  <si>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</si>
  <si>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</si>
  <si>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</si>
  <si>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</si>
  <si>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</si>
  <si>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</si>
  <si>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</si>
  <si>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</si>
  <si>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</si>
  <si>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</si>
  <si>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</si>
  <si>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</si>
  <si>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</si>
  <si>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</si>
  <si>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</si>
  <si>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</si>
  <si>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</si>
  <si>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</si>
  <si>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</si>
  <si>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</si>
  <si>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</si>
  <si>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</si>
  <si>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</si>
  <si>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</si>
  <si>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</si>
  <si>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</si>
  <si>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</si>
  <si>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</si>
  <si>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</si>
  <si>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</si>
  <si>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</si>
  <si>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</si>
  <si>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</si>
  <si>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</si>
  <si>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</si>
  <si>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</si>
  <si>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</si>
  <si>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</si>
  <si>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</si>
  <si>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</si>
  <si>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</si>
  <si>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</si>
  <si>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</si>
  <si>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</si>
  <si>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</si>
  <si>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</si>
  <si>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</si>
  <si>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</si>
  <si>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</si>
  <si>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</si>
  <si>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</si>
  <si>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</si>
  <si>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</si>
  <si>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</si>
  <si>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</si>
  <si>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</si>
  <si>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</si>
  <si>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</si>
  <si>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</si>
  <si>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</si>
  <si>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</si>
  <si>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</si>
  <si>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</si>
  <si>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</si>
  <si>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</si>
  <si>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</si>
  <si>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</si>
  <si>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</si>
  <si>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</si>
  <si>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</si>
  <si>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</si>
  <si>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</si>
  <si>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</si>
  <si>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</si>
  <si>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</si>
  <si>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</si>
  <si>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</si>
  <si>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</si>
  <si>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</si>
  <si>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</si>
  <si>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</si>
  <si>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</si>
  <si>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</si>
  <si>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</si>
  <si>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</si>
  <si>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</si>
  <si>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</si>
  <si>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</si>
  <si>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</si>
  <si>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</si>
  <si>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</si>
  <si>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</si>
  <si>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</si>
  <si>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</si>
  <si>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</si>
  <si>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</si>
  <si>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</si>
  <si>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</si>
  <si>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</si>
  <si>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</si>
  <si>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</si>
  <si>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</si>
  <si>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</si>
  <si>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</si>
  <si>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</si>
  <si>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</si>
  <si>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</si>
  <si>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</si>
  <si>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</si>
  <si>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</si>
  <si>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</si>
  <si>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</si>
  <si>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</si>
  <si>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</si>
  <si>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</si>
  <si>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</si>
  <si>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</si>
  <si>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</si>
  <si>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</si>
  <si>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</si>
  <si>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</si>
  <si>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</si>
  <si>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</si>
  <si>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</si>
  <si>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</si>
  <si>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</si>
  <si>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</si>
  <si>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</si>
  <si>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</si>
  <si>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</si>
  <si>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</si>
  <si>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</si>
  <si>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</si>
  <si>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</si>
  <si>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</si>
  <si>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</si>
  <si>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</si>
  <si>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</si>
  <si>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</si>
  <si>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</si>
  <si>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</si>
  <si>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</si>
  <si>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</si>
  <si>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</si>
  <si>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</si>
  <si>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</si>
  <si>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</si>
  <si>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</si>
  <si>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</si>
  <si>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</si>
  <si>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</si>
  <si>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</si>
  <si>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</si>
  <si>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</si>
  <si>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</si>
  <si>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</si>
  <si>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</si>
  <si>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</si>
  <si>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</si>
  <si>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</si>
  <si>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</si>
  <si>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</si>
  <si>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</si>
  <si>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</si>
  <si>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</si>
  <si>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</si>
  <si>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</si>
  <si>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</si>
  <si>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</si>
  <si>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</si>
  <si>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</si>
  <si>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</si>
  <si>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</si>
  <si>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</si>
  <si>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</si>
  <si>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</si>
  <si>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</si>
  <si>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</si>
  <si>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</si>
  <si>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</si>
  <si>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</si>
  <si>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</si>
  <si>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</si>
  <si>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</si>
  <si>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</si>
  <si>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</si>
  <si>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</si>
  <si>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</si>
  <si>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</si>
  <si>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</si>
  <si>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</si>
  <si>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</si>
  <si>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</si>
  <si>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</si>
  <si>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</si>
  <si>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</si>
  <si>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</si>
  <si>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</si>
  <si>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</si>
  <si>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</si>
  <si>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</si>
  <si>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</si>
  <si>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</si>
  <si>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</si>
  <si>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</si>
  <si>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</si>
  <si>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</si>
  <si>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</si>
  <si>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</si>
  <si>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</si>
  <si>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</si>
  <si>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</si>
  <si>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</si>
  <si>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</si>
  <si>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</si>
  <si>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</si>
  <si>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</si>
  <si>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</si>
  <si>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</si>
  <si>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</si>
  <si>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</si>
  <si>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</si>
  <si>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</si>
  <si>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</si>
  <si>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</si>
  <si>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</si>
  <si>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</si>
  <si>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</si>
  <si>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</si>
  <si>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</si>
  <si>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</si>
  <si>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</si>
  <si>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</si>
  <si>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</si>
  <si>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</si>
  <si>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</si>
  <si>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</si>
  <si>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</si>
  <si>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</si>
  <si>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</si>
  <si>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</si>
  <si>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</si>
  <si>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</si>
  <si>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</si>
  <si>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</si>
  <si>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</si>
  <si>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</si>
  <si>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</si>
  <si>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</si>
  <si>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</si>
  <si>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</si>
  <si>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</si>
  <si>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</si>
  <si>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</si>
  <si>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</si>
  <si>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</si>
  <si>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</si>
  <si>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</si>
  <si>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</si>
  <si>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</si>
  <si>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</si>
  <si>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</si>
  <si>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</si>
  <si>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</si>
  <si>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</si>
  <si>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</si>
  <si>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</si>
  <si>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</si>
  <si>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</si>
  <si>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</si>
  <si>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</si>
  <si>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</si>
  <si>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</si>
  <si>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</si>
  <si>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</si>
  <si>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</si>
  <si>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</si>
  <si>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</si>
  <si>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</si>
  <si>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</si>
  <si>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</si>
  <si>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</si>
  <si>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</si>
  <si>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</si>
  <si>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</si>
  <si>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</si>
  <si>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</si>
  <si>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</si>
  <si>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</si>
  <si>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</si>
  <si>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</si>
  <si>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</si>
  <si>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</si>
  <si>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</si>
  <si>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</si>
  <si>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</si>
  <si>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</si>
  <si>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</si>
  <si>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</si>
  <si>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</si>
  <si>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</si>
  <si>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</si>
  <si>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</si>
  <si>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</si>
  <si>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</si>
  <si>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</si>
  <si>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</si>
  <si>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</si>
  <si>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</si>
  <si>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</si>
  <si>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</si>
  <si>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</si>
  <si>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</si>
  <si>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</si>
  <si>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</si>
  <si>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</si>
  <si>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</si>
  <si>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</si>
  <si>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</si>
  <si>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</si>
  <si>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</si>
  <si>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</si>
  <si>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</si>
  <si>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</si>
  <si>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</si>
  <si>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</si>
  <si>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</si>
  <si>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</si>
  <si>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</si>
  <si>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</si>
  <si>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</si>
  <si>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</si>
  <si>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</si>
  <si>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</si>
  <si>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</si>
  <si>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</si>
  <si>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</si>
  <si>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</si>
  <si>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</si>
  <si>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</si>
  <si>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</si>
  <si>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</si>
  <si>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</si>
  <si>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</si>
  <si>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</si>
  <si>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</si>
  <si>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</si>
  <si>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</si>
  <si>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</si>
  <si>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</si>
  <si>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</si>
  <si>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</si>
  <si>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</si>
  <si>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</si>
  <si>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</si>
  <si>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</si>
  <si>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</si>
  <si>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</si>
  <si>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</si>
  <si>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</si>
  <si>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</si>
  <si>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</si>
  <si>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</si>
  <si>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</si>
  <si>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</si>
  <si>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</si>
  <si>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</si>
  <si>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</si>
  <si>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</si>
  <si>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</si>
  <si>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</si>
  <si>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</si>
  <si>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</si>
  <si>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</si>
  <si>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</si>
  <si>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</si>
  <si>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</si>
  <si>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</si>
  <si>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</si>
  <si>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</si>
  <si>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</si>
  <si>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</si>
  <si>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</si>
  <si>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</si>
  <si>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</si>
  <si>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</si>
  <si>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</si>
  <si>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</si>
  <si>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</si>
  <si>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</si>
  <si>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</si>
  <si>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</si>
  <si>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</si>
  <si>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</si>
  <si>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</si>
  <si>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</si>
  <si>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</si>
  <si>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</si>
  <si>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</si>
  <si>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</si>
  <si>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</si>
  <si>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</si>
  <si>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</si>
  <si>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</si>
  <si>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</si>
  <si>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</si>
  <si>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</si>
  <si>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</si>
  <si>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</si>
  <si>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</si>
  <si>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</si>
  <si>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</si>
  <si>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</si>
  <si>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</si>
  <si>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</si>
  <si>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</si>
  <si>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</si>
  <si>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</si>
  <si>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</si>
  <si>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</si>
  <si>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</si>
  <si>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</si>
  <si>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</si>
  <si>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</si>
  <si>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</si>
  <si>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</si>
  <si>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</si>
  <si>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</si>
  <si>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</si>
  <si>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</si>
  <si>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</si>
  <si>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</si>
  <si>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</si>
  <si>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</si>
  <si>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</si>
  <si>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</si>
  <si>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</si>
  <si>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</si>
  <si>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</si>
  <si>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</si>
  <si>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</si>
  <si>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</si>
  <si>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</si>
  <si>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</si>
  <si>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</si>
  <si>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</si>
  <si>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</si>
  <si>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</si>
  <si>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</si>
  <si>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</si>
  <si>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</si>
  <si>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</si>
  <si>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</si>
  <si>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</si>
  <si>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</si>
  <si>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</si>
  <si>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</si>
  <si>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</si>
  <si>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</si>
  <si>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</si>
  <si>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</si>
  <si>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</si>
  <si>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</si>
  <si>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</si>
  <si>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</si>
  <si>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</si>
  <si>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</si>
  <si>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</si>
  <si>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</si>
  <si>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</si>
  <si>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</si>
  <si>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</si>
  <si>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</si>
  <si>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</si>
  <si>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</si>
  <si>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</si>
  <si>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</si>
  <si>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</si>
  <si>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</si>
  <si>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</si>
  <si>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</si>
  <si>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</si>
  <si>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</si>
  <si>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</si>
  <si>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</si>
  <si>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</si>
  <si>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</si>
  <si>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</si>
  <si>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</si>
  <si>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</si>
  <si>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</si>
  <si>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</si>
  <si>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</si>
  <si>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</si>
  <si>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</si>
  <si>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</si>
  <si>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</si>
  <si>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</si>
  <si>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</si>
  <si>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</si>
  <si>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</si>
  <si>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</si>
  <si>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</si>
  <si>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</si>
  <si>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</si>
  <si>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</si>
  <si>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</si>
  <si>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</si>
  <si>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</si>
  <si>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</si>
  <si>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</si>
  <si>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</si>
  <si>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</si>
  <si>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</si>
  <si>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</si>
  <si>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</si>
  <si>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</si>
  <si>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</si>
  <si>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</si>
  <si>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</si>
  <si>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</si>
  <si>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</si>
  <si>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</si>
  <si>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</si>
  <si>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</si>
  <si>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</si>
  <si>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</si>
  <si>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</si>
  <si>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</si>
  <si>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</si>
  <si>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</si>
  <si>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</si>
  <si>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</si>
  <si>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</si>
  <si>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</si>
  <si>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</si>
  <si>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</si>
  <si>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</si>
  <si>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</si>
  <si>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</si>
  <si>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</si>
  <si>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</si>
  <si>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</si>
  <si>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</si>
  <si>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</si>
  <si>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</si>
  <si>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</si>
  <si>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</si>
  <si>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</si>
  <si>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</si>
  <si>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</si>
  <si>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</si>
  <si>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</si>
  <si>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</si>
  <si>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</si>
  <si>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</si>
  <si>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</si>
  <si>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</si>
  <si>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</si>
  <si>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</si>
  <si>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</si>
  <si>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</si>
  <si>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</si>
  <si>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</si>
  <si>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</si>
  <si>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</si>
  <si>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</si>
  <si>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</si>
  <si>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</si>
  <si>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</si>
  <si>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</si>
  <si>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</si>
  <si>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</si>
  <si>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</si>
  <si>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</si>
  <si>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</si>
  <si>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</si>
  <si>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</si>
  <si>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</si>
  <si>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</si>
  <si>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</si>
  <si>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</si>
  <si>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</si>
  <si>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</si>
  <si>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</si>
  <si>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</si>
  <si>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</si>
  <si>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</si>
  <si>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</si>
  <si>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</si>
  <si>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</si>
  <si>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</si>
  <si>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</si>
  <si>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</si>
  <si>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</si>
  <si>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</si>
  <si>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</si>
  <si>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</si>
  <si>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</si>
  <si>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</si>
  <si>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</si>
  <si>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</si>
  <si>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</si>
  <si>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</si>
  <si>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</si>
  <si>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</si>
  <si>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</si>
  <si>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</si>
  <si>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</si>
  <si>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</si>
  <si>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</si>
  <si>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</si>
  <si>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</si>
  <si>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</si>
  <si>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</si>
  <si>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</si>
  <si>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</si>
  <si>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</si>
  <si>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</si>
  <si>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</si>
  <si>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</si>
  <si>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</si>
  <si>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</si>
  <si>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</si>
  <si>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</si>
  <si>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</si>
  <si>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</si>
  <si>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</si>
  <si>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</si>
  <si>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</si>
  <si>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</si>
  <si>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</si>
  <si>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</si>
  <si>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</si>
  <si>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</si>
  <si>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</si>
  <si>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</si>
  <si>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</si>
  <si>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</si>
  <si>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</si>
  <si>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</si>
  <si>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</si>
  <si>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</si>
  <si>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</si>
  <si>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</si>
  <si>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</si>
  <si>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</si>
  <si>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</si>
  <si>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</si>
  <si>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</si>
  <si>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</si>
  <si>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</si>
  <si>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</si>
  <si>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</si>
  <si>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</si>
  <si>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</si>
  <si>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</si>
  <si>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</si>
  <si>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</si>
  <si>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</si>
  <si>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</si>
  <si>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</si>
  <si>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</si>
  <si>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</si>
  <si>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</si>
  <si>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</si>
  <si>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</si>
  <si>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</si>
  <si>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</si>
  <si>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</si>
  <si>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</si>
  <si>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</si>
  <si>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</si>
  <si>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</si>
  <si>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</si>
  <si>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</si>
  <si>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</si>
  <si>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</si>
  <si>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</si>
  <si>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</si>
  <si>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</si>
  <si>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</si>
  <si>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</si>
  <si>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</si>
  <si>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</si>
  <si>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</si>
  <si>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</si>
  <si>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</si>
  <si>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</si>
  <si>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</si>
  <si>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</si>
  <si>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</si>
  <si>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</si>
  <si>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</si>
  <si>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</si>
  <si>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</si>
  <si>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</si>
  <si>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</si>
  <si>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</si>
  <si>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</si>
  <si>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</si>
  <si>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</si>
  <si>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</si>
  <si>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</si>
  <si>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</si>
  <si>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</si>
  <si>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</si>
  <si>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</si>
  <si>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</si>
  <si>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</si>
  <si>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</si>
  <si>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</si>
  <si>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</si>
  <si>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</si>
  <si>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</si>
  <si>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</si>
  <si>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</si>
  <si>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</si>
  <si>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</si>
  <si>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</si>
  <si>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</si>
  <si>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</si>
  <si>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</si>
  <si>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</si>
  <si>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</si>
  <si>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</si>
  <si>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</si>
  <si>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</si>
  <si>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</si>
  <si>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</si>
  <si>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</si>
  <si>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</si>
  <si>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</si>
  <si>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</si>
  <si>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</si>
  <si>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</si>
  <si>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</si>
  <si>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</si>
  <si>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</si>
  <si>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</si>
  <si>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</si>
  <si>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</si>
  <si>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</si>
  <si>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</si>
  <si>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</si>
  <si>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</si>
  <si>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</si>
  <si>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</si>
  <si>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</si>
  <si>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</si>
  <si>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</si>
  <si>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</si>
  <si>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</si>
  <si>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</si>
  <si>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</si>
  <si>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</si>
  <si>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</si>
  <si>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</si>
  <si>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</si>
  <si>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</si>
  <si>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</si>
  <si>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</si>
  <si>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</si>
  <si>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</si>
  <si>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</si>
  <si>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</si>
  <si>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</si>
  <si>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</si>
  <si>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</si>
  <si>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</si>
  <si>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</si>
  <si>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</si>
  <si>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</si>
  <si>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</si>
  <si>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</si>
  <si>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</si>
  <si>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</si>
  <si>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</si>
  <si>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</si>
  <si>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</si>
  <si>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</si>
  <si>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</si>
  <si>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</si>
  <si>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</si>
  <si>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</si>
  <si>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</si>
  <si>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</si>
  <si>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</si>
  <si>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</si>
  <si>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</si>
  <si>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</si>
  <si>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</si>
  <si>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</si>
  <si>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</si>
  <si>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</si>
  <si>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</si>
  <si>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</si>
  <si>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</si>
  <si>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</si>
  <si>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</si>
  <si>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</si>
  <si>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</si>
  <si>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</si>
  <si>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</si>
  <si>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</si>
  <si>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</si>
  <si>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</si>
  <si>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</si>
  <si>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</si>
  <si>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</si>
  <si>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</si>
  <si>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</si>
  <si>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</si>
  <si>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</si>
  <si>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</si>
  <si>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</si>
  <si>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</si>
  <si>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</si>
  <si>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</si>
  <si>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</si>
  <si>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</si>
  <si>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</si>
  <si>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</si>
  <si>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</si>
  <si>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</si>
  <si>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</si>
  <si>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</si>
  <si>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</si>
  <si>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</si>
  <si>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</si>
  <si>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</si>
  <si>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</si>
  <si>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</si>
  <si>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</si>
  <si>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</si>
  <si>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</si>
  <si>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</si>
  <si>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</si>
  <si>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</si>
  <si>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</si>
  <si>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</si>
  <si>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</si>
  <si>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</si>
  <si>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</si>
  <si>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</si>
  <si>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</si>
  <si>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</si>
  <si>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</si>
  <si>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</si>
  <si>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</si>
  <si>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</si>
  <si>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</si>
  <si>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</si>
  <si>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</si>
  <si>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</si>
  <si>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</si>
  <si>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</si>
  <si>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</si>
  <si>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</si>
  <si>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</si>
  <si>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</si>
  <si>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</si>
  <si>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</si>
  <si>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</si>
  <si>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</si>
  <si>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</si>
  <si>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</si>
  <si>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</si>
  <si>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</si>
  <si>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</si>
  <si>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</si>
  <si>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</si>
  <si>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</si>
  <si>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</si>
  <si>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</si>
  <si>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</si>
  <si>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</si>
  <si>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</si>
  <si>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</si>
  <si>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</si>
  <si>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</si>
  <si>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</si>
  <si>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</si>
  <si>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</si>
  <si>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</si>
  <si>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</si>
  <si>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</si>
  <si>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</si>
  <si>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</si>
  <si>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</si>
  <si>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</si>
  <si>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</si>
  <si>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</si>
  <si>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</si>
  <si>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</si>
  <si>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</si>
  <si>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</si>
  <si>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</si>
  <si>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</si>
  <si>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</si>
  <si>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</si>
  <si>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</si>
  <si>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</si>
  <si>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</si>
  <si>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</si>
  <si>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</si>
  <si>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</si>
  <si>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</si>
  <si>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</si>
  <si>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</si>
  <si>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</si>
  <si>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</si>
  <si>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</si>
  <si>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</si>
  <si>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</si>
  <si>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</si>
  <si>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</si>
  <si>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</si>
  <si>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</si>
  <si>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</si>
  <si>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</si>
  <si>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</si>
  <si>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</si>
  <si>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</si>
  <si>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</si>
  <si>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</si>
  <si>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</si>
  <si>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</si>
  <si>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</si>
  <si>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</si>
  <si>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</si>
  <si>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</si>
  <si>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</si>
  <si>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</si>
  <si>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</si>
  <si>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</si>
  <si>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</si>
  <si>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</si>
  <si>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</si>
  <si>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</si>
  <si>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</si>
  <si>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</si>
  <si>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</si>
  <si>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</si>
  <si>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</si>
  <si>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</si>
  <si>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</si>
  <si>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</si>
  <si>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</si>
  <si>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</si>
  <si>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</si>
  <si>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</si>
  <si>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</si>
  <si>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</si>
  <si>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</si>
  <si>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</si>
  <si>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</si>
  <si>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</si>
  <si>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</si>
  <si>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</si>
  <si>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</si>
  <si>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</si>
  <si>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</si>
  <si>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</si>
  <si>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</si>
  <si>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</si>
  <si>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</si>
  <si>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</si>
  <si>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</si>
  <si>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</si>
  <si>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</si>
  <si>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</si>
  <si>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</si>
  <si>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</si>
  <si>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</si>
  <si>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</si>
  <si>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</si>
  <si>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</si>
  <si>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</si>
  <si>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</si>
  <si>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</si>
  <si>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</si>
  <si>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</si>
  <si>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</si>
  <si>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</si>
  <si>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</si>
  <si>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</si>
  <si>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</si>
  <si>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</si>
  <si>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</si>
  <si>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</si>
  <si>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</si>
  <si>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</si>
  <si>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</si>
  <si>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</si>
  <si>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</si>
  <si>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</si>
  <si>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</si>
  <si>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</si>
  <si>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</si>
  <si>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</si>
  <si>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</si>
  <si>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</si>
  <si>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</si>
  <si>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</si>
  <si>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</si>
  <si>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</si>
  <si>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</si>
  <si>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</si>
  <si>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</si>
  <si>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</si>
  <si>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</si>
  <si>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</si>
  <si>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</si>
  <si>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</si>
  <si>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</si>
  <si>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</si>
  <si>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</si>
  <si>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</si>
  <si>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</si>
  <si>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</si>
  <si>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</si>
  <si>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</si>
  <si>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</si>
  <si>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</si>
  <si>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</si>
  <si>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</si>
  <si>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</si>
  <si>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</si>
  <si>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</si>
  <si>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</si>
  <si>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</si>
  <si>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</si>
  <si>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</si>
  <si>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</si>
  <si>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</si>
  <si>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</si>
  <si>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</si>
  <si>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</si>
  <si>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</si>
  <si>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</si>
  <si>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</si>
  <si>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</si>
  <si>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</si>
  <si>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</si>
  <si>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</si>
  <si>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</si>
  <si>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</si>
  <si>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</si>
  <si>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</si>
  <si>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</si>
  <si>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</si>
  <si>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</si>
  <si>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</si>
  <si>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</si>
  <si>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</si>
  <si>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</si>
  <si>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</si>
  <si>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</si>
  <si>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</si>
  <si>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</si>
  <si>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</si>
  <si>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</si>
  <si>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</si>
  <si>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</si>
  <si>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</si>
  <si>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</si>
  <si>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</si>
  <si>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</si>
  <si>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</si>
  <si>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</si>
  <si>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</si>
  <si>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</si>
  <si>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</si>
  <si>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</si>
  <si>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</si>
  <si>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</si>
  <si>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</si>
  <si>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</si>
  <si>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</si>
  <si>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</si>
  <si>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</si>
  <si>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</si>
  <si>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</si>
  <si>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</si>
  <si>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</si>
  <si>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</si>
  <si>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</si>
  <si>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</si>
  <si>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</si>
  <si>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</si>
  <si>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</si>
  <si>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</si>
  <si>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</si>
  <si>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</si>
  <si>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</si>
  <si>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</si>
  <si>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</si>
  <si>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</si>
  <si>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</si>
  <si>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</si>
  <si>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</si>
  <si>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</si>
  <si>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</si>
  <si>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</si>
  <si>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</si>
  <si>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</si>
  <si>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</si>
  <si>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</si>
  <si>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</si>
  <si>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</si>
  <si>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</si>
  <si>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</si>
  <si>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</si>
  <si>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</si>
  <si>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</si>
  <si>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</si>
  <si>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</si>
  <si>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</si>
  <si>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</si>
  <si>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</si>
  <si>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</si>
  <si>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</si>
  <si>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</si>
  <si>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</si>
  <si>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</si>
  <si>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</si>
  <si>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</si>
  <si>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</si>
  <si>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</si>
  <si>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</si>
  <si>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</si>
  <si>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</si>
  <si>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</si>
  <si>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</si>
  <si>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</si>
  <si>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</si>
  <si>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</si>
  <si>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</si>
  <si>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</si>
  <si>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</si>
  <si>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</si>
  <si>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</si>
  <si>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</si>
  <si>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</si>
  <si>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</si>
  <si>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</si>
  <si>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</si>
  <si>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</si>
  <si>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</si>
  <si>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</si>
  <si>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</si>
  <si>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</si>
  <si>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</si>
  <si>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</si>
  <si>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</si>
  <si>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</si>
  <si>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</si>
  <si>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</si>
  <si>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</si>
  <si>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</si>
  <si>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</si>
  <si>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</si>
  <si>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</si>
  <si>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</si>
  <si>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</si>
  <si>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</si>
  <si>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</si>
  <si>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</si>
  <si>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</si>
  <si>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</si>
  <si>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</si>
  <si>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</si>
  <si>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</si>
  <si>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</si>
  <si>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</si>
  <si>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</si>
  <si>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</si>
  <si>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</si>
  <si>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</si>
  <si>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</si>
  <si>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</si>
  <si>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</si>
  <si>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</si>
  <si>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</si>
  <si>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</si>
  <si>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</si>
  <si>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</si>
  <si>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</si>
  <si>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</si>
  <si>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</si>
  <si>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</si>
  <si>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</si>
  <si>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</si>
  <si>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</si>
  <si>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</si>
  <si>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</si>
  <si>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</si>
  <si>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</si>
  <si>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</si>
  <si>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</si>
  <si>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</si>
  <si>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</si>
  <si>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</si>
  <si>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</si>
  <si>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</si>
  <si>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</si>
  <si>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</si>
  <si>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</si>
  <si>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</si>
  <si>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</si>
  <si>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</si>
  <si>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</si>
  <si>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</si>
  <si>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</si>
  <si>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</si>
  <si>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</si>
  <si>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</si>
  <si>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</si>
  <si>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</si>
  <si>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</si>
  <si>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</si>
  <si>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</si>
  <si>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</si>
  <si>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</si>
  <si>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</si>
  <si>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</si>
  <si>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</si>
  <si>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</si>
  <si>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</si>
  <si>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</si>
  <si>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</si>
  <si>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</si>
  <si>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</si>
  <si>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</si>
  <si>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</si>
  <si>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</si>
  <si>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</si>
  <si>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</si>
  <si>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</si>
  <si>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</si>
  <si>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</si>
  <si>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</si>
  <si>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</si>
  <si>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</si>
  <si>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</si>
  <si>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</si>
  <si>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</si>
  <si>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</si>
  <si>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</si>
  <si>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</si>
  <si>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</si>
  <si>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</si>
  <si>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</si>
  <si>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</si>
  <si>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</si>
  <si>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</si>
  <si>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</si>
  <si>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</si>
  <si>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</si>
  <si>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</si>
  <si>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</si>
  <si>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</si>
  <si>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</si>
  <si>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</si>
  <si>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</si>
  <si>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</si>
  <si>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</si>
  <si>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</si>
  <si>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</si>
  <si>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</si>
  <si>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</si>
  <si>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</si>
  <si>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</si>
  <si>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</si>
  <si>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</si>
  <si>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</si>
  <si>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</si>
  <si>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</si>
  <si>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</si>
  <si>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</si>
  <si>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</si>
  <si>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</si>
  <si>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</si>
  <si>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</si>
  <si>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</si>
  <si>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</si>
  <si>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</si>
  <si>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</si>
  <si>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</si>
  <si>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</si>
  <si>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</si>
  <si>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</si>
  <si>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</si>
  <si>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</si>
  <si>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</si>
  <si>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</si>
  <si>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</si>
  <si>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</si>
  <si>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</si>
  <si>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</si>
  <si>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</si>
  <si>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</si>
  <si>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</si>
  <si>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</si>
  <si>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</si>
  <si>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</si>
  <si>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</si>
  <si>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</si>
  <si>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</si>
  <si>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</si>
  <si>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</si>
  <si>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</si>
  <si>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</si>
  <si>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</si>
  <si>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</si>
  <si>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</si>
  <si>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</si>
  <si>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</si>
  <si>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</si>
  <si>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</si>
  <si>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</si>
  <si>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</si>
  <si>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</si>
  <si>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</si>
  <si>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</si>
  <si>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</si>
  <si>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</si>
  <si>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</si>
  <si>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</si>
  <si>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</si>
  <si>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</si>
  <si>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</si>
  <si>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</si>
  <si>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</si>
  <si>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</si>
  <si>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</si>
  <si>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</si>
  <si>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</si>
  <si>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</si>
  <si>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</si>
  <si>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</si>
  <si>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</si>
  <si>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</si>
  <si>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</si>
  <si>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</si>
  <si>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</si>
  <si>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</si>
  <si>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</si>
  <si>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</si>
  <si>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</si>
  <si>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</si>
  <si>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</si>
  <si>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</si>
  <si>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</si>
  <si>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</si>
  <si>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</si>
  <si>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</si>
  <si>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</si>
  <si>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</si>
  <si>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</si>
  <si>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</si>
  <si>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</si>
  <si>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</si>
  <si>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</si>
  <si>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</si>
  <si>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</si>
  <si>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</si>
  <si>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</si>
  <si>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</si>
  <si>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</si>
  <si>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</si>
  <si>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</si>
  <si>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</si>
  <si>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</si>
  <si>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</si>
  <si>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</si>
  <si>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</si>
  <si>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</si>
  <si>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</si>
  <si>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</si>
  <si>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</si>
  <si>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</si>
  <si>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</si>
  <si>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</si>
  <si>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</si>
  <si>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</si>
  <si>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</si>
  <si>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</si>
  <si>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</si>
  <si>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</si>
  <si>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</si>
  <si>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</si>
  <si>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</si>
  <si>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</si>
  <si>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</si>
  <si>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</si>
  <si>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</si>
  <si>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</si>
  <si>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</si>
  <si>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</si>
  <si>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</si>
  <si>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</si>
  <si>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</si>
  <si>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</si>
  <si>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</si>
  <si>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</si>
  <si>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</si>
  <si>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</si>
  <si>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</si>
  <si>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</si>
  <si>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</si>
  <si>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</si>
  <si>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</si>
  <si>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</si>
  <si>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</si>
  <si>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</si>
  <si>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</si>
  <si>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</si>
  <si>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</si>
  <si>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</si>
  <si>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</si>
  <si>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</si>
  <si>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</si>
  <si>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</si>
  <si>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</si>
  <si>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</si>
  <si>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</si>
  <si>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</si>
  <si>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</si>
  <si>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</si>
  <si>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</si>
  <si>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</si>
  <si>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</si>
  <si>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</si>
  <si>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</si>
  <si>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</si>
  <si>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</si>
  <si>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</si>
  <si>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</si>
  <si>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</si>
  <si>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</si>
  <si>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</si>
  <si>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</si>
  <si>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</si>
  <si>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</si>
  <si>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</si>
  <si>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</si>
  <si>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</si>
  <si>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</si>
  <si>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</si>
  <si>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</si>
  <si>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</si>
  <si>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</si>
  <si>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</si>
  <si>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</si>
  <si>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</si>
  <si>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</si>
  <si>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</si>
  <si>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</si>
  <si>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</si>
  <si>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</si>
  <si>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</si>
  <si>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</si>
  <si>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</si>
  <si>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</si>
  <si>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</si>
  <si>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</si>
  <si>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</si>
  <si>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</si>
  <si>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</si>
  <si>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</si>
  <si>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</si>
  <si>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</si>
  <si>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</si>
  <si>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</si>
  <si>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</si>
  <si>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</si>
  <si>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</si>
  <si>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</si>
  <si>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</si>
  <si>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</si>
  <si>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</si>
  <si>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</si>
  <si>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</si>
  <si>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</si>
  <si>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</si>
  <si>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</si>
  <si>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</si>
  <si>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</si>
  <si>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</si>
  <si>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</si>
  <si>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</si>
  <si>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</si>
  <si>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</si>
  <si>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</si>
  <si>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</si>
  <si>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</si>
  <si>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</si>
  <si>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</si>
  <si>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</si>
  <si>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</si>
  <si>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</si>
  <si>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</si>
  <si>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</si>
  <si>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</si>
  <si>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</si>
  <si>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</si>
  <si>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</si>
  <si>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</si>
  <si>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</si>
  <si>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</si>
  <si>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</si>
  <si>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</si>
  <si>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</si>
  <si>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</si>
  <si>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</si>
  <si>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</si>
  <si>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</si>
  <si>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</si>
  <si>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</si>
  <si>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</si>
  <si>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</si>
  <si>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</si>
  <si>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</si>
  <si>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</si>
  <si>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</si>
  <si>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</si>
  <si>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</si>
  <si>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</si>
  <si>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</si>
  <si>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</si>
  <si>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</si>
  <si>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</si>
  <si>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</si>
  <si>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</si>
  <si>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</si>
  <si>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</si>
  <si>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</si>
  <si>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</si>
  <si>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</si>
  <si>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</si>
  <si>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</si>
  <si>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</si>
  <si>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</si>
  <si>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</si>
  <si>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</si>
  <si>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</si>
  <si>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</si>
  <si>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</si>
  <si>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</si>
  <si>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</si>
  <si>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</si>
  <si>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</si>
  <si>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</si>
  <si>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</si>
  <si>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</si>
  <si>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</si>
  <si>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</si>
  <si>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</si>
  <si>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</si>
  <si>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</si>
  <si>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</si>
  <si>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</si>
  <si>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</si>
  <si>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</si>
  <si>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</si>
  <si>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</si>
  <si>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</si>
  <si>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</si>
  <si>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</si>
  <si>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</si>
  <si>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</si>
  <si>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</si>
  <si>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</si>
  <si>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</si>
  <si>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</si>
  <si>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</si>
  <si>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</si>
  <si>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</si>
  <si>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</si>
  <si>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</si>
  <si>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</si>
  <si>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</si>
  <si>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</si>
  <si>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</si>
  <si>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</si>
  <si>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</si>
  <si>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</si>
  <si>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</si>
  <si>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</si>
  <si>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</si>
  <si>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</si>
  <si>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</si>
  <si>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</si>
  <si>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</si>
  <si>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</si>
  <si>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</si>
  <si>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</si>
  <si>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</si>
  <si>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</si>
  <si>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</si>
  <si>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</si>
  <si>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</si>
  <si>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</si>
  <si>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</si>
  <si>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</si>
  <si>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</si>
  <si>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</si>
  <si>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</si>
  <si>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</si>
  <si>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</si>
  <si>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</si>
  <si>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</si>
  <si>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</si>
  <si>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</si>
  <si>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</si>
  <si>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</si>
  <si>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</si>
  <si>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</si>
  <si>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</si>
  <si>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</si>
  <si>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</si>
  <si>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</si>
  <si>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</si>
  <si>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</si>
  <si>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</si>
  <si>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</si>
  <si>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</si>
  <si>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</si>
  <si>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</si>
  <si>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</si>
  <si>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</si>
  <si>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</si>
  <si>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</si>
  <si>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</si>
  <si>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</si>
  <si>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</si>
  <si>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</si>
  <si>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</si>
  <si>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</si>
  <si>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</si>
  <si>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</si>
  <si>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</si>
  <si>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</si>
  <si>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</si>
  <si>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</si>
  <si>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</si>
  <si>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</si>
  <si>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</si>
  <si>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</si>
  <si>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</si>
  <si>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</si>
  <si>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</si>
  <si>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</si>
  <si>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</si>
  <si>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</si>
  <si>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</si>
  <si>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</si>
  <si>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</si>
  <si>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</si>
  <si>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</si>
  <si>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</si>
  <si>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</si>
  <si>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</si>
  <si>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</si>
  <si>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</si>
  <si>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</si>
  <si>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</si>
  <si>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</si>
  <si>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</si>
  <si>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</si>
  <si>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</si>
  <si>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</si>
  <si>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</si>
  <si>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</si>
  <si>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</si>
  <si>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</si>
  <si>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</si>
  <si>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</si>
  <si>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</si>
  <si>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</si>
  <si>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</si>
  <si>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</si>
  <si>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</si>
  <si>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</si>
  <si>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</si>
  <si>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</si>
  <si>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</si>
  <si>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</si>
  <si>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</si>
  <si>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</si>
  <si>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</si>
  <si>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</si>
  <si>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</si>
  <si>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</si>
  <si>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</si>
  <si>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</si>
  <si>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</si>
  <si>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</si>
  <si>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</si>
  <si>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</si>
  <si>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</si>
  <si>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</si>
  <si>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</si>
  <si>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</si>
  <si>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</si>
  <si>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</si>
  <si>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</si>
  <si>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</si>
  <si>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</si>
  <si>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</si>
  <si>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</si>
  <si>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</si>
  <si>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</si>
  <si>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</si>
  <si>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</si>
  <si>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</si>
  <si>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</si>
  <si>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</si>
  <si>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</si>
  <si>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</si>
  <si>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</si>
  <si>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</si>
  <si>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</si>
  <si>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</si>
  <si>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</si>
  <si>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</si>
  <si>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</si>
  <si>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</si>
  <si>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</si>
  <si>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</si>
  <si>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</si>
  <si>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</si>
  <si>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</si>
  <si>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</si>
  <si>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</si>
  <si>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</si>
  <si>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</si>
  <si>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</si>
  <si>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</si>
  <si>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</si>
  <si>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</si>
  <si>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</si>
  <si>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</si>
  <si>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</si>
  <si>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</si>
  <si>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</si>
  <si>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</si>
  <si>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</si>
  <si>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</si>
  <si>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</si>
  <si>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</si>
  <si>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</si>
  <si>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</si>
  <si>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</si>
  <si>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</si>
  <si>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</si>
  <si>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</si>
  <si>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</si>
  <si>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</si>
  <si>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</si>
  <si>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</si>
  <si>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</si>
  <si>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</si>
  <si>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</si>
  <si>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</si>
  <si>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</si>
  <si>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</si>
  <si>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</si>
  <si>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</si>
  <si>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</si>
  <si>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</si>
  <si>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</si>
  <si>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</si>
  <si>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</si>
  <si>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</si>
  <si>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</si>
  <si>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</si>
  <si>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</si>
  <si>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</si>
  <si>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</si>
  <si>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</si>
  <si>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</si>
  <si>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</si>
  <si>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</si>
  <si>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</si>
  <si>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</si>
  <si>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</si>
  <si>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</si>
  <si>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</si>
  <si>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</si>
  <si>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</si>
  <si>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</si>
  <si>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</si>
  <si>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</si>
  <si>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</si>
  <si>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</si>
  <si>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</si>
  <si>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</si>
  <si>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</si>
  <si>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</si>
  <si>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</si>
  <si>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</si>
  <si>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</si>
  <si>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</si>
  <si>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</si>
  <si>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</si>
  <si>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</si>
  <si>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</si>
  <si>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</si>
  <si>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</si>
  <si>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</si>
  <si>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</si>
  <si>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</si>
  <si>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</si>
  <si>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</si>
  <si>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</si>
  <si>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</si>
  <si>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</si>
  <si>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</si>
  <si>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</si>
  <si>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</si>
  <si>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</si>
  <si>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</si>
  <si>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</si>
  <si>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</si>
  <si>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</si>
  <si>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</si>
  <si>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</si>
  <si>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</si>
  <si>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</si>
  <si>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</si>
  <si>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</si>
  <si>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</si>
  <si>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</si>
  <si>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</si>
  <si>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</si>
  <si>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</si>
  <si>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</si>
  <si>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</si>
  <si>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</si>
  <si>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</si>
  <si>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</si>
  <si>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</si>
  <si>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</si>
  <si>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</si>
  <si>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</si>
  <si>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</si>
  <si>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</si>
  <si>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</si>
  <si>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</si>
  <si>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</si>
  <si>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</si>
  <si>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</si>
  <si>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</si>
  <si>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</si>
  <si>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</si>
  <si>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</si>
  <si>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</si>
  <si>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</si>
  <si>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</si>
  <si>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</si>
  <si>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</si>
  <si>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</si>
  <si>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</si>
  <si>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</si>
  <si>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</si>
  <si>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</si>
  <si>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</si>
  <si>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</si>
  <si>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</si>
  <si>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</si>
  <si>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</si>
  <si>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</si>
  <si>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</si>
  <si>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</si>
  <si>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</si>
  <si>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</si>
  <si>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</si>
  <si>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</si>
  <si>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</si>
  <si>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</si>
  <si>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</si>
  <si>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</si>
  <si>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</si>
  <si>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</si>
  <si>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</si>
  <si>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</si>
  <si>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</si>
  <si>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</si>
  <si>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</si>
  <si>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</si>
  <si>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</si>
  <si>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</si>
  <si>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</si>
  <si>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</si>
  <si>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</si>
  <si>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</si>
  <si>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</si>
  <si>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</si>
  <si>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</si>
  <si>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</si>
  <si>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</si>
  <si>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</si>
  <si>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</si>
  <si>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</si>
  <si>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</si>
  <si>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</si>
  <si>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</si>
  <si>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</si>
  <si>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</si>
  <si>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</si>
  <si>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</si>
  <si>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</si>
  <si>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</si>
  <si>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</si>
  <si>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</si>
  <si>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</si>
  <si>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</si>
  <si>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</si>
  <si>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</si>
  <si>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</si>
  <si>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</si>
  <si>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</si>
  <si>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</si>
  <si>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</si>
  <si>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</si>
  <si>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</si>
  <si>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</si>
  <si>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</si>
  <si>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</si>
  <si>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</si>
  <si>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</si>
  <si>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</si>
  <si>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</si>
  <si>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</si>
  <si>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</si>
  <si>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</si>
  <si>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</si>
  <si>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</si>
  <si>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</si>
  <si>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</si>
  <si>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</si>
  <si>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</si>
  <si>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</si>
  <si>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</si>
  <si>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</si>
  <si>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</si>
  <si>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</si>
  <si>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</si>
  <si>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</si>
  <si>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</si>
  <si>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</si>
  <si>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</si>
  <si>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</si>
  <si>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</si>
  <si>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</si>
  <si>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</si>
  <si>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</si>
  <si>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</si>
  <si>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</si>
  <si>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</si>
  <si>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</si>
  <si>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</si>
  <si>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</si>
  <si>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</si>
  <si>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</si>
  <si>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</si>
  <si>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</si>
  <si>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</si>
  <si>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</si>
  <si>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</si>
  <si>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</si>
  <si>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</si>
  <si>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</si>
  <si>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</si>
  <si>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</si>
  <si>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</si>
  <si>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</si>
  <si>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</si>
  <si>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</si>
  <si>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</si>
  <si>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</si>
  <si>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</si>
  <si>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</si>
  <si>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</si>
  <si>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</si>
  <si>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</si>
  <si>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</si>
  <si>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</si>
  <si>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</si>
  <si>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</si>
  <si>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</si>
  <si>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</si>
  <si>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</si>
  <si>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</si>
  <si>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</si>
  <si>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</si>
  <si>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</si>
  <si>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</si>
  <si>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</si>
  <si>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</si>
  <si>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</si>
  <si>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</si>
  <si>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</si>
  <si>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</si>
  <si>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</si>
  <si>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</si>
  <si>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</si>
  <si>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</si>
  <si>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</si>
  <si>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</si>
  <si>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</si>
  <si>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</si>
  <si>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</si>
  <si>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</si>
  <si>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</si>
  <si>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</si>
  <si>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</si>
  <si>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</si>
  <si>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</si>
  <si>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</si>
  <si>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</si>
  <si>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</si>
  <si>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</si>
  <si>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</si>
  <si>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</si>
  <si>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</si>
  <si>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</si>
  <si>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</si>
  <si>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</si>
  <si>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</si>
  <si>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</si>
  <si>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</si>
  <si>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</si>
  <si>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</si>
  <si>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</si>
  <si>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</si>
  <si>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</si>
  <si>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</si>
  <si>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</si>
  <si>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</si>
  <si>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</si>
  <si>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</si>
  <si>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</si>
  <si>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</si>
  <si>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</si>
  <si>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</si>
  <si>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</si>
  <si>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</si>
  <si>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</si>
  <si>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</si>
  <si>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</si>
  <si>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</si>
  <si>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</si>
  <si>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</si>
  <si>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</si>
  <si>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</si>
  <si>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</si>
  <si>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</si>
  <si>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</si>
  <si>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</si>
  <si>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</si>
  <si>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</si>
  <si>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</si>
  <si>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</si>
  <si>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</si>
  <si>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</si>
  <si>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</si>
  <si>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</si>
  <si>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</si>
  <si>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</si>
  <si>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</si>
  <si>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</si>
  <si>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</si>
  <si>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</si>
  <si>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</si>
  <si>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</si>
  <si>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</si>
  <si>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</si>
  <si>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</si>
  <si>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</si>
  <si>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</si>
  <si>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</si>
  <si>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</si>
  <si>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</si>
  <si>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</si>
  <si>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</si>
  <si>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</si>
  <si>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</si>
  <si>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</si>
  <si>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</si>
  <si>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</si>
  <si>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</si>
  <si>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</si>
  <si>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</si>
  <si>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</si>
  <si>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</si>
  <si>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</si>
  <si>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</si>
  <si>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</si>
  <si>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</si>
  <si>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</si>
  <si>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</si>
  <si>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</si>
  <si>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</si>
  <si>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</si>
  <si>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</si>
  <si>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</si>
  <si>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</si>
  <si>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</si>
  <si>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</si>
  <si>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</si>
  <si>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</si>
  <si>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</si>
  <si>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</si>
  <si>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</si>
  <si>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</si>
  <si>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</si>
  <si>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</si>
  <si>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</si>
  <si>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</si>
  <si>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</si>
  <si>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</si>
  <si>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</si>
  <si>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</si>
  <si>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</si>
  <si>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</si>
  <si>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</si>
  <si>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</si>
  <si>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</si>
  <si>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</si>
  <si>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</si>
  <si>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</si>
  <si>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</si>
  <si>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</si>
  <si>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</si>
  <si>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</si>
  <si>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</si>
  <si>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</si>
  <si>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</si>
  <si>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</si>
  <si>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</si>
  <si>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</si>
  <si>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</si>
  <si>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</si>
  <si>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</si>
  <si>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</si>
  <si>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</si>
  <si>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</si>
  <si>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</si>
  <si>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</si>
  <si>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</si>
  <si>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</si>
  <si>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</si>
  <si>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</si>
  <si>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</si>
  <si>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</si>
  <si>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</si>
  <si>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</si>
  <si>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</si>
  <si>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</si>
  <si>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</si>
  <si>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</si>
  <si>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</si>
  <si>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</si>
  <si>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</si>
  <si>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</si>
  <si>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</si>
  <si>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</si>
  <si>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</si>
  <si>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</si>
  <si>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</si>
  <si>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</si>
  <si>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</si>
  <si>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</si>
  <si>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</si>
  <si>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</si>
  <si>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</si>
  <si>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</si>
  <si>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</si>
  <si>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</si>
  <si>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</si>
  <si>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</si>
  <si>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</si>
  <si>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</si>
  <si>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</si>
  <si>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</si>
  <si>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</si>
  <si>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</si>
  <si>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</si>
  <si>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</si>
  <si>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</si>
  <si>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</si>
  <si>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</si>
  <si>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</si>
  <si>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</si>
  <si>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</si>
  <si>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</si>
  <si>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</si>
  <si>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</si>
  <si>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</si>
  <si>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</si>
  <si>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</si>
  <si>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</si>
  <si>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</si>
  <si>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</si>
  <si>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</si>
  <si>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</si>
  <si>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</si>
  <si>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</si>
  <si>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</si>
  <si>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</si>
  <si>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</si>
  <si>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</si>
  <si>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</si>
  <si>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</si>
  <si>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</si>
  <si>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</si>
  <si>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</si>
  <si>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</si>
  <si>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</si>
  <si>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</si>
  <si>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</si>
  <si>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</si>
  <si>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</si>
  <si>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</si>
  <si>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</si>
  <si>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</si>
  <si>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</si>
  <si>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</si>
  <si>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</si>
  <si>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</si>
  <si>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</si>
  <si>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</si>
  <si>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</si>
  <si>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</si>
  <si>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</si>
  <si>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</si>
  <si>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</si>
  <si>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</si>
  <si>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</si>
  <si>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</si>
  <si>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</si>
  <si>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</si>
  <si>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</si>
  <si>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</si>
  <si>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</si>
  <si>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</si>
  <si>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</si>
  <si>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</si>
  <si>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</si>
  <si>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</si>
  <si>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</si>
  <si>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</si>
  <si>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</si>
  <si>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</si>
  <si>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</si>
  <si>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</si>
  <si>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</si>
  <si>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</si>
  <si>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</si>
  <si>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</si>
  <si>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</si>
  <si>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</si>
  <si>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</si>
  <si>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</si>
  <si>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</si>
  <si>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</si>
  <si>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</si>
  <si>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</si>
  <si>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</si>
  <si>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</si>
  <si>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</si>
  <si>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</si>
  <si>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</si>
  <si>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</si>
  <si>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</si>
  <si>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</si>
  <si>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</si>
  <si>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</si>
  <si>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</si>
  <si>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</si>
  <si>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</si>
  <si>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</si>
  <si>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</si>
  <si>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</si>
  <si>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</si>
  <si>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</si>
  <si>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</si>
  <si>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</si>
  <si>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</si>
  <si>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</si>
  <si>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</si>
  <si>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</si>
  <si>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</si>
  <si>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</si>
  <si>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</si>
  <si>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</si>
  <si>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</si>
  <si>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</si>
  <si>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</si>
  <si>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</si>
  <si>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</si>
  <si>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</si>
  <si>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</si>
  <si>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</si>
  <si>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</si>
  <si>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</si>
  <si>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</si>
  <si>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</si>
  <si>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</si>
  <si>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</si>
  <si>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</si>
  <si>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</si>
  <si>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</si>
  <si>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</si>
  <si>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</si>
  <si>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</si>
  <si>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</si>
  <si>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</si>
  <si>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</si>
  <si>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</si>
  <si>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</si>
  <si>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</si>
  <si>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</si>
  <si>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</si>
  <si>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</si>
  <si>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</si>
  <si>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</si>
  <si>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</si>
  <si>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</si>
  <si>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</si>
  <si>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</si>
  <si>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</si>
  <si>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</si>
  <si>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</si>
  <si>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</si>
  <si>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</si>
  <si>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</si>
  <si>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</si>
  <si>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</si>
  <si>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</si>
  <si>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</si>
  <si>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</si>
  <si>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</si>
  <si>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</si>
  <si>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</si>
  <si>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</si>
  <si>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</si>
  <si>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</si>
  <si>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</si>
  <si>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</si>
  <si>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</si>
  <si>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</si>
  <si>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</si>
  <si>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</si>
  <si>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</si>
  <si>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</si>
  <si>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</si>
  <si>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</si>
  <si>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</si>
  <si>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</si>
  <si>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</si>
  <si>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</si>
  <si>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</si>
  <si>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</si>
  <si>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</si>
  <si>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</si>
  <si>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</si>
  <si>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</si>
  <si>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</si>
  <si>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</si>
  <si>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</si>
  <si>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</si>
  <si>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</si>
  <si>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</si>
  <si>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</si>
  <si>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</si>
  <si>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</si>
  <si>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</si>
  <si>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</si>
  <si>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</si>
  <si>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</si>
  <si>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</si>
  <si>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</si>
  <si>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</si>
  <si>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</si>
  <si>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</si>
  <si>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</si>
  <si>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</si>
  <si>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</si>
  <si>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</si>
  <si>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</si>
  <si>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</si>
  <si>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</si>
  <si>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</si>
  <si>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</si>
  <si>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</si>
  <si>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</si>
  <si>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</si>
  <si>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</si>
  <si>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</si>
  <si>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</si>
  <si>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</si>
  <si>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</si>
  <si>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</si>
  <si>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</si>
  <si>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</si>
  <si>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</si>
  <si>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</si>
  <si>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</si>
  <si>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</si>
  <si>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</si>
  <si>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</si>
  <si>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</si>
  <si>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</si>
  <si>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</si>
  <si>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</si>
  <si>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</si>
  <si>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</si>
  <si>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</si>
  <si>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</si>
  <si>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</si>
  <si>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</si>
  <si>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</si>
  <si>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</si>
  <si>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</si>
  <si>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</si>
  <si>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</si>
  <si>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</si>
  <si>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</si>
  <si>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</si>
  <si>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</si>
  <si>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</si>
  <si>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</si>
  <si>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</si>
  <si>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</si>
  <si>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</si>
  <si>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</si>
  <si>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</si>
  <si>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</si>
  <si>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</si>
  <si>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</si>
  <si>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</si>
  <si>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</si>
  <si>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</si>
  <si>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</si>
  <si>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</si>
  <si>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</si>
  <si>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</si>
  <si>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</si>
  <si>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</si>
  <si>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</si>
  <si>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</si>
  <si>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</si>
  <si>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</si>
  <si>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</si>
  <si>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</si>
  <si>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</si>
  <si>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</si>
  <si>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</si>
  <si>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</si>
  <si>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</si>
  <si>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</si>
  <si>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</si>
  <si>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</si>
  <si>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</si>
  <si>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</si>
  <si>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</si>
  <si>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</si>
  <si>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</si>
  <si>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</si>
  <si>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</si>
  <si>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</si>
  <si>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</si>
  <si>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</si>
  <si>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</si>
  <si>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</si>
  <si>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</si>
  <si>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</si>
  <si>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</si>
  <si>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</si>
  <si>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</si>
  <si>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</si>
  <si>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</si>
  <si>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</si>
  <si>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</si>
  <si>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</si>
  <si>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</si>
  <si>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</si>
  <si>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</si>
  <si>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</si>
  <si>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</si>
  <si>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</si>
  <si>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</si>
  <si>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</si>
  <si>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</si>
  <si>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</si>
  <si>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</si>
  <si>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</si>
  <si>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</si>
  <si>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</si>
  <si>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</si>
  <si>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</si>
  <si>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</si>
  <si>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</si>
  <si>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</si>
  <si>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</si>
  <si>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</si>
  <si>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</si>
  <si>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</si>
  <si>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</si>
  <si>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</si>
  <si>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</si>
  <si>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</si>
  <si>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</si>
  <si>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</si>
  <si>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</si>
  <si>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</si>
  <si>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</si>
  <si>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</si>
  <si>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</si>
  <si>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</si>
  <si>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</si>
  <si>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</si>
  <si>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</si>
  <si>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</si>
  <si>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</si>
  <si>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</si>
  <si>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</si>
  <si>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</si>
  <si>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</si>
  <si>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</si>
  <si>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</si>
  <si>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</si>
  <si>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</si>
  <si>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</si>
  <si>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</si>
  <si>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</si>
  <si>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</si>
  <si>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</si>
  <si>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</si>
  <si>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</si>
  <si>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</si>
  <si>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</si>
  <si>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</si>
  <si>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</si>
  <si>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</si>
  <si>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</si>
  <si>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</si>
  <si>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</si>
  <si>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</si>
  <si>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</si>
  <si>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</si>
  <si>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</si>
  <si>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</si>
  <si>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</si>
  <si>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</si>
  <si>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</si>
  <si>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</si>
  <si>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</si>
  <si>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</si>
  <si>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</si>
  <si>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</si>
  <si>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</si>
  <si>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</si>
  <si>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</si>
  <si>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</si>
  <si>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</si>
  <si>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</si>
  <si>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</si>
  <si>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</si>
  <si>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</si>
  <si>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</si>
  <si>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</si>
  <si>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</si>
  <si>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</si>
  <si>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</si>
  <si>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</si>
  <si>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</si>
  <si>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</si>
  <si>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</si>
  <si>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</si>
  <si>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</si>
  <si>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</si>
  <si>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</si>
  <si>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</si>
  <si>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</si>
  <si>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</si>
  <si>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</si>
  <si>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</si>
  <si>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</si>
  <si>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</si>
  <si>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</si>
  <si>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</si>
  <si>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</si>
  <si>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</si>
  <si>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</si>
  <si>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</si>
  <si>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</si>
  <si>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</si>
  <si>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</si>
  <si>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</si>
  <si>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</si>
  <si>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</si>
  <si>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</si>
  <si>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</si>
  <si>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</si>
  <si>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</si>
  <si>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</si>
  <si>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</si>
  <si>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</si>
  <si>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</si>
  <si>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</si>
  <si>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</si>
  <si>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</si>
  <si>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</si>
  <si>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</si>
  <si>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</si>
  <si>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</si>
  <si>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</si>
  <si>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</si>
  <si>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</si>
  <si>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</si>
  <si>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</si>
  <si>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</si>
  <si>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</si>
  <si>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</si>
  <si>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</si>
  <si>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</si>
  <si>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</si>
  <si>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</si>
  <si>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</si>
  <si>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</si>
  <si>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</si>
  <si>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</si>
  <si>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</si>
  <si>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</si>
  <si>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</si>
  <si>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</si>
  <si>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</si>
  <si>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</si>
  <si>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</si>
  <si>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</si>
  <si>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</si>
  <si>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</si>
  <si>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</si>
  <si>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</si>
  <si>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</si>
  <si>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</si>
  <si>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</si>
  <si>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</si>
  <si>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</si>
  <si>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</si>
  <si>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</si>
  <si>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</si>
  <si>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</si>
  <si>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</si>
  <si>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</si>
  <si>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</si>
  <si>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</si>
  <si>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</si>
  <si>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</si>
  <si>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</si>
  <si>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</si>
  <si>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</si>
  <si>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</si>
  <si>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</si>
  <si>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</si>
  <si>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</si>
  <si>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</si>
  <si>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</si>
  <si>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</si>
  <si>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</si>
  <si>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</si>
  <si>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</si>
  <si>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</si>
  <si>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</si>
  <si>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</si>
  <si>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</si>
  <si>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</si>
  <si>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</si>
  <si>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</si>
  <si>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</si>
  <si>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</si>
  <si>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</si>
  <si>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</si>
  <si>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</si>
  <si>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</si>
  <si>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</si>
  <si>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</si>
  <si>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</si>
  <si>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</si>
  <si>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</si>
  <si>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</si>
  <si>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</si>
  <si>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</si>
  <si>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</si>
  <si>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</si>
  <si>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</si>
  <si>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</si>
  <si>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</si>
  <si>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</si>
  <si>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</si>
  <si>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</si>
  <si>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</si>
  <si>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</si>
  <si>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</si>
  <si>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</si>
  <si>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</si>
  <si>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</si>
  <si>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</si>
  <si>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</si>
  <si>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</si>
  <si>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</si>
  <si>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</si>
  <si>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</si>
  <si>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</si>
  <si>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</si>
  <si>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</si>
  <si>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</si>
  <si>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</si>
  <si>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</si>
  <si>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</si>
  <si>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</si>
  <si>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</si>
  <si>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</si>
  <si>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</si>
  <si>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</si>
  <si>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</si>
  <si>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</si>
  <si>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</si>
  <si>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</si>
  <si>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</si>
  <si>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</si>
  <si>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</si>
  <si>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</si>
  <si>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</si>
  <si>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</si>
  <si>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</si>
  <si>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</si>
  <si>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</si>
  <si>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</si>
  <si>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</si>
  <si>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</si>
  <si>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</si>
  <si>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</si>
  <si>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</si>
  <si>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</si>
  <si>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</si>
  <si>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</si>
  <si>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</si>
  <si>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</si>
  <si>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</si>
  <si>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</si>
  <si>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</si>
  <si>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</si>
  <si>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</si>
  <si>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</si>
  <si>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</si>
  <si>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</si>
  <si>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</si>
  <si>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</si>
  <si>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</si>
  <si>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</si>
  <si>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</si>
  <si>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</si>
  <si>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</si>
  <si>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</si>
  <si>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</si>
  <si>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</si>
  <si>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</si>
  <si>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</si>
  <si>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</si>
  <si>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</si>
  <si>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</si>
  <si>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</si>
  <si>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</si>
  <si>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</si>
  <si>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</si>
  <si>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</si>
  <si>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</si>
  <si>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</si>
  <si>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</si>
  <si>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</si>
  <si>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</si>
  <si>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</si>
  <si>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</si>
  <si>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</si>
  <si>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</si>
  <si>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</si>
  <si>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</si>
  <si>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</si>
  <si>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</si>
  <si>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</si>
  <si>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</si>
  <si>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</si>
  <si>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</si>
  <si>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</si>
  <si>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</si>
  <si>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</si>
  <si>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</si>
  <si>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</si>
  <si>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</si>
  <si>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</si>
  <si>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</si>
  <si>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</si>
  <si>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</si>
  <si>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</si>
  <si>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</si>
  <si>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</si>
  <si>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</si>
  <si>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</si>
  <si>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</si>
  <si>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</si>
  <si>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</si>
  <si>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</si>
  <si>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</si>
  <si>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</si>
  <si>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</si>
  <si>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</si>
  <si>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</si>
  <si>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</si>
  <si>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</si>
  <si>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</si>
  <si>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</si>
  <si>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</si>
  <si>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</si>
  <si>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</si>
  <si>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</si>
  <si>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</si>
  <si>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</si>
  <si>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</si>
  <si>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</si>
  <si>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</si>
  <si>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</si>
  <si>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</si>
  <si>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</si>
  <si>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</si>
  <si>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</si>
  <si>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</si>
  <si>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</si>
  <si>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</si>
  <si>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</si>
  <si>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</si>
  <si>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</si>
  <si>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</si>
  <si>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</si>
  <si>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</si>
  <si>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</si>
  <si>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</si>
  <si>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</si>
  <si>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</si>
  <si>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</si>
  <si>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</si>
  <si>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</si>
  <si>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</si>
  <si>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</si>
  <si>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</si>
  <si>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</si>
  <si>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</si>
  <si>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</si>
  <si>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</si>
  <si>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</si>
  <si>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</si>
  <si>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</si>
  <si>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</si>
  <si>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</si>
  <si>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</si>
  <si>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</si>
  <si>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</si>
  <si>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</si>
  <si>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</si>
  <si>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</si>
  <si>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</si>
  <si>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</si>
  <si>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</si>
  <si>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</si>
  <si>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</si>
  <si>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</si>
  <si>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</si>
  <si>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</si>
  <si>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</si>
  <si>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</si>
  <si>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</si>
  <si>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</si>
  <si>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</si>
  <si>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</si>
  <si>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</si>
  <si>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</si>
  <si>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</si>
  <si>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</si>
  <si>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</si>
  <si>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</si>
  <si>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</si>
  <si>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</si>
  <si>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</si>
  <si>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</si>
  <si>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</si>
  <si>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</si>
  <si>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</si>
  <si>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</si>
  <si>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</si>
  <si>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April 28,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</si>
</sst>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4" borderId="9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35</xdr:row>
          <xdr:rowOff>133350</xdr:rowOff>
        </xdr:from>
        <xdr:to>
          <xdr:col>4</xdr:col>
          <xdr:colOff>123825</xdr:colOff>
          <xdr:row>37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35</xdr:row>
          <xdr:rowOff>133350</xdr:rowOff>
        </xdr:from>
        <xdr:to>
          <xdr:col>5</xdr:col>
          <xdr:colOff>428625</xdr:colOff>
          <xdr:row>37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35</xdr:row>
          <xdr:rowOff>133350</xdr:rowOff>
        </xdr:from>
        <xdr:to>
          <xdr:col>7</xdr:col>
          <xdr:colOff>47625</xdr:colOff>
          <xdr:row>37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5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6547</v>
      </c>
    </row>
    <row r="2" spans="1:5" x14ac:dyDescent="0.25">
      <c r="A2" s="155" t="s">
        <v>858</v>
      </c>
    </row>
    <row r="3" spans="1:5" x14ac:dyDescent="0.25">
      <c r="A3" s="155" t="s">
        <v>5701</v>
      </c>
    </row>
    <row r="4" spans="1:5" x14ac:dyDescent="0.25">
      <c r="A4" s="155" t="s">
        <v>5703</v>
      </c>
    </row>
    <row r="5" spans="1:5" x14ac:dyDescent="0.25">
      <c r="A5" s="155" t="s">
        <v>936</v>
      </c>
      <c r="B5" s="156" t="s">
        <v>935</v>
      </c>
    </row>
    <row r="6" spans="1:5" x14ac:dyDescent="0.25">
      <c r="A6" s="155" t="s">
        <v>974</v>
      </c>
      <c r="B6" s="156" t="s">
        <v>975</v>
      </c>
    </row>
    <row r="7" spans="1:5" x14ac:dyDescent="0.25">
      <c r="A7" s="155" t="s">
        <v>979</v>
      </c>
      <c r="B7" s="156" t="s">
        <v>980</v>
      </c>
    </row>
    <row r="9" spans="1:5" x14ac:dyDescent="0.25">
      <c r="A9" s="157" t="s">
        <v>1069</v>
      </c>
      <c r="B9" s="161" t="s">
        <v>1778</v>
      </c>
      <c r="D9" s="157" t="s">
        <v>1734</v>
      </c>
      <c r="E9" s="230" t="s">
        <v>6391</v>
      </c>
    </row>
    <row r="10" spans="1:5" x14ac:dyDescent="0.25">
      <c r="A10" s="158" t="s">
        <v>859</v>
      </c>
      <c r="B10" s="159" t="s">
        <v>1843</v>
      </c>
      <c r="D10" s="158" t="s">
        <v>851</v>
      </c>
      <c r="E10" s="159">
        <v>220000</v>
      </c>
    </row>
    <row r="11" spans="1:5" x14ac:dyDescent="0.25">
      <c r="A11" s="158" t="s">
        <v>850</v>
      </c>
      <c r="B11" s="159" t="s">
        <v>976</v>
      </c>
      <c r="D11" s="158" t="s">
        <v>852</v>
      </c>
      <c r="E11" s="159" t="b">
        <v>1</v>
      </c>
    </row>
    <row r="12" spans="1:5" x14ac:dyDescent="0.25">
      <c r="A12" s="158" t="s">
        <v>1735</v>
      </c>
      <c r="B12" s="159">
        <v>8</v>
      </c>
      <c r="D12" s="158" t="s">
        <v>853</v>
      </c>
      <c r="E12" s="159" t="b">
        <v>1</v>
      </c>
    </row>
    <row r="14" spans="1:5" ht="18.75" x14ac:dyDescent="0.3">
      <c r="A14" s="162" t="s">
        <v>1067</v>
      </c>
      <c r="B14" s="163"/>
    </row>
    <row r="15" spans="1:5" outlineLevel="1" x14ac:dyDescent="0.25">
      <c r="A15" s="160"/>
      <c r="B15" s="163"/>
    </row>
    <row r="16" spans="1:5" outlineLevel="1" x14ac:dyDescent="0.25">
      <c r="A16" s="160" t="s">
        <v>981</v>
      </c>
      <c r="B16" s="253" t="s">
        <v>6440</v>
      </c>
      <c r="C16" s="254"/>
    </row>
    <row r="17" spans="1:29" outlineLevel="1" x14ac:dyDescent="0.25">
      <c r="A17" s="160"/>
      <c r="B17" s="163"/>
    </row>
    <row r="18" spans="1:29" outlineLevel="1" x14ac:dyDescent="0.25">
      <c r="A18" s="164" t="s">
        <v>6531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6532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outlineLevel="1" x14ac:dyDescent="0.25">
      <c r="A19" s="165"/>
      <c r="B19" s="166" t="s">
        <v>573</v>
      </c>
      <c r="C19" s="166"/>
      <c r="D19" s="166"/>
      <c r="E19" s="166"/>
      <c r="F19" s="166"/>
      <c r="G19" s="166"/>
      <c r="H19" s="166"/>
      <c r="I19" s="166"/>
      <c r="J19" s="167"/>
      <c r="L19" s="168" t="s">
        <v>705</v>
      </c>
      <c r="M19" s="166"/>
      <c r="N19" s="166"/>
      <c r="O19" s="167"/>
      <c r="P19" s="166" t="s">
        <v>706</v>
      </c>
      <c r="Q19" s="166"/>
      <c r="R19" s="166"/>
      <c r="S19" s="167"/>
      <c r="T19" s="166" t="s">
        <v>707</v>
      </c>
      <c r="U19" s="166"/>
      <c r="V19" s="166"/>
      <c r="W19" s="167"/>
      <c r="Y19" s="168" t="s">
        <v>971</v>
      </c>
      <c r="Z19" s="166"/>
      <c r="AA19" s="166"/>
      <c r="AB19" s="167"/>
      <c r="AC19" s="184" t="b">
        <v>1</v>
      </c>
    </row>
    <row r="20" spans="1:29" outlineLevel="1" x14ac:dyDescent="0.25">
      <c r="A20" s="169" t="s">
        <v>0</v>
      </c>
      <c r="B20" s="170" t="s">
        <v>1101</v>
      </c>
      <c r="C20" s="170" t="s">
        <v>1</v>
      </c>
      <c r="D20" s="170" t="s">
        <v>8</v>
      </c>
      <c r="E20" s="170" t="s">
        <v>18</v>
      </c>
      <c r="F20" s="170" t="s">
        <v>281</v>
      </c>
      <c r="G20" s="170" t="s">
        <v>58</v>
      </c>
      <c r="H20" s="170" t="s">
        <v>59</v>
      </c>
      <c r="I20" s="170" t="s">
        <v>269</v>
      </c>
      <c r="J20" s="171" t="s">
        <v>60</v>
      </c>
      <c r="L20" s="172" t="s">
        <v>703</v>
      </c>
      <c r="M20" s="170" t="s">
        <v>8</v>
      </c>
      <c r="N20" s="170" t="s">
        <v>18</v>
      </c>
      <c r="O20" s="171" t="s">
        <v>704</v>
      </c>
      <c r="P20" s="170" t="s">
        <v>703</v>
      </c>
      <c r="Q20" s="170" t="s">
        <v>8</v>
      </c>
      <c r="R20" s="170" t="s">
        <v>18</v>
      </c>
      <c r="S20" s="171" t="s">
        <v>704</v>
      </c>
      <c r="T20" s="170" t="s">
        <v>703</v>
      </c>
      <c r="U20" s="170" t="s">
        <v>8</v>
      </c>
      <c r="V20" s="170" t="s">
        <v>18</v>
      </c>
      <c r="W20" s="171" t="s">
        <v>704</v>
      </c>
      <c r="Y20" s="185" t="s">
        <v>973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outlineLevel="1" x14ac:dyDescent="0.25">
      <c r="A21" s="249">
        <v>1</v>
      </c>
      <c r="B21" s="173">
        <v>5</v>
      </c>
      <c r="C21" s="174" t="s">
        <v>2</v>
      </c>
      <c r="D21" s="175" t="s">
        <v>256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728</v>
      </c>
      <c r="Q21" s="178" t="s">
        <v>539</v>
      </c>
      <c r="R21" s="178">
        <v>10</v>
      </c>
      <c r="S21" s="179">
        <v>1</v>
      </c>
      <c r="T21" s="177" t="s">
        <v>702</v>
      </c>
      <c r="U21" s="178" t="s">
        <v>256</v>
      </c>
      <c r="V21" s="178">
        <v>10</v>
      </c>
      <c r="W21" s="179">
        <v>1</v>
      </c>
      <c r="Y21" s="177"/>
      <c r="Z21" s="178"/>
      <c r="AA21" s="178"/>
      <c r="AB21" s="178"/>
      <c r="AC21" s="223"/>
    </row>
    <row r="22" spans="1:29" outlineLevel="1" x14ac:dyDescent="0.25">
      <c r="A22" s="249">
        <v>2</v>
      </c>
      <c r="B22" s="177">
        <v>5</v>
      </c>
      <c r="C22" s="178" t="s">
        <v>6</v>
      </c>
      <c r="D22" s="180" t="s">
        <v>249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713</v>
      </c>
      <c r="M22" s="178" t="s">
        <v>523</v>
      </c>
      <c r="N22" s="178">
        <v>10</v>
      </c>
      <c r="O22" s="179">
        <v>1</v>
      </c>
      <c r="P22" s="177" t="s">
        <v>721</v>
      </c>
      <c r="Q22" s="178" t="s">
        <v>535</v>
      </c>
      <c r="R22" s="178">
        <v>10</v>
      </c>
      <c r="S22" s="179">
        <v>1</v>
      </c>
      <c r="T22" s="177" t="s">
        <v>702</v>
      </c>
      <c r="U22" s="178" t="s">
        <v>249</v>
      </c>
      <c r="V22" s="178">
        <v>10</v>
      </c>
      <c r="W22" s="179">
        <v>1</v>
      </c>
      <c r="Y22" s="177"/>
      <c r="Z22" s="178"/>
      <c r="AA22" s="178"/>
      <c r="AB22" s="178"/>
      <c r="AC22" s="223"/>
    </row>
    <row r="23" spans="1:29" outlineLevel="1" x14ac:dyDescent="0.25">
      <c r="A23" s="249">
        <v>3</v>
      </c>
      <c r="B23" s="177">
        <v>6</v>
      </c>
      <c r="C23" s="178" t="s">
        <v>3</v>
      </c>
      <c r="D23" s="180" t="s">
        <v>263</v>
      </c>
      <c r="E23" s="178">
        <v>110</v>
      </c>
      <c r="F23" s="178">
        <v>5</v>
      </c>
      <c r="G23" s="178">
        <v>10</v>
      </c>
      <c r="H23" s="178">
        <v>10</v>
      </c>
      <c r="I23" s="178">
        <v>2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3"/>
    </row>
    <row r="24" spans="1:29" outlineLevel="1" x14ac:dyDescent="0.25">
      <c r="A24" s="249">
        <v>4</v>
      </c>
      <c r="B24" s="177">
        <v>5</v>
      </c>
      <c r="C24" s="178" t="s">
        <v>3</v>
      </c>
      <c r="D24" s="180" t="s">
        <v>795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754</v>
      </c>
      <c r="M24" s="178" t="s">
        <v>554</v>
      </c>
      <c r="N24" s="178">
        <v>10</v>
      </c>
      <c r="O24" s="179">
        <v>1</v>
      </c>
      <c r="P24" s="177" t="s">
        <v>9</v>
      </c>
      <c r="Q24" s="178" t="s">
        <v>560</v>
      </c>
      <c r="R24" s="178">
        <v>10</v>
      </c>
      <c r="S24" s="179">
        <v>1</v>
      </c>
      <c r="T24" s="177" t="s">
        <v>733</v>
      </c>
      <c r="U24" s="178" t="s">
        <v>543</v>
      </c>
      <c r="V24" s="178">
        <v>10</v>
      </c>
      <c r="W24" s="179">
        <v>1</v>
      </c>
      <c r="Y24" s="177"/>
      <c r="Z24" s="178"/>
      <c r="AA24" s="178"/>
      <c r="AB24" s="178"/>
      <c r="AC24" s="223"/>
    </row>
    <row r="25" spans="1:29" outlineLevel="1" x14ac:dyDescent="0.25">
      <c r="A25" s="169">
        <v>5</v>
      </c>
      <c r="B25" s="181">
        <v>5</v>
      </c>
      <c r="C25" s="182" t="s">
        <v>3</v>
      </c>
      <c r="D25" s="159" t="s">
        <v>740</v>
      </c>
      <c r="E25" s="182">
        <v>110</v>
      </c>
      <c r="F25" s="182">
        <v>5</v>
      </c>
      <c r="G25" s="182">
        <v>10</v>
      </c>
      <c r="H25" s="182">
        <v>10</v>
      </c>
      <c r="I25" s="182">
        <v>2</v>
      </c>
      <c r="J25" s="159">
        <v>100</v>
      </c>
      <c r="K25" s="176"/>
      <c r="L25" s="181" t="s">
        <v>702</v>
      </c>
      <c r="M25" s="182" t="s">
        <v>67</v>
      </c>
      <c r="N25" s="182">
        <v>10</v>
      </c>
      <c r="O25" s="183">
        <v>1</v>
      </c>
      <c r="P25" s="181" t="s">
        <v>9</v>
      </c>
      <c r="Q25" s="182" t="s">
        <v>560</v>
      </c>
      <c r="R25" s="182">
        <v>10</v>
      </c>
      <c r="S25" s="183">
        <v>1</v>
      </c>
      <c r="T25" s="181" t="s">
        <v>733</v>
      </c>
      <c r="U25" s="182" t="s">
        <v>543</v>
      </c>
      <c r="V25" s="182">
        <v>10</v>
      </c>
      <c r="W25" s="183">
        <v>1</v>
      </c>
      <c r="Y25" s="181"/>
      <c r="Z25" s="182"/>
      <c r="AA25" s="182"/>
      <c r="AB25" s="182"/>
      <c r="AC25" s="224"/>
    </row>
    <row r="26" spans="1:29" outlineLevel="1" x14ac:dyDescent="0.25"/>
    <row r="27" spans="1:29" outlineLevel="1" x14ac:dyDescent="0.25">
      <c r="A27" s="164" t="s">
        <v>958</v>
      </c>
      <c r="B27" s="164"/>
      <c r="C27" s="164"/>
      <c r="D27" s="164"/>
      <c r="E27" s="164"/>
      <c r="F27" s="164"/>
      <c r="H27" s="164" t="s">
        <v>959</v>
      </c>
      <c r="I27" s="164"/>
      <c r="J27" s="164"/>
      <c r="L27" s="160" t="s">
        <v>6534</v>
      </c>
    </row>
    <row r="28" spans="1:29" outlineLevel="1" x14ac:dyDescent="0.25">
      <c r="A28" s="165"/>
      <c r="B28" s="168" t="s">
        <v>764</v>
      </c>
      <c r="C28" s="166"/>
      <c r="D28" s="166"/>
      <c r="E28" s="166"/>
      <c r="F28" s="167"/>
      <c r="H28" s="161">
        <v>2</v>
      </c>
      <c r="I28" s="161"/>
      <c r="J28" s="161"/>
      <c r="L28" s="207" t="str">
        <f>IF($C21="","",IF(OR($C21="HG",$C21="SMG"),"SPP",IF($C21="SG","ITI","VFL")))</f>
        <v>VFL</v>
      </c>
      <c r="M28" s="244" t="str">
        <f>IF($C21="","",IF(OR($C21="HG",$C21="SMG"),"SPP5",IF($C21="SG","ITI5","VFL5")))</f>
        <v>VFL5</v>
      </c>
      <c r="N28" s="244">
        <v>10</v>
      </c>
      <c r="O28" s="245">
        <v>1</v>
      </c>
      <c r="P28" s="207" t="str">
        <f>IF($C21="","",IF(OR($C21="HG",$C21="SMG"),"HP",IF($C21="AR","HV",IF($C21="RF","AP","New"))))</f>
        <v>HV</v>
      </c>
      <c r="Q28" s="244" t="str">
        <f>IF($C21="","",IF(OR($C21="HG",$C21="SMG"),"HP5",IF($C21="AR","HV5",IF($C21="RF","AP5",IF($C21="SG","Flashbang","SLAP5")))))</f>
        <v>HV5</v>
      </c>
      <c r="R28" s="244">
        <v>10</v>
      </c>
      <c r="S28" s="245">
        <v>1</v>
      </c>
      <c r="T28" s="207" t="str">
        <f>IF($C21="","",IF(OR($C21="HG",$C21="SMG"),"Exo",IF($C21="RF","Cape",IF($C21="SG","Armor",IF($C21="MG","Ammo","New")))))</f>
        <v>New</v>
      </c>
      <c r="U28" s="244" t="str">
        <f>IF($C21="","",IF(OR($C21="HG",$C21="SMG"),"TExo5",IF($C21="RF","Cape5",IF($C21="SG","Armor5",IF($C21="MG","Ammo5","Chip5")))))</f>
        <v>Chip5</v>
      </c>
      <c r="V28" s="244">
        <v>10</v>
      </c>
      <c r="W28" s="245">
        <v>1</v>
      </c>
    </row>
    <row r="29" spans="1:29" outlineLevel="1" x14ac:dyDescent="0.25">
      <c r="A29" s="169" t="s">
        <v>768</v>
      </c>
      <c r="B29" s="172" t="s">
        <v>8</v>
      </c>
      <c r="C29" s="170" t="s">
        <v>1101</v>
      </c>
      <c r="D29" s="170" t="s">
        <v>18</v>
      </c>
      <c r="E29" s="170" t="s">
        <v>769</v>
      </c>
      <c r="F29" s="171" t="s">
        <v>580</v>
      </c>
      <c r="H29" s="161">
        <v>5</v>
      </c>
      <c r="I29" s="161">
        <v>3</v>
      </c>
      <c r="J29" s="161"/>
      <c r="L29" s="205" t="str">
        <f t="shared" ref="L29:L32" si="0">IF($C22="","",IF(OR($C22="HG",$C22="SMG"),"SPP",IF($C22="SG","ITI","VFL")))</f>
        <v>VFL</v>
      </c>
      <c r="M29" s="242" t="str">
        <f t="shared" ref="M29:M32" si="1">IF($C22="","",IF(OR($C22="HG",$C22="SMG"),"SPP5",IF($C22="SG","ITI5","VFL5")))</f>
        <v>VFL5</v>
      </c>
      <c r="N29" s="242">
        <v>10</v>
      </c>
      <c r="O29" s="246">
        <v>1</v>
      </c>
      <c r="P29" s="205" t="str">
        <f t="shared" ref="P29:P32" si="2">IF($C22="","",IF(OR($C22="HG",$C22="SMG"),"HP",IF($C22="AR","HV",IF($C22="RF","AP","New"))))</f>
        <v>AP</v>
      </c>
      <c r="Q29" s="242" t="str">
        <f t="shared" ref="Q29:Q32" si="3">IF($C22="","",IF(OR($C22="HG",$C22="SMG"),"HP5",IF($C22="AR","HV5",IF($C22="RF","AP5",IF($C22="SG","Flashbang","SLAP5")))))</f>
        <v>AP5</v>
      </c>
      <c r="R29" s="242">
        <v>10</v>
      </c>
      <c r="S29" s="246">
        <v>1</v>
      </c>
      <c r="T29" s="205" t="str">
        <f t="shared" ref="T29:T32" si="4">IF($C22="","",IF(OR($C22="HG",$C22="SMG"),"Exo",IF($C22="RF","Cape",IF($C22="SG","Armor",IF($C22="MG","Ammo","New")))))</f>
        <v>Cape</v>
      </c>
      <c r="U29" s="242" t="str">
        <f t="shared" ref="U29:U32" si="5">IF($C22="","",IF(OR($C22="HG",$C22="SMG"),"TExo5",IF($C22="RF","Cape5",IF($C22="SG","Armor5",IF($C22="MG","Ammo5","Chip5")))))</f>
        <v>Cape5</v>
      </c>
      <c r="V29" s="242">
        <v>10</v>
      </c>
      <c r="W29" s="246">
        <v>1</v>
      </c>
    </row>
    <row r="30" spans="1:29" outlineLevel="1" x14ac:dyDescent="0.25">
      <c r="A30" s="169">
        <v>1</v>
      </c>
      <c r="B30" s="181" t="s">
        <v>641</v>
      </c>
      <c r="C30" s="182">
        <v>5</v>
      </c>
      <c r="D30" s="182">
        <v>100</v>
      </c>
      <c r="E30" s="182">
        <v>10</v>
      </c>
      <c r="F30" s="159" t="s">
        <v>698</v>
      </c>
      <c r="H30" s="161">
        <v>1</v>
      </c>
      <c r="I30" s="161">
        <v>4</v>
      </c>
      <c r="J30" s="161"/>
      <c r="L30" s="205" t="str">
        <f t="shared" si="0"/>
        <v>SPP</v>
      </c>
      <c r="M30" s="242" t="str">
        <f t="shared" si="1"/>
        <v>SPP5</v>
      </c>
      <c r="N30" s="242">
        <v>10</v>
      </c>
      <c r="O30" s="246">
        <v>1</v>
      </c>
      <c r="P30" s="205" t="str">
        <f t="shared" si="2"/>
        <v>HP</v>
      </c>
      <c r="Q30" s="242" t="str">
        <f t="shared" si="3"/>
        <v>HP5</v>
      </c>
      <c r="R30" s="242">
        <v>10</v>
      </c>
      <c r="S30" s="246">
        <v>1</v>
      </c>
      <c r="T30" s="205" t="str">
        <f t="shared" si="4"/>
        <v>Exo</v>
      </c>
      <c r="U30" s="242" t="str">
        <f t="shared" si="5"/>
        <v>TExo5</v>
      </c>
      <c r="V30" s="242">
        <v>10</v>
      </c>
      <c r="W30" s="246">
        <v>1</v>
      </c>
    </row>
    <row r="31" spans="1:29" outlineLevel="1" x14ac:dyDescent="0.25">
      <c r="L31" s="205" t="str">
        <f t="shared" si="0"/>
        <v>SPP</v>
      </c>
      <c r="M31" s="242" t="str">
        <f t="shared" si="1"/>
        <v>SPP5</v>
      </c>
      <c r="N31" s="242">
        <v>10</v>
      </c>
      <c r="O31" s="246">
        <v>1</v>
      </c>
      <c r="P31" s="205" t="str">
        <f t="shared" si="2"/>
        <v>HP</v>
      </c>
      <c r="Q31" s="242" t="str">
        <f t="shared" si="3"/>
        <v>HP5</v>
      </c>
      <c r="R31" s="242">
        <v>10</v>
      </c>
      <c r="S31" s="246">
        <v>1</v>
      </c>
      <c r="T31" s="205" t="str">
        <f t="shared" si="4"/>
        <v>Exo</v>
      </c>
      <c r="U31" s="242" t="str">
        <f t="shared" si="5"/>
        <v>TExo5</v>
      </c>
      <c r="V31" s="242">
        <v>10</v>
      </c>
      <c r="W31" s="246">
        <v>1</v>
      </c>
    </row>
    <row r="32" spans="1:29" outlineLevel="1" x14ac:dyDescent="0.25">
      <c r="L32" s="206" t="str">
        <f t="shared" si="0"/>
        <v>SPP</v>
      </c>
      <c r="M32" s="247" t="str">
        <f t="shared" si="1"/>
        <v>SPP5</v>
      </c>
      <c r="N32" s="247">
        <v>10</v>
      </c>
      <c r="O32" s="248">
        <v>1</v>
      </c>
      <c r="P32" s="206" t="str">
        <f t="shared" si="2"/>
        <v>HP</v>
      </c>
      <c r="Q32" s="247" t="str">
        <f t="shared" si="3"/>
        <v>HP5</v>
      </c>
      <c r="R32" s="247">
        <v>10</v>
      </c>
      <c r="S32" s="248">
        <v>1</v>
      </c>
      <c r="T32" s="206" t="str">
        <f t="shared" si="4"/>
        <v>Exo</v>
      </c>
      <c r="U32" s="247" t="str">
        <f t="shared" si="5"/>
        <v>TExo5</v>
      </c>
      <c r="V32" s="247">
        <v>10</v>
      </c>
      <c r="W32" s="248">
        <v>1</v>
      </c>
    </row>
    <row r="33" spans="1:21" outlineLevel="1" x14ac:dyDescent="0.25"/>
    <row r="35" spans="1:21" ht="18.75" x14ac:dyDescent="0.3">
      <c r="A35" s="188" t="s">
        <v>1068</v>
      </c>
      <c r="B35" s="188"/>
      <c r="C35" s="188"/>
      <c r="D35" s="188"/>
      <c r="E35" s="188"/>
      <c r="F35" s="188"/>
      <c r="G35" s="188"/>
      <c r="H35" s="188"/>
      <c r="I35" s="188"/>
      <c r="J35" s="188"/>
    </row>
    <row r="36" spans="1:21" outlineLevel="1" x14ac:dyDescent="0.25">
      <c r="A36" s="160"/>
      <c r="B36" s="163"/>
    </row>
    <row r="37" spans="1:21" outlineLevel="1" x14ac:dyDescent="0.25">
      <c r="A37" s="160" t="s">
        <v>981</v>
      </c>
      <c r="B37" s="253" t="s">
        <v>6441</v>
      </c>
      <c r="C37" s="254"/>
    </row>
    <row r="38" spans="1:21" outlineLevel="1" x14ac:dyDescent="0.25">
      <c r="A38" s="160"/>
      <c r="B38" s="163"/>
    </row>
    <row r="39" spans="1:21" s="189" customFormat="1" ht="15" customHeight="1" outlineLevel="1" x14ac:dyDescent="0.3">
      <c r="A39" s="211" t="s">
        <v>1140</v>
      </c>
      <c r="B39" s="188"/>
      <c r="C39" s="188"/>
      <c r="D39" s="188"/>
      <c r="E39" s="188"/>
      <c r="F39" s="188"/>
      <c r="G39" s="188"/>
      <c r="H39" s="188"/>
      <c r="I39" s="210"/>
      <c r="J39" s="210"/>
      <c r="K39" s="210"/>
      <c r="L39" s="188"/>
      <c r="M39" s="188"/>
    </row>
    <row r="40" spans="1:21" outlineLevel="1" x14ac:dyDescent="0.25">
      <c r="A40" s="190"/>
      <c r="B40" s="168" t="s">
        <v>1064</v>
      </c>
      <c r="C40" s="166"/>
      <c r="D40" s="166"/>
      <c r="E40" s="166"/>
      <c r="F40" s="166"/>
      <c r="G40" s="166"/>
      <c r="H40" s="166"/>
      <c r="I40" s="168" t="s">
        <v>769</v>
      </c>
      <c r="J40" s="166"/>
      <c r="K40" s="166"/>
      <c r="L40" s="167"/>
      <c r="M40" s="168" t="s">
        <v>1058</v>
      </c>
      <c r="N40" s="167"/>
      <c r="O40" s="191" t="s">
        <v>5736</v>
      </c>
      <c r="Q40" s="191" t="s">
        <v>1137</v>
      </c>
    </row>
    <row r="41" spans="1:21" outlineLevel="1" x14ac:dyDescent="0.25">
      <c r="A41" s="169" t="s">
        <v>1057</v>
      </c>
      <c r="B41" s="170" t="s">
        <v>1100</v>
      </c>
      <c r="C41" s="210" t="s">
        <v>8</v>
      </c>
      <c r="D41" s="210" t="s">
        <v>18</v>
      </c>
      <c r="E41" s="210" t="s">
        <v>1800</v>
      </c>
      <c r="F41" s="210" t="s">
        <v>1799</v>
      </c>
      <c r="G41" s="210" t="s">
        <v>1061</v>
      </c>
      <c r="H41" s="210" t="s">
        <v>60</v>
      </c>
      <c r="I41" s="172">
        <v>1</v>
      </c>
      <c r="J41" s="170">
        <v>2</v>
      </c>
      <c r="K41" s="170">
        <v>3</v>
      </c>
      <c r="L41" s="171">
        <v>4</v>
      </c>
      <c r="M41" s="172">
        <v>1</v>
      </c>
      <c r="N41" s="171">
        <v>2</v>
      </c>
      <c r="O41" s="169">
        <f>SUM(O42:O50)</f>
        <v>36</v>
      </c>
      <c r="Q41" s="161" t="b">
        <v>1</v>
      </c>
    </row>
    <row r="42" spans="1:21" outlineLevel="1" x14ac:dyDescent="0.25">
      <c r="A42" s="191">
        <v>1</v>
      </c>
      <c r="B42" s="207">
        <f>IFERROR(4-INDEX('SF Data'!J:J,MATCH(C42,'SF Data'!C:C,0)),"")</f>
        <v>3</v>
      </c>
      <c r="C42" s="173" t="s">
        <v>1003</v>
      </c>
      <c r="D42" s="174">
        <v>90</v>
      </c>
      <c r="E42" s="174">
        <v>5</v>
      </c>
      <c r="F42" s="174">
        <v>0</v>
      </c>
      <c r="G42" s="174"/>
      <c r="H42" s="175">
        <v>100</v>
      </c>
      <c r="I42" s="178">
        <v>10</v>
      </c>
      <c r="J42" s="178">
        <v>10</v>
      </c>
      <c r="K42" s="178">
        <v>5</v>
      </c>
      <c r="L42" s="180">
        <v>5</v>
      </c>
      <c r="M42" s="177" t="s">
        <v>1110</v>
      </c>
      <c r="N42" s="180" t="s">
        <v>1113</v>
      </c>
      <c r="O42" s="208">
        <f>IF(B42="","",INDEX('SF Data'!$O:$O,MATCH(C42,'SF Data'!$C:$C,0)))</f>
        <v>10</v>
      </c>
      <c r="Q42" s="192"/>
      <c r="S42" s="164" t="s">
        <v>1129</v>
      </c>
      <c r="T42" s="164"/>
      <c r="U42" s="164"/>
    </row>
    <row r="43" spans="1:21" outlineLevel="1" x14ac:dyDescent="0.25">
      <c r="A43" s="249">
        <v>2</v>
      </c>
      <c r="B43" s="205">
        <f>IFERROR(4-INDEX('SF Data'!J:J,MATCH(C43,'SF Data'!C:C,0)),"")</f>
        <v>2</v>
      </c>
      <c r="C43" s="177" t="s">
        <v>1019</v>
      </c>
      <c r="D43" s="178">
        <v>90</v>
      </c>
      <c r="E43" s="178">
        <v>5</v>
      </c>
      <c r="F43" s="178">
        <v>4</v>
      </c>
      <c r="G43" s="178" t="s">
        <v>1076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8">
        <f>IF(B43="","",INDEX('SF Data'!$O:$O,MATCH(C43,'SF Data'!$C:$C,0)))</f>
        <v>10</v>
      </c>
      <c r="Q43" s="192"/>
      <c r="S43" s="161">
        <v>3</v>
      </c>
      <c r="T43" s="161">
        <v>2</v>
      </c>
      <c r="U43" s="161"/>
    </row>
    <row r="44" spans="1:21" outlineLevel="1" x14ac:dyDescent="0.25">
      <c r="A44" s="249">
        <v>3</v>
      </c>
      <c r="B44" s="205">
        <f>IFERROR(4-INDEX('SF Data'!J:J,MATCH(C44,'SF Data'!C:C,0)),"")</f>
        <v>2</v>
      </c>
      <c r="C44" s="177" t="s">
        <v>1015</v>
      </c>
      <c r="D44" s="178">
        <v>90</v>
      </c>
      <c r="E44" s="178">
        <v>5</v>
      </c>
      <c r="F44" s="178">
        <v>4</v>
      </c>
      <c r="G44" s="178" t="s">
        <v>1076</v>
      </c>
      <c r="H44" s="180">
        <v>100</v>
      </c>
      <c r="I44" s="178">
        <v>5</v>
      </c>
      <c r="J44" s="178">
        <v>5</v>
      </c>
      <c r="K44" s="178"/>
      <c r="L44" s="180"/>
      <c r="M44" s="177"/>
      <c r="N44" s="180"/>
      <c r="O44" s="208">
        <f>IF(B44="","",INDEX('SF Data'!$O:$O,MATCH(C44,'SF Data'!$C:$C,0)))</f>
        <v>6</v>
      </c>
      <c r="Q44" s="192"/>
      <c r="S44" s="161">
        <v>4</v>
      </c>
      <c r="T44" s="161">
        <v>1</v>
      </c>
      <c r="U44" s="161"/>
    </row>
    <row r="45" spans="1:21" outlineLevel="1" x14ac:dyDescent="0.25">
      <c r="A45" s="249">
        <v>4</v>
      </c>
      <c r="B45" s="205">
        <f>IFERROR(4-INDEX('SF Data'!J:J,MATCH(C45,'SF Data'!C:C,0)),"")</f>
        <v>2</v>
      </c>
      <c r="C45" s="177" t="s">
        <v>1015</v>
      </c>
      <c r="D45" s="178">
        <v>90</v>
      </c>
      <c r="E45" s="178">
        <v>5</v>
      </c>
      <c r="F45" s="178">
        <v>4</v>
      </c>
      <c r="G45" s="178" t="s">
        <v>1076</v>
      </c>
      <c r="H45" s="180">
        <v>100</v>
      </c>
      <c r="I45" s="178">
        <v>5</v>
      </c>
      <c r="J45" s="178">
        <v>5</v>
      </c>
      <c r="K45" s="178"/>
      <c r="L45" s="180"/>
      <c r="M45" s="177"/>
      <c r="N45" s="180"/>
      <c r="O45" s="208">
        <f>IF(B45="","",INDEX('SF Data'!$O:$O,MATCH(C45,'SF Data'!$C:$C,0)))</f>
        <v>6</v>
      </c>
      <c r="Q45" s="192"/>
      <c r="S45" s="161">
        <v>5</v>
      </c>
      <c r="T45" s="161"/>
      <c r="U45" s="161"/>
    </row>
    <row r="46" spans="1:21" outlineLevel="1" x14ac:dyDescent="0.25">
      <c r="A46" s="249">
        <v>5</v>
      </c>
      <c r="B46" s="205">
        <f>IFERROR(4-INDEX('SF Data'!J:J,MATCH(C46,'SF Data'!C:C,0)),"")</f>
        <v>1</v>
      </c>
      <c r="C46" s="177" t="s">
        <v>1036</v>
      </c>
      <c r="D46" s="178">
        <v>90</v>
      </c>
      <c r="E46" s="178">
        <v>5</v>
      </c>
      <c r="F46" s="178">
        <v>4</v>
      </c>
      <c r="G46" s="178" t="s">
        <v>1060</v>
      </c>
      <c r="H46" s="180">
        <v>100</v>
      </c>
      <c r="I46" s="178">
        <v>5</v>
      </c>
      <c r="J46" s="178"/>
      <c r="K46" s="178"/>
      <c r="L46" s="180"/>
      <c r="M46" s="177"/>
      <c r="N46" s="180"/>
      <c r="O46" s="208">
        <f>IF(B46="","",INDEX('SF Data'!$O:$O,MATCH(C46,'SF Data'!$C:$C,0)))</f>
        <v>4</v>
      </c>
      <c r="Q46" s="192"/>
    </row>
    <row r="47" spans="1:21" outlineLevel="1" x14ac:dyDescent="0.25">
      <c r="A47" s="249">
        <v>6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8" t="str">
        <f>IF(B47="","",INDEX('SF Data'!$O:$O,MATCH(C47,'SF Data'!$C:$C,0)))</f>
        <v/>
      </c>
      <c r="Q47" s="192"/>
    </row>
    <row r="48" spans="1:21" outlineLevel="1" x14ac:dyDescent="0.25">
      <c r="A48" s="249">
        <v>7</v>
      </c>
      <c r="B48" s="205" t="str">
        <f>IFERROR(4-INDEX('SF Data'!J:J,MATCH(C48,'SF Data'!C:C,0)),"")</f>
        <v/>
      </c>
      <c r="C48" s="177"/>
      <c r="D48" s="178"/>
      <c r="E48" s="178"/>
      <c r="F48" s="178"/>
      <c r="G48" s="178"/>
      <c r="H48" s="180"/>
      <c r="I48" s="178"/>
      <c r="J48" s="178"/>
      <c r="K48" s="178"/>
      <c r="L48" s="180"/>
      <c r="M48" s="177"/>
      <c r="N48" s="180"/>
      <c r="O48" s="208" t="str">
        <f>IF(B48="","",INDEX('SF Data'!$O:$O,MATCH(C48,'SF Data'!$C:$C,0)))</f>
        <v/>
      </c>
      <c r="Q48" s="192"/>
    </row>
    <row r="49" spans="1:17" outlineLevel="1" x14ac:dyDescent="0.25">
      <c r="A49" s="249">
        <v>8</v>
      </c>
      <c r="B49" s="205" t="str">
        <f>IFERROR(4-INDEX('SF Data'!J:J,MATCH(C49,'SF Data'!C:C,0)),"")</f>
        <v/>
      </c>
      <c r="C49" s="177"/>
      <c r="D49" s="178"/>
      <c r="E49" s="178"/>
      <c r="F49" s="178"/>
      <c r="G49" s="178"/>
      <c r="H49" s="180"/>
      <c r="I49" s="178"/>
      <c r="J49" s="178"/>
      <c r="K49" s="178"/>
      <c r="L49" s="180"/>
      <c r="M49" s="177"/>
      <c r="N49" s="180"/>
      <c r="O49" s="208" t="str">
        <f>IF(B49="","",INDEX('SF Data'!$O:$O,MATCH(C49,'SF Data'!$C:$C,0)))</f>
        <v/>
      </c>
      <c r="Q49" s="192"/>
    </row>
    <row r="50" spans="1:17" outlineLevel="1" x14ac:dyDescent="0.25">
      <c r="A50" s="169">
        <v>9</v>
      </c>
      <c r="B50" s="206" t="str">
        <f>IFERROR(4-INDEX('SF Data'!J:J,MATCH(C50,'SF Data'!C:C,0)),"")</f>
        <v/>
      </c>
      <c r="C50" s="181"/>
      <c r="D50" s="182"/>
      <c r="E50" s="182"/>
      <c r="F50" s="182"/>
      <c r="G50" s="182"/>
      <c r="H50" s="159"/>
      <c r="I50" s="182"/>
      <c r="J50" s="182"/>
      <c r="K50" s="182"/>
      <c r="L50" s="159"/>
      <c r="M50" s="181"/>
      <c r="N50" s="159"/>
      <c r="O50" s="209" t="str">
        <f>IF(B50="","",INDEX('SF Data'!$O:$O,MATCH(C50,'SF Data'!$C:$C,0)))</f>
        <v/>
      </c>
      <c r="Q50" s="193"/>
    </row>
    <row r="51" spans="1:17" outlineLevel="1" x14ac:dyDescent="0.25"/>
    <row r="53" spans="1:17" ht="18.75" x14ac:dyDescent="0.3">
      <c r="A53" s="188" t="s">
        <v>1801</v>
      </c>
    </row>
    <row r="54" spans="1:17" outlineLevel="1" x14ac:dyDescent="0.25">
      <c r="A54" s="164" t="s">
        <v>1839</v>
      </c>
      <c r="B54" s="164"/>
      <c r="C54" s="164"/>
      <c r="D54" s="164"/>
      <c r="E54" s="164"/>
      <c r="F54" s="164"/>
      <c r="G54" s="164"/>
      <c r="H54" s="164"/>
      <c r="I54" s="164"/>
      <c r="J54" s="164"/>
    </row>
    <row r="55" spans="1:17" outlineLevel="1" x14ac:dyDescent="0.25">
      <c r="A55" s="195"/>
      <c r="B55" s="196"/>
      <c r="C55" s="197"/>
      <c r="D55" s="168" t="s">
        <v>890</v>
      </c>
      <c r="E55" s="166"/>
      <c r="F55" s="166"/>
      <c r="G55" s="167"/>
      <c r="H55" s="168" t="s">
        <v>769</v>
      </c>
      <c r="I55" s="166"/>
      <c r="J55" s="167"/>
    </row>
    <row r="56" spans="1:17" outlineLevel="1" x14ac:dyDescent="0.25">
      <c r="A56" s="172" t="s">
        <v>857</v>
      </c>
      <c r="B56" s="172" t="s">
        <v>863</v>
      </c>
      <c r="C56" s="171" t="s">
        <v>8</v>
      </c>
      <c r="D56" s="170" t="s">
        <v>873</v>
      </c>
      <c r="E56" s="170" t="s">
        <v>872</v>
      </c>
      <c r="F56" s="170" t="s">
        <v>874</v>
      </c>
      <c r="G56" s="171" t="s">
        <v>875</v>
      </c>
      <c r="H56" s="170">
        <v>1</v>
      </c>
      <c r="I56" s="170">
        <v>2</v>
      </c>
      <c r="J56" s="171">
        <v>3</v>
      </c>
    </row>
    <row r="57" spans="1:17" outlineLevel="1" x14ac:dyDescent="0.25">
      <c r="A57" s="177"/>
      <c r="B57" s="243">
        <v>1</v>
      </c>
      <c r="C57" s="250" t="s">
        <v>864</v>
      </c>
      <c r="D57" s="178">
        <v>545</v>
      </c>
      <c r="E57" s="178">
        <v>890</v>
      </c>
      <c r="F57" s="178">
        <v>594</v>
      </c>
      <c r="G57" s="180">
        <v>153</v>
      </c>
      <c r="H57" s="178">
        <v>10</v>
      </c>
      <c r="I57" s="178">
        <v>10</v>
      </c>
      <c r="J57" s="180">
        <v>10</v>
      </c>
    </row>
    <row r="58" spans="1:17" outlineLevel="1" x14ac:dyDescent="0.25">
      <c r="A58" s="177"/>
      <c r="B58" s="243">
        <v>2</v>
      </c>
      <c r="C58" s="250" t="s">
        <v>865</v>
      </c>
      <c r="D58" s="178">
        <v>292</v>
      </c>
      <c r="E58" s="178">
        <v>336</v>
      </c>
      <c r="F58" s="178">
        <v>381</v>
      </c>
      <c r="G58" s="180">
        <v>744</v>
      </c>
      <c r="H58" s="178">
        <v>10</v>
      </c>
      <c r="I58" s="178">
        <v>10</v>
      </c>
      <c r="J58" s="180">
        <v>10</v>
      </c>
    </row>
    <row r="59" spans="1:17" outlineLevel="1" x14ac:dyDescent="0.25">
      <c r="A59" s="177"/>
      <c r="B59" s="243">
        <v>3</v>
      </c>
      <c r="C59" s="250" t="s">
        <v>866</v>
      </c>
      <c r="D59" s="178">
        <v>620</v>
      </c>
      <c r="E59" s="178">
        <v>121</v>
      </c>
      <c r="F59" s="178">
        <v>276</v>
      </c>
      <c r="G59" s="180">
        <v>306</v>
      </c>
      <c r="H59" s="178">
        <v>10</v>
      </c>
      <c r="I59" s="178">
        <v>10</v>
      </c>
      <c r="J59" s="180">
        <v>10</v>
      </c>
    </row>
    <row r="60" spans="1:17" outlineLevel="1" x14ac:dyDescent="0.25">
      <c r="A60" s="177"/>
      <c r="B60" s="243">
        <v>4</v>
      </c>
      <c r="C60" s="250" t="s">
        <v>867</v>
      </c>
      <c r="D60" s="178">
        <v>519</v>
      </c>
      <c r="E60" s="178">
        <v>138</v>
      </c>
      <c r="F60" s="178">
        <v>266</v>
      </c>
      <c r="G60" s="180">
        <v>401</v>
      </c>
      <c r="H60" s="178">
        <v>10</v>
      </c>
      <c r="I60" s="178">
        <v>10</v>
      </c>
      <c r="J60" s="180">
        <v>10</v>
      </c>
    </row>
    <row r="61" spans="1:17" outlineLevel="1" x14ac:dyDescent="0.25">
      <c r="A61" s="177"/>
      <c r="B61" s="243">
        <v>5</v>
      </c>
      <c r="C61" s="250" t="s">
        <v>868</v>
      </c>
      <c r="D61" s="178">
        <v>432</v>
      </c>
      <c r="E61" s="178">
        <v>631</v>
      </c>
      <c r="F61" s="178">
        <v>548</v>
      </c>
      <c r="G61" s="180">
        <v>249</v>
      </c>
      <c r="H61" s="178">
        <v>10</v>
      </c>
      <c r="I61" s="178">
        <v>10</v>
      </c>
      <c r="J61" s="180">
        <v>10</v>
      </c>
    </row>
    <row r="62" spans="1:17" outlineLevel="1" x14ac:dyDescent="0.25">
      <c r="A62" s="177"/>
      <c r="B62" s="243">
        <v>6</v>
      </c>
      <c r="C62" s="250" t="s">
        <v>869</v>
      </c>
      <c r="D62" s="178">
        <v>335</v>
      </c>
      <c r="E62" s="178">
        <v>325</v>
      </c>
      <c r="F62" s="178">
        <v>373</v>
      </c>
      <c r="G62" s="180">
        <v>640</v>
      </c>
      <c r="H62" s="178">
        <v>10</v>
      </c>
      <c r="I62" s="178">
        <v>10</v>
      </c>
      <c r="J62" s="180">
        <v>10</v>
      </c>
    </row>
    <row r="63" spans="1:17" outlineLevel="1" x14ac:dyDescent="0.25">
      <c r="A63" s="177"/>
      <c r="B63" s="243">
        <v>7</v>
      </c>
      <c r="C63" s="250" t="s">
        <v>870</v>
      </c>
      <c r="D63" s="178">
        <v>466</v>
      </c>
      <c r="E63" s="178">
        <v>617</v>
      </c>
      <c r="F63" s="178">
        <v>457</v>
      </c>
      <c r="G63" s="180">
        <v>222</v>
      </c>
      <c r="H63" s="178">
        <v>10</v>
      </c>
      <c r="I63" s="178">
        <v>10</v>
      </c>
      <c r="J63" s="180">
        <v>10</v>
      </c>
    </row>
    <row r="64" spans="1:17" outlineLevel="1" x14ac:dyDescent="0.25">
      <c r="A64" s="181"/>
      <c r="B64" s="172">
        <v>8</v>
      </c>
      <c r="C64" s="171" t="s">
        <v>1777</v>
      </c>
      <c r="D64" s="182">
        <v>368</v>
      </c>
      <c r="E64" s="182">
        <v>151</v>
      </c>
      <c r="F64" s="182">
        <v>378</v>
      </c>
      <c r="G64" s="159">
        <v>346</v>
      </c>
      <c r="H64" s="182">
        <v>10</v>
      </c>
      <c r="I64" s="182">
        <v>10</v>
      </c>
      <c r="J64" s="159">
        <v>10</v>
      </c>
    </row>
    <row r="65" spans="1:16" outlineLevel="1" x14ac:dyDescent="0.25"/>
    <row r="66" spans="1:16" outlineLevel="1" x14ac:dyDescent="0.25">
      <c r="A66" s="164" t="s">
        <v>1840</v>
      </c>
    </row>
    <row r="67" spans="1:16" s="189" customFormat="1" outlineLevel="1" x14ac:dyDescent="0.25">
      <c r="A67" s="165"/>
      <c r="B67" s="196"/>
      <c r="C67" s="251"/>
      <c r="D67" s="166" t="s">
        <v>1802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1058</v>
      </c>
      <c r="M67" s="167"/>
      <c r="N67" s="191" t="s">
        <v>1803</v>
      </c>
    </row>
    <row r="68" spans="1:16" s="189" customFormat="1" outlineLevel="1" x14ac:dyDescent="0.25">
      <c r="A68" s="169" t="s">
        <v>857</v>
      </c>
      <c r="B68" s="172" t="s">
        <v>1057</v>
      </c>
      <c r="C68" s="171" t="s">
        <v>8</v>
      </c>
      <c r="D68" s="170" t="s">
        <v>18</v>
      </c>
      <c r="E68" s="170" t="s">
        <v>1800</v>
      </c>
      <c r="F68" s="170" t="s">
        <v>1799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21" t="s">
        <v>1838</v>
      </c>
    </row>
    <row r="69" spans="1:16" outlineLevel="1" x14ac:dyDescent="0.25">
      <c r="A69" s="214"/>
      <c r="B69" s="243">
        <v>1</v>
      </c>
      <c r="C69" s="250" t="s">
        <v>1731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8">
        <v>100</v>
      </c>
      <c r="P69" s="226"/>
    </row>
    <row r="70" spans="1:16" outlineLevel="1" x14ac:dyDescent="0.25">
      <c r="A70" s="214"/>
      <c r="B70" s="243">
        <v>2</v>
      </c>
      <c r="C70" s="250" t="s">
        <v>1001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9">
        <v>102</v>
      </c>
    </row>
    <row r="71" spans="1:16" outlineLevel="1" x14ac:dyDescent="0.25">
      <c r="A71" s="214"/>
      <c r="B71" s="243">
        <v>3</v>
      </c>
      <c r="C71" s="250" t="s">
        <v>1004</v>
      </c>
      <c r="D71" s="178">
        <v>100</v>
      </c>
      <c r="E71" s="178">
        <v>5</v>
      </c>
      <c r="F71" s="178">
        <v>4</v>
      </c>
      <c r="G71" s="180">
        <v>100</v>
      </c>
      <c r="H71" s="178">
        <v>10</v>
      </c>
      <c r="I71" s="178">
        <v>10</v>
      </c>
      <c r="J71" s="178">
        <v>5</v>
      </c>
      <c r="K71" s="180">
        <v>5</v>
      </c>
      <c r="L71" s="178"/>
      <c r="M71" s="180"/>
      <c r="N71" s="219">
        <v>104</v>
      </c>
    </row>
    <row r="72" spans="1:16" outlineLevel="1" x14ac:dyDescent="0.25">
      <c r="A72" s="214"/>
      <c r="B72" s="243">
        <v>4</v>
      </c>
      <c r="C72" s="250" t="s">
        <v>1010</v>
      </c>
      <c r="D72" s="178">
        <v>100</v>
      </c>
      <c r="E72" s="178">
        <v>5</v>
      </c>
      <c r="F72" s="178">
        <v>4</v>
      </c>
      <c r="G72" s="180">
        <v>100</v>
      </c>
      <c r="H72" s="178">
        <v>10</v>
      </c>
      <c r="I72" s="178">
        <v>10</v>
      </c>
      <c r="J72" s="178">
        <v>5</v>
      </c>
      <c r="K72" s="180">
        <v>5</v>
      </c>
      <c r="L72" s="178"/>
      <c r="M72" s="180"/>
      <c r="N72" s="219">
        <v>105</v>
      </c>
    </row>
    <row r="73" spans="1:16" outlineLevel="1" x14ac:dyDescent="0.25">
      <c r="A73" s="204"/>
      <c r="B73" s="172">
        <v>5</v>
      </c>
      <c r="C73" s="171" t="s">
        <v>1009</v>
      </c>
      <c r="D73" s="182">
        <v>100</v>
      </c>
      <c r="E73" s="182">
        <v>5</v>
      </c>
      <c r="F73" s="182">
        <v>4</v>
      </c>
      <c r="G73" s="159">
        <v>100</v>
      </c>
      <c r="H73" s="182">
        <v>10</v>
      </c>
      <c r="I73" s="182">
        <v>10</v>
      </c>
      <c r="J73" s="182">
        <v>5</v>
      </c>
      <c r="K73" s="159">
        <v>5</v>
      </c>
      <c r="L73" s="182"/>
      <c r="M73" s="159"/>
      <c r="N73" s="220">
        <v>106</v>
      </c>
    </row>
    <row r="74" spans="1:16" s="194" customFormat="1" outlineLevel="1" x14ac:dyDescent="0.25"/>
    <row r="75" spans="1:16" outlineLevel="1" x14ac:dyDescent="0.25">
      <c r="A75" s="164" t="s">
        <v>1138</v>
      </c>
      <c r="B75" s="164"/>
      <c r="C75" s="164"/>
      <c r="E75" s="226"/>
    </row>
    <row r="76" spans="1:16" outlineLevel="1" x14ac:dyDescent="0.25">
      <c r="A76" s="198" t="s">
        <v>956</v>
      </c>
      <c r="B76" s="186" t="s">
        <v>784</v>
      </c>
      <c r="C76" s="187" t="s">
        <v>769</v>
      </c>
    </row>
    <row r="77" spans="1:16" outlineLevel="1" x14ac:dyDescent="0.25">
      <c r="A77" s="243">
        <v>1</v>
      </c>
      <c r="B77" s="199"/>
      <c r="C77" s="180"/>
    </row>
    <row r="78" spans="1:16" outlineLevel="1" x14ac:dyDescent="0.25">
      <c r="A78" s="243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1139</v>
      </c>
    </row>
    <row r="82" spans="1:3" outlineLevel="1" x14ac:dyDescent="0.25">
      <c r="A82" s="191" t="s">
        <v>857</v>
      </c>
      <c r="B82" s="190" t="s">
        <v>8</v>
      </c>
      <c r="C82" s="187" t="s">
        <v>769</v>
      </c>
    </row>
    <row r="83" spans="1:3" outlineLevel="1" x14ac:dyDescent="0.25">
      <c r="A83" s="202"/>
      <c r="B83" s="197" t="s">
        <v>957</v>
      </c>
      <c r="C83" s="203"/>
    </row>
    <row r="84" spans="1:3" outlineLevel="1" x14ac:dyDescent="0.25">
      <c r="A84" s="204"/>
      <c r="B84" s="252" t="s">
        <v>660</v>
      </c>
      <c r="C84" s="204"/>
    </row>
    <row r="85" spans="1:3" outlineLevel="1" x14ac:dyDescent="0.25"/>
  </sheetData>
  <mergeCells count="2">
    <mergeCell ref="B16:C16"/>
    <mergeCell ref="B37:C37"/>
  </mergeCells>
  <conditionalFormatting sqref="M42:M50">
    <cfRule type="expression" dxfId="13" priority="16">
      <formula>$B42&lt;&gt;3</formula>
    </cfRule>
  </conditionalFormatting>
  <conditionalFormatting sqref="N42:N50">
    <cfRule type="expression" dxfId="12" priority="15">
      <formula>OR($B42&lt;&gt;3,AND($B42=3,$E42&lt;4))</formula>
    </cfRule>
  </conditionalFormatting>
  <conditionalFormatting sqref="G47:G50 G42:G44">
    <cfRule type="expression" dxfId="11" priority="14">
      <formula>$B42=3</formula>
    </cfRule>
  </conditionalFormatting>
  <conditionalFormatting sqref="L42:L50">
    <cfRule type="expression" dxfId="10" priority="13">
      <formula>OR($B42&lt;&gt;3,$E42&lt;4)</formula>
    </cfRule>
  </conditionalFormatting>
  <conditionalFormatting sqref="K42:K50">
    <cfRule type="expression" dxfId="9" priority="12">
      <formula>B42&lt;&gt;3</formula>
    </cfRule>
  </conditionalFormatting>
  <conditionalFormatting sqref="J46:J50 J42:J44">
    <cfRule type="expression" dxfId="8" priority="11">
      <formula>$B42&lt;2</formula>
    </cfRule>
  </conditionalFormatting>
  <conditionalFormatting sqref="J69:J73">
    <cfRule type="expression" dxfId="7" priority="6">
      <formula>#REF!&lt;&gt;3</formula>
    </cfRule>
  </conditionalFormatting>
  <conditionalFormatting sqref="I69:I73">
    <cfRule type="expression" dxfId="6" priority="5">
      <formula>#REF!&lt;2</formula>
    </cfRule>
  </conditionalFormatting>
  <conditionalFormatting sqref="M69:M73">
    <cfRule type="expression" dxfId="5" priority="19">
      <formula>$E69&lt;4</formula>
    </cfRule>
  </conditionalFormatting>
  <conditionalFormatting sqref="K69:K73">
    <cfRule type="expression" dxfId="4" priority="20">
      <formula>$E69&lt;4</formula>
    </cfRule>
  </conditionalFormatting>
  <conditionalFormatting sqref="G45:G46">
    <cfRule type="expression" dxfId="3" priority="4">
      <formula>$B45=3</formula>
    </cfRule>
  </conditionalFormatting>
  <conditionalFormatting sqref="J45">
    <cfRule type="expression" dxfId="2" priority="3">
      <formula>$B45&lt;2</formula>
    </cfRule>
  </conditionalFormatting>
  <conditionalFormatting sqref="G45:G46">
    <cfRule type="expression" dxfId="1" priority="2">
      <formula>$B45=3</formula>
    </cfRule>
  </conditionalFormatting>
  <conditionalFormatting sqref="G43:G44">
    <cfRule type="expression" dxfId="0" priority="1">
      <formula>$B43=3</formula>
    </cfRule>
  </conditionalFormatting>
  <dataValidations count="29">
    <dataValidation type="list" allowBlank="1" showInputMessage="1" showErrorMessage="1" sqref="F21:F25 C30" xr:uid="{AC6C51FD-ADEA-47FA-86B2-96FC07BAA930}">
      <formula1>"1,2,3,4,5"</formula1>
    </dataValidation>
    <dataValidation type="list" allowBlank="1" showInputMessage="1" showErrorMessage="1" sqref="C83:C84 H57:J64 G21:G25 C77:C79 E30" xr:uid="{085D9B0C-675C-400E-920A-4A9DD3F50DF7}">
      <formula1>"1,2,3,4,5,6,7,8,9,10"</formula1>
    </dataValidation>
    <dataValidation type="whole" allowBlank="1" showInputMessage="1" showErrorMessage="1" sqref="D42:D50 D69:D73 D30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41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7:G64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9:F73 F42:F50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2:E50" xr:uid="{C75C6278-B57F-44EF-817E-6A1150CB2167}">
      <formula1>AND(OR(E42=1,E42=2,E42=3,E42=4,E42=5),E42&gt;=B42)</formula1>
    </dataValidation>
    <dataValidation type="list" allowBlank="1" showInputMessage="1" showErrorMessage="1" sqref="G42:G50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2:H50" xr:uid="{33E168EF-E413-4A15-AD77-75CB9FC4761F}">
      <formula1>IF($B42&lt;3,AND(H42&gt;=0,H42&lt;=100,H42=INT(H42)),AND(H42&gt;=0,H42&lt;=150,H42=INT(H42)))</formula1>
    </dataValidation>
    <dataValidation type="custom" allowBlank="1" showInputMessage="1" showErrorMessage="1" sqref="S43:U45" xr:uid="{02A87657-CDEE-4FB1-A3B7-168E379D94EB}">
      <formula1>AND(S43&gt;=1,S43&lt;=9,S43=INT(S43),COUNTIF($S$43:$U$45,S43)&lt;=1)</formula1>
    </dataValidation>
    <dataValidation type="custom" allowBlank="1" showInputMessage="1" showErrorMessage="1" sqref="A83:A84" xr:uid="{335F0DA9-2E49-469E-8A7C-890E5F920904}">
      <formula1>AND(A83="X",COUNTA($A$83:$A$84)&lt;=1)</formula1>
    </dataValidation>
    <dataValidation type="custom" allowBlank="1" showInputMessage="1" showErrorMessage="1" sqref="A57:A64 A69:A73" xr:uid="{4CCF200C-3D8B-4513-A0CA-D0E348312C4E}">
      <formula1>A57="X"</formula1>
    </dataValidation>
    <dataValidation type="custom" allowBlank="1" showInputMessage="1" showErrorMessage="1" sqref="I42:J50" xr:uid="{906C07C6-64E8-4904-B09C-9F8A60A077A6}">
      <formula1>IF($B42=3,AND(I42&gt;=1,I42&lt;=10,I42=INT(I42)),AND(I42&gt;=1,I42&lt;=5,I42=INT(I42)))</formula1>
    </dataValidation>
    <dataValidation type="custom" allowBlank="1" showInputMessage="1" showErrorMessage="1" sqref="K42:L50 J69:K73" xr:uid="{0186327F-36E0-4FF9-BAC8-50734C469171}">
      <formula1>AND(J42&gt;=1,J42&lt;=5,J42=INT(J42))</formula1>
    </dataValidation>
    <dataValidation type="custom" allowBlank="1" showInputMessage="1" showErrorMessage="1" errorTitle="Error:" error="Input must:_x000a_- Be an integer from 1 to 5_x000a_- Not be smaller than the base rarity" sqref="E69:E73" xr:uid="{D2F69B15-75AC-411E-918E-07828F1F2C06}">
      <formula1>AND(OR(E69=1,E69=2,E69=3,E69=4,E69=5),E69&gt;=3)</formula1>
    </dataValidation>
    <dataValidation type="custom" allowBlank="1" showInputMessage="1" showErrorMessage="1" sqref="G69:G73" xr:uid="{6117B0B1-BD61-4031-A8DD-CAAB092F0644}">
      <formula1>AND(G69&gt;=0,G69&lt;=150,G69=INT(G69))</formula1>
    </dataValidation>
    <dataValidation type="custom" allowBlank="1" showInputMessage="1" showErrorMessage="1" sqref="H69:I73" xr:uid="{18E55432-524A-477B-8B68-3136B4E41723}">
      <formula1>AND(H69&gt;=1,H69&lt;=10,H69=INT(H69))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7:C37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8" r:id="rId4" xr:uid="{C9B6B32C-C0B9-4935-BA6E-CAC6C812B73C}"/>
  </hyperlinks>
  <pageMargins left="0.7" right="0.7" top="0.75" bottom="0.75" header="0.3" footer="0.3"/>
  <pageSetup orientation="portrait" r:id="rId5"/>
  <ignoredErrors>
    <ignoredError sqref="O41" unlockedFormula="1"/>
    <ignoredError sqref="E9" numberStoredAsText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35</xdr:row>
                    <xdr:rowOff>133350</xdr:rowOff>
                  </from>
                  <to>
                    <xdr:col>4</xdr:col>
                    <xdr:colOff>123825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35</xdr:row>
                    <xdr:rowOff>133350</xdr:rowOff>
                  </from>
                  <to>
                    <xdr:col>5</xdr:col>
                    <xdr:colOff>428625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35</xdr:row>
                    <xdr:rowOff>133350</xdr:rowOff>
                  </from>
                  <to>
                    <xdr:col>7</xdr:col>
                    <xdr:colOff>47625</xdr:colOff>
                    <xdr:row>37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D25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U25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C42:C50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M42:N50 L69:M73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D21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D22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D23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D24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M21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M22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M23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M24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M25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Q21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Q22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Q23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Q24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Q25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U21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U22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U23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U24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IF($B$10="Night",Spot_Act_Info_Night!A2:A31,Spot_Act_Info_Day!A2:A10)</xm:f>
          </x14:formula1>
          <xm:sqref>N69:N73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7" sqref="B7"/>
    </sheetView>
  </sheetViews>
  <sheetFormatPr defaultRowHeight="15" x14ac:dyDescent="0.25"/>
  <cols>
    <col min="1" max="1" width="19" customWidth="1"/>
  </cols>
  <sheetData>
    <row r="1" spans="1:2" x14ac:dyDescent="0.25">
      <c r="A1" s="233" t="s">
        <v>6437</v>
      </c>
    </row>
    <row r="2" spans="1:2" x14ac:dyDescent="0.25">
      <c r="A2" s="10" t="s">
        <v>701</v>
      </c>
      <c r="B2" s="10" t="s">
        <v>6396</v>
      </c>
    </row>
    <row r="3" spans="1:2" x14ac:dyDescent="0.25">
      <c r="A3" t="s">
        <v>6383</v>
      </c>
      <c r="B3" s="231" t="s">
        <v>5702</v>
      </c>
    </row>
    <row r="4" spans="1:2" x14ac:dyDescent="0.25">
      <c r="A4" t="s">
        <v>6384</v>
      </c>
      <c r="B4" s="232" t="s">
        <v>6385</v>
      </c>
    </row>
    <row r="5" spans="1:2" x14ac:dyDescent="0.25">
      <c r="A5" t="s">
        <v>6386</v>
      </c>
      <c r="B5" s="231" t="s">
        <v>6387</v>
      </c>
    </row>
    <row r="6" spans="1:2" x14ac:dyDescent="0.25">
      <c r="A6" t="s">
        <v>6388</v>
      </c>
      <c r="B6" s="231" t="s">
        <v>6389</v>
      </c>
    </row>
    <row r="7" spans="1:2" x14ac:dyDescent="0.25">
      <c r="A7" t="s">
        <v>6390</v>
      </c>
      <c r="B7" s="231" t="s">
        <v>6391</v>
      </c>
    </row>
    <row r="8" spans="1:2" x14ac:dyDescent="0.25">
      <c r="A8" t="s">
        <v>6392</v>
      </c>
      <c r="B8" s="231" t="s">
        <v>6393</v>
      </c>
    </row>
    <row r="9" spans="1:2" x14ac:dyDescent="0.25">
      <c r="A9" t="s">
        <v>6394</v>
      </c>
      <c r="B9" s="231" t="s">
        <v>6395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8"/>
  <sheetViews>
    <sheetView workbookViewId="0">
      <pane xSplit="6" topLeftCell="G1" activePane="topRight" state="frozen"/>
      <selection pane="topRight" activeCell="A4" sqref="A4:A14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5" t="s">
        <v>573</v>
      </c>
      <c r="E2" s="236"/>
      <c r="F2" s="236"/>
      <c r="G2" s="236"/>
      <c r="H2" s="236"/>
      <c r="I2" s="236"/>
      <c r="J2" s="236"/>
      <c r="K2" s="236"/>
      <c r="L2" s="237"/>
      <c r="M2" s="54"/>
      <c r="N2" s="235" t="s">
        <v>705</v>
      </c>
      <c r="O2" s="236"/>
      <c r="P2" s="236"/>
      <c r="Q2" s="237"/>
      <c r="R2" s="235" t="s">
        <v>706</v>
      </c>
      <c r="S2" s="236"/>
      <c r="T2" s="236"/>
      <c r="U2" s="237"/>
      <c r="V2" s="235" t="s">
        <v>707</v>
      </c>
      <c r="W2" s="236"/>
      <c r="X2" s="236"/>
      <c r="Y2" s="237"/>
      <c r="AA2" s="227" t="s">
        <v>971</v>
      </c>
      <c r="AB2" s="228"/>
      <c r="AC2" s="228"/>
      <c r="AD2" s="228"/>
      <c r="AE2" s="229"/>
      <c r="AG2" s="168" t="s">
        <v>764</v>
      </c>
      <c r="AH2" s="166"/>
      <c r="AI2" s="166"/>
      <c r="AJ2" s="166"/>
      <c r="AK2" s="167"/>
    </row>
    <row r="3" spans="1:41" x14ac:dyDescent="0.25">
      <c r="A3" s="10" t="s">
        <v>982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973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1101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6399</v>
      </c>
      <c r="C4" t="s">
        <v>977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3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987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3"/>
      <c r="AM5" s="161">
        <v>4</v>
      </c>
      <c r="AN5" s="161">
        <v>3</v>
      </c>
      <c r="AO5" s="161"/>
    </row>
    <row r="6" spans="1:41" x14ac:dyDescent="0.25">
      <c r="A6" t="s">
        <v>978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3"/>
      <c r="AM6" s="161">
        <v>2</v>
      </c>
      <c r="AN6" s="161"/>
      <c r="AO6" s="161"/>
    </row>
    <row r="7" spans="1:41" x14ac:dyDescent="0.25">
      <c r="A7" t="s">
        <v>1737</v>
      </c>
      <c r="D7" s="177">
        <v>4</v>
      </c>
      <c r="E7" s="178" t="s">
        <v>3</v>
      </c>
      <c r="F7" s="180" t="s">
        <v>1719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3"/>
    </row>
    <row r="8" spans="1:41" x14ac:dyDescent="0.25">
      <c r="A8" t="s">
        <v>5575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4"/>
    </row>
    <row r="9" spans="1:41" x14ac:dyDescent="0.25">
      <c r="A9" t="s">
        <v>977</v>
      </c>
      <c r="C9" t="s">
        <v>978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3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5574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3"/>
      <c r="AM10" s="161">
        <v>2</v>
      </c>
      <c r="AN10" s="161">
        <v>4</v>
      </c>
      <c r="AO10" s="161"/>
    </row>
    <row r="11" spans="1:41" x14ac:dyDescent="0.25">
      <c r="A11" t="s">
        <v>5573</v>
      </c>
      <c r="D11" s="177">
        <v>6</v>
      </c>
      <c r="E11" s="178" t="s">
        <v>6</v>
      </c>
      <c r="F11" s="180" t="s">
        <v>1717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1717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3"/>
      <c r="AM11" s="161">
        <v>3</v>
      </c>
      <c r="AN11" s="161">
        <v>5</v>
      </c>
      <c r="AO11" s="161"/>
    </row>
    <row r="12" spans="1:41" x14ac:dyDescent="0.25">
      <c r="A12" t="s">
        <v>6465</v>
      </c>
      <c r="D12" s="177">
        <v>5</v>
      </c>
      <c r="E12" s="178" t="s">
        <v>7</v>
      </c>
      <c r="F12" s="180" t="s">
        <v>1637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3"/>
    </row>
    <row r="13" spans="1:41" x14ac:dyDescent="0.25">
      <c r="A13" t="s">
        <v>6464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4"/>
    </row>
    <row r="14" spans="1:41" x14ac:dyDescent="0.25">
      <c r="A14" t="s">
        <v>6463</v>
      </c>
      <c r="C14" t="s">
        <v>987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3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6462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3"/>
      <c r="AM15" s="161">
        <v>2</v>
      </c>
      <c r="AN15" s="161">
        <v>4</v>
      </c>
      <c r="AO15" s="161"/>
    </row>
    <row r="16" spans="1:41" x14ac:dyDescent="0.25">
      <c r="A16" t="s">
        <v>6533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3"/>
      <c r="AM16" s="161">
        <v>3</v>
      </c>
      <c r="AN16" s="161">
        <v>5</v>
      </c>
      <c r="AO16" s="161"/>
    </row>
    <row r="17" spans="1:41" x14ac:dyDescent="0.25">
      <c r="A17" t="s">
        <v>6400</v>
      </c>
      <c r="D17" s="177">
        <v>4</v>
      </c>
      <c r="E17" s="178" t="s">
        <v>3</v>
      </c>
      <c r="F17" s="180" t="s">
        <v>1213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3"/>
    </row>
    <row r="18" spans="1:41" x14ac:dyDescent="0.25">
      <c r="A18" t="s">
        <v>6401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4"/>
    </row>
    <row r="19" spans="1:41" x14ac:dyDescent="0.25">
      <c r="A19" t="s">
        <v>6402</v>
      </c>
      <c r="C19" t="s">
        <v>1737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3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6382</v>
      </c>
      <c r="D20" s="177">
        <v>5</v>
      </c>
      <c r="E20" s="178" t="s">
        <v>4</v>
      </c>
      <c r="F20" s="180" t="s">
        <v>1698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3"/>
      <c r="AM20" s="161">
        <v>1</v>
      </c>
      <c r="AN20" s="161">
        <v>5</v>
      </c>
      <c r="AO20" s="161">
        <v>4</v>
      </c>
    </row>
    <row r="21" spans="1:41" x14ac:dyDescent="0.25">
      <c r="A21" t="s">
        <v>6439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3"/>
      <c r="AM21" s="161">
        <v>3</v>
      </c>
      <c r="AN21" s="161"/>
      <c r="AO21" s="161"/>
    </row>
    <row r="22" spans="1:41" x14ac:dyDescent="0.25">
      <c r="A22" t="s">
        <v>6456</v>
      </c>
      <c r="D22" s="177">
        <v>5</v>
      </c>
      <c r="E22" s="178" t="s">
        <v>5</v>
      </c>
      <c r="F22" s="180" t="s">
        <v>5700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6443</v>
      </c>
      <c r="O22" s="178" t="s">
        <v>6447</v>
      </c>
      <c r="P22" s="178">
        <v>10</v>
      </c>
      <c r="Q22" s="179">
        <v>1</v>
      </c>
      <c r="R22" s="177" t="s">
        <v>924</v>
      </c>
      <c r="S22" s="178" t="s">
        <v>915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3"/>
    </row>
    <row r="23" spans="1:41" x14ac:dyDescent="0.25">
      <c r="A23" t="s">
        <v>6453</v>
      </c>
      <c r="D23" s="181">
        <v>5</v>
      </c>
      <c r="E23" s="182" t="s">
        <v>3</v>
      </c>
      <c r="F23" s="159" t="s">
        <v>1728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4"/>
    </row>
    <row r="24" spans="1:41" x14ac:dyDescent="0.25">
      <c r="A24" t="s">
        <v>6454</v>
      </c>
      <c r="C24" t="s">
        <v>5573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3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6440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3"/>
      <c r="AM25" s="161">
        <v>4</v>
      </c>
      <c r="AN25" s="161">
        <v>3</v>
      </c>
      <c r="AO25" s="161"/>
    </row>
    <row r="26" spans="1:41" x14ac:dyDescent="0.25">
      <c r="A26" t="s">
        <v>6448</v>
      </c>
      <c r="D26" s="177">
        <v>5</v>
      </c>
      <c r="E26" s="178" t="s">
        <v>7</v>
      </c>
      <c r="F26" s="180" t="s">
        <v>1444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3"/>
      <c r="AM26" s="161">
        <v>2</v>
      </c>
      <c r="AN26" s="161">
        <v>5</v>
      </c>
      <c r="AO26" s="161"/>
    </row>
    <row r="27" spans="1:41" x14ac:dyDescent="0.25">
      <c r="A27" t="s">
        <v>6449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3"/>
    </row>
    <row r="28" spans="1:41" x14ac:dyDescent="0.25">
      <c r="A28" t="s">
        <v>6398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4"/>
    </row>
    <row r="29" spans="1:41" x14ac:dyDescent="0.25">
      <c r="A29" t="s">
        <v>6397</v>
      </c>
      <c r="C29" t="s">
        <v>5574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3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6457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3"/>
      <c r="AM30" s="161">
        <v>5</v>
      </c>
      <c r="AN30" s="161">
        <v>3</v>
      </c>
      <c r="AO30" s="161"/>
    </row>
    <row r="31" spans="1:41" x14ac:dyDescent="0.25">
      <c r="A31" t="s">
        <v>6459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3"/>
      <c r="AM31" s="161">
        <v>2</v>
      </c>
      <c r="AN31" s="161">
        <v>4</v>
      </c>
      <c r="AO31" s="161"/>
    </row>
    <row r="32" spans="1:41" x14ac:dyDescent="0.25">
      <c r="A32" t="s">
        <v>6460</v>
      </c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3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4"/>
    </row>
    <row r="34" spans="3:41" x14ac:dyDescent="0.25">
      <c r="C34" t="s">
        <v>5575</v>
      </c>
      <c r="D34" s="173">
        <v>6</v>
      </c>
      <c r="E34" s="174" t="s">
        <v>2</v>
      </c>
      <c r="F34" s="175" t="s">
        <v>1482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1482</v>
      </c>
      <c r="X34" s="178">
        <v>10</v>
      </c>
      <c r="Y34" s="179">
        <v>1</v>
      </c>
      <c r="AA34" s="177"/>
      <c r="AB34" s="178"/>
      <c r="AC34" s="178"/>
      <c r="AD34" s="178"/>
      <c r="AE34" s="223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3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3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3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4"/>
    </row>
    <row r="39" spans="3:41" x14ac:dyDescent="0.25">
      <c r="C39" t="s">
        <v>6382</v>
      </c>
      <c r="D39" s="173">
        <v>5</v>
      </c>
      <c r="E39" s="174" t="s">
        <v>3</v>
      </c>
      <c r="F39" s="175" t="s">
        <v>6162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23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23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1699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23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1698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23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4"/>
    </row>
    <row r="44" spans="3:41" x14ac:dyDescent="0.25">
      <c r="C44" t="s">
        <v>6397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3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3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3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3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4"/>
    </row>
    <row r="49" spans="3:41" x14ac:dyDescent="0.25">
      <c r="C49" t="s">
        <v>6398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3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3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3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924</v>
      </c>
      <c r="O52" s="178" t="s">
        <v>933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3"/>
    </row>
    <row r="53" spans="3:41" x14ac:dyDescent="0.25">
      <c r="D53" s="181">
        <v>5</v>
      </c>
      <c r="E53" s="182" t="s">
        <v>3</v>
      </c>
      <c r="F53" s="159" t="s">
        <v>1728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4"/>
    </row>
    <row r="54" spans="3:41" x14ac:dyDescent="0.25">
      <c r="C54" t="s">
        <v>6399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3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3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1728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3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924</v>
      </c>
      <c r="O57" s="178" t="s">
        <v>933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3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4"/>
    </row>
    <row r="59" spans="3:41" x14ac:dyDescent="0.25">
      <c r="C59" t="s">
        <v>6400</v>
      </c>
      <c r="D59" s="173">
        <v>5</v>
      </c>
      <c r="E59" s="174" t="s">
        <v>3</v>
      </c>
      <c r="F59" s="175" t="s">
        <v>1722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924</v>
      </c>
      <c r="O59" s="178" t="s">
        <v>933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3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924</v>
      </c>
      <c r="O60" s="178" t="s">
        <v>933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3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3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3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4"/>
    </row>
    <row r="64" spans="3:41" x14ac:dyDescent="0.25">
      <c r="C64" t="s">
        <v>6401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3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1482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1482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3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3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3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4"/>
    </row>
    <row r="69" spans="3:41" x14ac:dyDescent="0.25">
      <c r="C69" t="s">
        <v>6402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3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3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3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3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4"/>
    </row>
    <row r="74" spans="3:41" x14ac:dyDescent="0.25">
      <c r="C74" t="s">
        <v>6439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3"/>
      <c r="AG74" s="181" t="s">
        <v>934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1698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3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3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3489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6443</v>
      </c>
      <c r="O77" s="178" t="s">
        <v>6447</v>
      </c>
      <c r="P77" s="178">
        <v>10</v>
      </c>
      <c r="Q77" s="179">
        <v>1</v>
      </c>
      <c r="R77" s="177" t="s">
        <v>924</v>
      </c>
      <c r="S77" s="178" t="s">
        <v>915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3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4"/>
    </row>
    <row r="79" spans="3:41" x14ac:dyDescent="0.25">
      <c r="C79" t="s">
        <v>6440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3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3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3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3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4"/>
    </row>
    <row r="84" spans="3:41" x14ac:dyDescent="0.25">
      <c r="C84" t="s">
        <v>6448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3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3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3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3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924</v>
      </c>
      <c r="S88" s="182" t="s">
        <v>915</v>
      </c>
      <c r="T88" s="182">
        <v>10</v>
      </c>
      <c r="U88" s="183">
        <v>1</v>
      </c>
      <c r="V88" s="181" t="s">
        <v>6443</v>
      </c>
      <c r="W88" s="182" t="s">
        <v>6447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4"/>
    </row>
    <row r="89" spans="3:41" x14ac:dyDescent="0.25">
      <c r="C89" t="s">
        <v>6449</v>
      </c>
      <c r="D89" s="173">
        <v>6</v>
      </c>
      <c r="E89" s="174" t="s">
        <v>7</v>
      </c>
      <c r="F89" s="175" t="s">
        <v>828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3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3</v>
      </c>
      <c r="AN89" s="161"/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713</v>
      </c>
      <c r="O90" s="178" t="s">
        <v>523</v>
      </c>
      <c r="P90" s="178">
        <v>10</v>
      </c>
      <c r="Q90" s="179">
        <v>1</v>
      </c>
      <c r="R90" s="177" t="s">
        <v>721</v>
      </c>
      <c r="S90" s="178" t="s">
        <v>535</v>
      </c>
      <c r="T90" s="178">
        <v>10</v>
      </c>
      <c r="U90" s="179">
        <v>1</v>
      </c>
      <c r="V90" s="177" t="s">
        <v>743</v>
      </c>
      <c r="W90" s="178" t="s">
        <v>572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3"/>
      <c r="AM90" s="161">
        <v>1</v>
      </c>
      <c r="AN90" s="161">
        <v>4</v>
      </c>
      <c r="AO90" s="161"/>
    </row>
    <row r="91" spans="3:41" x14ac:dyDescent="0.25">
      <c r="D91" s="177">
        <v>5</v>
      </c>
      <c r="E91" s="178" t="s">
        <v>6</v>
      </c>
      <c r="F91" s="180" t="s">
        <v>266</v>
      </c>
      <c r="G91" s="178">
        <v>115</v>
      </c>
      <c r="H91" s="178">
        <v>5</v>
      </c>
      <c r="I91" s="178">
        <v>10</v>
      </c>
      <c r="J91" s="178">
        <v>10</v>
      </c>
      <c r="K91" s="178">
        <v>3</v>
      </c>
      <c r="L91" s="180">
        <v>100</v>
      </c>
      <c r="M91" s="176"/>
      <c r="N91" s="177" t="s">
        <v>713</v>
      </c>
      <c r="O91" s="178" t="s">
        <v>523</v>
      </c>
      <c r="P91" s="178">
        <v>10</v>
      </c>
      <c r="Q91" s="179">
        <v>1</v>
      </c>
      <c r="R91" s="177" t="s">
        <v>702</v>
      </c>
      <c r="S91" s="178" t="s">
        <v>266</v>
      </c>
      <c r="T91" s="178">
        <v>10</v>
      </c>
      <c r="U91" s="179">
        <v>1</v>
      </c>
      <c r="V91" s="177" t="s">
        <v>743</v>
      </c>
      <c r="W91" s="178" t="s">
        <v>572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3"/>
      <c r="AM91" s="161">
        <v>2</v>
      </c>
      <c r="AN91" s="161">
        <v>5</v>
      </c>
      <c r="AO91" s="161"/>
    </row>
    <row r="92" spans="3:41" x14ac:dyDescent="0.25">
      <c r="D92" s="177">
        <v>6</v>
      </c>
      <c r="E92" s="178" t="s">
        <v>3</v>
      </c>
      <c r="F92" s="180" t="s">
        <v>263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9</v>
      </c>
      <c r="S92" s="178" t="s">
        <v>560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3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4"/>
    </row>
    <row r="94" spans="3:41" x14ac:dyDescent="0.25">
      <c r="C94" t="s">
        <v>6453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924</v>
      </c>
      <c r="S94" s="178" t="s">
        <v>915</v>
      </c>
      <c r="T94" s="178">
        <v>0</v>
      </c>
      <c r="U94" s="179">
        <v>1</v>
      </c>
      <c r="V94" s="177" t="s">
        <v>6443</v>
      </c>
      <c r="W94" s="178" t="s">
        <v>6447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3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1482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1482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3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1718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1718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3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3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4"/>
    </row>
    <row r="99" spans="3:41" x14ac:dyDescent="0.25">
      <c r="C99" t="s">
        <v>6454</v>
      </c>
      <c r="D99" s="173">
        <v>5</v>
      </c>
      <c r="E99" s="174" t="s">
        <v>3</v>
      </c>
      <c r="F99" s="175" t="s">
        <v>1722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924</v>
      </c>
      <c r="O99" s="178" t="s">
        <v>933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3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924</v>
      </c>
      <c r="W100" s="178" t="s">
        <v>916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3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3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3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4"/>
    </row>
    <row r="104" spans="3:41" x14ac:dyDescent="0.25">
      <c r="C104" t="s">
        <v>6456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6455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3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3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3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1637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3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4"/>
    </row>
    <row r="109" spans="3:41" x14ac:dyDescent="0.25">
      <c r="C109" t="s">
        <v>6457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3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3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3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3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4"/>
    </row>
    <row r="114" spans="3:41" x14ac:dyDescent="0.25">
      <c r="C114" t="s">
        <v>6459</v>
      </c>
      <c r="D114" s="173">
        <v>6</v>
      </c>
      <c r="E114" s="174" t="s">
        <v>4</v>
      </c>
      <c r="F114" s="175" t="s">
        <v>937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937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3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3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3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6458</v>
      </c>
      <c r="P117" s="178">
        <v>10</v>
      </c>
      <c r="Q117" s="179">
        <v>1</v>
      </c>
      <c r="R117" s="177" t="s">
        <v>924</v>
      </c>
      <c r="S117" s="178" t="s">
        <v>915</v>
      </c>
      <c r="T117" s="178">
        <v>0</v>
      </c>
      <c r="U117" s="179">
        <v>1</v>
      </c>
      <c r="V117" s="177" t="s">
        <v>6443</v>
      </c>
      <c r="W117" s="178" t="s">
        <v>6447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3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6458</v>
      </c>
      <c r="P118" s="182">
        <v>10</v>
      </c>
      <c r="Q118" s="183">
        <v>1</v>
      </c>
      <c r="R118" s="181" t="s">
        <v>924</v>
      </c>
      <c r="S118" s="182" t="s">
        <v>915</v>
      </c>
      <c r="T118" s="182">
        <v>0</v>
      </c>
      <c r="U118" s="183">
        <v>1</v>
      </c>
      <c r="V118" s="181" t="s">
        <v>6443</v>
      </c>
      <c r="W118" s="182" t="s">
        <v>6447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4"/>
    </row>
    <row r="119" spans="3:41" x14ac:dyDescent="0.25">
      <c r="C119" t="s">
        <v>6460</v>
      </c>
      <c r="D119" s="173">
        <v>5</v>
      </c>
      <c r="E119" s="174" t="s">
        <v>6</v>
      </c>
      <c r="F119" s="175" t="s">
        <v>1428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924</v>
      </c>
      <c r="S119" s="178" t="s">
        <v>5737</v>
      </c>
      <c r="T119" s="178">
        <v>10</v>
      </c>
      <c r="U119" s="179">
        <v>1</v>
      </c>
      <c r="V119" s="177" t="s">
        <v>702</v>
      </c>
      <c r="W119" s="178" t="s">
        <v>1428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3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3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3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3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4"/>
    </row>
    <row r="124" spans="3:41" x14ac:dyDescent="0.25">
      <c r="C124" t="s">
        <v>6462</v>
      </c>
      <c r="D124" s="173">
        <v>4</v>
      </c>
      <c r="E124" s="174" t="s">
        <v>3</v>
      </c>
      <c r="F124" s="175" t="s">
        <v>5753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924</v>
      </c>
      <c r="S124" s="178" t="s">
        <v>923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3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5559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924</v>
      </c>
      <c r="S125" s="178" t="s">
        <v>923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3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1428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924</v>
      </c>
      <c r="S126" s="178" t="s">
        <v>5737</v>
      </c>
      <c r="T126" s="178">
        <v>10</v>
      </c>
      <c r="U126" s="179">
        <v>1</v>
      </c>
      <c r="V126" s="177" t="s">
        <v>702</v>
      </c>
      <c r="W126" s="178" t="s">
        <v>1428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3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1750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924</v>
      </c>
      <c r="S127" s="178" t="s">
        <v>5737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3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4"/>
    </row>
    <row r="129" spans="3:41" x14ac:dyDescent="0.25">
      <c r="C129" t="s">
        <v>6463</v>
      </c>
      <c r="D129" s="173">
        <v>5</v>
      </c>
      <c r="E129" s="174" t="s">
        <v>2</v>
      </c>
      <c r="F129" s="175" t="s">
        <v>1790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1790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924</v>
      </c>
      <c r="W129" s="178" t="s">
        <v>916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3"/>
      <c r="AG129" s="181" t="s">
        <v>1753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5815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5815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3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5777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924</v>
      </c>
      <c r="W131" s="178" t="s">
        <v>916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3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6461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1784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3"/>
    </row>
    <row r="133" spans="3:41" x14ac:dyDescent="0.25">
      <c r="D133" s="181">
        <v>5</v>
      </c>
      <c r="E133" s="182" t="s">
        <v>7</v>
      </c>
      <c r="F133" s="159" t="s">
        <v>1738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4"/>
    </row>
    <row r="134" spans="3:41" x14ac:dyDescent="0.25">
      <c r="C134" t="s">
        <v>6464</v>
      </c>
      <c r="D134" s="173">
        <v>4</v>
      </c>
      <c r="E134" s="174" t="s">
        <v>5</v>
      </c>
      <c r="F134" s="175" t="s">
        <v>1639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924</v>
      </c>
      <c r="S134" s="178" t="s">
        <v>915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3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938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6443</v>
      </c>
      <c r="O135" s="178" t="s">
        <v>6447</v>
      </c>
      <c r="P135" s="178">
        <v>10</v>
      </c>
      <c r="Q135" s="179">
        <v>1</v>
      </c>
      <c r="R135" s="177" t="s">
        <v>924</v>
      </c>
      <c r="S135" s="178" t="s">
        <v>915</v>
      </c>
      <c r="T135" s="178">
        <v>10</v>
      </c>
      <c r="U135" s="179">
        <v>1</v>
      </c>
      <c r="V135" s="177" t="s">
        <v>702</v>
      </c>
      <c r="W135" s="178" t="s">
        <v>938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3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1698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3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3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4"/>
    </row>
    <row r="139" spans="3:41" x14ac:dyDescent="0.25">
      <c r="C139" t="s">
        <v>6465</v>
      </c>
      <c r="D139" s="173">
        <v>5</v>
      </c>
      <c r="E139" s="174" t="s">
        <v>3</v>
      </c>
      <c r="F139" s="175" t="s">
        <v>1722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924</v>
      </c>
      <c r="O139" s="178" t="s">
        <v>933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3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3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3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6443</v>
      </c>
      <c r="O142" s="178" t="s">
        <v>6447</v>
      </c>
      <c r="P142" s="178">
        <v>10</v>
      </c>
      <c r="Q142" s="179">
        <v>1</v>
      </c>
      <c r="R142" s="177" t="s">
        <v>924</v>
      </c>
      <c r="S142" s="178" t="s">
        <v>915</v>
      </c>
      <c r="T142" s="178">
        <v>10</v>
      </c>
      <c r="U142" s="179">
        <v>1</v>
      </c>
      <c r="V142" s="177" t="s">
        <v>638</v>
      </c>
      <c r="W142" s="178" t="s">
        <v>6458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3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4"/>
    </row>
    <row r="144" spans="3:41" x14ac:dyDescent="0.25">
      <c r="C144" t="s">
        <v>6533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924</v>
      </c>
      <c r="S144" s="178" t="s">
        <v>921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3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4:41" x14ac:dyDescent="0.25">
      <c r="D145" s="177">
        <v>5</v>
      </c>
      <c r="E145" s="178" t="s">
        <v>4</v>
      </c>
      <c r="F145" s="180" t="s">
        <v>1713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924</v>
      </c>
      <c r="S145" s="178" t="s">
        <v>921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3"/>
      <c r="AM145" s="161">
        <v>1</v>
      </c>
      <c r="AN145" s="161"/>
      <c r="AO145" s="161">
        <v>4</v>
      </c>
    </row>
    <row r="146" spans="4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924</v>
      </c>
      <c r="S146" s="178" t="s">
        <v>921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3"/>
      <c r="AM146" s="161">
        <v>3</v>
      </c>
      <c r="AN146" s="161">
        <v>5</v>
      </c>
      <c r="AO146" s="161"/>
    </row>
    <row r="147" spans="4:41" x14ac:dyDescent="0.25">
      <c r="D147" s="177">
        <v>5</v>
      </c>
      <c r="E147" s="178" t="s">
        <v>5</v>
      </c>
      <c r="F147" s="180" t="s">
        <v>813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6443</v>
      </c>
      <c r="O147" s="178" t="s">
        <v>6447</v>
      </c>
      <c r="P147" s="178">
        <v>10</v>
      </c>
      <c r="Q147" s="179">
        <v>1</v>
      </c>
      <c r="R147" s="177" t="s">
        <v>924</v>
      </c>
      <c r="S147" s="178" t="s">
        <v>915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3"/>
    </row>
    <row r="148" spans="4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4"/>
    </row>
  </sheetData>
  <sortState ref="A4:A148">
    <sortCondition ref="A4"/>
  </sortState>
  <dataValidations count="6">
    <dataValidation type="list" allowBlank="1" showInputMessage="1" showErrorMessage="1" sqref="AJ39 AJ44 AJ49 AJ54 AJ59 AJ64 AJ69 AJ74 AJ79 AJ84 AJ89 AJ94 AJ99 AJ104 AJ109 AJ114 AJ119 AJ124 AJ129 AJ134 AJ139 AJ144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 AM99:AO101 AM104:AO106 AM109:AO111 AM114:AO116 AM119:AO121 AM124:AO126 AM129:AO131 AM134:AO136 AM139:AO141 AM144:AO14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 AK99 AK104 AK109 AK114 AK119 AK124 AK129 AK134 AK139 AK144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 activeCellId="1" sqref="S67:U69 A1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5739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1058</v>
      </c>
      <c r="O2" s="167"/>
    </row>
    <row r="3" spans="1:21" x14ac:dyDescent="0.25">
      <c r="A3" s="10" t="s">
        <v>982</v>
      </c>
      <c r="D3" s="172" t="s">
        <v>8</v>
      </c>
      <c r="E3" s="170" t="s">
        <v>18</v>
      </c>
      <c r="F3" s="170" t="s">
        <v>1800</v>
      </c>
      <c r="G3" s="170" t="s">
        <v>1799</v>
      </c>
      <c r="H3" s="170" t="s">
        <v>1061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1137</v>
      </c>
    </row>
    <row r="4" spans="1:21" x14ac:dyDescent="0.25">
      <c r="A4" t="s">
        <v>5740</v>
      </c>
      <c r="C4" t="s">
        <v>5740</v>
      </c>
      <c r="D4" s="173" t="s">
        <v>1003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1103</v>
      </c>
      <c r="O4" s="180" t="s">
        <v>1112</v>
      </c>
      <c r="Q4" s="192"/>
      <c r="S4" s="161">
        <v>3</v>
      </c>
      <c r="T4" s="161"/>
      <c r="U4" s="161"/>
    </row>
    <row r="5" spans="1:21" x14ac:dyDescent="0.25">
      <c r="A5" t="s">
        <v>5741</v>
      </c>
      <c r="D5" s="177" t="s">
        <v>1025</v>
      </c>
      <c r="E5" s="178">
        <v>100</v>
      </c>
      <c r="F5" s="178">
        <v>5</v>
      </c>
      <c r="G5" s="178">
        <v>4</v>
      </c>
      <c r="H5" s="178" t="s">
        <v>1060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6403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1060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6404</v>
      </c>
      <c r="D7" s="177" t="s">
        <v>1038</v>
      </c>
      <c r="E7" s="178">
        <v>100</v>
      </c>
      <c r="F7" s="178">
        <v>5</v>
      </c>
      <c r="G7" s="178">
        <v>4</v>
      </c>
      <c r="H7" s="178" t="s">
        <v>1060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6405</v>
      </c>
      <c r="D8" s="177" t="s">
        <v>1036</v>
      </c>
      <c r="E8" s="178">
        <v>100</v>
      </c>
      <c r="F8" s="178">
        <v>5</v>
      </c>
      <c r="G8" s="178">
        <v>4</v>
      </c>
      <c r="H8" s="178" t="s">
        <v>1060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6442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6441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5741</v>
      </c>
      <c r="D13" s="173" t="s">
        <v>1003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1103</v>
      </c>
      <c r="O13" s="180" t="s">
        <v>1112</v>
      </c>
      <c r="Q13" s="192"/>
      <c r="S13" s="161">
        <v>2</v>
      </c>
      <c r="T13" s="161"/>
      <c r="U13" s="161"/>
    </row>
    <row r="14" spans="1:21" x14ac:dyDescent="0.25">
      <c r="D14" s="177" t="s">
        <v>1038</v>
      </c>
      <c r="E14" s="178">
        <v>100</v>
      </c>
      <c r="F14" s="178">
        <v>5</v>
      </c>
      <c r="G14" s="178">
        <v>4</v>
      </c>
      <c r="H14" s="178" t="s">
        <v>1060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1038</v>
      </c>
      <c r="E15" s="178">
        <v>100</v>
      </c>
      <c r="F15" s="178">
        <v>5</v>
      </c>
      <c r="G15" s="178">
        <v>4</v>
      </c>
      <c r="H15" s="178" t="s">
        <v>1060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1019</v>
      </c>
      <c r="E16" s="178">
        <v>100</v>
      </c>
      <c r="F16" s="178">
        <v>5</v>
      </c>
      <c r="G16" s="178">
        <v>4</v>
      </c>
      <c r="H16" s="178" t="s">
        <v>1060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6403</v>
      </c>
      <c r="D22" s="173" t="s">
        <v>994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1103</v>
      </c>
      <c r="O22" s="180" t="s">
        <v>1112</v>
      </c>
      <c r="Q22" s="192"/>
      <c r="S22" s="161">
        <v>4</v>
      </c>
      <c r="T22" s="161"/>
      <c r="U22" s="161"/>
    </row>
    <row r="23" spans="3:21" x14ac:dyDescent="0.25">
      <c r="D23" s="177" t="s">
        <v>1019</v>
      </c>
      <c r="E23" s="178">
        <v>100</v>
      </c>
      <c r="F23" s="178">
        <v>5</v>
      </c>
      <c r="G23" s="178">
        <v>4</v>
      </c>
      <c r="H23" s="178" t="s">
        <v>1060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1019</v>
      </c>
      <c r="E24" s="178">
        <v>100</v>
      </c>
      <c r="F24" s="178">
        <v>5</v>
      </c>
      <c r="G24" s="178">
        <v>4</v>
      </c>
      <c r="H24" s="178" t="s">
        <v>1060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1031</v>
      </c>
      <c r="E25" s="178">
        <v>100</v>
      </c>
      <c r="F25" s="178">
        <v>5</v>
      </c>
      <c r="G25" s="178">
        <v>4</v>
      </c>
      <c r="H25" s="178" t="s">
        <v>1060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6404</v>
      </c>
      <c r="D31" s="173" t="s">
        <v>994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1103</v>
      </c>
      <c r="O31" s="180" t="s">
        <v>1112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1019</v>
      </c>
      <c r="E32" s="178">
        <v>100</v>
      </c>
      <c r="F32" s="178">
        <v>5</v>
      </c>
      <c r="G32" s="178">
        <v>4</v>
      </c>
      <c r="H32" s="178" t="s">
        <v>1060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1015</v>
      </c>
      <c r="E33" s="178">
        <v>100</v>
      </c>
      <c r="F33" s="178">
        <v>5</v>
      </c>
      <c r="G33" s="178">
        <v>4</v>
      </c>
      <c r="H33" s="178" t="s">
        <v>1060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1015</v>
      </c>
      <c r="E34" s="178">
        <v>100</v>
      </c>
      <c r="F34" s="178">
        <v>5</v>
      </c>
      <c r="G34" s="178">
        <v>4</v>
      </c>
      <c r="H34" s="178" t="s">
        <v>1060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1031</v>
      </c>
      <c r="E35" s="178">
        <v>100</v>
      </c>
      <c r="F35" s="178">
        <v>5</v>
      </c>
      <c r="G35" s="178">
        <v>4</v>
      </c>
      <c r="H35" s="178" t="s">
        <v>1060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6405</v>
      </c>
      <c r="D40" s="173" t="s">
        <v>1000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1103</v>
      </c>
      <c r="O40" s="180" t="s">
        <v>1112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1023</v>
      </c>
      <c r="E41" s="178">
        <v>100</v>
      </c>
      <c r="F41" s="178">
        <v>5</v>
      </c>
      <c r="G41" s="178">
        <v>4</v>
      </c>
      <c r="H41" s="178" t="s">
        <v>1060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1023</v>
      </c>
      <c r="E42" s="178">
        <v>100</v>
      </c>
      <c r="F42" s="178">
        <v>5</v>
      </c>
      <c r="G42" s="178">
        <v>4</v>
      </c>
      <c r="H42" s="178" t="s">
        <v>1060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1017</v>
      </c>
      <c r="E43" s="178">
        <v>100</v>
      </c>
      <c r="F43" s="178">
        <v>5</v>
      </c>
      <c r="G43" s="178">
        <v>4</v>
      </c>
      <c r="H43" s="178" t="s">
        <v>1060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1017</v>
      </c>
      <c r="E44" s="178">
        <v>100</v>
      </c>
      <c r="F44" s="178">
        <v>5</v>
      </c>
      <c r="G44" s="178">
        <v>4</v>
      </c>
      <c r="H44" s="178" t="s">
        <v>1060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1017</v>
      </c>
      <c r="E45" s="178">
        <v>100</v>
      </c>
      <c r="F45" s="178">
        <v>5</v>
      </c>
      <c r="G45" s="178">
        <v>4</v>
      </c>
      <c r="H45" s="178" t="s">
        <v>1060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1017</v>
      </c>
      <c r="E46" s="178">
        <v>100</v>
      </c>
      <c r="F46" s="178">
        <v>5</v>
      </c>
      <c r="G46" s="178">
        <v>4</v>
      </c>
      <c r="H46" s="178" t="s">
        <v>1060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1017</v>
      </c>
      <c r="E47" s="178">
        <v>100</v>
      </c>
      <c r="F47" s="178">
        <v>5</v>
      </c>
      <c r="G47" s="178">
        <v>4</v>
      </c>
      <c r="H47" s="178" t="s">
        <v>1060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1017</v>
      </c>
      <c r="E48" s="182">
        <v>100</v>
      </c>
      <c r="F48" s="182">
        <v>5</v>
      </c>
      <c r="G48" s="182">
        <v>4</v>
      </c>
      <c r="H48" s="182" t="s">
        <v>1060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6442</v>
      </c>
      <c r="D49" s="173" t="s">
        <v>999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1103</v>
      </c>
      <c r="O49" s="180" t="s">
        <v>1040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1019</v>
      </c>
      <c r="E50" s="178">
        <v>90</v>
      </c>
      <c r="F50" s="178">
        <v>5</v>
      </c>
      <c r="G50" s="178">
        <v>4</v>
      </c>
      <c r="H50" s="178" t="s">
        <v>1076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1015</v>
      </c>
      <c r="E51" s="178">
        <v>90</v>
      </c>
      <c r="F51" s="178">
        <v>5</v>
      </c>
      <c r="G51" s="178">
        <v>4</v>
      </c>
      <c r="H51" s="178" t="s">
        <v>1076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1021</v>
      </c>
      <c r="E52" s="178">
        <v>90</v>
      </c>
      <c r="F52" s="178">
        <v>5</v>
      </c>
      <c r="G52" s="178">
        <v>4</v>
      </c>
      <c r="H52" s="178" t="s">
        <v>1076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1031</v>
      </c>
      <c r="E53" s="178">
        <v>90</v>
      </c>
      <c r="F53" s="178">
        <v>5</v>
      </c>
      <c r="G53" s="178">
        <v>4</v>
      </c>
      <c r="H53" s="178" t="s">
        <v>1060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6441</v>
      </c>
      <c r="D58" s="173" t="s">
        <v>1003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1110</v>
      </c>
      <c r="O58" s="180" t="s">
        <v>1113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1019</v>
      </c>
      <c r="E59" s="178">
        <v>90</v>
      </c>
      <c r="F59" s="178">
        <v>5</v>
      </c>
      <c r="G59" s="178">
        <v>4</v>
      </c>
      <c r="H59" s="178" t="s">
        <v>1076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1015</v>
      </c>
      <c r="E60" s="178">
        <v>90</v>
      </c>
      <c r="F60" s="178">
        <v>5</v>
      </c>
      <c r="G60" s="178">
        <v>4</v>
      </c>
      <c r="H60" s="178" t="s">
        <v>1076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1015</v>
      </c>
      <c r="E61" s="178">
        <v>90</v>
      </c>
      <c r="F61" s="178">
        <v>5</v>
      </c>
      <c r="G61" s="178">
        <v>4</v>
      </c>
      <c r="H61" s="178" t="s">
        <v>1076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1036</v>
      </c>
      <c r="E62" s="178">
        <v>90</v>
      </c>
      <c r="F62" s="178">
        <v>5</v>
      </c>
      <c r="G62" s="178">
        <v>4</v>
      </c>
      <c r="H62" s="178" t="s">
        <v>1060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6450</v>
      </c>
      <c r="D67" s="173" t="s">
        <v>1001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1112</v>
      </c>
      <c r="O67" s="180" t="s">
        <v>1111</v>
      </c>
      <c r="Q67" s="192"/>
      <c r="S67" s="161">
        <v>1</v>
      </c>
      <c r="T67" s="161"/>
      <c r="U67" s="161"/>
    </row>
    <row r="68" spans="3:21" x14ac:dyDescent="0.25">
      <c r="D68" s="177" t="s">
        <v>1019</v>
      </c>
      <c r="E68" s="178">
        <v>90</v>
      </c>
      <c r="F68" s="178">
        <v>5</v>
      </c>
      <c r="G68" s="178">
        <v>4</v>
      </c>
      <c r="H68" s="178" t="s">
        <v>1076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1019</v>
      </c>
      <c r="E69" s="178">
        <v>90</v>
      </c>
      <c r="F69" s="178">
        <v>5</v>
      </c>
      <c r="G69" s="178">
        <v>4</v>
      </c>
      <c r="H69" s="178" t="s">
        <v>1076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1015</v>
      </c>
      <c r="E70" s="178">
        <v>90</v>
      </c>
      <c r="F70" s="178">
        <v>5</v>
      </c>
      <c r="G70" s="178">
        <v>4</v>
      </c>
      <c r="H70" s="178" t="s">
        <v>1076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20055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7</v>
      </c>
      <c r="J2" s="1">
        <f>'G&amp;K Stat Calc'!AA3*Main!$F21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1024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9</v>
      </c>
      <c r="J3" s="1">
        <f>'G&amp;K Stat Calc'!AA4*Main!$F22</f>
        <v>400</v>
      </c>
      <c r="K3" s="1">
        <v>5</v>
      </c>
      <c r="L3" s="1">
        <v>10</v>
      </c>
      <c r="M3" s="39">
        <f>'G&amp;K Stat Calc'!AB18</f>
        <v>83</v>
      </c>
      <c r="N3" s="39">
        <f>'G&amp;K Stat Calc'!AD18</f>
        <v>70</v>
      </c>
      <c r="O3" s="39">
        <f>'G&amp;K Stat Calc'!AE18</f>
        <v>29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20097</v>
      </c>
      <c r="D4" s="1">
        <f>VLOOKUP(Main!E23,'Exp Tables'!$A$3:$C$122,3,FALSE)</f>
        <v>5263300</v>
      </c>
      <c r="E4" s="1">
        <f>Main!E23</f>
        <v>110</v>
      </c>
      <c r="F4" s="1">
        <f>IF(EchType="SF",2,1)</f>
        <v>1</v>
      </c>
      <c r="G4" s="1">
        <f>Main!I23</f>
        <v>2</v>
      </c>
      <c r="H4" s="1">
        <f>Main!A23</f>
        <v>3</v>
      </c>
      <c r="I4" s="1">
        <f t="array" ref="I4">SUMPRODUCT((Main!$H$28:$J$30=H4)*'Misc Inputs'!$B$3:$D$5)</f>
        <v>13</v>
      </c>
      <c r="J4" s="1">
        <f>'G&amp;K Stat Calc'!AA5*Main!$F23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294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12</v>
      </c>
      <c r="J5" s="1">
        <f>'G&amp;K Stat Calc'!AA6*Main!$F24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20007</v>
      </c>
      <c r="D6" s="1">
        <f>VLOOKUP(Main!E25,'Exp Tables'!$A$3:$C$122,3,FALSE)</f>
        <v>5263300</v>
      </c>
      <c r="E6" s="1">
        <f>Main!E25</f>
        <v>110</v>
      </c>
      <c r="F6" s="1">
        <f>IF(EchType="SF",2,1)</f>
        <v>1</v>
      </c>
      <c r="G6" s="1">
        <f>Main!I25</f>
        <v>2</v>
      </c>
      <c r="H6" s="1">
        <f>Main!A25</f>
        <v>5</v>
      </c>
      <c r="I6" s="1">
        <f t="array" ref="I6">SUMPRODUCT((Main!$H$28:$J$30=H6)*'Misc Inputs'!$B$3:$D$5)</f>
        <v>8</v>
      </c>
      <c r="J6" s="1">
        <f>'G&amp;K Stat Calc'!AA7*Main!$F25</f>
        <v>420</v>
      </c>
      <c r="K6" s="1">
        <v>5</v>
      </c>
      <c r="L6" s="1">
        <v>10</v>
      </c>
      <c r="M6" s="39">
        <f>'G&amp;K Stat Calc'!AB21</f>
        <v>19</v>
      </c>
      <c r="N6" s="39">
        <f>'G&amp;K Stat Calc'!AD21</f>
        <v>43</v>
      </c>
      <c r="O6" s="39">
        <f>'G&amp;K Stat Calc'!AE21</f>
        <v>58</v>
      </c>
      <c r="P6" s="39">
        <f>'G&amp;K Stat Calc'!AC21</f>
        <v>20</v>
      </c>
      <c r="Q6" s="1">
        <f>Main!G25</f>
        <v>10</v>
      </c>
      <c r="R6" s="1">
        <f>Main!H25</f>
        <v>10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2000000</v>
      </c>
      <c r="AB6" s="1">
        <f>AA6</f>
        <v>2000000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20055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1024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20097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294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20007</v>
      </c>
      <c r="D6" s="51">
        <f>INDEX('Equip Data'!$A:$A,MATCH(Main!M25,'Equip Data'!$AG:$AG,0))</f>
        <v>133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10000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20055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1024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20097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294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20007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20055</v>
      </c>
      <c r="D12" s="50">
        <f>INDEX('Equip Data'!$A:$A,MATCH(Main!U21,'Equip Data'!$AG:$AG,0))</f>
        <v>99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10000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10000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1024</v>
      </c>
      <c r="D13" s="50">
        <f>INDEX('Equip Data'!$A:$A,MATCH(Main!U22,'Equip Data'!$AG:$AG,0))</f>
        <v>183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20097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294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20007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6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876</v>
      </c>
      <c r="C1" s="96" t="s">
        <v>877</v>
      </c>
      <c r="D1" s="96" t="s">
        <v>878</v>
      </c>
      <c r="E1" s="96" t="s">
        <v>220</v>
      </c>
      <c r="F1" s="96" t="s">
        <v>879</v>
      </c>
      <c r="G1" s="96" t="s">
        <v>34</v>
      </c>
      <c r="H1" s="96" t="s">
        <v>880</v>
      </c>
      <c r="I1" s="96" t="s">
        <v>35</v>
      </c>
      <c r="J1" s="96" t="s">
        <v>36</v>
      </c>
      <c r="K1" s="96" t="s">
        <v>881</v>
      </c>
      <c r="L1" s="96" t="s">
        <v>882</v>
      </c>
      <c r="M1" s="96" t="s">
        <v>883</v>
      </c>
      <c r="N1" s="96" t="s">
        <v>884</v>
      </c>
      <c r="O1" s="96" t="s">
        <v>885</v>
      </c>
      <c r="P1" s="96" t="s">
        <v>886</v>
      </c>
      <c r="Q1" s="96" t="s">
        <v>38</v>
      </c>
      <c r="R1" s="96" t="s">
        <v>887</v>
      </c>
      <c r="S1" s="96" t="s">
        <v>41</v>
      </c>
      <c r="T1" s="96" t="s">
        <v>42</v>
      </c>
      <c r="U1" s="96" t="s">
        <v>888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IF(Main!A57="","",1000&amp;Main!B57)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Main!D57-'G&amp;K Stat Calc'!AI3</f>
        <v>493</v>
      </c>
      <c r="L2" s="39">
        <f>Main!G57-'G&amp;K Stat Calc'!AJ3</f>
        <v>125</v>
      </c>
      <c r="M2" s="39">
        <f>Main!F57-'G&amp;K Stat Calc'!AK3</f>
        <v>476</v>
      </c>
      <c r="N2" s="39">
        <f>Main!E57-'G&amp;K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Main!H57</f>
        <v>10</v>
      </c>
      <c r="T2" s="1">
        <f>Main!I57</f>
        <v>10</v>
      </c>
      <c r="U2" s="1">
        <f>Main!J57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IF(Main!A58="","",1000&amp;Main!B58)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Main!D58-'G&amp;K Stat Calc'!AI4</f>
        <v>265</v>
      </c>
      <c r="L3" s="39">
        <f>Main!G58-'G&amp;K Stat Calc'!AJ4</f>
        <v>614</v>
      </c>
      <c r="M3" s="39">
        <f>Main!F58-'G&amp;K Stat Calc'!AK4</f>
        <v>314</v>
      </c>
      <c r="N3" s="39">
        <f>Main!E58-'G&amp;K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Main!H58</f>
        <v>10</v>
      </c>
      <c r="T3" s="1">
        <f>Main!I58</f>
        <v>10</v>
      </c>
      <c r="U3" s="1">
        <f>Main!J58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IF(Main!A59="","",1000&amp;Main!B59)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Main!D59-'G&amp;K Stat Calc'!AI5</f>
        <v>569</v>
      </c>
      <c r="L4" s="39">
        <f>Main!G59-'G&amp;K Stat Calc'!AJ5</f>
        <v>252</v>
      </c>
      <c r="M4" s="39">
        <f>Main!F59-'G&amp;K Stat Calc'!AK5</f>
        <v>230</v>
      </c>
      <c r="N4" s="39">
        <f>Main!E59-'G&amp;K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Main!H59</f>
        <v>10</v>
      </c>
      <c r="T4" s="1">
        <f>Main!I59</f>
        <v>10</v>
      </c>
      <c r="U4" s="1">
        <f>Main!J59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IF(Main!A60="","",1000&amp;Main!B60)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Main!D60-'G&amp;K Stat Calc'!AI6</f>
        <v>481</v>
      </c>
      <c r="L5" s="39">
        <f>Main!G60-'G&amp;K Stat Calc'!AJ6</f>
        <v>340</v>
      </c>
      <c r="M5" s="39">
        <f>Main!F60-'G&amp;K Stat Calc'!AK6</f>
        <v>226</v>
      </c>
      <c r="N5" s="39">
        <f>Main!E60-'G&amp;K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Main!H60</f>
        <v>10</v>
      </c>
      <c r="T5" s="1">
        <f>Main!I60</f>
        <v>10</v>
      </c>
      <c r="U5" s="1">
        <f>Main!J60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IF(Main!A61="","",1000&amp;Main!B61)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Main!D61-'G&amp;K Stat Calc'!AI7</f>
        <v>394</v>
      </c>
      <c r="L6" s="39">
        <f>Main!G61-'G&amp;K Stat Calc'!AJ7</f>
        <v>204</v>
      </c>
      <c r="M6" s="39">
        <f>Main!F61-'G&amp;K Stat Calc'!AK7</f>
        <v>452</v>
      </c>
      <c r="N6" s="39">
        <f>Main!E61-'G&amp;K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Main!H61</f>
        <v>10</v>
      </c>
      <c r="T6" s="1">
        <f>Main!I61</f>
        <v>10</v>
      </c>
      <c r="U6" s="1">
        <f>Main!J61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IF(Main!A62="","",1000&amp;Main!B62)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Main!D62-'G&amp;K Stat Calc'!AI8</f>
        <v>309</v>
      </c>
      <c r="L7" s="39">
        <f>Main!G62-'G&amp;K Stat Calc'!AJ8</f>
        <v>528</v>
      </c>
      <c r="M7" s="39">
        <f>Main!F62-'G&amp;K Stat Calc'!AK8</f>
        <v>310</v>
      </c>
      <c r="N7" s="39">
        <f>Main!E62-'G&amp;K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Main!H62</f>
        <v>10</v>
      </c>
      <c r="T7" s="1">
        <f>Main!I62</f>
        <v>10</v>
      </c>
      <c r="U7" s="1">
        <f>Main!J62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IF(Main!A63="","",1000&amp;Main!B63)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Main!D63-'G&amp;K Stat Calc'!AI9</f>
        <v>430</v>
      </c>
      <c r="L8" s="39">
        <f>Main!G63-'G&amp;K Stat Calc'!AJ9</f>
        <v>186</v>
      </c>
      <c r="M8" s="39">
        <f>Main!F63-'G&amp;K Stat Calc'!AK9</f>
        <v>378</v>
      </c>
      <c r="N8" s="39">
        <f>Main!E63-'G&amp;K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Main!H63</f>
        <v>10</v>
      </c>
      <c r="T8" s="1">
        <f>Main!I63</f>
        <v>10</v>
      </c>
      <c r="U8" s="1">
        <f>Main!J63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IF(Main!A64="","",1000&amp;Main!B64)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Main!D64-'G&amp;K Stat Calc'!AI10</f>
        <v>321</v>
      </c>
      <c r="L9" s="39">
        <f>Main!G64-'G&amp;K Stat Calc'!AJ10</f>
        <v>290</v>
      </c>
      <c r="M9" s="39">
        <f>Main!F64-'G&amp;K Stat Calc'!AK10</f>
        <v>317</v>
      </c>
      <c r="N9" s="39">
        <f>Main!E64-'G&amp;K Stat Calc'!AL10</f>
        <v>128</v>
      </c>
      <c r="O9" s="39">
        <v>0</v>
      </c>
      <c r="P9" s="39">
        <v>0</v>
      </c>
      <c r="Q9" s="39">
        <v>0</v>
      </c>
      <c r="R9" s="39">
        <v>0</v>
      </c>
      <c r="S9" s="1">
        <f>Main!H64</f>
        <v>10</v>
      </c>
      <c r="T9" s="1">
        <f>Main!I64</f>
        <v>10</v>
      </c>
      <c r="U9" s="1">
        <f>Main!J64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1044</v>
      </c>
      <c r="D1" s="96" t="s">
        <v>1045</v>
      </c>
      <c r="E1" s="96" t="s">
        <v>1046</v>
      </c>
      <c r="F1" s="96" t="s">
        <v>1047</v>
      </c>
      <c r="G1" s="96" t="s">
        <v>1048</v>
      </c>
      <c r="H1" s="96" t="s">
        <v>1049</v>
      </c>
      <c r="I1" s="96" t="s">
        <v>1050</v>
      </c>
      <c r="J1" s="96" t="s">
        <v>1051</v>
      </c>
      <c r="K1" s="96" t="s">
        <v>41</v>
      </c>
      <c r="L1" s="96" t="s">
        <v>42</v>
      </c>
      <c r="M1" s="96" t="s">
        <v>888</v>
      </c>
      <c r="N1" s="96" t="s">
        <v>993</v>
      </c>
      <c r="O1" s="96" t="s">
        <v>1052</v>
      </c>
      <c r="P1" s="96" t="s">
        <v>1053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1054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IF(Main!C42="","",1&amp;ROW()-1)</f>
        <v>11</v>
      </c>
      <c r="B2" s="1">
        <v>562858</v>
      </c>
      <c r="C2" s="1">
        <f>INDEX('SF Data'!$A:$A,MATCH(Main!C42,'SF Data'!$C:$C,0))</f>
        <v>1008</v>
      </c>
      <c r="D2" s="1">
        <f>VLOOKUP(E2,'Exp Tables'!$M$3:$O$102,3,FALSE)</f>
        <v>1967300</v>
      </c>
      <c r="E2" s="1">
        <f>Main!D42</f>
        <v>90</v>
      </c>
      <c r="F2" s="1">
        <f>MAX(Main!B42,Main!E42)</f>
        <v>5</v>
      </c>
      <c r="G2" s="1">
        <f>Main!F42</f>
        <v>0</v>
      </c>
      <c r="H2" s="1">
        <v>100</v>
      </c>
      <c r="I2" s="1">
        <f>IF(Main!G42="XL",5,IF(Main!G42="L",4,IF(Main!G42="M",3,IF(Main!G42="S",2,IF(Main!G42="XS",1,0)))))</f>
        <v>0</v>
      </c>
      <c r="J2" s="1">
        <f>IF(I2=0,0,1)</f>
        <v>0</v>
      </c>
      <c r="K2" s="1">
        <f>IF(Main!B42=3,Main!I42,0)</f>
        <v>10</v>
      </c>
      <c r="L2" s="1">
        <f>IF(Main!B42=3,Main!J42,0)</f>
        <v>10</v>
      </c>
      <c r="M2" s="1">
        <f>IF(Main!B42=2,Main!I42,IF(Main!B42=3,Main!K42,0))</f>
        <v>5</v>
      </c>
      <c r="N2" s="1">
        <f>IF(AND(Main!B42=1,Main!E42&gt;=4),Main!I42,IF(AND(Main!B42=2,Main!E42&gt;=4),Main!J42,IF(AND(Main!B42=3,Main!E42&gt;=4),Main!L42,0)))</f>
        <v>5</v>
      </c>
      <c r="O2" s="1">
        <f>IF(OR(Main!M42="",Main!B42&lt;3),0,INDEX('SF Chip Data'!$A:$A,MATCH(Main!M42,'SF Chip Data'!$B:$B,0)))</f>
        <v>3001</v>
      </c>
      <c r="P2" s="1">
        <f>IF(AND(Main!B42=3,Main!E42&gt;=4,Main!N42&lt;&gt;""),INDEX('SF Chip Data'!$A:$A,MATCH(Main!N42,'SF Chip Data'!$B:$B,0)),0)</f>
        <v>3003</v>
      </c>
      <c r="Q2" s="1">
        <v>0</v>
      </c>
      <c r="R2" s="1">
        <f>Main!H42*10000</f>
        <v>1000000</v>
      </c>
      <c r="S2" s="1">
        <f>IF(Main!H42&lt;=100,1000000,1500000)</f>
        <v>1000000</v>
      </c>
      <c r="T2" s="1">
        <f>S2</f>
        <v>1000000</v>
      </c>
      <c r="U2" s="1">
        <f>IF(AND(UseSFCustomHP=TRUE,Main!Q42&lt;&gt;0),Main!Q42,'SF Stat Calc'!X3)</f>
        <v>1025</v>
      </c>
      <c r="V2" s="1">
        <v>0</v>
      </c>
      <c r="W2" s="1">
        <f>IF(Main!H42&gt;100,1,0)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IF(Main!C43="","",1&amp;ROW()-1)</f>
        <v>12</v>
      </c>
      <c r="B3" s="1">
        <v>562858</v>
      </c>
      <c r="C3" s="1">
        <f>INDEX('SF Data'!$A:$A,MATCH(Main!C43,'SF Data'!$C:$C,0))</f>
        <v>2006</v>
      </c>
      <c r="D3" s="1">
        <f>VLOOKUP(E3,'Exp Tables'!$M$3:$O$102,3,FALSE)</f>
        <v>1967300</v>
      </c>
      <c r="E3" s="1">
        <f>Main!D43</f>
        <v>90</v>
      </c>
      <c r="F3" s="1">
        <f>MAX(Main!B43,Main!E43)</f>
        <v>5</v>
      </c>
      <c r="G3" s="1">
        <f>Main!F43</f>
        <v>4</v>
      </c>
      <c r="H3" s="1">
        <v>100</v>
      </c>
      <c r="I3" s="1">
        <f>IF(Main!G43="XL",5,IF(Main!G43="L",4,IF(Main!G43="M",3,IF(Main!G43="S",2,IF(Main!G43="XS",1,0)))))</f>
        <v>4</v>
      </c>
      <c r="J3" s="1">
        <f t="shared" ref="J3:J10" si="0">IF(I3=0,0,1)</f>
        <v>1</v>
      </c>
      <c r="K3" s="1">
        <f>IF(Main!B43=3,Main!I43,0)</f>
        <v>0</v>
      </c>
      <c r="L3" s="1">
        <f>IF(Main!B43=3,Main!J43,0)</f>
        <v>0</v>
      </c>
      <c r="M3" s="1">
        <f>IF(Main!B43=2,Main!I43,IF(Main!B43=3,Main!K43,0))</f>
        <v>5</v>
      </c>
      <c r="N3" s="1">
        <f>IF(AND(Main!B43=1,Main!E43&gt;=4),Main!I43,IF(AND(Main!B43=2,Main!E43&gt;=4),Main!J43,IF(AND(Main!B43=3,Main!E43&gt;=4),Main!L43,0)))</f>
        <v>5</v>
      </c>
      <c r="O3" s="1">
        <f>IF(OR(Main!M43="",Main!B43&lt;3),0,INDEX('SF Chip Data'!$A:$A,MATCH(Main!M43,'SF Chip Data'!$B:$B,0)))</f>
        <v>0</v>
      </c>
      <c r="P3" s="1">
        <f>IF(AND(Main!B43=3,Main!E43&gt;=4,Main!N43&lt;&gt;""),INDEX('SF Chip Data'!$A:$A,MATCH(Main!N43,'SF Chip Data'!$B:$B,0)),0)</f>
        <v>0</v>
      </c>
      <c r="Q3" s="1">
        <v>0</v>
      </c>
      <c r="R3" s="1">
        <f>Main!H43*10000</f>
        <v>1000000</v>
      </c>
      <c r="S3" s="1">
        <f>IF(Main!H43&lt;=100,1000000,1500000)</f>
        <v>1000000</v>
      </c>
      <c r="T3" s="1">
        <f t="shared" ref="T3:T10" si="1">S3</f>
        <v>1000000</v>
      </c>
      <c r="U3" s="1">
        <f>IF(AND(UseSFCustomHP=TRUE,Main!Q43&lt;&gt;0),Main!Q43,'SF Stat Calc'!X4)</f>
        <v>1527</v>
      </c>
      <c r="V3" s="1">
        <v>0</v>
      </c>
      <c r="W3" s="1">
        <f>IF(Main!H43&gt;100,1,0)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IF(Main!C44="","",1&amp;ROW()-1)</f>
        <v>13</v>
      </c>
      <c r="B4" s="1">
        <v>562858</v>
      </c>
      <c r="C4" s="1">
        <f>INDEX('SF Data'!$A:$A,MATCH(Main!C44,'SF Data'!$C:$C,0))</f>
        <v>2004</v>
      </c>
      <c r="D4" s="1">
        <f>VLOOKUP(E4,'Exp Tables'!$M$3:$O$102,3,FALSE)</f>
        <v>1967300</v>
      </c>
      <c r="E4" s="1">
        <f>Main!D44</f>
        <v>90</v>
      </c>
      <c r="F4" s="1">
        <f>MAX(Main!B44,Main!E44)</f>
        <v>5</v>
      </c>
      <c r="G4" s="1">
        <f>Main!F44</f>
        <v>4</v>
      </c>
      <c r="H4" s="1">
        <v>100</v>
      </c>
      <c r="I4" s="1">
        <f>IF(Main!G44="XL",5,IF(Main!G44="L",4,IF(Main!G44="M",3,IF(Main!G44="S",2,IF(Main!G44="XS",1,0)))))</f>
        <v>4</v>
      </c>
      <c r="J4" s="1">
        <f t="shared" si="0"/>
        <v>1</v>
      </c>
      <c r="K4" s="1">
        <f>IF(Main!B44=3,Main!I44,0)</f>
        <v>0</v>
      </c>
      <c r="L4" s="1">
        <f>IF(Main!B44=3,Main!J44,0)</f>
        <v>0</v>
      </c>
      <c r="M4" s="1">
        <f>IF(Main!B44=2,Main!I44,IF(Main!B44=3,Main!K44,0))</f>
        <v>5</v>
      </c>
      <c r="N4" s="1">
        <f>IF(AND(Main!B44=1,Main!E44&gt;=4),Main!I44,IF(AND(Main!B44=2,Main!E44&gt;=4),Main!J44,IF(AND(Main!B44=3,Main!E44&gt;=4),Main!L44,0)))</f>
        <v>5</v>
      </c>
      <c r="O4" s="1">
        <f>IF(OR(Main!M44="",Main!B44&lt;3),0,INDEX('SF Chip Data'!$A:$A,MATCH(Main!M44,'SF Chip Data'!$B:$B,0)))</f>
        <v>0</v>
      </c>
      <c r="P4" s="1">
        <f>IF(AND(Main!B44=3,Main!E44&gt;=4,Main!N44&lt;&gt;""),INDEX('SF Chip Data'!$A:$A,MATCH(Main!N44,'SF Chip Data'!$B:$B,0)),0)</f>
        <v>0</v>
      </c>
      <c r="Q4" s="1">
        <v>0</v>
      </c>
      <c r="R4" s="1">
        <f>Main!H44*10000</f>
        <v>1000000</v>
      </c>
      <c r="S4" s="1">
        <f>IF(Main!H44&lt;=100,1000000,1500000)</f>
        <v>1000000</v>
      </c>
      <c r="T4" s="1">
        <f t="shared" si="1"/>
        <v>1000000</v>
      </c>
      <c r="U4" s="1">
        <f>IF(AND(UseSFCustomHP=TRUE,Main!Q44&lt;&gt;0),Main!Q44,'SF Stat Calc'!X5)</f>
        <v>918</v>
      </c>
      <c r="V4" s="1">
        <v>0</v>
      </c>
      <c r="W4" s="1">
        <f>IF(Main!H44&gt;100,1,0)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IF(Main!C45="","",1&amp;ROW()-1)</f>
        <v>14</v>
      </c>
      <c r="B5" s="1">
        <v>562858</v>
      </c>
      <c r="C5" s="1">
        <f>INDEX('SF Data'!$A:$A,MATCH(Main!C45,'SF Data'!$C:$C,0))</f>
        <v>2004</v>
      </c>
      <c r="D5" s="1">
        <f>VLOOKUP(E5,'Exp Tables'!$M$3:$O$102,3,FALSE)</f>
        <v>1967300</v>
      </c>
      <c r="E5" s="1">
        <f>Main!D45</f>
        <v>90</v>
      </c>
      <c r="F5" s="1">
        <f>MAX(Main!B45,Main!E45)</f>
        <v>5</v>
      </c>
      <c r="G5" s="1">
        <f>Main!F45</f>
        <v>4</v>
      </c>
      <c r="H5" s="1">
        <v>100</v>
      </c>
      <c r="I5" s="1">
        <f>IF(Main!G45="XL",5,IF(Main!G45="L",4,IF(Main!G45="M",3,IF(Main!G45="S",2,IF(Main!G45="XS",1,0)))))</f>
        <v>4</v>
      </c>
      <c r="J5" s="1">
        <f t="shared" si="0"/>
        <v>1</v>
      </c>
      <c r="K5" s="1">
        <f>IF(Main!B45=3,Main!I45,0)</f>
        <v>0</v>
      </c>
      <c r="L5" s="1">
        <f>IF(Main!B45=3,Main!J45,0)</f>
        <v>0</v>
      </c>
      <c r="M5" s="1">
        <f>IF(Main!B45=2,Main!I45,IF(Main!B45=3,Main!K45,0))</f>
        <v>5</v>
      </c>
      <c r="N5" s="1">
        <f>IF(AND(Main!B45=1,Main!E45&gt;=4),Main!I45,IF(AND(Main!B45=2,Main!E45&gt;=4),Main!J45,IF(AND(Main!B45=3,Main!E45&gt;=4),Main!L45,0)))</f>
        <v>5</v>
      </c>
      <c r="O5" s="1">
        <f>IF(OR(Main!M45="",Main!B45&lt;3),0,INDEX('SF Chip Data'!$A:$A,MATCH(Main!M45,'SF Chip Data'!$B:$B,0)))</f>
        <v>0</v>
      </c>
      <c r="P5" s="1">
        <f>IF(AND(Main!B45=3,Main!E45&gt;=4,Main!N45&lt;&gt;""),INDEX('SF Chip Data'!$A:$A,MATCH(Main!N45,'SF Chip Data'!$B:$B,0)),0)</f>
        <v>0</v>
      </c>
      <c r="Q5" s="1">
        <v>0</v>
      </c>
      <c r="R5" s="1">
        <f>Main!H45*10000</f>
        <v>1000000</v>
      </c>
      <c r="S5" s="1">
        <f>IF(Main!H45&lt;=100,1000000,1500000)</f>
        <v>1000000</v>
      </c>
      <c r="T5" s="1">
        <f t="shared" si="1"/>
        <v>1000000</v>
      </c>
      <c r="U5" s="1">
        <f>IF(AND(UseSFCustomHP=TRUE,Main!Q45&lt;&gt;0),Main!Q45,'SF Stat Calc'!X6)</f>
        <v>918</v>
      </c>
      <c r="V5" s="1">
        <v>0</v>
      </c>
      <c r="W5" s="1">
        <f>IF(Main!H45&gt;100,1,0)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IF(Main!C46="","",1&amp;ROW()-1)</f>
        <v>15</v>
      </c>
      <c r="B6" s="1">
        <v>562858</v>
      </c>
      <c r="C6" s="1">
        <f>INDEX('SF Data'!$A:$A,MATCH(Main!C46,'SF Data'!$C:$C,0))</f>
        <v>3009</v>
      </c>
      <c r="D6" s="1">
        <f>VLOOKUP(E6,'Exp Tables'!$M$3:$O$102,3,FALSE)</f>
        <v>1967300</v>
      </c>
      <c r="E6" s="1">
        <f>Main!D46</f>
        <v>90</v>
      </c>
      <c r="F6" s="1">
        <f>MAX(Main!B46,Main!E46)</f>
        <v>5</v>
      </c>
      <c r="G6" s="1">
        <f>Main!F46</f>
        <v>4</v>
      </c>
      <c r="H6" s="1">
        <v>100</v>
      </c>
      <c r="I6" s="1">
        <f>IF(Main!G46="XL",5,IF(Main!G46="L",4,IF(Main!G46="M",3,IF(Main!G46="S",2,IF(Main!G46="XS",1,0)))))</f>
        <v>5</v>
      </c>
      <c r="J6" s="1">
        <f t="shared" si="0"/>
        <v>1</v>
      </c>
      <c r="K6" s="1">
        <f>IF(Main!B46=3,Main!I46,0)</f>
        <v>0</v>
      </c>
      <c r="L6" s="1">
        <f>IF(Main!B46=3,Main!J46,0)</f>
        <v>0</v>
      </c>
      <c r="M6" s="1">
        <f>IF(Main!B46=2,Main!I46,IF(Main!B46=3,Main!K46,0))</f>
        <v>0</v>
      </c>
      <c r="N6" s="1">
        <f>IF(AND(Main!B46=1,Main!E46&gt;=4),Main!I46,IF(AND(Main!B46=2,Main!E46&gt;=4),Main!J46,IF(AND(Main!B46=3,Main!E46&gt;=4),Main!L46,0)))</f>
        <v>5</v>
      </c>
      <c r="O6" s="1">
        <f>IF(OR(Main!M46="",Main!B46&lt;3),0,INDEX('SF Chip Data'!$A:$A,MATCH(Main!M46,'SF Chip Data'!$B:$B,0)))</f>
        <v>0</v>
      </c>
      <c r="P6" s="1">
        <f>IF(AND(Main!B46=3,Main!E46&gt;=4,Main!N46&lt;&gt;""),INDEX('SF Chip Data'!$A:$A,MATCH(Main!N46,'SF Chip Data'!$B:$B,0)),0)</f>
        <v>0</v>
      </c>
      <c r="Q6" s="1">
        <v>0</v>
      </c>
      <c r="R6" s="1">
        <f>Main!H46*10000</f>
        <v>1000000</v>
      </c>
      <c r="S6" s="1">
        <f>IF(Main!H46&lt;=100,1000000,1500000)</f>
        <v>1000000</v>
      </c>
      <c r="T6" s="1">
        <f t="shared" si="1"/>
        <v>1000000</v>
      </c>
      <c r="U6" s="1">
        <f>IF(AND(UseSFCustomHP=TRUE,Main!Q46&lt;&gt;0),Main!Q46,'SF Stat Calc'!X7)</f>
        <v>491</v>
      </c>
      <c r="V6" s="1">
        <v>0</v>
      </c>
      <c r="W6" s="1">
        <f>IF(Main!H46&gt;100,1,0)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IF(Main!C47="","",1&amp;ROW()-1)</f>
        <v/>
      </c>
      <c r="B7" s="1">
        <v>562858</v>
      </c>
      <c r="C7" s="1" t="e">
        <f>INDEX('SF Data'!$A:$A,MATCH(Main!C47,'SF Data'!$C:$C,0))</f>
        <v>#N/A</v>
      </c>
      <c r="D7" s="1" t="e">
        <f>VLOOKUP(E7,'Exp Tables'!$M$3:$O$102,3,FALSE)</f>
        <v>#N/A</v>
      </c>
      <c r="E7" s="1">
        <f>Main!D47</f>
        <v>0</v>
      </c>
      <c r="F7" s="1">
        <f>MAX(Main!B47,Main!E47)</f>
        <v>0</v>
      </c>
      <c r="G7" s="1">
        <f>Main!F47</f>
        <v>0</v>
      </c>
      <c r="H7" s="1">
        <v>100</v>
      </c>
      <c r="I7" s="1">
        <f>IF(Main!G47="XL",5,IF(Main!G47="L",4,IF(Main!G47="M",3,IF(Main!G47="S",2,IF(Main!G47="XS",1,0)))))</f>
        <v>0</v>
      </c>
      <c r="J7" s="1">
        <f t="shared" si="0"/>
        <v>0</v>
      </c>
      <c r="K7" s="1">
        <f>IF(Main!B47=3,Main!I47,0)</f>
        <v>0</v>
      </c>
      <c r="L7" s="1">
        <f>IF(Main!B47=3,Main!J47,0)</f>
        <v>0</v>
      </c>
      <c r="M7" s="1">
        <f>IF(Main!B47=2,Main!I47,IF(Main!B47=3,Main!K47,0))</f>
        <v>0</v>
      </c>
      <c r="N7" s="1">
        <f>IF(AND(Main!B47=1,Main!E47&gt;=4),Main!I47,IF(AND(Main!B47=2,Main!E47&gt;=4),Main!J47,IF(AND(Main!B47=3,Main!E47&gt;=4),Main!L47,0)))</f>
        <v>0</v>
      </c>
      <c r="O7" s="1">
        <f>IF(OR(Main!M47="",Main!B47&lt;3),0,INDEX('SF Chip Data'!$A:$A,MATCH(Main!M47,'SF Chip Data'!$B:$B,0)))</f>
        <v>0</v>
      </c>
      <c r="P7" s="1">
        <f>IF(AND(Main!B47=3,Main!E47&gt;=4,Main!N47&lt;&gt;""),INDEX('SF Chip Data'!$A:$A,MATCH(Main!N47,'SF Chip Data'!$B:$B,0)),0)</f>
        <v>0</v>
      </c>
      <c r="Q7" s="1">
        <v>0</v>
      </c>
      <c r="R7" s="1">
        <f>Main!H47*10000</f>
        <v>0</v>
      </c>
      <c r="S7" s="1">
        <f>IF(Main!H47&lt;=100,1000000,1500000)</f>
        <v>1000000</v>
      </c>
      <c r="T7" s="1">
        <f t="shared" si="1"/>
        <v>1000000</v>
      </c>
      <c r="U7" s="1" t="e">
        <f>IF(AND(UseSFCustomHP=TRUE,Main!Q47&lt;&gt;0),Main!Q47,'SF Stat Calc'!X8)</f>
        <v>#N/A</v>
      </c>
      <c r="V7" s="1">
        <v>0</v>
      </c>
      <c r="W7" s="1">
        <f>IF(Main!H47&gt;100,1,0)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IF(Main!C48="","",1&amp;ROW()-1)</f>
        <v/>
      </c>
      <c r="B8" s="1">
        <v>562858</v>
      </c>
      <c r="C8" s="1" t="e">
        <f>INDEX('SF Data'!$A:$A,MATCH(Main!C48,'SF Data'!$C:$C,0))</f>
        <v>#N/A</v>
      </c>
      <c r="D8" s="1" t="e">
        <f>VLOOKUP(E8,'Exp Tables'!$M$3:$O$102,3,FALSE)</f>
        <v>#N/A</v>
      </c>
      <c r="E8" s="1">
        <f>Main!D48</f>
        <v>0</v>
      </c>
      <c r="F8" s="1">
        <f>MAX(Main!B48,Main!E48)</f>
        <v>0</v>
      </c>
      <c r="G8" s="1">
        <f>Main!F48</f>
        <v>0</v>
      </c>
      <c r="H8" s="1">
        <v>100</v>
      </c>
      <c r="I8" s="1">
        <f>IF(Main!G48="XL",5,IF(Main!G48="L",4,IF(Main!G48="M",3,IF(Main!G48="S",2,IF(Main!G48="XS",1,0)))))</f>
        <v>0</v>
      </c>
      <c r="J8" s="1">
        <f t="shared" si="0"/>
        <v>0</v>
      </c>
      <c r="K8" s="1">
        <f>IF(Main!B48=3,Main!I48,0)</f>
        <v>0</v>
      </c>
      <c r="L8" s="1">
        <f>IF(Main!B48=3,Main!J48,0)</f>
        <v>0</v>
      </c>
      <c r="M8" s="1">
        <f>IF(Main!B48=2,Main!I48,IF(Main!B48=3,Main!K48,0))</f>
        <v>0</v>
      </c>
      <c r="N8" s="1">
        <f>IF(AND(Main!B48=1,Main!E48&gt;=4),Main!I48,IF(AND(Main!B48=2,Main!E48&gt;=4),Main!J48,IF(AND(Main!B48=3,Main!E48&gt;=4),Main!L48,0)))</f>
        <v>0</v>
      </c>
      <c r="O8" s="1">
        <f>IF(OR(Main!M48="",Main!B48&lt;3),0,INDEX('SF Chip Data'!$A:$A,MATCH(Main!M48,'SF Chip Data'!$B:$B,0)))</f>
        <v>0</v>
      </c>
      <c r="P8" s="1">
        <f>IF(AND(Main!B48=3,Main!E48&gt;=4,Main!N48&lt;&gt;""),INDEX('SF Chip Data'!$A:$A,MATCH(Main!N48,'SF Chip Data'!$B:$B,0)),0)</f>
        <v>0</v>
      </c>
      <c r="Q8" s="1">
        <v>0</v>
      </c>
      <c r="R8" s="1">
        <f>Main!H48*10000</f>
        <v>0</v>
      </c>
      <c r="S8" s="1">
        <f>IF(Main!H48&lt;=100,1000000,1500000)</f>
        <v>1000000</v>
      </c>
      <c r="T8" s="1">
        <f t="shared" si="1"/>
        <v>1000000</v>
      </c>
      <c r="U8" s="1" t="e">
        <f>IF(AND(UseSFCustomHP=TRUE,Main!Q48&lt;&gt;0),Main!Q48,'SF Stat Calc'!X9)</f>
        <v>#N/A</v>
      </c>
      <c r="V8" s="1">
        <v>0</v>
      </c>
      <c r="W8" s="1">
        <f>IF(Main!H48&gt;100,1,0)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IF(Main!C49="","",1&amp;ROW()-1)</f>
        <v/>
      </c>
      <c r="B9" s="1">
        <v>562858</v>
      </c>
      <c r="C9" s="1" t="e">
        <f>INDEX('SF Data'!$A:$A,MATCH(Main!C49,'SF Data'!$C:$C,0))</f>
        <v>#N/A</v>
      </c>
      <c r="D9" s="1" t="e">
        <f>VLOOKUP(E9,'Exp Tables'!$M$3:$O$102,3,FALSE)</f>
        <v>#N/A</v>
      </c>
      <c r="E9" s="1">
        <f>Main!D49</f>
        <v>0</v>
      </c>
      <c r="F9" s="1">
        <f>MAX(Main!B49,Main!E49)</f>
        <v>0</v>
      </c>
      <c r="G9" s="1">
        <f>Main!F49</f>
        <v>0</v>
      </c>
      <c r="H9" s="1">
        <v>100</v>
      </c>
      <c r="I9" s="1">
        <f>IF(Main!G49="XL",5,IF(Main!G49="L",4,IF(Main!G49="M",3,IF(Main!G49="S",2,IF(Main!G49="XS",1,0)))))</f>
        <v>0</v>
      </c>
      <c r="J9" s="1">
        <f t="shared" si="0"/>
        <v>0</v>
      </c>
      <c r="K9" s="1">
        <f>IF(Main!B49=3,Main!I49,0)</f>
        <v>0</v>
      </c>
      <c r="L9" s="1">
        <f>IF(Main!B49=3,Main!J49,0)</f>
        <v>0</v>
      </c>
      <c r="M9" s="1">
        <f>IF(Main!B49=2,Main!I49,IF(Main!B49=3,Main!K49,0))</f>
        <v>0</v>
      </c>
      <c r="N9" s="1">
        <f>IF(AND(Main!B49=1,Main!E49&gt;=4),Main!I49,IF(AND(Main!B49=2,Main!E49&gt;=4),Main!J49,IF(AND(Main!B49=3,Main!E49&gt;=4),Main!L49,0)))</f>
        <v>0</v>
      </c>
      <c r="O9" s="1">
        <f>IF(OR(Main!M49="",Main!B49&lt;3),0,INDEX('SF Chip Data'!$A:$A,MATCH(Main!M49,'SF Chip Data'!$B:$B,0)))</f>
        <v>0</v>
      </c>
      <c r="P9" s="1">
        <f>IF(AND(Main!B49=3,Main!E49&gt;=4,Main!N49&lt;&gt;""),INDEX('SF Chip Data'!$A:$A,MATCH(Main!N49,'SF Chip Data'!$B:$B,0)),0)</f>
        <v>0</v>
      </c>
      <c r="Q9" s="1">
        <v>0</v>
      </c>
      <c r="R9" s="1">
        <f>Main!H49*10000</f>
        <v>0</v>
      </c>
      <c r="S9" s="1">
        <f>IF(Main!H49&lt;=100,1000000,1500000)</f>
        <v>1000000</v>
      </c>
      <c r="T9" s="1">
        <f t="shared" si="1"/>
        <v>1000000</v>
      </c>
      <c r="U9" s="1" t="e">
        <f>IF(AND(UseSFCustomHP=TRUE,Main!Q49&lt;&gt;0),Main!Q49,'SF Stat Calc'!X10)</f>
        <v>#N/A</v>
      </c>
      <c r="V9" s="1">
        <v>0</v>
      </c>
      <c r="W9" s="1">
        <f>IF(Main!H49&gt;100,1,0)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IF(Main!C50="","",1&amp;ROW()-1)</f>
        <v/>
      </c>
      <c r="B10" s="51">
        <v>562858</v>
      </c>
      <c r="C10" s="51" t="e">
        <f>INDEX('SF Data'!$A:$A,MATCH(Main!C50,'SF Data'!$C:$C,0))</f>
        <v>#N/A</v>
      </c>
      <c r="D10" s="51" t="e">
        <f>VLOOKUP(E10,'Exp Tables'!$M$3:$O$102,3,FALSE)</f>
        <v>#N/A</v>
      </c>
      <c r="E10" s="51">
        <f>Main!D50</f>
        <v>0</v>
      </c>
      <c r="F10" s="51">
        <f>MAX(Main!B50,Main!E50)</f>
        <v>0</v>
      </c>
      <c r="G10" s="51">
        <f>Main!F50</f>
        <v>0</v>
      </c>
      <c r="H10" s="51">
        <v>100</v>
      </c>
      <c r="I10" s="51">
        <f>IF(Main!G50="XL",5,IF(Main!G50="L",4,IF(Main!G50="M",3,IF(Main!G50="S",2,IF(Main!G50="XS",1,0)))))</f>
        <v>0</v>
      </c>
      <c r="J10" s="51">
        <f t="shared" si="0"/>
        <v>0</v>
      </c>
      <c r="K10" s="51">
        <f>IF(Main!B50=3,Main!I50,0)</f>
        <v>0</v>
      </c>
      <c r="L10" s="51">
        <f>IF(Main!B50=3,Main!J50,0)</f>
        <v>0</v>
      </c>
      <c r="M10" s="51">
        <f>IF(Main!B50=2,Main!I50,IF(Main!B50=3,Main!K50,0))</f>
        <v>0</v>
      </c>
      <c r="N10" s="51">
        <f>IF(AND(Main!B50=1,Main!E50&gt;=4),Main!I50,IF(AND(Main!B50=2,Main!E50&gt;=4),Main!J50,IF(AND(Main!B50=3,Main!E50&gt;=4),Main!L50,0)))</f>
        <v>0</v>
      </c>
      <c r="O10" s="51">
        <f>IF(OR(Main!M50="",Main!B50&lt;3),0,INDEX('SF Chip Data'!$A:$A,MATCH(Main!M50,'SF Chip Data'!$B:$B,0)))</f>
        <v>0</v>
      </c>
      <c r="P10" s="51">
        <f>IF(AND(Main!B50=3,Main!E50&gt;=4,Main!N50&lt;&gt;""),INDEX('SF Chip Data'!$A:$A,MATCH(Main!N50,'SF Chip Data'!$B:$B,0)),0)</f>
        <v>0</v>
      </c>
      <c r="Q10" s="51">
        <v>0</v>
      </c>
      <c r="R10" s="51">
        <f>Main!H50*10000</f>
        <v>0</v>
      </c>
      <c r="S10" s="51">
        <f>IF(Main!H50&lt;=100,1000000,1500000)</f>
        <v>1000000</v>
      </c>
      <c r="T10" s="51">
        <f t="shared" si="1"/>
        <v>1000000</v>
      </c>
      <c r="U10" s="51" t="e">
        <f>IF(AND(UseSFCustomHP=TRUE,Main!Q50&lt;&gt;0),Main!Q50,'SF Stat Calc'!X11)</f>
        <v>#N/A</v>
      </c>
      <c r="V10" s="51">
        <v>0</v>
      </c>
      <c r="W10" s="51">
        <f>IF(Main!H50&gt;100,1,0)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1133</v>
      </c>
      <c r="C1" s="96" t="s">
        <v>1039</v>
      </c>
      <c r="D1" s="96" t="s">
        <v>1134</v>
      </c>
      <c r="E1" s="96" t="s">
        <v>1135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Data'!A:A,MATCH(Main!M42,'SF Chip Data'!B:B,0)),"")</f>
        <v>3001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Data'!A:A,MATCH(Main!M43,'SF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Data'!A:A,MATCH(Main!M44,'SF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Data'!A:A,MATCH(Main!M45,'SF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Data'!A:A,MATCH(Main!M46,'SF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Data'!A:A,MATCH(Main!M47,'SF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Data'!A:A,MATCH(Main!M48,'SF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Data'!A:A,MATCH(Main!M49,'SF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Data'!A:A,MATCH(Main!M50,'SF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Data'!A:A,MATCH(Main!N42,'SF Chip Data'!B:B,0)),"")</f>
        <v>3003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Data'!A:A,MATCH(Main!N43,'SF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Data'!A:A,MATCH(Main!N44,'SF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Data'!A:A,MATCH(Main!N45,'SF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Data'!A:A,MATCH(Main!N46,'SF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Data'!A:A,MATCH(Main!N47,'SF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Data'!A:A,MATCH(Main!N48,'SF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Data'!A:A,MATCH(Main!N49,'SF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Data'!A:A,MATCH(Main!N50,'SF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6" t="str">
        <f>IFERROR(INDEX('SF Chip Data'!A:A,MATCH(Main!L69,'SF Chip Data'!B:B,0)),"")</f>
        <v/>
      </c>
      <c r="C20" s="1">
        <v>0</v>
      </c>
      <c r="D20" s="216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Data'!A:A,MATCH(Main!L73,'SF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6" t="str">
        <f t="shared" si="0"/>
        <v/>
      </c>
      <c r="B25" s="216" t="str">
        <f>IFERROR(INDEX('SF Chip Data'!A:A,MATCH(Main!M69,'SF Chip Data'!B:B,0)),"")</f>
        <v/>
      </c>
      <c r="C25" s="216">
        <v>0</v>
      </c>
      <c r="D25" s="216" t="str">
        <f>D20</f>
        <v/>
      </c>
      <c r="E25" s="216">
        <v>2</v>
      </c>
    </row>
    <row r="26" spans="1:5" x14ac:dyDescent="0.25">
      <c r="A26" s="50" t="str">
        <f t="shared" si="0"/>
        <v/>
      </c>
      <c r="B26" s="50" t="str">
        <f>IFERROR(INDEX('SF Chip Data'!A:A,MATCH(Main!M70,'SF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Data'!A:A,MATCH(Main!M71,'SF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Data'!A:A,MATCH(Main!M72,'SF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Data'!A:A,MATCH(Main!M73,'SF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1055</v>
      </c>
      <c r="D1" s="96" t="s">
        <v>30</v>
      </c>
      <c r="E1" s="96" t="s">
        <v>35</v>
      </c>
      <c r="F1" s="96" t="s">
        <v>36</v>
      </c>
      <c r="G1" s="96" t="s">
        <v>1056</v>
      </c>
      <c r="J1" s="148" t="s">
        <v>1134</v>
      </c>
      <c r="K1" s="148" t="s">
        <v>33</v>
      </c>
    </row>
    <row r="2" spans="1:11" x14ac:dyDescent="0.25">
      <c r="A2" s="217">
        <v>2</v>
      </c>
      <c r="B2" s="217">
        <v>562858</v>
      </c>
      <c r="C2" s="217">
        <f>A2</f>
        <v>2</v>
      </c>
      <c r="D2" s="217">
        <f>IF(EchType="SF",1,2)</f>
        <v>2</v>
      </c>
      <c r="E2" s="217">
        <v>10</v>
      </c>
      <c r="F2" s="217">
        <v>10</v>
      </c>
      <c r="G2" s="217" t="s">
        <v>1136</v>
      </c>
      <c r="J2" s="1" t="str">
        <f>IF(SF!A2="",0,1&amp;ROW()-1)</f>
        <v>11</v>
      </c>
      <c r="K2" s="1">
        <f t="array" ref="K2">IF(J2=0,0,SUMPRODUCT((Main!$S$43:$U$45=RIGHT(J2,1)*1)*'Misc Inputs'!$B$3:$D$5))</f>
        <v>13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1136</v>
      </c>
      <c r="J3" s="1" t="str">
        <f>IF(SF!A3="",0,1&amp;ROW()-1)</f>
        <v>12</v>
      </c>
      <c r="K3" s="1">
        <f t="array" ref="K3">IF(J3=0,0,SUMPRODUCT((Main!$S$43:$U$45=RIGHT(J3,1)*1)*'Misc Inputs'!$B$3:$D$5))</f>
        <v>14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1136</v>
      </c>
      <c r="J4" s="1" t="str">
        <f>IF(SF!A4="",0,1&amp;ROW()-1)</f>
        <v>13</v>
      </c>
      <c r="K4" s="1">
        <f t="array" ref="K4">IF(J4=0,0,SUMPRODUCT((Main!$S$43:$U$45=RIGHT(J4,1)*1)*'Misc Inputs'!$B$3:$D$5))</f>
        <v>9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1136</v>
      </c>
      <c r="J5" s="1" t="str">
        <f>IF(SF!A5="",0,1&amp;ROW()-1)</f>
        <v>14</v>
      </c>
      <c r="K5" s="1">
        <f t="array" ref="K5">IF(J5=0,0,SUMPRODUCT((Main!$S$43:$U$45=RIGHT(J5,1)*1)*'Misc Inputs'!$B$3:$D$5))</f>
        <v>8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1136</v>
      </c>
      <c r="J6" s="1" t="str">
        <f>IF(SF!A6="",0,1&amp;ROW()-1)</f>
        <v>15</v>
      </c>
      <c r="K6" s="1">
        <f t="array" ref="K6">IF(J6=0,0,SUMPRODUCT((Main!$S$43:$U$45=RIGHT(J6,1)*1)*'Misc Inputs'!$B$3:$D$5))</f>
        <v>7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1136</v>
      </c>
      <c r="J7" s="1">
        <f>IF(SF!A7="",0,1&amp;ROW()-1)</f>
        <v>0</v>
      </c>
      <c r="K7" s="1">
        <f t="array" ref="K7">IF(J7=0,0,SUMPRODUCT((Main!$S$43:$U$45=RIGHT(J7,1)*1)*'Misc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IF(J8=0,0,SUMPRODUCT((Main!$S$43:$U$45=RIGHT(J8,1)*1)*'Misc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IF(J9=0,0,SUMPRODUCT((Main!$S$43:$U$45=RIGHT(J9,1)*1)*'Misc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IF(J10=0,0,SUMPRODUCT((Main!$S$43:$U$45=RIGHT(J10,1)*1)*'Misc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6">
        <f>IF(SF!A11="",0,SF!A11)</f>
        <v>0</v>
      </c>
      <c r="K11" s="216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IF(Main!A83="X",'Misc Inputs'!$C$22,IF(Main!A84="X",'Misc Inputs'!$C$28,'Misc Inputs'!$C$20))</f>
        <v>"fairy_skill_on_enemy": "[]",</v>
      </c>
    </row>
    <row r="3" spans="1:3" x14ac:dyDescent="0.25">
      <c r="A3" t="s">
        <v>777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779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  <c r="M1" s="1"/>
      <c r="T1" s="98"/>
    </row>
    <row r="2" spans="1:20" x14ac:dyDescent="0.25">
      <c r="A2" s="1" t="s">
        <v>1806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 t="s">
        <v>1807</v>
      </c>
      <c r="B3" s="1">
        <v>31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 t="s">
        <v>1808</v>
      </c>
      <c r="B4" s="1">
        <v>53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 t="s">
        <v>1809</v>
      </c>
      <c r="B5" s="1">
        <v>75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 t="s">
        <v>1810</v>
      </c>
      <c r="B6" s="1">
        <v>97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 t="s">
        <v>1811</v>
      </c>
      <c r="B7" s="1">
        <v>119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 t="s">
        <v>1812</v>
      </c>
      <c r="B8" s="1">
        <v>146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 t="s">
        <v>1813</v>
      </c>
      <c r="B9" s="1">
        <v>163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 t="s">
        <v>1814</v>
      </c>
      <c r="B10" s="1">
        <v>185</v>
      </c>
      <c r="C10" s="9" t="str">
        <f t="shared" si="0"/>
        <v>"sangvis_team_id": "0",</v>
      </c>
      <c r="D10" s="1" t="s">
        <v>1805</v>
      </c>
      <c r="E10" s="1">
        <f>SUMPRODUCT('SF Team'!$D$3:$D$7,--(Main!$A$69:$A$73="X"),--(Main!$N$69:$N$73=A10))</f>
        <v>0</v>
      </c>
      <c r="F10" s="1"/>
    </row>
    <row r="11" spans="1:20" x14ac:dyDescent="0.25">
      <c r="A11" s="1" t="s">
        <v>1815</v>
      </c>
      <c r="B11" s="1">
        <v>207</v>
      </c>
      <c r="C11" s="9" t="str">
        <f t="shared" si="0"/>
        <v>"sangvis_team_id": "0",</v>
      </c>
      <c r="D11" s="1" t="s">
        <v>1805</v>
      </c>
      <c r="E11" s="1">
        <f>SUMPRODUCT('SF Team'!$D$3:$D$7,--(Main!$A$69:$A$73="X"),--(Main!$N$69:$N$73=A11))</f>
        <v>0</v>
      </c>
      <c r="F11" s="1"/>
    </row>
    <row r="12" spans="1:20" x14ac:dyDescent="0.25">
      <c r="A12" s="1" t="s">
        <v>1816</v>
      </c>
      <c r="B12" s="1">
        <v>234</v>
      </c>
      <c r="C12" s="9" t="str">
        <f t="shared" si="0"/>
        <v>"sangvis_team_id": "0",</v>
      </c>
      <c r="D12" s="1" t="s">
        <v>1805</v>
      </c>
      <c r="E12" s="1">
        <f>SUMPRODUCT('SF Team'!$D$3:$D$7,--(Main!$A$69:$A$73="X"),--(Main!$N$69:$N$73=A12))</f>
        <v>0</v>
      </c>
      <c r="F12" s="1"/>
    </row>
    <row r="13" spans="1:20" x14ac:dyDescent="0.25">
      <c r="A13" s="1" t="s">
        <v>1817</v>
      </c>
      <c r="B13" s="1">
        <v>251</v>
      </c>
      <c r="C13" s="9" t="str">
        <f t="shared" si="0"/>
        <v>"sangvis_team_id": "0",</v>
      </c>
      <c r="D13" s="1" t="s">
        <v>1805</v>
      </c>
      <c r="E13" s="1">
        <f>SUMPRODUCT('SF Team'!$D$3:$D$7,--(Main!$A$69:$A$73="X"),--(Main!$N$69:$N$73=A13))</f>
        <v>0</v>
      </c>
      <c r="F13" s="1"/>
    </row>
    <row r="14" spans="1:20" x14ac:dyDescent="0.25">
      <c r="A14" s="1" t="s">
        <v>1818</v>
      </c>
      <c r="B14" s="1">
        <v>273</v>
      </c>
      <c r="C14" s="9" t="str">
        <f t="shared" si="0"/>
        <v>"sangvis_team_id": "0",</v>
      </c>
      <c r="D14" s="1" t="s">
        <v>1805</v>
      </c>
      <c r="E14" s="1">
        <f>SUMPRODUCT('SF Team'!$D$3:$D$7,--(Main!$A$69:$A$73="X"),--(Main!$N$69:$N$73=A14))</f>
        <v>0</v>
      </c>
      <c r="F14" s="1"/>
    </row>
    <row r="15" spans="1:20" x14ac:dyDescent="0.25">
      <c r="A15" s="1" t="s">
        <v>1819</v>
      </c>
      <c r="B15" s="1">
        <v>295</v>
      </c>
      <c r="C15" s="9" t="str">
        <f t="shared" si="0"/>
        <v>"sangvis_team_id": "0",</v>
      </c>
      <c r="D15" s="1" t="s">
        <v>1805</v>
      </c>
      <c r="E15" s="1">
        <f>SUMPRODUCT('SF Team'!$D$3:$D$7,--(Main!$A$69:$A$73="X"),--(Main!$N$69:$N$73=A15))</f>
        <v>0</v>
      </c>
      <c r="F15" s="1"/>
    </row>
    <row r="16" spans="1:20" x14ac:dyDescent="0.25">
      <c r="A16" s="1" t="s">
        <v>1820</v>
      </c>
      <c r="B16" s="1">
        <v>317</v>
      </c>
      <c r="C16" s="9" t="str">
        <f t="shared" si="0"/>
        <v>"sangvis_team_id": "0",</v>
      </c>
      <c r="D16" s="1" t="s">
        <v>1805</v>
      </c>
      <c r="E16" s="1">
        <f>SUMPRODUCT('SF Team'!$D$3:$D$7,--(Main!$A$69:$A$73="X"),--(Main!$N$69:$N$73=A16))</f>
        <v>0</v>
      </c>
      <c r="F16" s="1"/>
    </row>
    <row r="17" spans="1:6" x14ac:dyDescent="0.25">
      <c r="A17" s="1" t="s">
        <v>1821</v>
      </c>
      <c r="B17" s="1">
        <v>339</v>
      </c>
      <c r="C17" s="9" t="str">
        <f t="shared" si="0"/>
        <v>"sangvis_team_id": "0",</v>
      </c>
      <c r="D17" s="1" t="s">
        <v>1805</v>
      </c>
      <c r="E17" s="1">
        <f>SUMPRODUCT('SF Team'!$D$3:$D$7,--(Main!$A$69:$A$73="X"),--(Main!$N$69:$N$73=A17))</f>
        <v>0</v>
      </c>
      <c r="F17" s="1"/>
    </row>
    <row r="18" spans="1:6" x14ac:dyDescent="0.25">
      <c r="A18" s="1" t="s">
        <v>1822</v>
      </c>
      <c r="B18" s="1">
        <v>366</v>
      </c>
      <c r="C18" s="9" t="str">
        <f t="shared" si="0"/>
        <v>"sangvis_team_id": "0",</v>
      </c>
      <c r="D18" s="1" t="s">
        <v>1805</v>
      </c>
      <c r="E18" s="1">
        <f>SUMPRODUCT('SF Team'!$D$3:$D$7,--(Main!$A$69:$A$73="X"),--(Main!$N$69:$N$73=A18))</f>
        <v>0</v>
      </c>
      <c r="F18" s="1"/>
    </row>
    <row r="19" spans="1:6" x14ac:dyDescent="0.25">
      <c r="A19" s="1" t="s">
        <v>1823</v>
      </c>
      <c r="B19" s="1">
        <v>383</v>
      </c>
      <c r="C19" s="9" t="str">
        <f t="shared" si="0"/>
        <v>"sangvis_team_id": "0",</v>
      </c>
      <c r="D19" s="1" t="s">
        <v>1805</v>
      </c>
      <c r="E19" s="1">
        <f>SUMPRODUCT('SF Team'!$D$3:$D$7,--(Main!$A$69:$A$73="X"),--(Main!$N$69:$N$73=A19))</f>
        <v>0</v>
      </c>
      <c r="F19" s="1"/>
    </row>
    <row r="20" spans="1:6" x14ac:dyDescent="0.25">
      <c r="A20" s="1" t="s">
        <v>1824</v>
      </c>
      <c r="B20" s="1">
        <v>405</v>
      </c>
      <c r="C20" s="9" t="str">
        <f t="shared" si="0"/>
        <v>"sangvis_team_id": "0",</v>
      </c>
      <c r="D20" s="1" t="s">
        <v>1805</v>
      </c>
      <c r="E20" s="1">
        <f>SUMPRODUCT('SF Team'!$D$3:$D$7,--(Main!$A$69:$A$73="X"),--(Main!$N$69:$N$73=A20))</f>
        <v>0</v>
      </c>
      <c r="F20" s="1"/>
    </row>
    <row r="21" spans="1:6" x14ac:dyDescent="0.25">
      <c r="A21" s="1" t="s">
        <v>1825</v>
      </c>
      <c r="B21" s="1">
        <v>432</v>
      </c>
      <c r="C21" s="9" t="str">
        <f t="shared" si="0"/>
        <v>"sangvis_team_id": "0",</v>
      </c>
      <c r="D21" s="1" t="s">
        <v>1805</v>
      </c>
      <c r="E21" s="1">
        <f>SUMPRODUCT('SF Team'!$D$3:$D$7,--(Main!$A$69:$A$73="X"),--(Main!$N$69:$N$73=A21))</f>
        <v>0</v>
      </c>
      <c r="F21" s="1"/>
    </row>
    <row r="22" spans="1:6" x14ac:dyDescent="0.25">
      <c r="A22" s="1" t="s">
        <v>1826</v>
      </c>
      <c r="B22" s="1">
        <v>454</v>
      </c>
      <c r="C22" s="9" t="str">
        <f t="shared" si="0"/>
        <v>"sangvis_team_id": "0",</v>
      </c>
      <c r="D22" s="1" t="s">
        <v>1805</v>
      </c>
      <c r="E22" s="1">
        <f>SUMPRODUCT('SF Team'!$D$3:$D$7,--(Main!$A$69:$A$73="X"),--(Main!$N$69:$N$73=A22))</f>
        <v>0</v>
      </c>
      <c r="F22" s="1"/>
    </row>
    <row r="23" spans="1:6" x14ac:dyDescent="0.25">
      <c r="A23" s="1" t="s">
        <v>1827</v>
      </c>
      <c r="B23" s="1">
        <v>471</v>
      </c>
      <c r="C23" s="9" t="str">
        <f t="shared" si="0"/>
        <v>"sangvis_team_id": "0",</v>
      </c>
      <c r="D23" s="1" t="s">
        <v>1805</v>
      </c>
      <c r="E23" s="1">
        <f>SUMPRODUCT('SF Team'!$D$3:$D$7,--(Main!$A$69:$A$73="X"),--(Main!$N$69:$N$73=A23))</f>
        <v>0</v>
      </c>
      <c r="F23" s="1"/>
    </row>
    <row r="24" spans="1:6" x14ac:dyDescent="0.25">
      <c r="A24" s="1" t="s">
        <v>1828</v>
      </c>
      <c r="B24" s="1">
        <v>493</v>
      </c>
      <c r="C24" s="9" t="str">
        <f t="shared" si="0"/>
        <v>"sangvis_team_id": "0",</v>
      </c>
      <c r="D24" s="1" t="s">
        <v>1805</v>
      </c>
      <c r="E24" s="1">
        <f>SUMPRODUCT('SF Team'!$D$3:$D$7,--(Main!$A$69:$A$73="X"),--(Main!$N$69:$N$73=A24))</f>
        <v>0</v>
      </c>
      <c r="F24" s="1"/>
    </row>
    <row r="25" spans="1:6" x14ac:dyDescent="0.25">
      <c r="A25" s="1" t="s">
        <v>1829</v>
      </c>
      <c r="B25" s="1">
        <v>515</v>
      </c>
      <c r="C25" s="9" t="str">
        <f t="shared" si="0"/>
        <v>"sangvis_team_id": "0",</v>
      </c>
      <c r="D25" s="1" t="s">
        <v>1805</v>
      </c>
      <c r="E25" s="1">
        <f>SUMPRODUCT('SF Team'!$D$3:$D$7,--(Main!$A$69:$A$73="X"),--(Main!$N$69:$N$73=A25))</f>
        <v>0</v>
      </c>
      <c r="F25" s="1"/>
    </row>
    <row r="26" spans="1:6" x14ac:dyDescent="0.25">
      <c r="A26" s="1" t="s">
        <v>1830</v>
      </c>
      <c r="B26" s="1">
        <v>537</v>
      </c>
      <c r="C26" s="9" t="str">
        <f t="shared" si="0"/>
        <v>"sangvis_team_id": "0",</v>
      </c>
      <c r="D26" s="1" t="s">
        <v>1805</v>
      </c>
      <c r="E26" s="1">
        <f>SUMPRODUCT('SF Team'!$D$3:$D$7,--(Main!$A$69:$A$73="X"),--(Main!$N$69:$N$73=A26))</f>
        <v>0</v>
      </c>
      <c r="F26" s="1"/>
    </row>
    <row r="27" spans="1:6" x14ac:dyDescent="0.25">
      <c r="A27" s="1" t="s">
        <v>1831</v>
      </c>
      <c r="B27" s="1">
        <v>564</v>
      </c>
      <c r="C27" s="9" t="str">
        <f t="shared" si="0"/>
        <v>"sangvis_team_id": "0",</v>
      </c>
      <c r="D27" s="1" t="s">
        <v>1805</v>
      </c>
      <c r="E27" s="1">
        <f>SUMPRODUCT('SF Team'!$D$3:$D$7,--(Main!$A$69:$A$73="X"),--(Main!$N$69:$N$73=A27))</f>
        <v>0</v>
      </c>
      <c r="F27" s="1"/>
    </row>
    <row r="28" spans="1:6" x14ac:dyDescent="0.25">
      <c r="A28" s="1" t="s">
        <v>1832</v>
      </c>
      <c r="B28" s="1">
        <v>586</v>
      </c>
      <c r="C28" s="9" t="str">
        <f t="shared" si="0"/>
        <v>"sangvis_team_id": "0",</v>
      </c>
      <c r="D28" s="1" t="s">
        <v>1805</v>
      </c>
      <c r="E28" s="1">
        <f>SUMPRODUCT('SF Team'!$D$3:$D$7,--(Main!$A$69:$A$73="X"),--(Main!$N$69:$N$73=A28))</f>
        <v>0</v>
      </c>
      <c r="F28" s="1"/>
    </row>
    <row r="29" spans="1:6" x14ac:dyDescent="0.25">
      <c r="A29" s="1" t="s">
        <v>1833</v>
      </c>
      <c r="B29" s="1">
        <v>603</v>
      </c>
      <c r="C29" s="9" t="str">
        <f t="shared" si="0"/>
        <v>"sangvis_team_id": "0",</v>
      </c>
      <c r="D29" s="1" t="s">
        <v>1805</v>
      </c>
      <c r="E29" s="1">
        <f>SUMPRODUCT('SF Team'!$D$3:$D$7,--(Main!$A$69:$A$73="X"),--(Main!$N$69:$N$73=A29))</f>
        <v>0</v>
      </c>
      <c r="F29" s="1"/>
    </row>
    <row r="30" spans="1:6" x14ac:dyDescent="0.25">
      <c r="A30" s="1" t="s">
        <v>1834</v>
      </c>
      <c r="B30" s="1">
        <v>625</v>
      </c>
      <c r="C30" s="9" t="str">
        <f t="shared" si="0"/>
        <v>"sangvis_team_id": "0",</v>
      </c>
      <c r="D30" s="1" t="s">
        <v>1805</v>
      </c>
      <c r="E30" s="1">
        <f>SUMPRODUCT('SF Team'!$D$3:$D$7,--(Main!$A$69:$A$73="X"),--(Main!$N$69:$N$73=A30))</f>
        <v>0</v>
      </c>
      <c r="F30" s="1"/>
    </row>
    <row r="31" spans="1:6" x14ac:dyDescent="0.25">
      <c r="A31" s="1" t="s">
        <v>1835</v>
      </c>
      <c r="B31" s="1">
        <v>648</v>
      </c>
      <c r="C31" s="9" t="str">
        <f t="shared" si="0"/>
        <v>"sangvis_team_id": "0",</v>
      </c>
      <c r="D31" s="1" t="s">
        <v>1805</v>
      </c>
      <c r="E31" s="1">
        <f>SUMPRODUCT('SF Team'!$D$3:$D$7,--(Main!$A$69:$A$73="X"),--(Main!$N$69:$N$73=A31))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1844</v>
      </c>
      <c r="B8" s="1">
        <v>13</v>
      </c>
      <c r="C8" s="9" t="str">
        <f>CHAR(34)&amp;A8&amp;CHAR(34)&amp;": ["&amp;EnemyID&amp;"]"</f>
        <v>"target_train_teams": [44440010,44440017,44440019,44440013,44440014,44440015,44440016,44440040]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854</v>
      </c>
      <c r="Q1" s="10" t="s">
        <v>855</v>
      </c>
      <c r="Y1" s="10" t="s">
        <v>856</v>
      </c>
      <c r="Z1" s="10"/>
      <c r="AH1" s="10" t="s">
        <v>889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873</v>
      </c>
      <c r="AJ2" s="102" t="s">
        <v>875</v>
      </c>
      <c r="AK2" s="102" t="s">
        <v>874</v>
      </c>
      <c r="AL2" s="103" t="s">
        <v>872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113</v>
      </c>
      <c r="AB3" s="130">
        <f>IF(AND(UseCustomStats,Main!Z21&lt;&gt;""),Main!Z21,_xlfn.CEILING.MATH(K10*K3*K38/100)+_xlfn.CEILING.MATH((K31+($Z3-1)*K24)*K3*K38*$P38/100/100))</f>
        <v>50</v>
      </c>
      <c r="AC3" s="130">
        <f>IF(AND(UseCustomStats,Main!AA21&lt;&gt;""),Main!AA21,_xlfn.CEILING.MATH(L10*L3*L38/100)+_xlfn.CEILING.MATH((L31+($Z3-1)*L24)*L3*L38*$P38/100/100))</f>
        <v>80</v>
      </c>
      <c r="AD3" s="69">
        <f>IF(AND(UseCustomStats,Main!AB21&lt;&gt;""),Main!AB21,_xlfn.CEILING.MATH(M10*M3*M38/100)+_xlfn.CEILING.MATH((M31+($Z3-1)*M24)*M3*M38*$P38/100/100))</f>
        <v>49</v>
      </c>
      <c r="AE3" s="69">
        <f>IF(AND(UseCustomStats,Main!AC21&lt;&gt;""),Main!AC21,_xlfn.CEILING.MATH(N10*N3*N38/100)+_xlfn.CEILING.MATH((N31+($Z3-1)*N24)*N3*N38*$P38/100/100))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864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80</v>
      </c>
      <c r="AB4" s="76">
        <f>IF(AND(UseCustomStats,Main!Z22&lt;&gt;""),Main!Z22,_xlfn.CEILING.MATH(K11*K4*K39/100)+_xlfn.CEILING.MATH((K32+($Z4-1)*K25)*K4*K39*$P39/100/100))</f>
        <v>130</v>
      </c>
      <c r="AC4" s="76">
        <f>IF(AND(UseCustomStats,Main!AA22&lt;&gt;""),Main!AA22,_xlfn.CEILING.MATH(L11*L4*L39/100)+_xlfn.CEILING.MATH((L32+($Z4-1)*L25)*L4*L39*$P39/100/100))</f>
        <v>37</v>
      </c>
      <c r="AD4" s="76">
        <f>IF(AND(UseCustomStats,Main!AB22&lt;&gt;""),Main!AB22,_xlfn.CEILING.MATH(M11*M4*M39/100)+_xlfn.CEILING.MATH((M32+($Z4-1)*M25)*M4*M39*$P39/100/100))</f>
        <v>80</v>
      </c>
      <c r="AE4" s="76">
        <f>IF(AND(UseCustomStats,Main!AC22&lt;&gt;""),Main!AC22,_xlfn.CEILING.MATH(N11*N4*N39/100)+_xlfn.CEILING.MATH((N32+($Z4-1)*N25)*N4*N39*$P39/100/100))</f>
        <v>33</v>
      </c>
      <c r="AF4" s="77">
        <f t="shared" ref="AF4:AF7" si="7">_xlfn.CEILING.MATH((O11+($Z4-1)*O18)*O4*O39/100)</f>
        <v>0</v>
      </c>
      <c r="AH4" s="47" t="s">
        <v>865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110</v>
      </c>
      <c r="AA5" s="76">
        <f>IF(AND(UseCustomStats,Main!Y23&lt;&gt;""),Main!Y23,_xlfn.CEILING.MATH((J12+($Z5-1)*J19)*J5*J40/100))</f>
        <v>79</v>
      </c>
      <c r="AB5" s="76">
        <f>IF(AND(UseCustomStats,Main!Z23&lt;&gt;""),Main!Z23,_xlfn.CEILING.MATH(K12*K5*K40/100)+_xlfn.CEILING.MATH((K33+($Z5-1)*K26)*K5*K40*$P40/100/100))</f>
        <v>32</v>
      </c>
      <c r="AC5" s="76">
        <f>IF(AND(UseCustomStats,Main!AA23&lt;&gt;""),Main!AA23,_xlfn.CEILING.MATH(L12*L5*L40/100)+_xlfn.CEILING.MATH((L33+($Z5-1)*L26)*L5*L40*$P40/100/100))</f>
        <v>72</v>
      </c>
      <c r="AD5" s="76">
        <f>IF(AND(UseCustomStats,Main!AB23&lt;&gt;""),Main!AB23,_xlfn.CEILING.MATH(M12*M5*M40/100)+_xlfn.CEILING.MATH((M33+($Z5-1)*M26)*M5*M40*$P40/100/100))</f>
        <v>56</v>
      </c>
      <c r="AE5" s="76">
        <f>IF(AND(UseCustomStats,Main!AC23&lt;&gt;""),Main!AC23,_xlfn.CEILING.MATH(N12*N5*N40/100)+_xlfn.CEILING.MATH((N33+($Z5-1)*N26)*N5*N40*$P40/100/100))</f>
        <v>75</v>
      </c>
      <c r="AF5" s="77">
        <f t="shared" si="7"/>
        <v>0</v>
      </c>
      <c r="AH5" s="47" t="s">
        <v>866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86</v>
      </c>
      <c r="AB6" s="76">
        <f>IF(AND(UseCustomStats,Main!Z24&lt;&gt;""),Main!Z24,_xlfn.CEILING.MATH(K13*K6*K41/100)+_xlfn.CEILING.MATH((K34+($Z6-1)*K27)*K6*K41*$P41/100/100))</f>
        <v>29</v>
      </c>
      <c r="AC6" s="76">
        <f>IF(AND(UseCustomStats,Main!AA24&lt;&gt;""),Main!AA24,_xlfn.CEILING.MATH(L13*L6*L41/100)+_xlfn.CEILING.MATH((L34+($Z6-1)*L27)*L6*L41*$P41/100/100))</f>
        <v>57</v>
      </c>
      <c r="AD6" s="76">
        <f>IF(AND(UseCustomStats,Main!AB24&lt;&gt;""),Main!AB24,_xlfn.CEILING.MATH(M13*M6*M41/100)+_xlfn.CEILING.MATH((M34+($Z6-1)*M27)*M6*M41*$P41/100/100))</f>
        <v>66</v>
      </c>
      <c r="AE6" s="76">
        <f>IF(AND(UseCustomStats,Main!AC24&lt;&gt;""),Main!AC24,_xlfn.CEILING.MATH(N13*N6*N41/100)+_xlfn.CEILING.MATH((N34+($Z6-1)*N27)*N6*N41*$P41/100/100))</f>
        <v>81</v>
      </c>
      <c r="AF6" s="77">
        <f t="shared" si="7"/>
        <v>0</v>
      </c>
      <c r="AH6" s="47" t="s">
        <v>867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110</v>
      </c>
      <c r="AA7" s="83">
        <f>IF(AND(UseCustomStats,Main!Y25&lt;&gt;""),Main!Y25,_xlfn.CEILING.MATH((J14+($Z7-1)*J21)*J7*J42/100))</f>
        <v>84</v>
      </c>
      <c r="AB7" s="83">
        <f>IF(AND(UseCustomStats,Main!Z25&lt;&gt;""),Main!Z25,_xlfn.CEILING.MATH(K14*K7*K42/100)+_xlfn.CEILING.MATH((K35+($Z7-1)*K28)*K7*K42*$P42/100/100))</f>
        <v>31</v>
      </c>
      <c r="AC7" s="83">
        <f>IF(AND(UseCustomStats,Main!AA25&lt;&gt;""),Main!AA25,_xlfn.CEILING.MATH(L14*L7*L42/100)+_xlfn.CEILING.MATH((L35+($Z7-1)*L28)*L7*L42*$P42/100/100))</f>
        <v>65</v>
      </c>
      <c r="AD7" s="83">
        <f>IF(AND(UseCustomStats,Main!AB25&lt;&gt;""),Main!AB25,_xlfn.CEILING.MATH(M14*M7*M42/100)+_xlfn.CEILING.MATH((M35+($Z7-1)*M28)*M7*M42*$P42/100/100))</f>
        <v>50</v>
      </c>
      <c r="AE7" s="83">
        <f>IF(AND(UseCustomStats,Main!AC25&lt;&gt;""),Main!AC25,_xlfn.CEILING.MATH(N14*N7*N42/100)+_xlfn.CEILING.MATH((N35+($Z7-1)*N28)*N7*N42*$P42/100/100))</f>
        <v>67</v>
      </c>
      <c r="AF7" s="84">
        <f t="shared" si="7"/>
        <v>0</v>
      </c>
      <c r="AH7" s="47" t="s">
        <v>868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869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870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1777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40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25</v>
      </c>
      <c r="AD11" s="76">
        <f t="shared" si="16"/>
        <v>10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96.283000000000001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13.978999999999999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42</v>
      </c>
      <c r="AB14" s="83">
        <f t="shared" ref="AB14:AE14" si="20">_xlfn.CEILING.MATH(S14*S7*K42/100)+_xlfn.CEILING.MATH((S35+($Z14-1)*S28)*S7*K42*$P42/100/100)</f>
        <v>12</v>
      </c>
      <c r="AC14" s="83">
        <f t="shared" si="20"/>
        <v>45</v>
      </c>
      <c r="AD14" s="83">
        <f t="shared" si="20"/>
        <v>7</v>
      </c>
      <c r="AE14" s="83">
        <f t="shared" si="20"/>
        <v>9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83</v>
      </c>
      <c r="AC18" s="76">
        <f t="shared" si="28"/>
        <v>12</v>
      </c>
      <c r="AD18" s="76">
        <f t="shared" si="28"/>
        <v>70</v>
      </c>
      <c r="AE18" s="76">
        <f t="shared" si="28"/>
        <v>29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0.13800000000000001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0.04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19</v>
      </c>
      <c r="AC21" s="83">
        <f t="shared" si="31"/>
        <v>20</v>
      </c>
      <c r="AD21" s="83">
        <f t="shared" si="31"/>
        <v>43</v>
      </c>
      <c r="AE21" s="83">
        <f t="shared" si="31"/>
        <v>58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0.06</v>
      </c>
      <c r="L28" s="92">
        <f>IF(Main!$I25&gt;0,D$15,D$23)</f>
        <v>2.1999999999999999E-2</v>
      </c>
      <c r="M28" s="92">
        <f>IF(Main!$I25&gt;0,E$15,E$23)</f>
        <v>7.4999999999999997E-2</v>
      </c>
      <c r="N28" s="92">
        <f>IF(Main!$I25&gt;0,F$15,F$23)</f>
        <v>7.4999999999999997E-2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18.018000000000001</v>
      </c>
      <c r="L35" s="6">
        <f>IF(Main!$I25&gt;0,D$16,D$24)</f>
        <v>15.741</v>
      </c>
      <c r="M35" s="6">
        <f>IF(Main!$I25&gt;0,E$16,E$24)</f>
        <v>22.571999999999999</v>
      </c>
      <c r="N35" s="6">
        <f>IF(Main!$I25&gt;0,F$16,F$24)</f>
        <v>22.571999999999999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1141</v>
      </c>
      <c r="K37" s="3" t="s">
        <v>1142</v>
      </c>
      <c r="L37" s="3" t="s">
        <v>1143</v>
      </c>
      <c r="M37" s="3" t="s">
        <v>1144</v>
      </c>
      <c r="N37" s="3" t="s">
        <v>1145</v>
      </c>
      <c r="O37" s="3" t="s">
        <v>1146</v>
      </c>
      <c r="P37" s="4" t="s">
        <v>1147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100</v>
      </c>
      <c r="K38" s="21">
        <f>INDEX('Doll Data'!$U$2:$AE$1048576,MATCH(Main!$D21,'Doll Data'!$C$2:$C$1048576,0),MATCH(K$37,'Doll Data'!$U$1:$AE$1,0))</f>
        <v>110</v>
      </c>
      <c r="L38" s="21">
        <f>INDEX('Doll Data'!$U$2:$AE$1048576,MATCH(Main!$D21,'Doll Data'!$C$2:$C$1048576,0),MATCH(L$37,'Doll Data'!$U$1:$AE$1,0))</f>
        <v>120</v>
      </c>
      <c r="M38" s="21">
        <f>INDEX('Doll Data'!$U$2:$AE$1048576,MATCH(Main!$D21,'Doll Data'!$C$2:$C$1048576,0),MATCH(M$37,'Doll Data'!$U$1:$AE$1,0))</f>
        <v>120</v>
      </c>
      <c r="N38" s="21">
        <f>INDEX('Doll Data'!$U$2:$AE$1048576,MATCH(Main!$D21,'Doll Data'!$C$2:$C$1048576,0),MATCH(N$37,'Doll Data'!$U$1:$AE$1,0))</f>
        <v>120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90</v>
      </c>
      <c r="K39" s="24">
        <f>INDEX('Doll Data'!$U$2:$AE$1048576,MATCH(Main!$D22,'Doll Data'!$C$2:$C$1048576,0),MATCH(K$37,'Doll Data'!$U$1:$AE$1,0))</f>
        <v>120</v>
      </c>
      <c r="L39" s="24">
        <f>INDEX('Doll Data'!$U$2:$AE$1048576,MATCH(Main!$D22,'Doll Data'!$C$2:$C$1048576,0),MATCH(L$37,'Doll Data'!$U$1:$AE$1,0))</f>
        <v>110</v>
      </c>
      <c r="M39" s="24">
        <f>INDEX('Doll Data'!$U$2:$AE$1048576,MATCH(Main!$D22,'Doll Data'!$C$2:$C$1048576,0),MATCH(M$37,'Doll Data'!$U$1:$AE$1,0))</f>
        <v>120</v>
      </c>
      <c r="N39" s="24">
        <f>INDEX('Doll Data'!$U$2:$AE$1048576,MATCH(Main!$D22,'Doll Data'!$C$2:$C$1048576,0),MATCH(N$37,'Doll Data'!$U$1:$AE$1,0))</f>
        <v>100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120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118</v>
      </c>
      <c r="K40" s="24">
        <f>INDEX('Doll Data'!$U$2:$AE$1048576,MATCH(Main!$D23,'Doll Data'!$C$2:$C$1048576,0),MATCH(K$37,'Doll Data'!$U$1:$AE$1,0))</f>
        <v>116</v>
      </c>
      <c r="L40" s="24">
        <f>INDEX('Doll Data'!$U$2:$AE$1048576,MATCH(Main!$D23,'Doll Data'!$C$2:$C$1048576,0),MATCH(L$37,'Doll Data'!$U$1:$AE$1,0))</f>
        <v>135</v>
      </c>
      <c r="M40" s="24">
        <f>INDEX('Doll Data'!$U$2:$AE$1048576,MATCH(Main!$D23,'Doll Data'!$C$2:$C$1048576,0),MATCH(M$37,'Doll Data'!$U$1:$AE$1,0))</f>
        <v>115</v>
      </c>
      <c r="N40" s="24">
        <f>INDEX('Doll Data'!$U$2:$AE$1048576,MATCH(Main!$D23,'Doll Data'!$C$2:$C$1048576,0),MATCH(N$37,'Doll Data'!$U$1:$AE$1,0))</f>
        <v>102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130</v>
      </c>
      <c r="K41" s="24">
        <f>INDEX('Doll Data'!$U$2:$AE$1048576,MATCH(Main!$D24,'Doll Data'!$C$2:$C$1048576,0),MATCH(K$37,'Doll Data'!$U$1:$AE$1,0))</f>
        <v>98</v>
      </c>
      <c r="L41" s="24">
        <f>INDEX('Doll Data'!$U$2:$AE$1048576,MATCH(Main!$D24,'Doll Data'!$C$2:$C$1048576,0),MATCH(L$37,'Doll Data'!$U$1:$AE$1,0))</f>
        <v>102</v>
      </c>
      <c r="M41" s="24">
        <f>INDEX('Doll Data'!$U$2:$AE$1048576,MATCH(Main!$D24,'Doll Data'!$C$2:$C$1048576,0),MATCH(M$37,'Doll Data'!$U$1:$AE$1,0))</f>
        <v>120</v>
      </c>
      <c r="N41" s="24">
        <f>INDEX('Doll Data'!$U$2:$AE$1048576,MATCH(Main!$D24,'Doll Data'!$C$2:$C$1048576,0),MATCH(N$37,'Doll Data'!$U$1:$AE$1,0))</f>
        <v>100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125</v>
      </c>
      <c r="K42" s="27">
        <f>INDEX('Doll Data'!$U$2:$AE$1048576,MATCH(Main!$D25,'Doll Data'!$C$2:$C$1048576,0),MATCH(K$37,'Doll Data'!$U$1:$AE$1,0))</f>
        <v>115</v>
      </c>
      <c r="L42" s="27">
        <f>INDEX('Doll Data'!$U$2:$AE$1048576,MATCH(Main!$D25,'Doll Data'!$C$2:$C$1048576,0),MATCH(L$37,'Doll Data'!$U$1:$AE$1,0))</f>
        <v>125</v>
      </c>
      <c r="M42" s="27">
        <f>INDEX('Doll Data'!$U$2:$AE$1048576,MATCH(Main!$D25,'Doll Data'!$C$2:$C$1048576,0),MATCH(M$37,'Doll Data'!$U$1:$AE$1,0))</f>
        <v>105</v>
      </c>
      <c r="N42" s="27">
        <f>INDEX('Doll Data'!$U$2:$AE$1048576,MATCH(Main!$D25,'Doll Data'!$C$2:$C$1048576,0),MATCH(N$37,'Doll Data'!$U$1:$AE$1,0))</f>
        <v>95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110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1097</v>
      </c>
      <c r="I1" s="10" t="s">
        <v>1091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1090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1057</v>
      </c>
      <c r="J2" s="60" t="s">
        <v>18</v>
      </c>
      <c r="K2" s="63" t="s">
        <v>1065</v>
      </c>
      <c r="L2" s="63" t="s">
        <v>1066</v>
      </c>
      <c r="M2" s="63" t="s">
        <v>1799</v>
      </c>
      <c r="N2" s="63" t="s">
        <v>1061</v>
      </c>
      <c r="O2" s="60" t="s">
        <v>1059</v>
      </c>
      <c r="P2" s="63" t="s">
        <v>1061</v>
      </c>
      <c r="Q2" s="63" t="s">
        <v>1093</v>
      </c>
      <c r="R2" s="63" t="s">
        <v>1094</v>
      </c>
      <c r="S2" s="63" t="s">
        <v>1092</v>
      </c>
      <c r="T2" s="63" t="s">
        <v>1125</v>
      </c>
      <c r="U2" s="63" t="s">
        <v>1127</v>
      </c>
      <c r="V2" s="64" t="s">
        <v>1126</v>
      </c>
      <c r="W2" s="140"/>
      <c r="X2" s="101" t="s">
        <v>1128</v>
      </c>
      <c r="Y2" s="140"/>
      <c r="Z2" s="140"/>
    </row>
    <row r="3" spans="1:26" x14ac:dyDescent="0.25">
      <c r="A3" s="60" t="s">
        <v>1072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Main!D42</f>
        <v>90</v>
      </c>
      <c r="K3" s="69">
        <f>Main!B42</f>
        <v>3</v>
      </c>
      <c r="L3" s="69">
        <f>Main!E42</f>
        <v>5</v>
      </c>
      <c r="M3" s="69">
        <f>Main!F42</f>
        <v>0</v>
      </c>
      <c r="N3" s="69" t="str">
        <f>IF(Main!B42=3,"BOSS",Main!G42)</f>
        <v>BOSS</v>
      </c>
      <c r="O3" s="68">
        <f>(INDEX('SF Data'!$M:$M,MATCH(Main!C42,'SF Data'!$C:$C,0))&amp;"0"&amp;M3)*1</f>
        <v>10800</v>
      </c>
      <c r="P3" s="69">
        <f>IF(N3="BOSS",100,INDEX($B$8:$G$8,MATCH(N3,$B$7:$G$7,0))*INDEX('SF Data'!AN:AN,MATCH(Main!C42,'SF Data'!C:C,0))/100)</f>
        <v>100</v>
      </c>
      <c r="Q3" s="69">
        <f>INDEX('SF Data'!AE:AE,MATCH(Main!C42,'SF Data'!C:C,0))</f>
        <v>105</v>
      </c>
      <c r="R3" s="69">
        <f>INDEX($B$11:$B$15,MATCH(MAX(K3,L3),$A$11:$A$15,0))</f>
        <v>120</v>
      </c>
      <c r="S3" s="69">
        <f>INDEX($B$3:$B$5,Main!$B42)</f>
        <v>4.79</v>
      </c>
      <c r="T3" s="69">
        <f>INDEX('SF Resolution'!F:F,MATCH(O3,'SF Resolution'!A:A,0))</f>
        <v>1</v>
      </c>
      <c r="U3" s="69">
        <f>INDEX('SF Data'!L:L,MATCH(Main!C42,'SF Data'!C:C,0))</f>
        <v>1</v>
      </c>
      <c r="V3" s="70">
        <f>INDEX('SF Resolution'!G:G,MATCH(O3,'SF Resolution'!A:A,0))</f>
        <v>246</v>
      </c>
      <c r="X3" s="137">
        <f t="shared" ref="X3:X11" si="0">_xlfn.CEILING.MATH(P3*Q3*R3*(J3+40-1)*S3*T3/U3/1000000,1)+V3*T3</f>
        <v>1025</v>
      </c>
      <c r="Y3" s="140"/>
      <c r="Z3" s="140"/>
    </row>
    <row r="4" spans="1:26" x14ac:dyDescent="0.25">
      <c r="A4" s="61" t="s">
        <v>1071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Main!D43</f>
        <v>90</v>
      </c>
      <c r="K4" s="76">
        <f>Main!B43</f>
        <v>2</v>
      </c>
      <c r="L4" s="76">
        <f>Main!E43</f>
        <v>5</v>
      </c>
      <c r="M4" s="76">
        <f>Main!F43</f>
        <v>4</v>
      </c>
      <c r="N4" s="76" t="str">
        <f>IF(Main!B43=3,"BOSS",Main!G43)</f>
        <v>L</v>
      </c>
      <c r="O4" s="75">
        <f>(INDEX('SF Data'!$M:$M,MATCH(Main!C43,'SF Data'!$C:$C,0))&amp;"0"&amp;M4)*1</f>
        <v>20604</v>
      </c>
      <c r="P4" s="76">
        <f>IF(N4="BOSS",100,INDEX($B$8:$G$8,MATCH(N4,$B$7:$G$7,0))*INDEX('SF Data'!AN:AN,MATCH(Main!C43,'SF Data'!C:C,0))/100)</f>
        <v>81</v>
      </c>
      <c r="Q4" s="76">
        <f>INDEX('SF Data'!AE:AE,MATCH(Main!C43,'SF Data'!C:C,0))</f>
        <v>165</v>
      </c>
      <c r="R4" s="76">
        <f>INDEX($B$11:$B$15,MATCH(MAX(K4,L4),$A$11:$A$15,0))</f>
        <v>120</v>
      </c>
      <c r="S4" s="76">
        <f>INDEX($B$3:$B$5,Main!$B43)</f>
        <v>3.84</v>
      </c>
      <c r="T4" s="76">
        <f>INDEX('SF Resolution'!F:F,MATCH(O4,'SF Resolution'!A:A,0))</f>
        <v>1</v>
      </c>
      <c r="U4" s="76">
        <f>INDEX('SF Data'!L:L,MATCH(Main!C43,'SF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1070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Main!D44</f>
        <v>90</v>
      </c>
      <c r="K5" s="76">
        <f>Main!B44</f>
        <v>2</v>
      </c>
      <c r="L5" s="76">
        <f>Main!E44</f>
        <v>5</v>
      </c>
      <c r="M5" s="76">
        <f>Main!F44</f>
        <v>4</v>
      </c>
      <c r="N5" s="76" t="str">
        <f>IF(Main!B44=3,"BOSS",Main!G44)</f>
        <v>L</v>
      </c>
      <c r="O5" s="75">
        <f>(INDEX('SF Data'!$M:$M,MATCH(Main!C44,'SF Data'!$C:$C,0))&amp;"0"&amp;M5)*1</f>
        <v>20404</v>
      </c>
      <c r="P5" s="76">
        <f>IF(N5="BOSS",100,INDEX($B$8:$G$8,MATCH(N5,$B$7:$G$7,0))*INDEX('SF Data'!AN:AN,MATCH(Main!C44,'SF Data'!C:C,0))/100)</f>
        <v>102.6</v>
      </c>
      <c r="Q5" s="76">
        <f>INDEX('SF Data'!AE:AE,MATCH(Main!C44,'SF Data'!C:C,0))</f>
        <v>98</v>
      </c>
      <c r="R5" s="76">
        <f t="shared" ref="R5:R11" si="2">INDEX($B$11:$B$15,MATCH(MAX(K5,L5),$A$11:$A$15,0))</f>
        <v>120</v>
      </c>
      <c r="S5" s="76">
        <f>INDEX($B$3:$B$5,Main!$B44)</f>
        <v>3.84</v>
      </c>
      <c r="T5" s="76">
        <f>INDEX('SF Resolution'!F:F,MATCH(O5,'SF Resolution'!A:A,0))</f>
        <v>5</v>
      </c>
      <c r="U5" s="76">
        <f>INDEX('SF Data'!L:L,MATCH(Main!C44,'SF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Main!D45</f>
        <v>90</v>
      </c>
      <c r="K6" s="76">
        <f>Main!B45</f>
        <v>2</v>
      </c>
      <c r="L6" s="76">
        <f>Main!E45</f>
        <v>5</v>
      </c>
      <c r="M6" s="76">
        <f>Main!F45</f>
        <v>4</v>
      </c>
      <c r="N6" s="76" t="str">
        <f>IF(Main!B45=3,"BOSS",Main!G45)</f>
        <v>L</v>
      </c>
      <c r="O6" s="75">
        <f>(INDEX('SF Data'!$M:$M,MATCH(Main!C45,'SF Data'!$C:$C,0))&amp;"0"&amp;M6)*1</f>
        <v>20404</v>
      </c>
      <c r="P6" s="76">
        <f>IF(N6="BOSS",100,INDEX($B$8:$G$8,MATCH(N6,$B$7:$G$7,0))*INDEX('SF Data'!AN:AN,MATCH(Main!C45,'SF Data'!C:C,0))/100)</f>
        <v>102.6</v>
      </c>
      <c r="Q6" s="76">
        <f>INDEX('SF Data'!AE:AE,MATCH(Main!C45,'SF Data'!C:C,0))</f>
        <v>98</v>
      </c>
      <c r="R6" s="76">
        <f t="shared" si="2"/>
        <v>120</v>
      </c>
      <c r="S6" s="76">
        <f>INDEX($B$3:$B$5,Main!$B45)</f>
        <v>3.84</v>
      </c>
      <c r="T6" s="76">
        <f>INDEX('SF Resolution'!F:F,MATCH(O6,'SF Resolution'!A:A,0))</f>
        <v>5</v>
      </c>
      <c r="U6" s="76">
        <f>INDEX('SF Data'!L:L,MATCH(Main!C45,'SF Data'!C:C,0))</f>
        <v>5</v>
      </c>
      <c r="V6" s="77">
        <f>INDEX('SF Resolution'!G:G,MATCH(O6,'SF Resolution'!A:A,0))</f>
        <v>64</v>
      </c>
      <c r="X6" s="137">
        <f t="shared" si="0"/>
        <v>918</v>
      </c>
      <c r="Y6" s="140"/>
      <c r="Z6" s="140"/>
    </row>
    <row r="7" spans="1:26" x14ac:dyDescent="0.25">
      <c r="A7" s="234" t="s">
        <v>1073</v>
      </c>
      <c r="B7" s="60" t="s">
        <v>1096</v>
      </c>
      <c r="C7" s="63" t="s">
        <v>1074</v>
      </c>
      <c r="D7" s="63" t="s">
        <v>1075</v>
      </c>
      <c r="E7" s="63" t="s">
        <v>1076</v>
      </c>
      <c r="F7" s="63" t="s">
        <v>1060</v>
      </c>
      <c r="G7" s="64" t="s">
        <v>1070</v>
      </c>
      <c r="I7" s="142">
        <f t="shared" si="1"/>
        <v>5</v>
      </c>
      <c r="J7" s="75">
        <f>Main!D46</f>
        <v>90</v>
      </c>
      <c r="K7" s="76">
        <f>Main!B46</f>
        <v>1</v>
      </c>
      <c r="L7" s="76">
        <f>Main!E46</f>
        <v>5</v>
      </c>
      <c r="M7" s="76">
        <f>Main!F46</f>
        <v>4</v>
      </c>
      <c r="N7" s="76" t="str">
        <f>IF(Main!B46=3,"BOSS",Main!G46)</f>
        <v>XL</v>
      </c>
      <c r="O7" s="75">
        <f>(INDEX('SF Data'!$M:$M,MATCH(Main!C46,'SF Data'!$C:$C,0))&amp;"0"&amp;M7)*1</f>
        <v>30904</v>
      </c>
      <c r="P7" s="76">
        <f>IF(N7="BOSS",100,INDEX($B$8:$G$8,MATCH(N7,$B$7:$G$7,0))*INDEX('SF Data'!AN:AN,MATCH(Main!C46,'SF Data'!C:C,0))/100)</f>
        <v>104.50000000000001</v>
      </c>
      <c r="Q7" s="76">
        <f>INDEX('SF Data'!AE:AE,MATCH(Main!C46,'SF Data'!C:C,0))</f>
        <v>55</v>
      </c>
      <c r="R7" s="76">
        <f t="shared" si="2"/>
        <v>120</v>
      </c>
      <c r="S7" s="76">
        <f>INDEX($B$3:$B$5,Main!$B46)</f>
        <v>3.6</v>
      </c>
      <c r="T7" s="76">
        <f>INDEX('SF Resolution'!F:F,MATCH(O7,'SF Resolution'!A:A,0))</f>
        <v>5</v>
      </c>
      <c r="U7" s="76">
        <f>INDEX('SF Data'!L:L,MATCH(Main!C46,'SF Data'!C:C,0))</f>
        <v>5</v>
      </c>
      <c r="V7" s="77">
        <f>INDEX('SF Resolution'!G:G,MATCH(O7,'SF Resolution'!A:A,0))</f>
        <v>34</v>
      </c>
      <c r="X7" s="137">
        <f t="shared" si="0"/>
        <v>491</v>
      </c>
      <c r="Y7" s="140"/>
      <c r="Z7" s="140"/>
    </row>
    <row r="8" spans="1:26" x14ac:dyDescent="0.25">
      <c r="A8" s="23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Main!D47</f>
        <v>0</v>
      </c>
      <c r="K8" s="76" t="str">
        <f>Main!B47</f>
        <v/>
      </c>
      <c r="L8" s="76">
        <f>Main!E47</f>
        <v>0</v>
      </c>
      <c r="M8" s="76">
        <f>Main!F47</f>
        <v>0</v>
      </c>
      <c r="N8" s="76">
        <f>IF(Main!B47=3,"BOSS",Main!G47)</f>
        <v>0</v>
      </c>
      <c r="O8" s="75" t="e">
        <f>(INDEX('SF Data'!$M:$M,MATCH(Main!C47,'SF Data'!$C:$C,0))&amp;"0"&amp;M8)*1</f>
        <v>#N/A</v>
      </c>
      <c r="P8" s="76" t="e">
        <f>IF(N8="BOSS",100,INDEX($B$8:$G$8,MATCH(N8,$B$7:$G$7,0))*INDEX('SF Data'!AN:AN,MATCH(Main!C47,'SF Data'!C:C,0))/100)</f>
        <v>#N/A</v>
      </c>
      <c r="Q8" s="76" t="e">
        <f>INDEX('SF Data'!AE:AE,MATCH(Main!C47,'SF Data'!C:C,0))</f>
        <v>#N/A</v>
      </c>
      <c r="R8" s="76" t="e">
        <f t="shared" si="2"/>
        <v>#N/A</v>
      </c>
      <c r="S8" s="76" t="e">
        <f>INDEX($B$3:$B$5,Main!$B47)</f>
        <v>#VALUE!</v>
      </c>
      <c r="T8" s="76" t="e">
        <f>INDEX('SF Resolution'!F:F,MATCH(O8,'SF Resolution'!A:A,0))</f>
        <v>#N/A</v>
      </c>
      <c r="U8" s="76" t="e">
        <f>INDEX('SF Data'!L:L,MATCH(Main!C47,'SF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Main!D48</f>
        <v>0</v>
      </c>
      <c r="K9" s="76" t="str">
        <f>Main!B48</f>
        <v/>
      </c>
      <c r="L9" s="76">
        <f>Main!E48</f>
        <v>0</v>
      </c>
      <c r="M9" s="76">
        <f>Main!F48</f>
        <v>0</v>
      </c>
      <c r="N9" s="76">
        <f>IF(Main!B48=3,"BOSS",Main!G48)</f>
        <v>0</v>
      </c>
      <c r="O9" s="75" t="e">
        <f>(INDEX('SF Data'!$M:$M,MATCH(Main!C48,'SF Data'!$C:$C,0))&amp;"0"&amp;M9)*1</f>
        <v>#N/A</v>
      </c>
      <c r="P9" s="76" t="e">
        <f>IF(N9="BOSS",100,INDEX($B$8:$G$8,MATCH(N9,$B$7:$G$7,0))*INDEX('SF Data'!AN:AN,MATCH(Main!C48,'SF Data'!C:C,0))/100)</f>
        <v>#N/A</v>
      </c>
      <c r="Q9" s="76" t="e">
        <f>INDEX('SF Data'!AE:AE,MATCH(Main!C48,'SF Data'!C:C,0))</f>
        <v>#N/A</v>
      </c>
      <c r="R9" s="76" t="e">
        <f t="shared" si="2"/>
        <v>#N/A</v>
      </c>
      <c r="S9" s="76" t="e">
        <f>INDEX($B$3:$B$5,Main!$B48)</f>
        <v>#VALUE!</v>
      </c>
      <c r="T9" s="76" t="e">
        <f>INDEX('SF Resolution'!F:F,MATCH(O9,'SF Resolution'!A:A,0))</f>
        <v>#N/A</v>
      </c>
      <c r="U9" s="76" t="e">
        <f>INDEX('SF Data'!L:L,MATCH(Main!C48,'SF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1095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Main!D49</f>
        <v>0</v>
      </c>
      <c r="K10" s="76" t="str">
        <f>Main!B49</f>
        <v/>
      </c>
      <c r="L10" s="76">
        <f>Main!E49</f>
        <v>0</v>
      </c>
      <c r="M10" s="76">
        <f>Main!F49</f>
        <v>0</v>
      </c>
      <c r="N10" s="76">
        <f>IF(Main!B49=3,"BOSS",Main!G49)</f>
        <v>0</v>
      </c>
      <c r="O10" s="75" t="e">
        <f>(INDEX('SF Data'!$M:$M,MATCH(Main!C49,'SF Data'!$C:$C,0))&amp;"0"&amp;M10)*1</f>
        <v>#N/A</v>
      </c>
      <c r="P10" s="76" t="e">
        <f>IF(N10="BOSS",100,INDEX($B$8:$G$8,MATCH(N10,$B$7:$G$7,0))*INDEX('SF Data'!AN:AN,MATCH(Main!C49,'SF Data'!C:C,0))/100)</f>
        <v>#N/A</v>
      </c>
      <c r="Q10" s="76" t="e">
        <f>INDEX('SF Data'!AE:AE,MATCH(Main!C49,'SF Data'!C:C,0))</f>
        <v>#N/A</v>
      </c>
      <c r="R10" s="76" t="e">
        <f t="shared" si="2"/>
        <v>#N/A</v>
      </c>
      <c r="S10" s="76" t="e">
        <f>INDEX($B$3:$B$5,Main!$B49)</f>
        <v>#VALUE!</v>
      </c>
      <c r="T10" s="76" t="e">
        <f>INDEX('SF Resolution'!F:F,MATCH(O10,'SF Resolution'!A:A,0))</f>
        <v>#N/A</v>
      </c>
      <c r="U10" s="76" t="e">
        <f>INDEX('SF Data'!L:L,MATCH(Main!C49,'SF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Main!D50</f>
        <v>0</v>
      </c>
      <c r="K11" s="83" t="str">
        <f>Main!B50</f>
        <v/>
      </c>
      <c r="L11" s="83">
        <f>Main!E50</f>
        <v>0</v>
      </c>
      <c r="M11" s="83">
        <f>Main!F50</f>
        <v>0</v>
      </c>
      <c r="N11" s="83">
        <f>IF(Main!B50=3,"BOSS",Main!G50)</f>
        <v>0</v>
      </c>
      <c r="O11" s="82" t="e">
        <f>(INDEX('SF Data'!$M:$M,MATCH(Main!C50,'SF Data'!$C:$C,0))&amp;"0"&amp;M11)*1</f>
        <v>#N/A</v>
      </c>
      <c r="P11" s="83" t="e">
        <f>IF(N11="BOSS",100,INDEX($B$8:$G$8,MATCH(N11,$B$7:$G$7,0))*INDEX('SF Data'!AN:AN,MATCH(Main!C50,'SF Data'!C:C,0))/100)</f>
        <v>#N/A</v>
      </c>
      <c r="Q11" s="83" t="e">
        <f>INDEX('SF Data'!AE:AE,MATCH(Main!C50,'SF Data'!C:C,0))</f>
        <v>#N/A</v>
      </c>
      <c r="R11" s="83" t="e">
        <f t="shared" si="2"/>
        <v>#N/A</v>
      </c>
      <c r="S11" s="83" t="e">
        <f>INDEX($B$3:$B$5,Main!$B50)</f>
        <v>#VALUE!</v>
      </c>
      <c r="T11" s="83" t="e">
        <f>INDEX('SF Resolution'!F:F,MATCH(O11,'SF Resolution'!A:A,0))</f>
        <v>#N/A</v>
      </c>
      <c r="U11" s="83" t="e">
        <f>INDEX('SF Data'!L:L,MATCH(Main!C50,'SF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1070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5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1070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1070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1070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Main!D73</f>
        <v>100</v>
      </c>
      <c r="K16" s="83">
        <v>3</v>
      </c>
      <c r="L16" s="83">
        <f>Main!E73</f>
        <v>5</v>
      </c>
      <c r="M16" s="83">
        <f>Main!F73</f>
        <v>4</v>
      </c>
      <c r="N16" s="83" t="s">
        <v>1070</v>
      </c>
      <c r="O16" s="82">
        <f>(INDEX('SF Data'!$M:$M,MATCH(Main!C73,'SF Data'!$C:$C,0))&amp;"0"&amp;M16)*1</f>
        <v>11304</v>
      </c>
      <c r="P16" s="83">
        <v>100</v>
      </c>
      <c r="Q16" s="83">
        <f>INDEX('SF Data'!AE:AE,MATCH(Main!C73,'SF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Data'!L:L,MATCH(Main!C73,'SF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1098</v>
      </c>
      <c r="T17" s="19"/>
      <c r="U17" s="11"/>
      <c r="X17" s="1"/>
      <c r="Y17" s="29"/>
    </row>
    <row r="18" spans="1:25" x14ac:dyDescent="0.25">
      <c r="A18" s="147" t="s">
        <v>1099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6451</v>
      </c>
      <c r="T20" s="19"/>
      <c r="U20" s="11"/>
      <c r="X20" s="1"/>
      <c r="Y20" s="29"/>
    </row>
    <row r="21" spans="1:25" x14ac:dyDescent="0.25">
      <c r="A21" s="147" t="s">
        <v>6452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934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1640</v>
      </c>
      <c r="C22" s="1">
        <v>2</v>
      </c>
      <c r="D22" t="s">
        <v>1641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5846</v>
      </c>
      <c r="C37" s="1">
        <v>6</v>
      </c>
      <c r="D37" t="s">
        <v>5845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1753</v>
      </c>
      <c r="C40" s="1">
        <v>6</v>
      </c>
      <c r="D40" t="s">
        <v>1754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986</v>
      </c>
    </row>
    <row r="20" spans="1:3" x14ac:dyDescent="0.25">
      <c r="A20" t="s">
        <v>656</v>
      </c>
      <c r="B20" s="99">
        <v>910122</v>
      </c>
      <c r="C20" t="s">
        <v>986</v>
      </c>
    </row>
    <row r="21" spans="1:3" x14ac:dyDescent="0.25">
      <c r="A21" t="s">
        <v>984</v>
      </c>
      <c r="B21" s="99">
        <v>902385</v>
      </c>
      <c r="C21" t="s">
        <v>986</v>
      </c>
    </row>
    <row r="22" spans="1:3" x14ac:dyDescent="0.25">
      <c r="A22" t="s">
        <v>654</v>
      </c>
      <c r="B22" s="99">
        <v>910119</v>
      </c>
      <c r="C22" t="s">
        <v>986</v>
      </c>
    </row>
    <row r="23" spans="1:3" x14ac:dyDescent="0.25">
      <c r="A23" t="s">
        <v>655</v>
      </c>
      <c r="B23" s="99">
        <v>910120</v>
      </c>
      <c r="C23" t="s">
        <v>986</v>
      </c>
    </row>
    <row r="24" spans="1:3" x14ac:dyDescent="0.25">
      <c r="A24" t="s">
        <v>653</v>
      </c>
      <c r="B24" s="99">
        <v>910118</v>
      </c>
      <c r="C24" t="s">
        <v>986</v>
      </c>
    </row>
    <row r="25" spans="1:3" x14ac:dyDescent="0.25">
      <c r="A25" t="s">
        <v>983</v>
      </c>
      <c r="B25" s="99">
        <v>900906</v>
      </c>
      <c r="C25" t="s">
        <v>986</v>
      </c>
    </row>
    <row r="26" spans="1:3" x14ac:dyDescent="0.25">
      <c r="A26" t="s">
        <v>985</v>
      </c>
      <c r="B26" s="99">
        <v>910121</v>
      </c>
      <c r="C26" t="s">
        <v>986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A10" sqref="A10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6407</v>
      </c>
      <c r="B1" s="43" t="s">
        <v>949</v>
      </c>
      <c r="C1" s="43" t="s">
        <v>950</v>
      </c>
      <c r="E1" s="43"/>
      <c r="F1" s="43"/>
      <c r="G1" s="43"/>
    </row>
    <row r="2" spans="1:7" x14ac:dyDescent="0.25">
      <c r="A2" s="9" t="s">
        <v>660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951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952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953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649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6411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6412</v>
      </c>
      <c r="B8" s="1">
        <v>2000</v>
      </c>
      <c r="C8" s="1">
        <v>20</v>
      </c>
      <c r="E8" s="9"/>
      <c r="F8" s="1"/>
      <c r="G8" s="1"/>
    </row>
    <row r="9" spans="1:7" x14ac:dyDescent="0.25">
      <c r="A9" s="9" t="s">
        <v>6413</v>
      </c>
      <c r="B9" s="1">
        <v>1900</v>
      </c>
      <c r="C9" s="1">
        <v>19</v>
      </c>
      <c r="E9" s="9"/>
      <c r="F9" s="1"/>
      <c r="G9" s="1"/>
    </row>
    <row r="10" spans="1:7" x14ac:dyDescent="0.25">
      <c r="A10" s="9" t="s">
        <v>1736</v>
      </c>
      <c r="B10" s="1">
        <v>50005</v>
      </c>
      <c r="C10" s="1">
        <v>30007</v>
      </c>
    </row>
    <row r="11" spans="1:7" x14ac:dyDescent="0.25">
      <c r="A11" s="9" t="s">
        <v>6406</v>
      </c>
      <c r="B11" s="1">
        <v>10086</v>
      </c>
      <c r="C11" s="1">
        <v>9</v>
      </c>
    </row>
    <row r="12" spans="1:7" x14ac:dyDescent="0.25">
      <c r="A12" s="9" t="s">
        <v>648</v>
      </c>
      <c r="B12" s="1">
        <v>2300</v>
      </c>
      <c r="C12" s="1">
        <v>23</v>
      </c>
    </row>
    <row r="13" spans="1:7" x14ac:dyDescent="0.25">
      <c r="A13" s="9" t="s">
        <v>663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82"/>
  <sheetViews>
    <sheetView topLeftCell="W1" workbookViewId="0">
      <pane ySplit="1" topLeftCell="A260" activePane="bottomLeft" state="frozen"/>
      <selection activeCell="U2" sqref="U2:U45"/>
      <selection pane="bottomLeft" activeCell="AG283" sqref="AG283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1845</v>
      </c>
      <c r="C1" s="43" t="s">
        <v>1846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1869</v>
      </c>
      <c r="W1" s="43" t="s">
        <v>1847</v>
      </c>
      <c r="X1" s="43" t="s">
        <v>1848</v>
      </c>
      <c r="Y1" s="43" t="s">
        <v>1849</v>
      </c>
      <c r="Z1" s="43" t="s">
        <v>1850</v>
      </c>
      <c r="AA1" s="43" t="s">
        <v>1851</v>
      </c>
      <c r="AB1" s="43" t="s">
        <v>1852</v>
      </c>
      <c r="AC1" s="43" t="s">
        <v>1853</v>
      </c>
      <c r="AD1" s="43" t="s">
        <v>1854</v>
      </c>
      <c r="AE1" s="43" t="s">
        <v>1855</v>
      </c>
      <c r="AF1" s="43" t="s">
        <v>1856</v>
      </c>
      <c r="AG1" s="43" t="s">
        <v>322</v>
      </c>
      <c r="AH1" s="43" t="s">
        <v>323</v>
      </c>
      <c r="AI1" s="43" t="s">
        <v>1857</v>
      </c>
      <c r="AJ1" s="43" t="s">
        <v>1858</v>
      </c>
      <c r="AK1" s="43" t="s">
        <v>324</v>
      </c>
      <c r="AL1" s="43" t="s">
        <v>1859</v>
      </c>
      <c r="AM1" s="43" t="s">
        <v>1860</v>
      </c>
      <c r="AN1" s="43" t="s">
        <v>1861</v>
      </c>
      <c r="AO1" s="43" t="s">
        <v>1862</v>
      </c>
      <c r="AP1" s="43" t="s">
        <v>1863</v>
      </c>
      <c r="AQ1" s="43" t="s">
        <v>1864</v>
      </c>
      <c r="AR1" s="43" t="s">
        <v>1501</v>
      </c>
      <c r="AS1" s="43" t="s">
        <v>1865</v>
      </c>
      <c r="AT1" s="10" t="s">
        <v>630</v>
      </c>
      <c r="AU1" s="10" t="s">
        <v>1866</v>
      </c>
      <c r="AV1" s="10" t="s">
        <v>1867</v>
      </c>
      <c r="AW1" s="10" t="s">
        <v>1868</v>
      </c>
    </row>
    <row r="2" spans="1:49" x14ac:dyDescent="0.25">
      <c r="A2" s="1">
        <v>1</v>
      </c>
      <c r="B2" s="1" t="s">
        <v>1870</v>
      </c>
      <c r="C2" s="1" t="s">
        <v>1871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1872</v>
      </c>
      <c r="AJ2" s="1">
        <v>0</v>
      </c>
      <c r="AK2" s="1" t="s">
        <v>329</v>
      </c>
      <c r="AL2" s="1" t="s">
        <v>1873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1874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1875</v>
      </c>
      <c r="C3" s="1" t="s">
        <v>1876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1872</v>
      </c>
      <c r="AJ3" s="1">
        <v>0</v>
      </c>
      <c r="AK3" s="1" t="s">
        <v>329</v>
      </c>
      <c r="AL3" s="1" t="s">
        <v>1877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1502</v>
      </c>
      <c r="AS3" s="1">
        <v>0</v>
      </c>
      <c r="AT3" s="1" t="s">
        <v>1874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1878</v>
      </c>
      <c r="C4" s="1" t="s">
        <v>1879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1872</v>
      </c>
      <c r="AJ4" s="1">
        <v>0</v>
      </c>
      <c r="AK4" s="1" t="s">
        <v>329</v>
      </c>
      <c r="AL4" s="1" t="s">
        <v>1880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1502</v>
      </c>
      <c r="AS4" s="1">
        <v>0</v>
      </c>
      <c r="AT4" s="1" t="s">
        <v>1874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1881</v>
      </c>
      <c r="C5" s="1" t="s">
        <v>1882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1872</v>
      </c>
      <c r="AJ5" s="1">
        <v>0</v>
      </c>
      <c r="AK5" s="1" t="s">
        <v>329</v>
      </c>
      <c r="AL5" s="1" t="s">
        <v>1883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1502</v>
      </c>
      <c r="AS5" s="1">
        <v>0</v>
      </c>
      <c r="AT5" s="1" t="s">
        <v>1874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1884</v>
      </c>
      <c r="C6" s="1" t="s">
        <v>1885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1886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1874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1887</v>
      </c>
      <c r="C7" s="1" t="s">
        <v>1888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1889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1503</v>
      </c>
      <c r="AS7" s="1">
        <v>0</v>
      </c>
      <c r="AT7" s="1" t="s">
        <v>1874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1890</v>
      </c>
      <c r="C8" s="1" t="s">
        <v>1891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1892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1504</v>
      </c>
      <c r="AS8" s="1">
        <v>0</v>
      </c>
      <c r="AT8" s="1" t="s">
        <v>1874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1893</v>
      </c>
      <c r="C9" s="1" t="s">
        <v>1894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1895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1504</v>
      </c>
      <c r="AS9" s="1">
        <v>0</v>
      </c>
      <c r="AT9" s="1" t="s">
        <v>1874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1896</v>
      </c>
      <c r="C10" s="1" t="s">
        <v>1897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6444</v>
      </c>
      <c r="AH10" s="1">
        <v>600</v>
      </c>
      <c r="AI10" s="1" t="s">
        <v>1898</v>
      </c>
      <c r="AJ10" s="1">
        <v>0</v>
      </c>
      <c r="AK10" s="1" t="s">
        <v>329</v>
      </c>
      <c r="AL10" s="1" t="s">
        <v>1899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1874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1900</v>
      </c>
      <c r="C11" s="1" t="s">
        <v>1901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6445</v>
      </c>
      <c r="AH11" s="1">
        <v>1500</v>
      </c>
      <c r="AI11" s="1" t="s">
        <v>1898</v>
      </c>
      <c r="AJ11" s="1">
        <v>0</v>
      </c>
      <c r="AK11" s="1" t="s">
        <v>329</v>
      </c>
      <c r="AL11" s="1" t="s">
        <v>1902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1505</v>
      </c>
      <c r="AS11" s="1">
        <v>0</v>
      </c>
      <c r="AT11" s="1" t="s">
        <v>1874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1903</v>
      </c>
      <c r="C12" s="1" t="s">
        <v>1904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6446</v>
      </c>
      <c r="AH12" s="1">
        <v>2400</v>
      </c>
      <c r="AI12" s="1" t="s">
        <v>1898</v>
      </c>
      <c r="AJ12" s="1">
        <v>0</v>
      </c>
      <c r="AK12" s="1" t="s">
        <v>329</v>
      </c>
      <c r="AL12" s="1" t="s">
        <v>1905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1505</v>
      </c>
      <c r="AS12" s="1">
        <v>0</v>
      </c>
      <c r="AT12" s="1" t="s">
        <v>1874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1906</v>
      </c>
      <c r="C13" s="1" t="s">
        <v>1907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6447</v>
      </c>
      <c r="AH13" s="1">
        <v>3000</v>
      </c>
      <c r="AI13" s="1" t="s">
        <v>1898</v>
      </c>
      <c r="AJ13" s="1">
        <v>0</v>
      </c>
      <c r="AK13" s="1" t="s">
        <v>329</v>
      </c>
      <c r="AL13" s="1" t="s">
        <v>1908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1505</v>
      </c>
      <c r="AS13" s="1">
        <v>0</v>
      </c>
      <c r="AT13" s="1" t="s">
        <v>1874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1909</v>
      </c>
      <c r="C14" s="1" t="s">
        <v>1910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1911</v>
      </c>
      <c r="AJ14" s="1">
        <v>0</v>
      </c>
      <c r="AK14" s="1" t="s">
        <v>329</v>
      </c>
      <c r="AL14" s="1" t="s">
        <v>1912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1874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1913</v>
      </c>
      <c r="C15" s="1" t="s">
        <v>1914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1911</v>
      </c>
      <c r="AJ15" s="1">
        <v>0</v>
      </c>
      <c r="AK15" s="1" t="s">
        <v>329</v>
      </c>
      <c r="AL15" s="1" t="s">
        <v>1915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1874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1916</v>
      </c>
      <c r="C16" s="1" t="s">
        <v>1917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1911</v>
      </c>
      <c r="AJ16" s="1">
        <v>0</v>
      </c>
      <c r="AK16" s="1" t="s">
        <v>329</v>
      </c>
      <c r="AL16" s="1" t="s">
        <v>1918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1874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1919</v>
      </c>
      <c r="C17" s="1" t="s">
        <v>1920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1911</v>
      </c>
      <c r="AJ17" s="1">
        <v>0</v>
      </c>
      <c r="AK17" s="1" t="s">
        <v>329</v>
      </c>
      <c r="AL17" s="1" t="s">
        <v>1921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1874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1922</v>
      </c>
      <c r="C18" s="1" t="s">
        <v>1923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1911</v>
      </c>
      <c r="AJ18" s="1">
        <v>0</v>
      </c>
      <c r="AK18" s="1" t="s">
        <v>329</v>
      </c>
      <c r="AL18" s="1" t="s">
        <v>1924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1874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1925</v>
      </c>
      <c r="C19" s="1" t="s">
        <v>1926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1911</v>
      </c>
      <c r="AJ19" s="1">
        <v>0</v>
      </c>
      <c r="AK19" s="1" t="s">
        <v>329</v>
      </c>
      <c r="AL19" s="1" t="s">
        <v>1927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1506</v>
      </c>
      <c r="AS19" s="1">
        <v>0</v>
      </c>
      <c r="AT19" s="1" t="s">
        <v>1874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1928</v>
      </c>
      <c r="C20" s="1" t="s">
        <v>1929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1911</v>
      </c>
      <c r="AJ20" s="1">
        <v>0</v>
      </c>
      <c r="AK20" s="1" t="s">
        <v>329</v>
      </c>
      <c r="AL20" s="1" t="s">
        <v>1930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1506</v>
      </c>
      <c r="AS20" s="1">
        <v>0</v>
      </c>
      <c r="AT20" s="1" t="s">
        <v>1874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1931</v>
      </c>
      <c r="C21" s="1" t="s">
        <v>1932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1911</v>
      </c>
      <c r="AJ21" s="1">
        <v>0</v>
      </c>
      <c r="AK21" s="1" t="s">
        <v>329</v>
      </c>
      <c r="AL21" s="1" t="s">
        <v>1933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1506</v>
      </c>
      <c r="AS21" s="1">
        <v>0</v>
      </c>
      <c r="AT21" s="1" t="s">
        <v>1874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5578</v>
      </c>
      <c r="C22" s="1" t="s">
        <v>5579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899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5580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1874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5581</v>
      </c>
      <c r="C23" s="1" t="s">
        <v>5582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5584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1874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5585</v>
      </c>
      <c r="C24" s="1" t="s">
        <v>5586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4977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5587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1874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5588</v>
      </c>
      <c r="C25" s="1" t="s">
        <v>5589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1507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5590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1874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5591</v>
      </c>
      <c r="C26" s="1" t="s">
        <v>5592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5593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1874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5594</v>
      </c>
      <c r="C27" s="1" t="s">
        <v>5595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5596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5597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1874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5598</v>
      </c>
      <c r="C28" s="1" t="s">
        <v>5599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5600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1874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5601</v>
      </c>
      <c r="C29" s="1" t="s">
        <v>5602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5603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1874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1934</v>
      </c>
      <c r="C30" s="1" t="s">
        <v>1935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1936</v>
      </c>
      <c r="AJ30" s="1">
        <v>0</v>
      </c>
      <c r="AK30" s="1" t="s">
        <v>329</v>
      </c>
      <c r="AL30" s="1" t="s">
        <v>1937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1874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1938</v>
      </c>
      <c r="C31" s="1" t="s">
        <v>1939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1936</v>
      </c>
      <c r="AJ31" s="1">
        <v>0</v>
      </c>
      <c r="AK31" s="1" t="s">
        <v>329</v>
      </c>
      <c r="AL31" s="1" t="s">
        <v>1940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1508</v>
      </c>
      <c r="AS31" s="1">
        <v>0</v>
      </c>
      <c r="AT31" s="1" t="s">
        <v>1874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1941</v>
      </c>
      <c r="C32" s="1" t="s">
        <v>1942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1936</v>
      </c>
      <c r="AJ32" s="1">
        <v>0</v>
      </c>
      <c r="AK32" s="1" t="s">
        <v>329</v>
      </c>
      <c r="AL32" s="1" t="s">
        <v>1943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1509</v>
      </c>
      <c r="AS32" s="1">
        <v>0</v>
      </c>
      <c r="AT32" s="1" t="s">
        <v>1874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1944</v>
      </c>
      <c r="C33" s="1" t="s">
        <v>1945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1936</v>
      </c>
      <c r="AJ33" s="1">
        <v>0</v>
      </c>
      <c r="AK33" s="1" t="s">
        <v>329</v>
      </c>
      <c r="AL33" s="1" t="s">
        <v>1946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1510</v>
      </c>
      <c r="AS33" s="1">
        <v>0</v>
      </c>
      <c r="AT33" s="1" t="s">
        <v>1874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5604</v>
      </c>
      <c r="C34" s="1" t="s">
        <v>5605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5606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1874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5607</v>
      </c>
      <c r="C35" s="1" t="s">
        <v>5608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5609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5610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1874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5611</v>
      </c>
      <c r="C36" s="1" t="s">
        <v>5612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5613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1874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5614</v>
      </c>
      <c r="C37" s="1" t="s">
        <v>5615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5616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1874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1947</v>
      </c>
      <c r="C38" s="1" t="s">
        <v>1948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1911</v>
      </c>
      <c r="AJ38" s="1">
        <v>0</v>
      </c>
      <c r="AK38" s="1" t="s">
        <v>329</v>
      </c>
      <c r="AL38" s="1" t="s">
        <v>1949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1874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1950</v>
      </c>
      <c r="C39" s="1" t="s">
        <v>1951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1911</v>
      </c>
      <c r="AJ39" s="1">
        <v>0</v>
      </c>
      <c r="AK39" s="1" t="s">
        <v>329</v>
      </c>
      <c r="AL39" s="1" t="s">
        <v>1952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1511</v>
      </c>
      <c r="AS39" s="1">
        <v>0</v>
      </c>
      <c r="AT39" s="1" t="s">
        <v>1874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1953</v>
      </c>
      <c r="C40" s="1" t="s">
        <v>1954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1911</v>
      </c>
      <c r="AJ40" s="1">
        <v>0</v>
      </c>
      <c r="AK40" s="1" t="s">
        <v>329</v>
      </c>
      <c r="AL40" s="1" t="s">
        <v>1955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1511</v>
      </c>
      <c r="AS40" s="1">
        <v>0</v>
      </c>
      <c r="AT40" s="1" t="s">
        <v>1874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1956</v>
      </c>
      <c r="C41" s="1" t="s">
        <v>1957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1911</v>
      </c>
      <c r="AJ41" s="1">
        <v>0</v>
      </c>
      <c r="AK41" s="1" t="s">
        <v>329</v>
      </c>
      <c r="AL41" s="1" t="s">
        <v>1958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1511</v>
      </c>
      <c r="AS41" s="1">
        <v>0</v>
      </c>
      <c r="AT41" s="1" t="s">
        <v>1874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1959</v>
      </c>
      <c r="C42" s="1" t="s">
        <v>1960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1911</v>
      </c>
      <c r="AJ42" s="1">
        <v>0</v>
      </c>
      <c r="AK42" s="1" t="s">
        <v>329</v>
      </c>
      <c r="AL42" s="1" t="s">
        <v>1961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1512</v>
      </c>
      <c r="AS42" s="1">
        <v>0</v>
      </c>
      <c r="AT42" s="1" t="s">
        <v>1874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1962</v>
      </c>
      <c r="C43" s="1" t="s">
        <v>1963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1911</v>
      </c>
      <c r="AJ43" s="1">
        <v>0</v>
      </c>
      <c r="AK43" s="1" t="s">
        <v>329</v>
      </c>
      <c r="AL43" s="1" t="s">
        <v>1964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1512</v>
      </c>
      <c r="AS43" s="1">
        <v>0</v>
      </c>
      <c r="AT43" s="1" t="s">
        <v>1874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1965</v>
      </c>
      <c r="C44" s="1" t="s">
        <v>1966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1911</v>
      </c>
      <c r="AJ44" s="1">
        <v>0</v>
      </c>
      <c r="AK44" s="1" t="s">
        <v>329</v>
      </c>
      <c r="AL44" s="1" t="s">
        <v>1967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1512</v>
      </c>
      <c r="AS44" s="1">
        <v>0</v>
      </c>
      <c r="AT44" s="1" t="s">
        <v>1874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5618</v>
      </c>
      <c r="C45" s="1" t="s">
        <v>5619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5621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1874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5622</v>
      </c>
      <c r="C46" s="1" t="s">
        <v>5623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5624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1874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5625</v>
      </c>
      <c r="C47" s="1" t="s">
        <v>5626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5627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5628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1874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5629</v>
      </c>
      <c r="C48" s="1" t="s">
        <v>5630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893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5631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1874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5632</v>
      </c>
      <c r="C49" s="1" t="s">
        <v>5633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5634</v>
      </c>
      <c r="AH49" s="1">
        <v>3120</v>
      </c>
      <c r="AI49" s="1" t="s">
        <v>1986</v>
      </c>
      <c r="AJ49" s="1">
        <v>0</v>
      </c>
      <c r="AK49" s="1" t="s">
        <v>329</v>
      </c>
      <c r="AL49" s="1" t="s">
        <v>5635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1874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5636</v>
      </c>
      <c r="C50" s="1" t="s">
        <v>5637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5638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5639</v>
      </c>
      <c r="AH50" s="1">
        <v>3420</v>
      </c>
      <c r="AI50" s="1" t="s">
        <v>1986</v>
      </c>
      <c r="AJ50" s="1">
        <v>0</v>
      </c>
      <c r="AK50" s="1" t="s">
        <v>329</v>
      </c>
      <c r="AL50" s="1" t="s">
        <v>5640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1506</v>
      </c>
      <c r="AS50" s="1">
        <v>0</v>
      </c>
      <c r="AT50" s="1" t="s">
        <v>1874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5641</v>
      </c>
      <c r="C51" s="1" t="s">
        <v>5642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5643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4949</v>
      </c>
      <c r="AH51" s="1">
        <v>960</v>
      </c>
      <c r="AI51" s="1" t="s">
        <v>1911</v>
      </c>
      <c r="AJ51" s="1">
        <v>0</v>
      </c>
      <c r="AK51" s="1" t="s">
        <v>329</v>
      </c>
      <c r="AL51" s="1" t="s">
        <v>5644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1874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5645</v>
      </c>
      <c r="C52" s="1" t="s">
        <v>5646</v>
      </c>
      <c r="D52" s="1">
        <v>3</v>
      </c>
      <c r="E52" s="1">
        <v>2</v>
      </c>
      <c r="F52" s="1">
        <v>5</v>
      </c>
      <c r="G52" s="1" t="s">
        <v>902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5647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1911</v>
      </c>
      <c r="AJ52" s="1">
        <v>0</v>
      </c>
      <c r="AK52" s="1" t="s">
        <v>329</v>
      </c>
      <c r="AL52" s="1" t="s">
        <v>5648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1874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5649</v>
      </c>
      <c r="C53" s="1" t="s">
        <v>5650</v>
      </c>
      <c r="D53" s="1">
        <v>4</v>
      </c>
      <c r="E53" s="1">
        <v>2</v>
      </c>
      <c r="F53" s="1">
        <v>5</v>
      </c>
      <c r="G53" s="1" t="s">
        <v>903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5651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5020</v>
      </c>
      <c r="AH53" s="1">
        <v>2760</v>
      </c>
      <c r="AI53" s="1" t="s">
        <v>1911</v>
      </c>
      <c r="AJ53" s="1">
        <v>0</v>
      </c>
      <c r="AK53" s="1" t="s">
        <v>329</v>
      </c>
      <c r="AL53" s="1" t="s">
        <v>5652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1874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5653</v>
      </c>
      <c r="C54" s="1" t="s">
        <v>5654</v>
      </c>
      <c r="D54" s="1">
        <v>5</v>
      </c>
      <c r="E54" s="1">
        <v>2</v>
      </c>
      <c r="F54" s="1">
        <v>5</v>
      </c>
      <c r="G54" s="1" t="s">
        <v>5655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5656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1911</v>
      </c>
      <c r="AJ54" s="1">
        <v>0</v>
      </c>
      <c r="AK54" s="1" t="s">
        <v>329</v>
      </c>
      <c r="AL54" s="1" t="s">
        <v>5657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1874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1968</v>
      </c>
      <c r="C55" s="1" t="s">
        <v>1969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1911</v>
      </c>
      <c r="AJ55" s="1">
        <v>0</v>
      </c>
      <c r="AK55" s="1" t="s">
        <v>329</v>
      </c>
      <c r="AL55" s="1" t="s">
        <v>1970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1874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1971</v>
      </c>
      <c r="C56" s="1" t="s">
        <v>1972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1911</v>
      </c>
      <c r="AJ56" s="1">
        <v>0</v>
      </c>
      <c r="AK56" s="1" t="s">
        <v>329</v>
      </c>
      <c r="AL56" s="1" t="s">
        <v>1973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1513</v>
      </c>
      <c r="AS56" s="1">
        <v>0</v>
      </c>
      <c r="AT56" s="1" t="s">
        <v>1874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1974</v>
      </c>
      <c r="C57" s="1" t="s">
        <v>1975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1911</v>
      </c>
      <c r="AJ57" s="1">
        <v>0</v>
      </c>
      <c r="AK57" s="1" t="s">
        <v>329</v>
      </c>
      <c r="AL57" s="1" t="s">
        <v>1976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1514</v>
      </c>
      <c r="AS57" s="1">
        <v>0</v>
      </c>
      <c r="AT57" s="1" t="s">
        <v>1874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1977</v>
      </c>
      <c r="C58" s="1" t="s">
        <v>1978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1911</v>
      </c>
      <c r="AJ58" s="1">
        <v>0</v>
      </c>
      <c r="AK58" s="1" t="s">
        <v>329</v>
      </c>
      <c r="AL58" s="1" t="s">
        <v>1979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1515</v>
      </c>
      <c r="AS58" s="1">
        <v>0</v>
      </c>
      <c r="AT58" s="1" t="s">
        <v>1874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1980</v>
      </c>
      <c r="C59" s="1" t="s">
        <v>1981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1982</v>
      </c>
      <c r="AJ59" s="1">
        <v>0</v>
      </c>
      <c r="AK59" s="1" t="s">
        <v>358</v>
      </c>
      <c r="AL59" s="1" t="s">
        <v>1983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1516</v>
      </c>
      <c r="AS59" s="1">
        <v>0</v>
      </c>
      <c r="AT59" s="1" t="s">
        <v>1874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1984</v>
      </c>
      <c r="C60" s="1" t="s">
        <v>1985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1986</v>
      </c>
      <c r="AJ60" s="1">
        <v>0</v>
      </c>
      <c r="AK60" s="1" t="s">
        <v>378</v>
      </c>
      <c r="AL60" s="1" t="s">
        <v>1987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1517</v>
      </c>
      <c r="AS60" s="1">
        <v>0</v>
      </c>
      <c r="AT60" s="1" t="s">
        <v>1874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1988</v>
      </c>
      <c r="C61" s="1" t="s">
        <v>1989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1986</v>
      </c>
      <c r="AJ61" s="1">
        <v>0</v>
      </c>
      <c r="AK61" s="1" t="s">
        <v>381</v>
      </c>
      <c r="AL61" s="1" t="s">
        <v>1990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1518</v>
      </c>
      <c r="AS61" s="1">
        <v>0</v>
      </c>
      <c r="AT61" s="1" t="s">
        <v>1874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1991</v>
      </c>
      <c r="C62" s="1" t="s">
        <v>1992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1986</v>
      </c>
      <c r="AJ62" s="1">
        <v>0</v>
      </c>
      <c r="AK62" s="1" t="s">
        <v>384</v>
      </c>
      <c r="AL62" s="1" t="s">
        <v>1993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1519</v>
      </c>
      <c r="AS62" s="1">
        <v>0</v>
      </c>
      <c r="AT62" s="1" t="s">
        <v>1874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1994</v>
      </c>
      <c r="C63" s="1" t="s">
        <v>1995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1996</v>
      </c>
      <c r="AJ63" s="1">
        <v>0</v>
      </c>
      <c r="AK63" s="1" t="s">
        <v>329</v>
      </c>
      <c r="AL63" s="1" t="s">
        <v>1997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1874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1998</v>
      </c>
      <c r="C64" s="1" t="s">
        <v>1999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1996</v>
      </c>
      <c r="AJ64" s="1">
        <v>0</v>
      </c>
      <c r="AK64" s="1" t="s">
        <v>329</v>
      </c>
      <c r="AL64" s="1" t="s">
        <v>2000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1520</v>
      </c>
      <c r="AS64" s="1">
        <v>0</v>
      </c>
      <c r="AT64" s="1" t="s">
        <v>1874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2001</v>
      </c>
      <c r="C65" s="1" t="s">
        <v>2002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1996</v>
      </c>
      <c r="AJ65" s="1">
        <v>0</v>
      </c>
      <c r="AK65" s="1" t="s">
        <v>329</v>
      </c>
      <c r="AL65" s="1" t="s">
        <v>2003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1520</v>
      </c>
      <c r="AS65" s="1">
        <v>0</v>
      </c>
      <c r="AT65" s="1" t="s">
        <v>1874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2004</v>
      </c>
      <c r="C66" s="1" t="s">
        <v>2005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1996</v>
      </c>
      <c r="AJ66" s="1">
        <v>0</v>
      </c>
      <c r="AK66" s="1" t="s">
        <v>329</v>
      </c>
      <c r="AL66" s="1" t="s">
        <v>2006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1521</v>
      </c>
      <c r="AS66" s="1">
        <v>0</v>
      </c>
      <c r="AT66" s="1" t="s">
        <v>1874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2007</v>
      </c>
      <c r="C67" s="1" t="s">
        <v>2008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1911</v>
      </c>
      <c r="AJ67" s="1">
        <v>0</v>
      </c>
      <c r="AK67" s="1" t="s">
        <v>329</v>
      </c>
      <c r="AL67" s="1" t="s">
        <v>2009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1522</v>
      </c>
      <c r="AS67" s="1">
        <v>0</v>
      </c>
      <c r="AT67" s="1" t="s">
        <v>1874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2010</v>
      </c>
      <c r="C68" s="1" t="s">
        <v>2011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1911</v>
      </c>
      <c r="AJ68" s="1">
        <v>0</v>
      </c>
      <c r="AK68" s="1" t="s">
        <v>329</v>
      </c>
      <c r="AL68" s="1" t="s">
        <v>2012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1523</v>
      </c>
      <c r="AS68" s="1">
        <v>0</v>
      </c>
      <c r="AT68" s="1" t="s">
        <v>1874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2013</v>
      </c>
      <c r="C69" s="1" t="s">
        <v>2014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2015</v>
      </c>
      <c r="AJ69" s="1">
        <v>0</v>
      </c>
      <c r="AK69" s="1" t="s">
        <v>329</v>
      </c>
      <c r="AL69" s="1" t="s">
        <v>2016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1874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2017</v>
      </c>
      <c r="C70" s="1" t="s">
        <v>2018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2015</v>
      </c>
      <c r="AJ70" s="1">
        <v>0</v>
      </c>
      <c r="AK70" s="1" t="s">
        <v>329</v>
      </c>
      <c r="AL70" s="1" t="s">
        <v>2019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1510</v>
      </c>
      <c r="AS70" s="1">
        <v>0</v>
      </c>
      <c r="AT70" s="1" t="s">
        <v>1874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2020</v>
      </c>
      <c r="C71" s="1" t="s">
        <v>2021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2015</v>
      </c>
      <c r="AJ71" s="1">
        <v>0</v>
      </c>
      <c r="AK71" s="1" t="s">
        <v>329</v>
      </c>
      <c r="AL71" s="1" t="s">
        <v>2022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1524</v>
      </c>
      <c r="AS71" s="1">
        <v>0</v>
      </c>
      <c r="AT71" s="1" t="s">
        <v>1874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2023</v>
      </c>
      <c r="C72" s="1" t="s">
        <v>2024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2015</v>
      </c>
      <c r="AJ72" s="1">
        <v>0</v>
      </c>
      <c r="AK72" s="1" t="s">
        <v>329</v>
      </c>
      <c r="AL72" s="1" t="s">
        <v>2025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1524</v>
      </c>
      <c r="AS72" s="1">
        <v>0</v>
      </c>
      <c r="AT72" s="1" t="s">
        <v>1874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2026</v>
      </c>
      <c r="C73" s="1" t="s">
        <v>2027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1911</v>
      </c>
      <c r="AJ73" s="1">
        <v>0</v>
      </c>
      <c r="AK73" s="1" t="s">
        <v>329</v>
      </c>
      <c r="AL73" s="1" t="s">
        <v>2028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1874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2029</v>
      </c>
      <c r="C74" s="1" t="s">
        <v>2030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1911</v>
      </c>
      <c r="AJ74" s="1">
        <v>0</v>
      </c>
      <c r="AK74" s="1" t="s">
        <v>329</v>
      </c>
      <c r="AL74" s="1" t="s">
        <v>2031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1525</v>
      </c>
      <c r="AS74" s="1">
        <v>0</v>
      </c>
      <c r="AT74" s="1" t="s">
        <v>1874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2032</v>
      </c>
      <c r="C75" s="1" t="s">
        <v>2033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1911</v>
      </c>
      <c r="AJ75" s="1">
        <v>0</v>
      </c>
      <c r="AK75" s="1" t="s">
        <v>329</v>
      </c>
      <c r="AL75" s="1" t="s">
        <v>2034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1526</v>
      </c>
      <c r="AS75" s="1">
        <v>0</v>
      </c>
      <c r="AT75" s="1" t="s">
        <v>1874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2035</v>
      </c>
      <c r="C76" s="1" t="s">
        <v>2036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1911</v>
      </c>
      <c r="AJ76" s="1">
        <v>0</v>
      </c>
      <c r="AK76" s="1" t="s">
        <v>329</v>
      </c>
      <c r="AL76" s="1" t="s">
        <v>2037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1525</v>
      </c>
      <c r="AS76" s="1">
        <v>0</v>
      </c>
      <c r="AT76" s="1" t="s">
        <v>1874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2038</v>
      </c>
      <c r="C77" s="1" t="s">
        <v>2039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1911</v>
      </c>
      <c r="AJ77" s="1">
        <v>0</v>
      </c>
      <c r="AK77" s="1" t="s">
        <v>329</v>
      </c>
      <c r="AL77" s="1" t="s">
        <v>2040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1874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2041</v>
      </c>
      <c r="C78" s="1" t="s">
        <v>2042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1911</v>
      </c>
      <c r="AJ78" s="1">
        <v>0</v>
      </c>
      <c r="AK78" s="1" t="s">
        <v>329</v>
      </c>
      <c r="AL78" s="1" t="s">
        <v>2043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1505</v>
      </c>
      <c r="AS78" s="1">
        <v>300701</v>
      </c>
      <c r="AT78" s="1" t="s">
        <v>1874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2044</v>
      </c>
      <c r="C79" s="1" t="s">
        <v>2045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1911</v>
      </c>
      <c r="AJ79" s="1">
        <v>0</v>
      </c>
      <c r="AK79" s="1" t="s">
        <v>329</v>
      </c>
      <c r="AL79" s="1" t="s">
        <v>2046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1527</v>
      </c>
      <c r="AS79" s="1">
        <v>300701</v>
      </c>
      <c r="AT79" s="1" t="s">
        <v>1874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2047</v>
      </c>
      <c r="C80" s="1" t="s">
        <v>2048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1911</v>
      </c>
      <c r="AJ80" s="1">
        <v>0</v>
      </c>
      <c r="AK80" s="1" t="s">
        <v>329</v>
      </c>
      <c r="AL80" s="1" t="s">
        <v>2049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1528</v>
      </c>
      <c r="AS80" s="1">
        <v>300701</v>
      </c>
      <c r="AT80" s="1" t="s">
        <v>1874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5658</v>
      </c>
      <c r="C81" s="1" t="s">
        <v>5659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5660</v>
      </c>
      <c r="AH81" s="1">
        <v>3060</v>
      </c>
      <c r="AI81" s="1" t="s">
        <v>1986</v>
      </c>
      <c r="AJ81" s="1">
        <v>0</v>
      </c>
      <c r="AK81" s="1" t="s">
        <v>329</v>
      </c>
      <c r="AL81" s="1" t="s">
        <v>5661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1512</v>
      </c>
      <c r="AS81" s="1">
        <v>0</v>
      </c>
      <c r="AT81" s="1" t="s">
        <v>1874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5662</v>
      </c>
      <c r="C82" s="1" t="s">
        <v>5663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5664</v>
      </c>
      <c r="AH82" s="1">
        <v>3240</v>
      </c>
      <c r="AI82" s="1" t="s">
        <v>1986</v>
      </c>
      <c r="AJ82" s="1">
        <v>0</v>
      </c>
      <c r="AK82" s="1" t="s">
        <v>329</v>
      </c>
      <c r="AL82" s="1" t="s">
        <v>5665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1525</v>
      </c>
      <c r="AS82" s="1">
        <v>0</v>
      </c>
      <c r="AT82" s="1" t="s">
        <v>1874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2050</v>
      </c>
      <c r="C83" s="1" t="s">
        <v>2051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2052</v>
      </c>
      <c r="AJ83" s="1">
        <v>0</v>
      </c>
      <c r="AK83" s="1" t="s">
        <v>396</v>
      </c>
      <c r="AL83" s="1" t="s">
        <v>2053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1529</v>
      </c>
      <c r="AS83" s="1">
        <v>0</v>
      </c>
      <c r="AT83" s="1" t="s">
        <v>1874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2054</v>
      </c>
      <c r="C84" s="1" t="s">
        <v>2055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2052</v>
      </c>
      <c r="AJ84" s="1">
        <v>0</v>
      </c>
      <c r="AK84" s="1" t="s">
        <v>396</v>
      </c>
      <c r="AL84" s="1" t="s">
        <v>2056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1530</v>
      </c>
      <c r="AS84" s="1">
        <v>0</v>
      </c>
      <c r="AT84" s="1" t="s">
        <v>1874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2057</v>
      </c>
      <c r="C85" s="1" t="s">
        <v>2058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2052</v>
      </c>
      <c r="AJ85" s="1">
        <v>0</v>
      </c>
      <c r="AK85" s="1" t="s">
        <v>396</v>
      </c>
      <c r="AL85" s="1" t="s">
        <v>2059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1531</v>
      </c>
      <c r="AS85" s="1">
        <v>0</v>
      </c>
      <c r="AT85" s="1" t="s">
        <v>1874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2060</v>
      </c>
      <c r="C86" s="1" t="s">
        <v>2061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1986</v>
      </c>
      <c r="AJ86" s="1">
        <v>0</v>
      </c>
      <c r="AK86" s="1" t="s">
        <v>401</v>
      </c>
      <c r="AL86" s="1" t="s">
        <v>2062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1532</v>
      </c>
      <c r="AS86" s="1">
        <v>0</v>
      </c>
      <c r="AT86" s="1" t="s">
        <v>1874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2063</v>
      </c>
      <c r="C87" s="1" t="s">
        <v>2064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1911</v>
      </c>
      <c r="AJ87" s="1">
        <v>0</v>
      </c>
      <c r="AK87" s="1" t="s">
        <v>329</v>
      </c>
      <c r="AL87" s="1" t="s">
        <v>2065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1874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2066</v>
      </c>
      <c r="C88" s="1" t="s">
        <v>2067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1911</v>
      </c>
      <c r="AJ88" s="1">
        <v>0</v>
      </c>
      <c r="AK88" s="1" t="s">
        <v>329</v>
      </c>
      <c r="AL88" s="1" t="s">
        <v>2068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1533</v>
      </c>
      <c r="AS88" s="1">
        <v>0</v>
      </c>
      <c r="AT88" s="1" t="s">
        <v>1874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2069</v>
      </c>
      <c r="C89" s="1" t="s">
        <v>2070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1911</v>
      </c>
      <c r="AJ89" s="1">
        <v>0</v>
      </c>
      <c r="AK89" s="1" t="s">
        <v>329</v>
      </c>
      <c r="AL89" s="1" t="s">
        <v>2071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1534</v>
      </c>
      <c r="AS89" s="1">
        <v>0</v>
      </c>
      <c r="AT89" s="1" t="s">
        <v>1874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2072</v>
      </c>
      <c r="C90" s="1" t="s">
        <v>2073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1911</v>
      </c>
      <c r="AJ90" s="1">
        <v>0</v>
      </c>
      <c r="AK90" s="1" t="s">
        <v>329</v>
      </c>
      <c r="AL90" s="1" t="s">
        <v>2074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1535</v>
      </c>
      <c r="AS90" s="1">
        <v>0</v>
      </c>
      <c r="AT90" s="1" t="s">
        <v>1874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2075</v>
      </c>
      <c r="C91" s="1" t="s">
        <v>2076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2077</v>
      </c>
      <c r="AJ91" s="1">
        <v>0</v>
      </c>
      <c r="AK91" s="1" t="s">
        <v>372</v>
      </c>
      <c r="AL91" s="1" t="s">
        <v>2078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1536</v>
      </c>
      <c r="AS91" s="1">
        <v>0</v>
      </c>
      <c r="AT91" s="1" t="s">
        <v>1874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2079</v>
      </c>
      <c r="C92" s="1" t="s">
        <v>2080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1911</v>
      </c>
      <c r="AJ92" s="1">
        <v>0</v>
      </c>
      <c r="AK92" s="1" t="s">
        <v>406</v>
      </c>
      <c r="AL92" s="1" t="s">
        <v>2081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1537</v>
      </c>
      <c r="AS92" s="1">
        <v>0</v>
      </c>
      <c r="AT92" s="1" t="s">
        <v>1874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2082</v>
      </c>
      <c r="C93" s="1" t="s">
        <v>2083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2084</v>
      </c>
      <c r="AJ93" s="1">
        <v>0</v>
      </c>
      <c r="AK93" s="1" t="s">
        <v>408</v>
      </c>
      <c r="AL93" s="1" t="s">
        <v>2085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1517</v>
      </c>
      <c r="AS93" s="1">
        <v>0</v>
      </c>
      <c r="AT93" s="1" t="s">
        <v>1874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2086</v>
      </c>
      <c r="C94" s="1" t="s">
        <v>2087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1986</v>
      </c>
      <c r="AJ94" s="1">
        <v>0</v>
      </c>
      <c r="AK94" s="1" t="s">
        <v>410</v>
      </c>
      <c r="AL94" s="1" t="s">
        <v>2088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1538</v>
      </c>
      <c r="AS94" s="1">
        <v>0</v>
      </c>
      <c r="AT94" s="1" t="s">
        <v>1874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5666</v>
      </c>
      <c r="C95" s="1" t="s">
        <v>5667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5668</v>
      </c>
      <c r="AH95" s="1">
        <v>3180</v>
      </c>
      <c r="AI95" s="1" t="s">
        <v>1986</v>
      </c>
      <c r="AJ95" s="1">
        <v>0</v>
      </c>
      <c r="AK95" s="1" t="s">
        <v>329</v>
      </c>
      <c r="AL95" s="1" t="s">
        <v>5669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1524</v>
      </c>
      <c r="AS95" s="1">
        <v>0</v>
      </c>
      <c r="AT95" s="1" t="s">
        <v>1874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5670</v>
      </c>
      <c r="C96" s="1" t="s">
        <v>5671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5672</v>
      </c>
      <c r="AH96" s="1">
        <v>3360</v>
      </c>
      <c r="AI96" s="1" t="s">
        <v>1986</v>
      </c>
      <c r="AJ96" s="1">
        <v>0</v>
      </c>
      <c r="AK96" s="1" t="s">
        <v>329</v>
      </c>
      <c r="AL96" s="1" t="s">
        <v>5673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1535</v>
      </c>
      <c r="AS96" s="1">
        <v>0</v>
      </c>
      <c r="AT96" s="1" t="s">
        <v>1874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5674</v>
      </c>
      <c r="C97" s="1" t="s">
        <v>5675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5676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5617</v>
      </c>
      <c r="AH97" s="1">
        <v>3600</v>
      </c>
      <c r="AI97" s="1" t="s">
        <v>329</v>
      </c>
      <c r="AJ97" s="1">
        <v>0</v>
      </c>
      <c r="AK97" s="1" t="s">
        <v>5677</v>
      </c>
      <c r="AL97" s="1" t="s">
        <v>5678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1512</v>
      </c>
      <c r="AS97" s="1">
        <v>0</v>
      </c>
      <c r="AT97" s="1" t="s">
        <v>1874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5679</v>
      </c>
      <c r="C98" s="1" t="s">
        <v>5680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5676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5577</v>
      </c>
      <c r="AH98" s="1">
        <v>3600</v>
      </c>
      <c r="AI98" s="1" t="s">
        <v>329</v>
      </c>
      <c r="AJ98" s="1">
        <v>0</v>
      </c>
      <c r="AK98" s="1" t="s">
        <v>5677</v>
      </c>
      <c r="AL98" s="1" t="s">
        <v>5681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1506</v>
      </c>
      <c r="AS98" s="1">
        <v>0</v>
      </c>
      <c r="AT98" s="1" t="s">
        <v>1874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2089</v>
      </c>
      <c r="C99" s="1" t="s">
        <v>2090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1986</v>
      </c>
      <c r="AJ99" s="1">
        <v>0</v>
      </c>
      <c r="AK99" s="1" t="s">
        <v>412</v>
      </c>
      <c r="AL99" s="1" t="s">
        <v>2091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1539</v>
      </c>
      <c r="AS99" s="1">
        <v>0</v>
      </c>
      <c r="AT99" s="1" t="s">
        <v>1874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2092</v>
      </c>
      <c r="C100" s="1" t="s">
        <v>2093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1718</v>
      </c>
      <c r="AH100" s="1">
        <v>3600</v>
      </c>
      <c r="AI100" s="1" t="s">
        <v>1986</v>
      </c>
      <c r="AJ100" s="1">
        <v>0</v>
      </c>
      <c r="AK100" s="1" t="s">
        <v>413</v>
      </c>
      <c r="AL100" s="1" t="s">
        <v>2094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1540</v>
      </c>
      <c r="AS100" s="1">
        <v>0</v>
      </c>
      <c r="AT100" s="1" t="s">
        <v>1874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2095</v>
      </c>
      <c r="C101" s="1" t="s">
        <v>2096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2097</v>
      </c>
      <c r="AJ101" s="1">
        <v>0</v>
      </c>
      <c r="AK101" s="1" t="s">
        <v>415</v>
      </c>
      <c r="AL101" s="1" t="s">
        <v>2098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1541</v>
      </c>
      <c r="AS101" s="1">
        <v>0</v>
      </c>
      <c r="AT101" s="1" t="s">
        <v>1874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2099</v>
      </c>
      <c r="C102" s="1" t="s">
        <v>2100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2101</v>
      </c>
      <c r="AJ102" s="1">
        <v>0</v>
      </c>
      <c r="AK102" s="1" t="s">
        <v>417</v>
      </c>
      <c r="AL102" s="1" t="s">
        <v>2102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1542</v>
      </c>
      <c r="AS102" s="1">
        <v>0</v>
      </c>
      <c r="AT102" s="1" t="s">
        <v>1874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2103</v>
      </c>
      <c r="C103" s="1" t="s">
        <v>2104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2105</v>
      </c>
      <c r="AJ103" s="1">
        <v>0</v>
      </c>
      <c r="AK103" s="1" t="s">
        <v>418</v>
      </c>
      <c r="AL103" s="1" t="s">
        <v>2106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1543</v>
      </c>
      <c r="AS103" s="1">
        <v>0</v>
      </c>
      <c r="AT103" s="1" t="s">
        <v>1874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2107</v>
      </c>
      <c r="C104" s="1" t="s">
        <v>2108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1452</v>
      </c>
      <c r="AH104" s="1">
        <v>3600</v>
      </c>
      <c r="AI104" s="1" t="s">
        <v>2109</v>
      </c>
      <c r="AJ104" s="1">
        <v>0</v>
      </c>
      <c r="AK104" s="1" t="s">
        <v>419</v>
      </c>
      <c r="AL104" s="1" t="s">
        <v>2110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1544</v>
      </c>
      <c r="AS104" s="1">
        <v>0</v>
      </c>
      <c r="AT104" s="1" t="s">
        <v>1874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2111</v>
      </c>
      <c r="C105" s="1" t="s">
        <v>2112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2113</v>
      </c>
      <c r="AJ105" s="1">
        <v>0</v>
      </c>
      <c r="AK105" s="1" t="s">
        <v>368</v>
      </c>
      <c r="AL105" s="1" t="s">
        <v>2114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1545</v>
      </c>
      <c r="AS105" s="1">
        <v>0</v>
      </c>
      <c r="AT105" s="1" t="s">
        <v>1874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2115</v>
      </c>
      <c r="C106" s="1" t="s">
        <v>2116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1986</v>
      </c>
      <c r="AJ106" s="1">
        <v>0</v>
      </c>
      <c r="AK106" s="1" t="s">
        <v>421</v>
      </c>
      <c r="AL106" s="1" t="s">
        <v>2117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1546</v>
      </c>
      <c r="AS106" s="1">
        <v>0</v>
      </c>
      <c r="AT106" s="1" t="s">
        <v>1874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2118</v>
      </c>
      <c r="C107" s="1" t="s">
        <v>2119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1986</v>
      </c>
      <c r="AJ107" s="1">
        <v>0</v>
      </c>
      <c r="AK107" s="1" t="s">
        <v>424</v>
      </c>
      <c r="AL107" s="1" t="s">
        <v>2120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1518</v>
      </c>
      <c r="AS107" s="1">
        <v>0</v>
      </c>
      <c r="AT107" s="1" t="s">
        <v>1874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2121</v>
      </c>
      <c r="C108" s="1" t="s">
        <v>2122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1986</v>
      </c>
      <c r="AJ108" s="1">
        <v>0</v>
      </c>
      <c r="AK108" s="1" t="s">
        <v>425</v>
      </c>
      <c r="AL108" s="1" t="s">
        <v>2123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1547</v>
      </c>
      <c r="AS108" s="1">
        <v>0</v>
      </c>
      <c r="AT108" s="1" t="s">
        <v>1874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5682</v>
      </c>
      <c r="C109" s="1" t="s">
        <v>5683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5684</v>
      </c>
      <c r="AH109" s="1">
        <v>3600</v>
      </c>
      <c r="AI109" s="1" t="s">
        <v>1986</v>
      </c>
      <c r="AJ109" s="1">
        <v>0</v>
      </c>
      <c r="AK109" s="1" t="s">
        <v>329</v>
      </c>
      <c r="AL109" s="1" t="s">
        <v>5685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1502</v>
      </c>
      <c r="AS109" s="1">
        <v>0</v>
      </c>
      <c r="AT109" s="1" t="s">
        <v>1874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5686</v>
      </c>
      <c r="C110" s="1" t="s">
        <v>5687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5688</v>
      </c>
      <c r="AH110" s="1">
        <v>3600</v>
      </c>
      <c r="AI110" s="1" t="s">
        <v>1986</v>
      </c>
      <c r="AJ110" s="1">
        <v>0</v>
      </c>
      <c r="AK110" s="1" t="s">
        <v>329</v>
      </c>
      <c r="AL110" s="1" t="s">
        <v>5689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1510</v>
      </c>
      <c r="AS110" s="1">
        <v>0</v>
      </c>
      <c r="AT110" s="1" t="s">
        <v>1874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2124</v>
      </c>
      <c r="C111" s="1" t="s">
        <v>2125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1715</v>
      </c>
      <c r="AH111" s="1">
        <v>3600</v>
      </c>
      <c r="AI111" s="1" t="s">
        <v>2126</v>
      </c>
      <c r="AJ111" s="1">
        <v>0</v>
      </c>
      <c r="AK111" s="1" t="s">
        <v>427</v>
      </c>
      <c r="AL111" s="1" t="s">
        <v>2127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1548</v>
      </c>
      <c r="AS111" s="1">
        <v>0</v>
      </c>
      <c r="AT111" s="1" t="s">
        <v>1874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2128</v>
      </c>
      <c r="C112" s="1" t="s">
        <v>2129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2130</v>
      </c>
      <c r="AJ112" s="1">
        <v>0</v>
      </c>
      <c r="AK112" s="1" t="s">
        <v>428</v>
      </c>
      <c r="AL112" s="1" t="s">
        <v>2131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1549</v>
      </c>
      <c r="AS112" s="1">
        <v>0</v>
      </c>
      <c r="AT112" s="1" t="s">
        <v>1874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2132</v>
      </c>
      <c r="C113" s="1" t="s">
        <v>2133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2134</v>
      </c>
      <c r="AJ113" s="1">
        <v>0</v>
      </c>
      <c r="AK113" s="1" t="s">
        <v>429</v>
      </c>
      <c r="AL113" s="1" t="s">
        <v>2135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1550</v>
      </c>
      <c r="AS113" s="1">
        <v>0</v>
      </c>
      <c r="AT113" s="1" t="s">
        <v>1874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2136</v>
      </c>
      <c r="C114" s="1" t="s">
        <v>2137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1719</v>
      </c>
      <c r="AH114" s="1">
        <v>3600</v>
      </c>
      <c r="AI114" s="1" t="s">
        <v>2138</v>
      </c>
      <c r="AJ114" s="1">
        <v>0</v>
      </c>
      <c r="AK114" s="1" t="s">
        <v>430</v>
      </c>
      <c r="AL114" s="1" t="s">
        <v>2139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1551</v>
      </c>
      <c r="AS114" s="1">
        <v>0</v>
      </c>
      <c r="AT114" s="1" t="s">
        <v>1874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2140</v>
      </c>
      <c r="C115" s="1" t="s">
        <v>2141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1716</v>
      </c>
      <c r="AH115" s="1">
        <v>3600</v>
      </c>
      <c r="AI115" s="1" t="s">
        <v>2142</v>
      </c>
      <c r="AJ115" s="1">
        <v>0</v>
      </c>
      <c r="AK115" s="1" t="s">
        <v>431</v>
      </c>
      <c r="AL115" s="1" t="s">
        <v>2143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1552</v>
      </c>
      <c r="AS115" s="1">
        <v>0</v>
      </c>
      <c r="AT115" s="1" t="s">
        <v>1874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2144</v>
      </c>
      <c r="C116" s="1" t="s">
        <v>2145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2146</v>
      </c>
      <c r="AJ116" s="1">
        <v>0</v>
      </c>
      <c r="AK116" s="1" t="s">
        <v>432</v>
      </c>
      <c r="AL116" s="1" t="s">
        <v>2147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1874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2148</v>
      </c>
      <c r="C117" s="1" t="s">
        <v>2149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2146</v>
      </c>
      <c r="AJ117" s="1">
        <v>0</v>
      </c>
      <c r="AK117" s="1" t="s">
        <v>433</v>
      </c>
      <c r="AL117" s="1" t="s">
        <v>2150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1874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2151</v>
      </c>
      <c r="C118" s="1" t="s">
        <v>2152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2153</v>
      </c>
      <c r="AJ118" s="1">
        <v>0</v>
      </c>
      <c r="AK118" s="1" t="s">
        <v>434</v>
      </c>
      <c r="AL118" s="1" t="s">
        <v>2154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1553</v>
      </c>
      <c r="AS118" s="1">
        <v>0</v>
      </c>
      <c r="AT118" s="1" t="s">
        <v>1874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5690</v>
      </c>
      <c r="C119" s="1" t="s">
        <v>5691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5692</v>
      </c>
      <c r="AH119" s="1">
        <v>3600</v>
      </c>
      <c r="AI119" s="1" t="s">
        <v>1986</v>
      </c>
      <c r="AJ119" s="1">
        <v>0</v>
      </c>
      <c r="AK119" s="1" t="s">
        <v>329</v>
      </c>
      <c r="AL119" s="1" t="s">
        <v>5693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1505</v>
      </c>
      <c r="AS119" s="1">
        <v>0</v>
      </c>
      <c r="AT119" s="1" t="s">
        <v>1874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5694</v>
      </c>
      <c r="C120" s="1" t="s">
        <v>5695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5696</v>
      </c>
      <c r="AH120" s="1">
        <v>3600</v>
      </c>
      <c r="AI120" s="1" t="s">
        <v>1986</v>
      </c>
      <c r="AJ120" s="1">
        <v>0</v>
      </c>
      <c r="AK120" s="1" t="s">
        <v>329</v>
      </c>
      <c r="AL120" s="1" t="s">
        <v>5697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1511</v>
      </c>
      <c r="AS120" s="1">
        <v>0</v>
      </c>
      <c r="AT120" s="1" t="s">
        <v>1874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2155</v>
      </c>
      <c r="C121" s="1" t="s">
        <v>2156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2130</v>
      </c>
      <c r="AJ121" s="1">
        <v>0</v>
      </c>
      <c r="AK121" s="1" t="s">
        <v>436</v>
      </c>
      <c r="AL121" s="1" t="s">
        <v>2157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1554</v>
      </c>
      <c r="AS121" s="1">
        <v>0</v>
      </c>
      <c r="AT121" s="1" t="s">
        <v>1874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2158</v>
      </c>
      <c r="C122" s="1" t="s">
        <v>2159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2160</v>
      </c>
      <c r="AJ122" s="1">
        <v>0</v>
      </c>
      <c r="AK122" s="1" t="s">
        <v>437</v>
      </c>
      <c r="AL122" s="1" t="s">
        <v>2161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1555</v>
      </c>
      <c r="AS122" s="1">
        <v>0</v>
      </c>
      <c r="AT122" s="1" t="s">
        <v>1874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2162</v>
      </c>
      <c r="C123" s="1" t="s">
        <v>2163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1462</v>
      </c>
      <c r="AH123" s="1">
        <v>3600</v>
      </c>
      <c r="AI123" s="1" t="s">
        <v>2164</v>
      </c>
      <c r="AJ123" s="1">
        <v>0</v>
      </c>
      <c r="AK123" s="1" t="s">
        <v>438</v>
      </c>
      <c r="AL123" s="1" t="s">
        <v>2165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1556</v>
      </c>
      <c r="AS123" s="1">
        <v>0</v>
      </c>
      <c r="AT123" s="1" t="s">
        <v>1874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2166</v>
      </c>
      <c r="C124" s="1" t="s">
        <v>2167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2168</v>
      </c>
      <c r="AJ124" s="1">
        <v>0</v>
      </c>
      <c r="AK124" s="1" t="s">
        <v>440</v>
      </c>
      <c r="AL124" s="1" t="s">
        <v>2169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1557</v>
      </c>
      <c r="AS124" s="1">
        <v>0</v>
      </c>
      <c r="AT124" s="1" t="s">
        <v>1874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2170</v>
      </c>
      <c r="C125" s="1" t="s">
        <v>2171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2168</v>
      </c>
      <c r="AJ125" s="1">
        <v>0</v>
      </c>
      <c r="AK125" s="1" t="s">
        <v>442</v>
      </c>
      <c r="AL125" s="1" t="s">
        <v>2172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1558</v>
      </c>
      <c r="AS125" s="1">
        <v>0</v>
      </c>
      <c r="AT125" s="1" t="s">
        <v>1874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2173</v>
      </c>
      <c r="C126" s="1" t="s">
        <v>2174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2175</v>
      </c>
      <c r="AJ126" s="1">
        <v>0</v>
      </c>
      <c r="AK126" s="1" t="s">
        <v>443</v>
      </c>
      <c r="AL126" s="1" t="s">
        <v>2176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1559</v>
      </c>
      <c r="AS126" s="1">
        <v>0</v>
      </c>
      <c r="AT126" s="1" t="s">
        <v>1874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2177</v>
      </c>
      <c r="C127" s="1" t="s">
        <v>2178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2179</v>
      </c>
      <c r="AJ127" s="1">
        <v>0</v>
      </c>
      <c r="AK127" s="1" t="s">
        <v>444</v>
      </c>
      <c r="AL127" s="1" t="s">
        <v>2180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1543</v>
      </c>
      <c r="AS127" s="1">
        <v>0</v>
      </c>
      <c r="AT127" s="1" t="s">
        <v>1874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2181</v>
      </c>
      <c r="C128" s="1" t="s">
        <v>2182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2183</v>
      </c>
      <c r="AJ128" s="1">
        <v>0</v>
      </c>
      <c r="AK128" s="1" t="s">
        <v>445</v>
      </c>
      <c r="AL128" s="1" t="s">
        <v>2184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1548</v>
      </c>
      <c r="AS128" s="1">
        <v>0</v>
      </c>
      <c r="AT128" s="1" t="s">
        <v>1874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2185</v>
      </c>
      <c r="C129" s="1" t="s">
        <v>2186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1464</v>
      </c>
      <c r="AH129" s="1">
        <v>3600</v>
      </c>
      <c r="AI129" s="1" t="s">
        <v>2187</v>
      </c>
      <c r="AJ129" s="1">
        <v>0</v>
      </c>
      <c r="AK129" s="1" t="s">
        <v>446</v>
      </c>
      <c r="AL129" s="1" t="s">
        <v>2188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1548</v>
      </c>
      <c r="AS129" s="1">
        <v>0</v>
      </c>
      <c r="AT129" s="1" t="s">
        <v>1874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2189</v>
      </c>
      <c r="C130" s="1" t="s">
        <v>2190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2191</v>
      </c>
      <c r="AJ130" s="1">
        <v>0</v>
      </c>
      <c r="AK130" s="1" t="s">
        <v>448</v>
      </c>
      <c r="AL130" s="1" t="s">
        <v>2192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1560</v>
      </c>
      <c r="AS130" s="1">
        <v>0</v>
      </c>
      <c r="AT130" s="1" t="s">
        <v>1874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2193</v>
      </c>
      <c r="C131" s="1" t="s">
        <v>2194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2191</v>
      </c>
      <c r="AJ131" s="1">
        <v>0</v>
      </c>
      <c r="AK131" s="1" t="s">
        <v>940</v>
      </c>
      <c r="AL131" s="1" t="s">
        <v>2195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1561</v>
      </c>
      <c r="AS131" s="1">
        <v>0</v>
      </c>
      <c r="AT131" s="1" t="s">
        <v>1874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2196</v>
      </c>
      <c r="C132" s="1" t="s">
        <v>2197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2198</v>
      </c>
      <c r="AJ132" s="1">
        <v>0</v>
      </c>
      <c r="AK132" s="1" t="s">
        <v>450</v>
      </c>
      <c r="AL132" s="1" t="s">
        <v>2199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1562</v>
      </c>
      <c r="AS132" s="1">
        <v>300119</v>
      </c>
      <c r="AT132" s="1" t="s">
        <v>2200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2201</v>
      </c>
      <c r="C133" s="1" t="s">
        <v>2202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2203</v>
      </c>
      <c r="AJ133" s="1">
        <v>0</v>
      </c>
      <c r="AK133" s="1" t="s">
        <v>452</v>
      </c>
      <c r="AL133" s="1" t="s">
        <v>2204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1563</v>
      </c>
      <c r="AS133" s="1">
        <v>0</v>
      </c>
      <c r="AT133" s="1" t="s">
        <v>1874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2205</v>
      </c>
      <c r="C134" s="1" t="s">
        <v>2206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2207</v>
      </c>
      <c r="AJ134" s="1">
        <v>0</v>
      </c>
      <c r="AK134" s="1" t="s">
        <v>454</v>
      </c>
      <c r="AL134" s="1" t="s">
        <v>2208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1564</v>
      </c>
      <c r="AS134" s="1">
        <v>0</v>
      </c>
      <c r="AT134" s="1" t="s">
        <v>1874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2209</v>
      </c>
      <c r="C135" s="1" t="s">
        <v>2210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2211</v>
      </c>
      <c r="AJ135" s="1">
        <v>0</v>
      </c>
      <c r="AK135" s="1" t="s">
        <v>455</v>
      </c>
      <c r="AL135" s="1" t="s">
        <v>2212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1564</v>
      </c>
      <c r="AS135" s="1">
        <v>0</v>
      </c>
      <c r="AT135" s="1" t="s">
        <v>1874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2213</v>
      </c>
      <c r="C136" s="1" t="s">
        <v>2214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2215</v>
      </c>
      <c r="AJ136" s="1">
        <v>0</v>
      </c>
      <c r="AK136" s="1" t="s">
        <v>456</v>
      </c>
      <c r="AL136" s="1" t="s">
        <v>2216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2217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2218</v>
      </c>
      <c r="C137" s="1" t="s">
        <v>2219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2215</v>
      </c>
      <c r="AJ137" s="1">
        <v>0</v>
      </c>
      <c r="AK137" s="1" t="s">
        <v>456</v>
      </c>
      <c r="AL137" s="1" t="s">
        <v>2220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2221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2222</v>
      </c>
      <c r="C138" s="1" t="s">
        <v>2223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2215</v>
      </c>
      <c r="AJ138" s="1">
        <v>0</v>
      </c>
      <c r="AK138" s="1" t="s">
        <v>456</v>
      </c>
      <c r="AL138" s="1" t="s">
        <v>2224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2225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2226</v>
      </c>
      <c r="C139" s="1" t="s">
        <v>2227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2215</v>
      </c>
      <c r="AJ139" s="1">
        <v>0</v>
      </c>
      <c r="AK139" s="1" t="s">
        <v>456</v>
      </c>
      <c r="AL139" s="1" t="s">
        <v>2228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2229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2230</v>
      </c>
      <c r="C140" s="1" t="s">
        <v>2231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2215</v>
      </c>
      <c r="AJ140" s="1">
        <v>0</v>
      </c>
      <c r="AK140" s="1" t="s">
        <v>456</v>
      </c>
      <c r="AL140" s="1" t="s">
        <v>2232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2233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2234</v>
      </c>
      <c r="C141" s="1" t="s">
        <v>2235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2215</v>
      </c>
      <c r="AJ141" s="1">
        <v>0</v>
      </c>
      <c r="AK141" s="1" t="s">
        <v>456</v>
      </c>
      <c r="AL141" s="1" t="s">
        <v>2236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2237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2238</v>
      </c>
      <c r="C142" s="1" t="s">
        <v>2239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2215</v>
      </c>
      <c r="AJ142" s="1">
        <v>0</v>
      </c>
      <c r="AK142" s="1" t="s">
        <v>456</v>
      </c>
      <c r="AL142" s="1" t="s">
        <v>2240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2241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2242</v>
      </c>
      <c r="C143" s="1" t="s">
        <v>2243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2215</v>
      </c>
      <c r="AJ143" s="1">
        <v>0</v>
      </c>
      <c r="AK143" s="1" t="s">
        <v>456</v>
      </c>
      <c r="AL143" s="1" t="s">
        <v>2244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2245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2246</v>
      </c>
      <c r="C144" s="1" t="s">
        <v>2247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2248</v>
      </c>
      <c r="AJ144" s="1">
        <v>0</v>
      </c>
      <c r="AK144" s="1" t="s">
        <v>457</v>
      </c>
      <c r="AL144" s="1" t="s">
        <v>2249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1565</v>
      </c>
      <c r="AS144" s="1">
        <v>0</v>
      </c>
      <c r="AT144" s="1" t="s">
        <v>1874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2250</v>
      </c>
      <c r="C145" s="1" t="s">
        <v>2251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2248</v>
      </c>
      <c r="AJ145" s="1">
        <v>0</v>
      </c>
      <c r="AK145" s="1" t="s">
        <v>458</v>
      </c>
      <c r="AL145" s="1" t="s">
        <v>2252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1524</v>
      </c>
      <c r="AS145" s="1">
        <v>0</v>
      </c>
      <c r="AT145" s="1" t="s">
        <v>1874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2253</v>
      </c>
      <c r="C146" s="1" t="s">
        <v>2254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2248</v>
      </c>
      <c r="AJ146" s="1">
        <v>0</v>
      </c>
      <c r="AK146" s="1" t="s">
        <v>459</v>
      </c>
      <c r="AL146" s="1" t="s">
        <v>2255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1515</v>
      </c>
      <c r="AS146" s="1">
        <v>0</v>
      </c>
      <c r="AT146" s="1" t="s">
        <v>1874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2256</v>
      </c>
      <c r="C147" s="1" t="s">
        <v>2257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2248</v>
      </c>
      <c r="AJ147" s="1">
        <v>0</v>
      </c>
      <c r="AK147" s="1" t="s">
        <v>460</v>
      </c>
      <c r="AL147" s="1" t="s">
        <v>2258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1566</v>
      </c>
      <c r="AS147" s="1">
        <v>0</v>
      </c>
      <c r="AT147" s="1" t="s">
        <v>1874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2259</v>
      </c>
      <c r="C148" s="1" t="s">
        <v>2260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2248</v>
      </c>
      <c r="AJ148" s="1">
        <v>0</v>
      </c>
      <c r="AK148" s="1" t="s">
        <v>461</v>
      </c>
      <c r="AL148" s="1" t="s">
        <v>2261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1567</v>
      </c>
      <c r="AS148" s="1">
        <v>0</v>
      </c>
      <c r="AT148" s="1" t="s">
        <v>1874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2262</v>
      </c>
      <c r="C149" s="1" t="s">
        <v>2263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2187</v>
      </c>
      <c r="AJ149" s="1">
        <v>0</v>
      </c>
      <c r="AK149" s="1" t="s">
        <v>462</v>
      </c>
      <c r="AL149" s="1" t="s">
        <v>2264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1568</v>
      </c>
      <c r="AS149" s="1">
        <v>0</v>
      </c>
      <c r="AT149" s="1" t="s">
        <v>1874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2265</v>
      </c>
      <c r="C150" s="1" t="s">
        <v>2266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2267</v>
      </c>
      <c r="AJ150" s="1">
        <v>0</v>
      </c>
      <c r="AK150" s="1" t="s">
        <v>463</v>
      </c>
      <c r="AL150" s="1" t="s">
        <v>2268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1569</v>
      </c>
      <c r="AS150" s="1">
        <v>0</v>
      </c>
      <c r="AT150" s="1" t="s">
        <v>1874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2269</v>
      </c>
      <c r="C151" s="1" t="s">
        <v>2270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2271</v>
      </c>
      <c r="AJ151" s="1">
        <v>0</v>
      </c>
      <c r="AK151" s="1" t="s">
        <v>464</v>
      </c>
      <c r="AL151" s="1" t="s">
        <v>2272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1570</v>
      </c>
      <c r="AS151" s="1">
        <v>0</v>
      </c>
      <c r="AT151" s="1" t="s">
        <v>1874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2273</v>
      </c>
      <c r="C152" s="1" t="s">
        <v>2274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2275</v>
      </c>
      <c r="AJ152" s="1">
        <v>0</v>
      </c>
      <c r="AK152" s="1" t="s">
        <v>371</v>
      </c>
      <c r="AL152" s="1" t="s">
        <v>2276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1571</v>
      </c>
      <c r="AS152" s="1">
        <v>0</v>
      </c>
      <c r="AT152" s="1" t="s">
        <v>1874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2277</v>
      </c>
      <c r="C153" s="1" t="s">
        <v>2278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2279</v>
      </c>
      <c r="AJ153" s="1">
        <v>0</v>
      </c>
      <c r="AK153" s="1" t="s">
        <v>466</v>
      </c>
      <c r="AL153" s="1" t="s">
        <v>2280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1572</v>
      </c>
      <c r="AS153" s="1">
        <v>0</v>
      </c>
      <c r="AT153" s="1" t="s">
        <v>1874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2281</v>
      </c>
      <c r="C154" s="1" t="s">
        <v>2282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2283</v>
      </c>
      <c r="AJ154" s="1">
        <v>0</v>
      </c>
      <c r="AK154" s="1" t="s">
        <v>468</v>
      </c>
      <c r="AL154" s="1" t="s">
        <v>2284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1573</v>
      </c>
      <c r="AS154" s="1">
        <v>0</v>
      </c>
      <c r="AT154" s="1" t="s">
        <v>1874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2285</v>
      </c>
      <c r="C155" s="1" t="s">
        <v>2286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1898</v>
      </c>
      <c r="AJ155" s="1">
        <v>0</v>
      </c>
      <c r="AK155" s="1" t="s">
        <v>469</v>
      </c>
      <c r="AL155" s="1" t="s">
        <v>2287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1574</v>
      </c>
      <c r="AS155" s="1">
        <v>0</v>
      </c>
      <c r="AT155" s="1" t="s">
        <v>1874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2288</v>
      </c>
      <c r="C156" s="1" t="s">
        <v>2289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1444</v>
      </c>
      <c r="AH156" s="1">
        <v>3600</v>
      </c>
      <c r="AI156" s="1" t="s">
        <v>2077</v>
      </c>
      <c r="AJ156" s="1">
        <v>0</v>
      </c>
      <c r="AK156" s="1" t="s">
        <v>384</v>
      </c>
      <c r="AL156" s="1" t="s">
        <v>2290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1575</v>
      </c>
      <c r="AS156" s="1">
        <v>0</v>
      </c>
      <c r="AT156" s="1" t="s">
        <v>1874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2291</v>
      </c>
      <c r="C157" s="1" t="s">
        <v>2292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2293</v>
      </c>
      <c r="AJ157" s="1">
        <v>0</v>
      </c>
      <c r="AK157" s="1" t="s">
        <v>472</v>
      </c>
      <c r="AL157" s="1" t="s">
        <v>2294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1576</v>
      </c>
      <c r="AS157" s="1">
        <v>0</v>
      </c>
      <c r="AT157" s="1" t="s">
        <v>1874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2295</v>
      </c>
      <c r="C158" s="1" t="s">
        <v>2296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2297</v>
      </c>
      <c r="AJ158" s="1">
        <v>0</v>
      </c>
      <c r="AK158" s="1" t="s">
        <v>421</v>
      </c>
      <c r="AL158" s="1" t="s">
        <v>2298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1577</v>
      </c>
      <c r="AS158" s="1">
        <v>0</v>
      </c>
      <c r="AT158" s="1" t="s">
        <v>1874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2299</v>
      </c>
      <c r="C159" s="1" t="s">
        <v>2300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2301</v>
      </c>
      <c r="AJ159" s="1">
        <v>0</v>
      </c>
      <c r="AK159" s="1" t="s">
        <v>473</v>
      </c>
      <c r="AL159" s="1" t="s">
        <v>2302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1578</v>
      </c>
      <c r="AS159" s="1">
        <v>0</v>
      </c>
      <c r="AT159" s="1" t="s">
        <v>1874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2303</v>
      </c>
      <c r="C160" s="1" t="s">
        <v>2304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2305</v>
      </c>
      <c r="AJ160" s="1">
        <v>0</v>
      </c>
      <c r="AK160" s="1" t="s">
        <v>474</v>
      </c>
      <c r="AL160" s="1" t="s">
        <v>2306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1579</v>
      </c>
      <c r="AS160" s="1">
        <v>0</v>
      </c>
      <c r="AT160" s="1" t="s">
        <v>1874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2307</v>
      </c>
      <c r="C161" s="1" t="s">
        <v>2308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2309</v>
      </c>
      <c r="AJ161" s="1">
        <v>0</v>
      </c>
      <c r="AK161" s="1" t="s">
        <v>475</v>
      </c>
      <c r="AL161" s="1" t="s">
        <v>2310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1580</v>
      </c>
      <c r="AS161" s="1">
        <v>0</v>
      </c>
      <c r="AT161" s="1" t="s">
        <v>1874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2311</v>
      </c>
      <c r="C162" s="1" t="s">
        <v>2312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2313</v>
      </c>
      <c r="AJ162" s="1">
        <v>0</v>
      </c>
      <c r="AK162" s="1" t="s">
        <v>476</v>
      </c>
      <c r="AL162" s="1" t="s">
        <v>2314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1581</v>
      </c>
      <c r="AS162" s="1">
        <v>0</v>
      </c>
      <c r="AT162" s="1" t="s">
        <v>1874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2315</v>
      </c>
      <c r="C163" s="1" t="s">
        <v>2316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2317</v>
      </c>
      <c r="AJ163" s="1">
        <v>0</v>
      </c>
      <c r="AK163" s="1" t="s">
        <v>477</v>
      </c>
      <c r="AL163" s="1" t="s">
        <v>2318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1582</v>
      </c>
      <c r="AS163" s="1">
        <v>0</v>
      </c>
      <c r="AT163" s="1" t="s">
        <v>1874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2319</v>
      </c>
      <c r="C164" s="1" t="s">
        <v>2320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2321</v>
      </c>
      <c r="AJ164" s="1">
        <v>0</v>
      </c>
      <c r="AK164" s="1" t="s">
        <v>478</v>
      </c>
      <c r="AL164" s="1" t="s">
        <v>2322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1583</v>
      </c>
      <c r="AS164" s="1">
        <v>0</v>
      </c>
      <c r="AT164" s="1" t="s">
        <v>1874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2323</v>
      </c>
      <c r="C165" s="1" t="s">
        <v>2324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2325</v>
      </c>
      <c r="AJ165" s="1">
        <v>0</v>
      </c>
      <c r="AK165" s="1" t="s">
        <v>479</v>
      </c>
      <c r="AL165" s="1" t="s">
        <v>2326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1584</v>
      </c>
      <c r="AS165" s="1">
        <v>0</v>
      </c>
      <c r="AT165" s="1" t="s">
        <v>1874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2327</v>
      </c>
      <c r="C166" s="1" t="s">
        <v>2328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2175</v>
      </c>
      <c r="AJ166" s="1">
        <v>0</v>
      </c>
      <c r="AK166" s="1" t="s">
        <v>480</v>
      </c>
      <c r="AL166" s="1" t="s">
        <v>2329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1585</v>
      </c>
      <c r="AS166" s="1">
        <v>0</v>
      </c>
      <c r="AT166" s="1" t="s">
        <v>1874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2330</v>
      </c>
      <c r="C167" s="1" t="s">
        <v>2331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2332</v>
      </c>
      <c r="AJ167" s="1">
        <v>0</v>
      </c>
      <c r="AK167" s="1" t="s">
        <v>481</v>
      </c>
      <c r="AL167" s="1" t="s">
        <v>2333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1582</v>
      </c>
      <c r="AS167" s="1">
        <v>0</v>
      </c>
      <c r="AT167" s="1" t="s">
        <v>1874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2334</v>
      </c>
      <c r="C168" s="1" t="s">
        <v>2335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2336</v>
      </c>
      <c r="AJ168" s="1">
        <v>0</v>
      </c>
      <c r="AK168" s="1" t="s">
        <v>482</v>
      </c>
      <c r="AL168" s="1" t="s">
        <v>2337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1586</v>
      </c>
      <c r="AS168" s="1">
        <v>0</v>
      </c>
      <c r="AT168" s="1" t="s">
        <v>1874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2338</v>
      </c>
      <c r="C169" s="1" t="s">
        <v>2339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1717</v>
      </c>
      <c r="AH169" s="1">
        <v>3300</v>
      </c>
      <c r="AI169" s="1" t="s">
        <v>2340</v>
      </c>
      <c r="AJ169" s="1">
        <v>0</v>
      </c>
      <c r="AK169" s="1" t="s">
        <v>483</v>
      </c>
      <c r="AL169" s="1" t="s">
        <v>2341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1587</v>
      </c>
      <c r="AS169" s="1">
        <v>0</v>
      </c>
      <c r="AT169" s="1" t="s">
        <v>1874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2342</v>
      </c>
      <c r="C170" s="1" t="s">
        <v>2343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2344</v>
      </c>
      <c r="AJ170" s="1">
        <v>0</v>
      </c>
      <c r="AK170" s="1" t="s">
        <v>484</v>
      </c>
      <c r="AL170" s="1" t="s">
        <v>2345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1582</v>
      </c>
      <c r="AS170" s="1">
        <v>0</v>
      </c>
      <c r="AT170" s="1" t="s">
        <v>1874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2346</v>
      </c>
      <c r="C171" s="1" t="s">
        <v>2347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2348</v>
      </c>
      <c r="AJ171" s="1">
        <v>0</v>
      </c>
      <c r="AK171" s="1" t="s">
        <v>485</v>
      </c>
      <c r="AL171" s="1" t="s">
        <v>2349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1588</v>
      </c>
      <c r="AS171" s="1">
        <v>0</v>
      </c>
      <c r="AT171" s="1" t="s">
        <v>1874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2350</v>
      </c>
      <c r="C172" s="1" t="s">
        <v>2351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2352</v>
      </c>
      <c r="AJ172" s="1">
        <v>0</v>
      </c>
      <c r="AK172" s="1" t="s">
        <v>486</v>
      </c>
      <c r="AL172" s="1" t="s">
        <v>2353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1589</v>
      </c>
      <c r="AS172" s="1">
        <v>0</v>
      </c>
      <c r="AT172" s="1" t="s">
        <v>1874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2354</v>
      </c>
      <c r="C173" s="1" t="s">
        <v>2355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2356</v>
      </c>
      <c r="AJ173" s="1">
        <v>0</v>
      </c>
      <c r="AK173" s="1" t="s">
        <v>487</v>
      </c>
      <c r="AL173" s="1" t="s">
        <v>2357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1590</v>
      </c>
      <c r="AS173" s="1">
        <v>0</v>
      </c>
      <c r="AT173" s="1" t="s">
        <v>2358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2359</v>
      </c>
      <c r="C174" s="1" t="s">
        <v>2360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2361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1591</v>
      </c>
      <c r="AS174" s="1">
        <v>0</v>
      </c>
      <c r="AT174" s="1" t="s">
        <v>1874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2362</v>
      </c>
      <c r="C175" s="1" t="s">
        <v>2363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1721</v>
      </c>
      <c r="AH175" s="1">
        <v>3180</v>
      </c>
      <c r="AI175" s="1" t="s">
        <v>1911</v>
      </c>
      <c r="AJ175" s="1">
        <v>0</v>
      </c>
      <c r="AK175" s="1" t="s">
        <v>490</v>
      </c>
      <c r="AL175" s="1" t="s">
        <v>2364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1592</v>
      </c>
      <c r="AS175" s="1">
        <v>0</v>
      </c>
      <c r="AT175" s="1" t="s">
        <v>1874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2365</v>
      </c>
      <c r="C176" s="1" t="s">
        <v>2366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2367</v>
      </c>
      <c r="AJ176" s="1">
        <v>0</v>
      </c>
      <c r="AK176" s="1" t="s">
        <v>491</v>
      </c>
      <c r="AL176" s="1" t="s">
        <v>2368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1593</v>
      </c>
      <c r="AS176" s="1">
        <v>0</v>
      </c>
      <c r="AT176" s="1" t="s">
        <v>1874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2369</v>
      </c>
      <c r="C177" s="1" t="s">
        <v>2370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1911</v>
      </c>
      <c r="AJ177" s="1">
        <v>0</v>
      </c>
      <c r="AK177" s="1" t="s">
        <v>492</v>
      </c>
      <c r="AL177" s="1" t="s">
        <v>2371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1587</v>
      </c>
      <c r="AS177" s="1">
        <v>0</v>
      </c>
      <c r="AT177" s="1" t="s">
        <v>1874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2372</v>
      </c>
      <c r="C178" s="1" t="s">
        <v>2373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1911</v>
      </c>
      <c r="AJ178" s="1">
        <v>0</v>
      </c>
      <c r="AK178" s="1" t="s">
        <v>493</v>
      </c>
      <c r="AL178" s="1" t="s">
        <v>2374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1582</v>
      </c>
      <c r="AS178" s="1">
        <v>0</v>
      </c>
      <c r="AT178" s="1" t="s">
        <v>1874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2375</v>
      </c>
      <c r="C179" s="1" t="s">
        <v>2376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2377</v>
      </c>
      <c r="AJ179" s="1">
        <v>0</v>
      </c>
      <c r="AK179" s="1" t="s">
        <v>941</v>
      </c>
      <c r="AL179" s="1" t="s">
        <v>2378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1594</v>
      </c>
      <c r="AS179" s="1">
        <v>0</v>
      </c>
      <c r="AT179" s="1" t="s">
        <v>1874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2379</v>
      </c>
      <c r="C180" s="1" t="s">
        <v>2380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2381</v>
      </c>
      <c r="AJ180" s="1">
        <v>0</v>
      </c>
      <c r="AK180" s="1" t="s">
        <v>354</v>
      </c>
      <c r="AL180" s="1" t="s">
        <v>2382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1508</v>
      </c>
      <c r="AS180" s="1">
        <v>0</v>
      </c>
      <c r="AT180" s="1" t="s">
        <v>1874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2383</v>
      </c>
      <c r="C181" s="1" t="s">
        <v>2384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2113</v>
      </c>
      <c r="AJ181" s="1">
        <v>0</v>
      </c>
      <c r="AK181" s="1" t="s">
        <v>495</v>
      </c>
      <c r="AL181" s="1" t="s">
        <v>2385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1510</v>
      </c>
      <c r="AS181" s="1">
        <v>0</v>
      </c>
      <c r="AT181" s="1" t="s">
        <v>1874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2386</v>
      </c>
      <c r="C182" s="1" t="s">
        <v>2387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1911</v>
      </c>
      <c r="AJ182" s="1">
        <v>0</v>
      </c>
      <c r="AK182" s="1" t="s">
        <v>496</v>
      </c>
      <c r="AL182" s="1" t="s">
        <v>2388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1534</v>
      </c>
      <c r="AS182" s="1">
        <v>0</v>
      </c>
      <c r="AT182" s="1" t="s">
        <v>1874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2389</v>
      </c>
      <c r="C183" s="1" t="s">
        <v>2390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1911</v>
      </c>
      <c r="AJ183" s="1">
        <v>0</v>
      </c>
      <c r="AK183" s="1" t="s">
        <v>497</v>
      </c>
      <c r="AL183" s="1" t="s">
        <v>2391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1595</v>
      </c>
      <c r="AS183" s="1">
        <v>0</v>
      </c>
      <c r="AT183" s="1" t="s">
        <v>1874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2392</v>
      </c>
      <c r="C184" s="1" t="s">
        <v>2393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1911</v>
      </c>
      <c r="AJ184" s="1">
        <v>0</v>
      </c>
      <c r="AK184" s="1" t="s">
        <v>498</v>
      </c>
      <c r="AL184" s="1" t="s">
        <v>2394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1596</v>
      </c>
      <c r="AS184" s="1">
        <v>0</v>
      </c>
      <c r="AT184" s="1" t="s">
        <v>2395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2396</v>
      </c>
      <c r="C185" s="1" t="s">
        <v>2397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1911</v>
      </c>
      <c r="AJ185" s="1">
        <v>0</v>
      </c>
      <c r="AK185" s="1" t="s">
        <v>500</v>
      </c>
      <c r="AL185" s="1" t="s">
        <v>2398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1597</v>
      </c>
      <c r="AS185" s="1">
        <v>0</v>
      </c>
      <c r="AT185" s="1" t="s">
        <v>1874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2399</v>
      </c>
      <c r="C186" s="1" t="s">
        <v>2400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1911</v>
      </c>
      <c r="AJ186" s="1">
        <v>0</v>
      </c>
      <c r="AK186" s="1" t="s">
        <v>501</v>
      </c>
      <c r="AL186" s="1" t="s">
        <v>2401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1598</v>
      </c>
      <c r="AS186" s="1">
        <v>0</v>
      </c>
      <c r="AT186" s="1" t="s">
        <v>1874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2402</v>
      </c>
      <c r="C187" s="1" t="s">
        <v>2403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1911</v>
      </c>
      <c r="AJ187" s="1">
        <v>0</v>
      </c>
      <c r="AK187" s="1" t="s">
        <v>498</v>
      </c>
      <c r="AL187" s="1" t="s">
        <v>2404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1596</v>
      </c>
      <c r="AS187" s="1">
        <v>0</v>
      </c>
      <c r="AT187" s="1" t="s">
        <v>2405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2406</v>
      </c>
      <c r="C188" s="1" t="s">
        <v>2407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1911</v>
      </c>
      <c r="AJ188" s="1">
        <v>0</v>
      </c>
      <c r="AK188" s="1" t="s">
        <v>498</v>
      </c>
      <c r="AL188" s="1" t="s">
        <v>2408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1596</v>
      </c>
      <c r="AS188" s="1">
        <v>0</v>
      </c>
      <c r="AT188" s="1" t="s">
        <v>2409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2410</v>
      </c>
      <c r="C189" s="1" t="s">
        <v>2411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1482</v>
      </c>
      <c r="AH189" s="1">
        <v>3120</v>
      </c>
      <c r="AI189" s="1" t="s">
        <v>2412</v>
      </c>
      <c r="AJ189" s="1">
        <v>0</v>
      </c>
      <c r="AK189" s="1" t="s">
        <v>502</v>
      </c>
      <c r="AL189" s="1" t="s">
        <v>2413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1599</v>
      </c>
      <c r="AS189" s="1">
        <v>0</v>
      </c>
      <c r="AT189" s="1" t="s">
        <v>1874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2414</v>
      </c>
      <c r="C190" s="1" t="s">
        <v>2415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2367</v>
      </c>
      <c r="AJ190" s="1">
        <v>0</v>
      </c>
      <c r="AK190" s="1" t="s">
        <v>503</v>
      </c>
      <c r="AL190" s="1" t="s">
        <v>2416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1556</v>
      </c>
      <c r="AS190" s="1">
        <v>0</v>
      </c>
      <c r="AT190" s="1" t="s">
        <v>1874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2417</v>
      </c>
      <c r="C191" s="1" t="s">
        <v>2418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1911</v>
      </c>
      <c r="AJ191" s="1">
        <v>0</v>
      </c>
      <c r="AK191" s="1" t="s">
        <v>504</v>
      </c>
      <c r="AL191" s="1" t="s">
        <v>2419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1513</v>
      </c>
      <c r="AS191" s="1">
        <v>0</v>
      </c>
      <c r="AT191" s="1" t="s">
        <v>1874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2420</v>
      </c>
      <c r="C192" s="1" t="s">
        <v>2421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1911</v>
      </c>
      <c r="AJ192" s="1">
        <v>0</v>
      </c>
      <c r="AK192" s="1" t="s">
        <v>505</v>
      </c>
      <c r="AL192" s="1" t="s">
        <v>2422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1512</v>
      </c>
      <c r="AS192" s="1">
        <v>0</v>
      </c>
      <c r="AT192" s="1" t="s">
        <v>1874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2423</v>
      </c>
      <c r="C193" s="1" t="s">
        <v>2424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1911</v>
      </c>
      <c r="AJ193" s="1">
        <v>0</v>
      </c>
      <c r="AK193" s="1" t="s">
        <v>506</v>
      </c>
      <c r="AL193" s="1" t="s">
        <v>2425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1594</v>
      </c>
      <c r="AS193" s="1">
        <v>0</v>
      </c>
      <c r="AT193" s="1" t="s">
        <v>1874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2426</v>
      </c>
      <c r="C194" s="1" t="s">
        <v>2427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2015</v>
      </c>
      <c r="AJ194" s="1">
        <v>0</v>
      </c>
      <c r="AK194" s="1" t="s">
        <v>507</v>
      </c>
      <c r="AL194" s="1" t="s">
        <v>2428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1508</v>
      </c>
      <c r="AS194" s="1">
        <v>0</v>
      </c>
      <c r="AT194" s="1" t="s">
        <v>1874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2429</v>
      </c>
      <c r="C195" s="1" t="s">
        <v>2430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1911</v>
      </c>
      <c r="AJ195" s="1">
        <v>0</v>
      </c>
      <c r="AK195" s="1" t="s">
        <v>508</v>
      </c>
      <c r="AL195" s="1" t="s">
        <v>2431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1600</v>
      </c>
      <c r="AS195" s="1">
        <v>0</v>
      </c>
      <c r="AT195" s="1" t="s">
        <v>1874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2432</v>
      </c>
      <c r="C196" s="1" t="s">
        <v>2433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1911</v>
      </c>
      <c r="AJ196" s="1">
        <v>0</v>
      </c>
      <c r="AK196" s="1" t="s">
        <v>509</v>
      </c>
      <c r="AL196" s="1" t="s">
        <v>2434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1514</v>
      </c>
      <c r="AS196" s="1">
        <v>0</v>
      </c>
      <c r="AT196" s="1" t="s">
        <v>1874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2435</v>
      </c>
      <c r="C197" s="1" t="s">
        <v>2436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1911</v>
      </c>
      <c r="AJ197" s="1">
        <v>0</v>
      </c>
      <c r="AK197" s="1" t="s">
        <v>510</v>
      </c>
      <c r="AL197" s="1" t="s">
        <v>2437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1601</v>
      </c>
      <c r="AS197" s="1">
        <v>0</v>
      </c>
      <c r="AT197" s="1" t="s">
        <v>1874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2438</v>
      </c>
      <c r="C198" s="1" t="s">
        <v>2439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927</v>
      </c>
      <c r="AH198" s="1">
        <v>2820</v>
      </c>
      <c r="AI198" s="1" t="s">
        <v>2440</v>
      </c>
      <c r="AJ198" s="1">
        <v>0</v>
      </c>
      <c r="AK198" s="1" t="s">
        <v>511</v>
      </c>
      <c r="AL198" s="1" t="s">
        <v>2441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1521</v>
      </c>
      <c r="AS198" s="1">
        <v>0</v>
      </c>
      <c r="AT198" s="1" t="s">
        <v>2442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2443</v>
      </c>
      <c r="C199" s="1" t="s">
        <v>2444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925</v>
      </c>
      <c r="AH199" s="1">
        <v>3180</v>
      </c>
      <c r="AI199" s="1" t="s">
        <v>2445</v>
      </c>
      <c r="AJ199" s="1">
        <v>0</v>
      </c>
      <c r="AK199" s="1" t="s">
        <v>511</v>
      </c>
      <c r="AL199" s="1" t="s">
        <v>2446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1524</v>
      </c>
      <c r="AS199" s="1">
        <v>0</v>
      </c>
      <c r="AT199" s="1" t="s">
        <v>2447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2448</v>
      </c>
      <c r="C200" s="1" t="s">
        <v>2449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926</v>
      </c>
      <c r="AH200" s="1">
        <v>3120</v>
      </c>
      <c r="AI200" s="1" t="s">
        <v>2445</v>
      </c>
      <c r="AJ200" s="1">
        <v>0</v>
      </c>
      <c r="AK200" s="1" t="s">
        <v>511</v>
      </c>
      <c r="AL200" s="1" t="s">
        <v>2450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1511</v>
      </c>
      <c r="AS200" s="1">
        <v>0</v>
      </c>
      <c r="AT200" s="1" t="s">
        <v>2451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2452</v>
      </c>
      <c r="C201" s="1" t="s">
        <v>2453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928</v>
      </c>
      <c r="AH201" s="1">
        <v>3600</v>
      </c>
      <c r="AI201" s="1" t="s">
        <v>2454</v>
      </c>
      <c r="AJ201" s="1">
        <v>0</v>
      </c>
      <c r="AK201" s="1" t="s">
        <v>512</v>
      </c>
      <c r="AL201" s="1" t="s">
        <v>2455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1502</v>
      </c>
      <c r="AS201" s="1">
        <v>0</v>
      </c>
      <c r="AT201" s="1" t="s">
        <v>2456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2457</v>
      </c>
      <c r="C202" s="1" t="s">
        <v>2458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929</v>
      </c>
      <c r="AH202" s="1">
        <v>3480</v>
      </c>
      <c r="AI202" s="1" t="s">
        <v>2445</v>
      </c>
      <c r="AJ202" s="1">
        <v>0</v>
      </c>
      <c r="AK202" s="1" t="s">
        <v>512</v>
      </c>
      <c r="AL202" s="1" t="s">
        <v>2459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1510</v>
      </c>
      <c r="AS202" s="1">
        <v>0</v>
      </c>
      <c r="AT202" s="1" t="s">
        <v>2460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2461</v>
      </c>
      <c r="C203" s="1" t="s">
        <v>2462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930</v>
      </c>
      <c r="AH203" s="1">
        <v>3120</v>
      </c>
      <c r="AI203" s="1" t="s">
        <v>2445</v>
      </c>
      <c r="AJ203" s="1">
        <v>0</v>
      </c>
      <c r="AK203" s="1" t="s">
        <v>512</v>
      </c>
      <c r="AL203" s="1" t="s">
        <v>2463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1515</v>
      </c>
      <c r="AS203" s="1">
        <v>0</v>
      </c>
      <c r="AT203" s="1" t="s">
        <v>2464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2465</v>
      </c>
      <c r="C204" s="1" t="s">
        <v>2466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2467</v>
      </c>
      <c r="AJ204" s="1">
        <v>0</v>
      </c>
      <c r="AK204" s="1" t="s">
        <v>513</v>
      </c>
      <c r="AL204" s="1" t="s">
        <v>2468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1602</v>
      </c>
      <c r="AS204" s="1">
        <v>0</v>
      </c>
      <c r="AT204" s="1" t="s">
        <v>1874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2469</v>
      </c>
      <c r="C205" s="1" t="s">
        <v>2470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1911</v>
      </c>
      <c r="AJ205" s="1">
        <v>0</v>
      </c>
      <c r="AK205" s="1" t="s">
        <v>514</v>
      </c>
      <c r="AL205" s="1" t="s">
        <v>2471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1602</v>
      </c>
      <c r="AS205" s="1">
        <v>0</v>
      </c>
      <c r="AT205" s="1" t="s">
        <v>1874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2472</v>
      </c>
      <c r="C206" s="1" t="s">
        <v>2473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1720</v>
      </c>
      <c r="AH206" s="1">
        <v>2820</v>
      </c>
      <c r="AI206" s="1" t="s">
        <v>2474</v>
      </c>
      <c r="AJ206" s="1">
        <v>0</v>
      </c>
      <c r="AK206" s="1" t="s">
        <v>515</v>
      </c>
      <c r="AL206" s="1" t="s">
        <v>2475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1600</v>
      </c>
      <c r="AS206" s="1">
        <v>0</v>
      </c>
      <c r="AT206" s="1" t="s">
        <v>2476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2477</v>
      </c>
      <c r="C207" s="1" t="s">
        <v>2478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1666</v>
      </c>
      <c r="AH207" s="1">
        <v>2700</v>
      </c>
      <c r="AI207" s="1" t="s">
        <v>1911</v>
      </c>
      <c r="AJ207" s="1">
        <v>0</v>
      </c>
      <c r="AK207" s="1" t="s">
        <v>516</v>
      </c>
      <c r="AL207" s="1" t="s">
        <v>2479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1603</v>
      </c>
      <c r="AS207" s="1">
        <v>0</v>
      </c>
      <c r="AT207" s="1" t="s">
        <v>1874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2480</v>
      </c>
      <c r="C208" s="1" t="s">
        <v>2481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1911</v>
      </c>
      <c r="AJ208" s="1">
        <v>0</v>
      </c>
      <c r="AK208" s="1" t="s">
        <v>517</v>
      </c>
      <c r="AL208" s="1" t="s">
        <v>2482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1556</v>
      </c>
      <c r="AS208" s="1">
        <v>0</v>
      </c>
      <c r="AT208" s="1" t="s">
        <v>1874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2483</v>
      </c>
      <c r="C209" s="1" t="s">
        <v>2484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2130</v>
      </c>
      <c r="AJ209" s="1">
        <v>0</v>
      </c>
      <c r="AK209" s="1" t="s">
        <v>518</v>
      </c>
      <c r="AL209" s="1" t="s">
        <v>2485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1604</v>
      </c>
      <c r="AS209" s="1">
        <v>0</v>
      </c>
      <c r="AT209" s="1" t="s">
        <v>1874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2486</v>
      </c>
      <c r="C210" s="1" t="s">
        <v>2487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1911</v>
      </c>
      <c r="AJ210" s="1">
        <v>0</v>
      </c>
      <c r="AK210" s="1" t="s">
        <v>519</v>
      </c>
      <c r="AL210" s="1" t="s">
        <v>2488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1587</v>
      </c>
      <c r="AS210" s="1">
        <v>0</v>
      </c>
      <c r="AT210" s="1" t="s">
        <v>2489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2490</v>
      </c>
      <c r="C211" s="1" t="s">
        <v>2491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1911</v>
      </c>
      <c r="AJ211" s="1">
        <v>0</v>
      </c>
      <c r="AK211" s="1" t="s">
        <v>894</v>
      </c>
      <c r="AL211" s="1" t="s">
        <v>2492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1587</v>
      </c>
      <c r="AS211" s="1">
        <v>0</v>
      </c>
      <c r="AT211" s="1" t="s">
        <v>1874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2493</v>
      </c>
      <c r="C212" s="1" t="s">
        <v>2494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1911</v>
      </c>
      <c r="AJ212" s="1">
        <v>0</v>
      </c>
      <c r="AK212" s="1" t="s">
        <v>895</v>
      </c>
      <c r="AL212" s="1" t="s">
        <v>2495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1515</v>
      </c>
      <c r="AS212" s="1">
        <v>902257</v>
      </c>
      <c r="AT212" s="1" t="s">
        <v>2496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2497</v>
      </c>
      <c r="C213" s="1" t="s">
        <v>2498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1911</v>
      </c>
      <c r="AJ213" s="1">
        <v>0</v>
      </c>
      <c r="AK213" s="1" t="s">
        <v>896</v>
      </c>
      <c r="AL213" s="1" t="s">
        <v>2499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1605</v>
      </c>
      <c r="AS213" s="1">
        <v>0</v>
      </c>
      <c r="AT213" s="1" t="s">
        <v>1874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2500</v>
      </c>
      <c r="C214" s="1" t="s">
        <v>2501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1911</v>
      </c>
      <c r="AJ214" s="1">
        <v>0</v>
      </c>
      <c r="AK214" s="1" t="s">
        <v>897</v>
      </c>
      <c r="AL214" s="1" t="s">
        <v>2502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1587</v>
      </c>
      <c r="AS214" s="1">
        <v>0</v>
      </c>
      <c r="AT214" s="1" t="s">
        <v>1874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2503</v>
      </c>
      <c r="C215" s="1" t="s">
        <v>2504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1639</v>
      </c>
      <c r="AH215" s="1">
        <v>3240</v>
      </c>
      <c r="AI215" s="1" t="s">
        <v>1911</v>
      </c>
      <c r="AJ215" s="1">
        <v>0</v>
      </c>
      <c r="AK215" s="1" t="s">
        <v>898</v>
      </c>
      <c r="AL215" s="1" t="s">
        <v>2505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1606</v>
      </c>
      <c r="AS215" s="1">
        <v>0</v>
      </c>
      <c r="AT215" s="1" t="s">
        <v>2506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2507</v>
      </c>
      <c r="C216" s="1" t="s">
        <v>2508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2509</v>
      </c>
      <c r="AJ216" s="1">
        <v>0</v>
      </c>
      <c r="AK216" s="1" t="s">
        <v>893</v>
      </c>
      <c r="AL216" s="1" t="s">
        <v>2510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1579</v>
      </c>
      <c r="AS216" s="1">
        <v>0</v>
      </c>
      <c r="AT216" s="1" t="s">
        <v>1874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2511</v>
      </c>
      <c r="C217" s="1" t="s">
        <v>2512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1911</v>
      </c>
      <c r="AJ217" s="1">
        <v>0</v>
      </c>
      <c r="AK217" s="1" t="s">
        <v>904</v>
      </c>
      <c r="AL217" s="1" t="s">
        <v>2513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1607</v>
      </c>
      <c r="AS217" s="1">
        <v>0</v>
      </c>
      <c r="AT217" s="1" t="s">
        <v>2514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2515</v>
      </c>
      <c r="C218" s="1" t="s">
        <v>2516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914</v>
      </c>
      <c r="AH218" s="1">
        <v>2820</v>
      </c>
      <c r="AI218" s="1" t="s">
        <v>1911</v>
      </c>
      <c r="AJ218" s="1">
        <v>0</v>
      </c>
      <c r="AK218" s="1" t="s">
        <v>899</v>
      </c>
      <c r="AL218" s="1" t="s">
        <v>2517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1600</v>
      </c>
      <c r="AS218" s="1">
        <v>0</v>
      </c>
      <c r="AT218" s="1" t="s">
        <v>1874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2518</v>
      </c>
      <c r="C219" s="1" t="s">
        <v>2519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1911</v>
      </c>
      <c r="AJ219" s="1">
        <v>0</v>
      </c>
      <c r="AK219" s="1" t="s">
        <v>905</v>
      </c>
      <c r="AL219" s="1" t="s">
        <v>2520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1608</v>
      </c>
      <c r="AS219" s="1">
        <v>0</v>
      </c>
      <c r="AT219" s="1" t="s">
        <v>1874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2521</v>
      </c>
      <c r="C220" s="1" t="s">
        <v>2522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1986</v>
      </c>
      <c r="AJ220" s="1">
        <v>0</v>
      </c>
      <c r="AK220" s="1" t="s">
        <v>942</v>
      </c>
      <c r="AL220" s="1" t="s">
        <v>2523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1609</v>
      </c>
      <c r="AS220" s="1">
        <v>0</v>
      </c>
      <c r="AT220" s="1" t="s">
        <v>1874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2524</v>
      </c>
      <c r="C221" s="1" t="s">
        <v>2525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931</v>
      </c>
      <c r="AH221" s="1">
        <v>2040</v>
      </c>
      <c r="AI221" s="1" t="s">
        <v>2191</v>
      </c>
      <c r="AJ221" s="1">
        <v>0</v>
      </c>
      <c r="AK221" s="1" t="s">
        <v>329</v>
      </c>
      <c r="AL221" s="1" t="s">
        <v>2526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1610</v>
      </c>
      <c r="AS221" s="1">
        <v>0</v>
      </c>
      <c r="AT221" s="1" t="s">
        <v>1874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2527</v>
      </c>
      <c r="C222" s="1" t="s">
        <v>2528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932</v>
      </c>
      <c r="AH222" s="1">
        <v>2940</v>
      </c>
      <c r="AI222" s="1" t="s">
        <v>2191</v>
      </c>
      <c r="AJ222" s="1">
        <v>0</v>
      </c>
      <c r="AK222" s="1" t="s">
        <v>329</v>
      </c>
      <c r="AL222" s="1" t="s">
        <v>2529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1611</v>
      </c>
      <c r="AS222" s="1">
        <v>0</v>
      </c>
      <c r="AT222" s="1" t="s">
        <v>1874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2530</v>
      </c>
      <c r="C223" s="1" t="s">
        <v>2531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906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933</v>
      </c>
      <c r="AH223" s="1">
        <v>3540</v>
      </c>
      <c r="AI223" s="1" t="s">
        <v>2191</v>
      </c>
      <c r="AJ223" s="1">
        <v>0</v>
      </c>
      <c r="AK223" s="1" t="s">
        <v>329</v>
      </c>
      <c r="AL223" s="1" t="s">
        <v>2532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1612</v>
      </c>
      <c r="AS223" s="1">
        <v>0</v>
      </c>
      <c r="AT223" s="1" t="s">
        <v>1874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2533</v>
      </c>
      <c r="C224" s="1" t="s">
        <v>2534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923</v>
      </c>
      <c r="AH224" s="1">
        <v>3420</v>
      </c>
      <c r="AI224" s="1" t="s">
        <v>1911</v>
      </c>
      <c r="AJ224" s="1">
        <v>0</v>
      </c>
      <c r="AK224" s="1" t="s">
        <v>329</v>
      </c>
      <c r="AL224" s="1" t="s">
        <v>2535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2536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2537</v>
      </c>
      <c r="C225" s="1" t="s">
        <v>2538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907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5738</v>
      </c>
      <c r="AH225" s="1">
        <v>2400</v>
      </c>
      <c r="AI225" s="1" t="s">
        <v>1911</v>
      </c>
      <c r="AJ225" s="1">
        <v>0</v>
      </c>
      <c r="AK225" s="1" t="s">
        <v>329</v>
      </c>
      <c r="AL225" s="1" t="s">
        <v>2539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1613</v>
      </c>
      <c r="AS225" s="1">
        <v>0</v>
      </c>
      <c r="AT225" s="1" t="s">
        <v>1874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2540</v>
      </c>
      <c r="C226" s="1" t="s">
        <v>2541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908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5737</v>
      </c>
      <c r="AH226" s="1">
        <v>3000</v>
      </c>
      <c r="AI226" s="1" t="s">
        <v>1911</v>
      </c>
      <c r="AJ226" s="1">
        <v>0</v>
      </c>
      <c r="AK226" s="1" t="s">
        <v>329</v>
      </c>
      <c r="AL226" s="1" t="s">
        <v>2542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1614</v>
      </c>
      <c r="AS226" s="1">
        <v>0</v>
      </c>
      <c r="AT226" s="1" t="s">
        <v>1874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2543</v>
      </c>
      <c r="C227" s="1" t="s">
        <v>2544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909</v>
      </c>
      <c r="L227" s="1" t="s">
        <v>329</v>
      </c>
      <c r="M227" s="1" t="s">
        <v>329</v>
      </c>
      <c r="N227" s="1" t="s">
        <v>910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922</v>
      </c>
      <c r="AH227" s="1">
        <v>2880</v>
      </c>
      <c r="AI227" s="1" t="s">
        <v>1911</v>
      </c>
      <c r="AJ227" s="1">
        <v>0</v>
      </c>
      <c r="AK227" s="1" t="s">
        <v>329</v>
      </c>
      <c r="AL227" s="1" t="s">
        <v>2545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1615</v>
      </c>
      <c r="AS227" s="1">
        <v>0</v>
      </c>
      <c r="AT227" s="1" t="s">
        <v>1874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2546</v>
      </c>
      <c r="C228" s="1" t="s">
        <v>2547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909</v>
      </c>
      <c r="L228" s="1" t="s">
        <v>329</v>
      </c>
      <c r="M228" s="1" t="s">
        <v>329</v>
      </c>
      <c r="N228" s="1" t="s">
        <v>911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921</v>
      </c>
      <c r="AH228" s="1">
        <v>3480</v>
      </c>
      <c r="AI228" s="1" t="s">
        <v>1911</v>
      </c>
      <c r="AJ228" s="1">
        <v>0</v>
      </c>
      <c r="AK228" s="1" t="s">
        <v>329</v>
      </c>
      <c r="AL228" s="1" t="s">
        <v>2548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1615</v>
      </c>
      <c r="AS228" s="1">
        <v>0</v>
      </c>
      <c r="AT228" s="1" t="s">
        <v>1874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2549</v>
      </c>
      <c r="C229" s="1" t="s">
        <v>2550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903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920</v>
      </c>
      <c r="AH229" s="1">
        <v>2700</v>
      </c>
      <c r="AI229" s="1" t="s">
        <v>1911</v>
      </c>
      <c r="AJ229" s="1">
        <v>0</v>
      </c>
      <c r="AK229" s="1" t="s">
        <v>329</v>
      </c>
      <c r="AL229" s="1" t="s">
        <v>2551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1616</v>
      </c>
      <c r="AS229" s="1">
        <v>300901</v>
      </c>
      <c r="AT229" s="1" t="s">
        <v>1874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2552</v>
      </c>
      <c r="C230" s="1" t="s">
        <v>2553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902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919</v>
      </c>
      <c r="AH230" s="1">
        <v>3300</v>
      </c>
      <c r="AI230" s="1" t="s">
        <v>1911</v>
      </c>
      <c r="AJ230" s="1">
        <v>0</v>
      </c>
      <c r="AK230" s="1" t="s">
        <v>329</v>
      </c>
      <c r="AL230" s="1" t="s">
        <v>2554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1616</v>
      </c>
      <c r="AS230" s="1">
        <v>300901</v>
      </c>
      <c r="AT230" s="1" t="s">
        <v>1874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2555</v>
      </c>
      <c r="C231" s="1" t="s">
        <v>2556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912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918</v>
      </c>
      <c r="AH231" s="1">
        <v>1560</v>
      </c>
      <c r="AI231" s="1" t="s">
        <v>1911</v>
      </c>
      <c r="AJ231" s="1">
        <v>0</v>
      </c>
      <c r="AK231" s="1" t="s">
        <v>329</v>
      </c>
      <c r="AL231" s="1" t="s">
        <v>2557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1617</v>
      </c>
      <c r="AS231" s="1">
        <v>0</v>
      </c>
      <c r="AT231" s="1" t="s">
        <v>1874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2558</v>
      </c>
      <c r="C232" s="1" t="s">
        <v>2559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912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917</v>
      </c>
      <c r="AH232" s="1">
        <v>2460</v>
      </c>
      <c r="AI232" s="1" t="s">
        <v>1911</v>
      </c>
      <c r="AJ232" s="1">
        <v>0</v>
      </c>
      <c r="AK232" s="1" t="s">
        <v>329</v>
      </c>
      <c r="AL232" s="1" t="s">
        <v>2560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1617</v>
      </c>
      <c r="AS232" s="1">
        <v>0</v>
      </c>
      <c r="AT232" s="1" t="s">
        <v>1874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2561</v>
      </c>
      <c r="C233" s="1" t="s">
        <v>2562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912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916</v>
      </c>
      <c r="AH233" s="1">
        <v>3060</v>
      </c>
      <c r="AI233" s="1" t="s">
        <v>1911</v>
      </c>
      <c r="AJ233" s="1">
        <v>0</v>
      </c>
      <c r="AK233" s="1" t="s">
        <v>329</v>
      </c>
      <c r="AL233" s="1" t="s">
        <v>2563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1618</v>
      </c>
      <c r="AS233" s="1">
        <v>0</v>
      </c>
      <c r="AT233" s="1" t="s">
        <v>1874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2564</v>
      </c>
      <c r="C234" s="1" t="s">
        <v>2565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915</v>
      </c>
      <c r="AH234" s="1">
        <v>3420</v>
      </c>
      <c r="AI234" s="1" t="s">
        <v>1911</v>
      </c>
      <c r="AJ234" s="1">
        <v>0</v>
      </c>
      <c r="AK234" s="1" t="s">
        <v>329</v>
      </c>
      <c r="AL234" s="1" t="s">
        <v>2566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1528</v>
      </c>
      <c r="AS234" s="1">
        <v>0</v>
      </c>
      <c r="AT234" s="1" t="s">
        <v>2567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2568</v>
      </c>
      <c r="C235" s="1" t="s">
        <v>2569</v>
      </c>
      <c r="D235" s="1">
        <v>5</v>
      </c>
      <c r="E235" s="1">
        <v>3</v>
      </c>
      <c r="F235" s="1">
        <v>20</v>
      </c>
      <c r="G235" s="1" t="s">
        <v>1642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2570</v>
      </c>
      <c r="AJ235" s="1">
        <v>0</v>
      </c>
      <c r="AK235" s="1" t="s">
        <v>913</v>
      </c>
      <c r="AL235" s="1" t="s">
        <v>2571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1619</v>
      </c>
      <c r="AS235" s="1">
        <v>116202</v>
      </c>
      <c r="AT235" s="1" t="s">
        <v>2572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2573</v>
      </c>
      <c r="C236" s="1" t="s">
        <v>2574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943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1911</v>
      </c>
      <c r="AJ236" s="1">
        <v>0</v>
      </c>
      <c r="AK236" s="1" t="s">
        <v>944</v>
      </c>
      <c r="AL236" s="1" t="s">
        <v>2575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1607</v>
      </c>
      <c r="AS236" s="1">
        <v>0</v>
      </c>
      <c r="AT236" s="1" t="s">
        <v>2576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2577</v>
      </c>
      <c r="C237" s="1" t="s">
        <v>2578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948</v>
      </c>
      <c r="AH237" s="1">
        <v>3600</v>
      </c>
      <c r="AI237" s="1" t="s">
        <v>2579</v>
      </c>
      <c r="AJ237" s="1">
        <v>0</v>
      </c>
      <c r="AK237" s="1" t="s">
        <v>941</v>
      </c>
      <c r="AL237" s="1" t="s">
        <v>2580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1508</v>
      </c>
      <c r="AS237" s="1">
        <v>0</v>
      </c>
      <c r="AT237" s="1" t="s">
        <v>2536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2581</v>
      </c>
      <c r="C238" s="1" t="s">
        <v>2582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945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937</v>
      </c>
      <c r="AH238" s="1">
        <v>3300</v>
      </c>
      <c r="AI238" s="1" t="s">
        <v>2583</v>
      </c>
      <c r="AJ238" s="1">
        <v>0</v>
      </c>
      <c r="AK238" s="1" t="s">
        <v>940</v>
      </c>
      <c r="AL238" s="1" t="s">
        <v>2584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1615</v>
      </c>
      <c r="AS238" s="1">
        <v>0</v>
      </c>
      <c r="AT238" s="1" t="s">
        <v>2585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2586</v>
      </c>
      <c r="C239" s="1" t="s">
        <v>2587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938</v>
      </c>
      <c r="AH239" s="1">
        <v>3060</v>
      </c>
      <c r="AI239" s="1" t="s">
        <v>1911</v>
      </c>
      <c r="AJ239" s="1">
        <v>0</v>
      </c>
      <c r="AK239" s="1" t="s">
        <v>946</v>
      </c>
      <c r="AL239" s="1" t="s">
        <v>2588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1620</v>
      </c>
      <c r="AS239" s="1">
        <v>0</v>
      </c>
      <c r="AT239" s="1" t="s">
        <v>1874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2589</v>
      </c>
      <c r="C240" s="1" t="s">
        <v>2590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939</v>
      </c>
      <c r="AH240" s="1">
        <v>3300</v>
      </c>
      <c r="AI240" s="1" t="s">
        <v>1911</v>
      </c>
      <c r="AJ240" s="1">
        <v>0</v>
      </c>
      <c r="AK240" s="1" t="s">
        <v>947</v>
      </c>
      <c r="AL240" s="1" t="s">
        <v>2591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1621</v>
      </c>
      <c r="AS240" s="1">
        <v>0</v>
      </c>
      <c r="AT240" s="1" t="s">
        <v>1874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2592</v>
      </c>
      <c r="C241" s="1" t="s">
        <v>2593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1911</v>
      </c>
      <c r="AJ241" s="1">
        <v>0</v>
      </c>
      <c r="AK241" s="1" t="s">
        <v>1622</v>
      </c>
      <c r="AL241" s="1" t="s">
        <v>2594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1587</v>
      </c>
      <c r="AS241" s="1">
        <v>756005</v>
      </c>
      <c r="AT241" s="1" t="s">
        <v>2595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2596</v>
      </c>
      <c r="C242" s="1" t="s">
        <v>2597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1218</v>
      </c>
      <c r="AH242" s="1">
        <v>3600</v>
      </c>
      <c r="AI242" s="1" t="s">
        <v>2109</v>
      </c>
      <c r="AJ242" s="1">
        <v>0</v>
      </c>
      <c r="AK242" s="1" t="s">
        <v>1623</v>
      </c>
      <c r="AL242" s="1" t="s">
        <v>2598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1624</v>
      </c>
      <c r="AS242" s="1">
        <v>0</v>
      </c>
      <c r="AT242" s="1" t="s">
        <v>1874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2599</v>
      </c>
      <c r="C243" s="1" t="s">
        <v>2600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1168</v>
      </c>
      <c r="AH243" s="1">
        <v>3600</v>
      </c>
      <c r="AI243" s="1" t="s">
        <v>1911</v>
      </c>
      <c r="AJ243" s="1">
        <v>0</v>
      </c>
      <c r="AK243" s="1" t="s">
        <v>1507</v>
      </c>
      <c r="AL243" s="1" t="s">
        <v>2601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1625</v>
      </c>
      <c r="AS243" s="1">
        <v>0</v>
      </c>
      <c r="AT243" s="1" t="s">
        <v>1874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2602</v>
      </c>
      <c r="C244" s="1" t="s">
        <v>2603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906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2604</v>
      </c>
      <c r="AJ244" s="1">
        <v>0</v>
      </c>
      <c r="AK244" s="1" t="s">
        <v>1626</v>
      </c>
      <c r="AL244" s="1" t="s">
        <v>2605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1627</v>
      </c>
      <c r="AS244" s="1">
        <v>0</v>
      </c>
      <c r="AT244" s="1" t="s">
        <v>1874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2606</v>
      </c>
      <c r="C245" s="1" t="s">
        <v>2607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2608</v>
      </c>
      <c r="AJ245" s="1">
        <v>0</v>
      </c>
      <c r="AK245" s="1" t="s">
        <v>1628</v>
      </c>
      <c r="AL245" s="1" t="s">
        <v>2609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1629</v>
      </c>
      <c r="AS245" s="1">
        <v>0</v>
      </c>
      <c r="AT245" s="1" t="s">
        <v>2610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2611</v>
      </c>
      <c r="C246" s="1" t="s">
        <v>2612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1272</v>
      </c>
      <c r="AH246" s="1">
        <v>3600</v>
      </c>
      <c r="AI246" s="1" t="s">
        <v>2613</v>
      </c>
      <c r="AJ246" s="1">
        <v>0</v>
      </c>
      <c r="AK246" s="1" t="s">
        <v>1407</v>
      </c>
      <c r="AL246" s="1" t="s">
        <v>2614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1630</v>
      </c>
      <c r="AS246" s="1">
        <v>0</v>
      </c>
      <c r="AT246" s="1" t="s">
        <v>1874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2615</v>
      </c>
      <c r="C247" s="1" t="s">
        <v>2616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1643</v>
      </c>
      <c r="AH247" s="1">
        <v>3060</v>
      </c>
      <c r="AI247" s="1" t="s">
        <v>1911</v>
      </c>
      <c r="AJ247" s="1">
        <v>0</v>
      </c>
      <c r="AK247" s="1" t="s">
        <v>408</v>
      </c>
      <c r="AL247" s="1" t="s">
        <v>2617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1618</v>
      </c>
      <c r="AS247" s="1">
        <v>0</v>
      </c>
      <c r="AT247" s="1" t="s">
        <v>2618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2619</v>
      </c>
      <c r="C248" s="1" t="s">
        <v>2620</v>
      </c>
      <c r="D248" s="1">
        <v>5</v>
      </c>
      <c r="E248" s="1">
        <v>1</v>
      </c>
      <c r="F248" s="1">
        <v>18</v>
      </c>
      <c r="G248" s="1" t="s">
        <v>1756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1662</v>
      </c>
      <c r="AH248" s="1">
        <v>3600</v>
      </c>
      <c r="AI248" s="1" t="s">
        <v>1911</v>
      </c>
      <c r="AJ248" s="1">
        <v>0</v>
      </c>
      <c r="AK248" s="1" t="s">
        <v>1757</v>
      </c>
      <c r="AL248" s="1" t="s">
        <v>2621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1758</v>
      </c>
      <c r="AS248" s="1">
        <v>0</v>
      </c>
      <c r="AT248" s="1" t="s">
        <v>1874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2622</v>
      </c>
      <c r="C249" s="1" t="s">
        <v>2623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1755</v>
      </c>
      <c r="AH249" s="1">
        <v>3120</v>
      </c>
      <c r="AI249" s="1" t="s">
        <v>2570</v>
      </c>
      <c r="AJ249" s="1">
        <v>0</v>
      </c>
      <c r="AK249" s="1" t="s">
        <v>1759</v>
      </c>
      <c r="AL249" s="1" t="s">
        <v>2624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1760</v>
      </c>
      <c r="AS249" s="1">
        <v>0</v>
      </c>
      <c r="AT249" s="1" t="s">
        <v>2625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2626</v>
      </c>
      <c r="C250" s="1" t="s">
        <v>2627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1631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1435</v>
      </c>
      <c r="AH250" s="1">
        <v>3000</v>
      </c>
      <c r="AI250" s="1" t="s">
        <v>1911</v>
      </c>
      <c r="AJ250" s="1">
        <v>0</v>
      </c>
      <c r="AK250" s="1" t="s">
        <v>1632</v>
      </c>
      <c r="AL250" s="1" t="s">
        <v>2628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1505</v>
      </c>
      <c r="AS250" s="1">
        <v>0</v>
      </c>
      <c r="AT250" s="1" t="s">
        <v>1874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2629</v>
      </c>
      <c r="C251" s="1" t="s">
        <v>2630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1726</v>
      </c>
      <c r="AH251" s="1">
        <v>2700</v>
      </c>
      <c r="AI251" s="1" t="s">
        <v>1911</v>
      </c>
      <c r="AJ251" s="1">
        <v>0</v>
      </c>
      <c r="AK251" s="1" t="s">
        <v>1633</v>
      </c>
      <c r="AL251" s="1" t="s">
        <v>2631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1596</v>
      </c>
      <c r="AS251" s="1">
        <v>0</v>
      </c>
      <c r="AT251" s="1" t="s">
        <v>1874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2632</v>
      </c>
      <c r="C252" s="1" t="s">
        <v>2633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1727</v>
      </c>
      <c r="AH252" s="1">
        <v>3600</v>
      </c>
      <c r="AI252" s="1" t="s">
        <v>1911</v>
      </c>
      <c r="AJ252" s="1">
        <v>0</v>
      </c>
      <c r="AK252" s="1" t="s">
        <v>1634</v>
      </c>
      <c r="AL252" s="1" t="s">
        <v>2634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1605</v>
      </c>
      <c r="AS252" s="1">
        <v>0</v>
      </c>
      <c r="AT252" s="1" t="s">
        <v>1874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2635</v>
      </c>
      <c r="C253" s="1" t="s">
        <v>2636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1428</v>
      </c>
      <c r="AH253" s="1">
        <v>3360</v>
      </c>
      <c r="AI253" s="1" t="s">
        <v>1911</v>
      </c>
      <c r="AJ253" s="1">
        <v>0</v>
      </c>
      <c r="AK253" s="1" t="s">
        <v>1635</v>
      </c>
      <c r="AL253" s="1" t="s">
        <v>2637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1534</v>
      </c>
      <c r="AS253" s="1">
        <v>0</v>
      </c>
      <c r="AT253" s="1" t="s">
        <v>1874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2638</v>
      </c>
      <c r="C254" s="1" t="s">
        <v>2639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912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1431</v>
      </c>
      <c r="AH254" s="1">
        <v>3120</v>
      </c>
      <c r="AI254" s="1" t="s">
        <v>1911</v>
      </c>
      <c r="AJ254" s="1">
        <v>0</v>
      </c>
      <c r="AK254" s="1" t="s">
        <v>1636</v>
      </c>
      <c r="AL254" s="1" t="s">
        <v>2640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1618</v>
      </c>
      <c r="AS254" s="1">
        <v>0</v>
      </c>
      <c r="AT254" s="1" t="s">
        <v>1874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2641</v>
      </c>
      <c r="C255" s="1" t="s">
        <v>2642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1206</v>
      </c>
      <c r="AH255" s="1">
        <v>3420</v>
      </c>
      <c r="AI255" s="1" t="s">
        <v>2643</v>
      </c>
      <c r="AJ255" s="1">
        <v>0</v>
      </c>
      <c r="AK255" s="1" t="s">
        <v>1772</v>
      </c>
      <c r="AL255" s="1" t="s">
        <v>2644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1773</v>
      </c>
      <c r="AS255" s="1">
        <v>0</v>
      </c>
      <c r="AT255" s="1" t="s">
        <v>1874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2645</v>
      </c>
      <c r="C256" s="1" t="s">
        <v>2646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1774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2647</v>
      </c>
      <c r="AJ256" s="1">
        <v>0</v>
      </c>
      <c r="AK256" s="1" t="s">
        <v>1761</v>
      </c>
      <c r="AL256" s="1" t="s">
        <v>2648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1549</v>
      </c>
      <c r="AS256" s="1">
        <v>0</v>
      </c>
      <c r="AT256" s="1" t="s">
        <v>1874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2649</v>
      </c>
      <c r="C257" s="1" t="s">
        <v>2650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1911</v>
      </c>
      <c r="AJ257" s="1">
        <v>0</v>
      </c>
      <c r="AK257" s="1" t="s">
        <v>1775</v>
      </c>
      <c r="AL257" s="1" t="s">
        <v>2651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1587</v>
      </c>
      <c r="AS257" s="1">
        <v>0</v>
      </c>
      <c r="AT257" s="1" t="s">
        <v>1874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2652</v>
      </c>
      <c r="C258" s="1" t="s">
        <v>2653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1911</v>
      </c>
      <c r="AJ258" s="1">
        <v>0</v>
      </c>
      <c r="AK258" s="1" t="s">
        <v>1776</v>
      </c>
      <c r="AL258" s="1" t="s">
        <v>2654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1534</v>
      </c>
      <c r="AS258" s="1">
        <v>0</v>
      </c>
      <c r="AT258" s="1" t="s">
        <v>2655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2656</v>
      </c>
      <c r="C259" s="1" t="s">
        <v>2657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6461</v>
      </c>
      <c r="AH259" s="1">
        <v>3120</v>
      </c>
      <c r="AI259" s="1" t="s">
        <v>1911</v>
      </c>
      <c r="AJ259" s="1">
        <v>0</v>
      </c>
      <c r="AK259" s="1" t="s">
        <v>1792</v>
      </c>
      <c r="AL259" s="1" t="s">
        <v>2658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1793</v>
      </c>
      <c r="AS259" s="1">
        <v>0</v>
      </c>
      <c r="AT259" s="1" t="s">
        <v>1874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2659</v>
      </c>
      <c r="C260" s="1" t="s">
        <v>2660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1790</v>
      </c>
      <c r="AH260" s="1">
        <v>3600</v>
      </c>
      <c r="AI260" s="1" t="s">
        <v>1911</v>
      </c>
      <c r="AJ260" s="1">
        <v>0</v>
      </c>
      <c r="AK260" s="1" t="s">
        <v>1794</v>
      </c>
      <c r="AL260" s="1" t="s">
        <v>2661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1758</v>
      </c>
      <c r="AS260" s="1">
        <v>0</v>
      </c>
      <c r="AT260" s="1" t="s">
        <v>1874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2662</v>
      </c>
      <c r="C261" s="1" t="s">
        <v>2663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1795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1791</v>
      </c>
      <c r="AH261" s="1">
        <v>3300</v>
      </c>
      <c r="AI261" s="1" t="s">
        <v>1911</v>
      </c>
      <c r="AJ261" s="1">
        <v>0</v>
      </c>
      <c r="AK261" s="1" t="s">
        <v>1796</v>
      </c>
      <c r="AL261" s="1" t="s">
        <v>2664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1797</v>
      </c>
      <c r="AS261" s="1">
        <v>0</v>
      </c>
      <c r="AT261" s="1" t="s">
        <v>1874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2665</v>
      </c>
      <c r="C262" s="1" t="s">
        <v>2666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1789</v>
      </c>
      <c r="AH262" s="1">
        <v>3600</v>
      </c>
      <c r="AI262" s="1" t="s">
        <v>2667</v>
      </c>
      <c r="AJ262" s="1">
        <v>0</v>
      </c>
      <c r="AK262" s="1" t="s">
        <v>1798</v>
      </c>
      <c r="AL262" s="1" t="s">
        <v>2668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1528</v>
      </c>
      <c r="AS262" s="1">
        <v>0</v>
      </c>
      <c r="AT262" s="1" t="s">
        <v>2536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2669</v>
      </c>
      <c r="C263" s="1" t="s">
        <v>2670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1911</v>
      </c>
      <c r="AJ263" s="1">
        <v>0</v>
      </c>
      <c r="AK263" s="1" t="s">
        <v>2671</v>
      </c>
      <c r="AL263" s="1" t="s">
        <v>2672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1624</v>
      </c>
      <c r="AS263" s="1">
        <v>0</v>
      </c>
      <c r="AT263" s="1" t="s">
        <v>5698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5561</v>
      </c>
      <c r="C264" s="1" t="s">
        <v>5562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5563</v>
      </c>
      <c r="AJ264" s="1">
        <v>0</v>
      </c>
      <c r="AK264" s="1" t="s">
        <v>5564</v>
      </c>
      <c r="AL264" s="1" t="s">
        <v>5565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5566</v>
      </c>
      <c r="AS264" s="1">
        <v>0</v>
      </c>
      <c r="AT264" s="1" t="s">
        <v>5567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5568</v>
      </c>
      <c r="C265" s="1" t="s">
        <v>5569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5570</v>
      </c>
      <c r="AJ265" s="1">
        <v>0</v>
      </c>
      <c r="AK265" s="1" t="s">
        <v>5473</v>
      </c>
      <c r="AL265" s="1" t="s">
        <v>5571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5572</v>
      </c>
      <c r="AS265" s="1">
        <v>0</v>
      </c>
      <c r="AT265" s="1" t="s">
        <v>1874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5704</v>
      </c>
      <c r="C266" s="1" t="s">
        <v>5705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1911</v>
      </c>
      <c r="AJ266" s="1">
        <v>0</v>
      </c>
      <c r="AK266" s="1" t="s">
        <v>5209</v>
      </c>
      <c r="AL266" s="1" t="s">
        <v>5706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1582</v>
      </c>
      <c r="AS266" s="1">
        <v>0</v>
      </c>
      <c r="AT266" s="1" t="s">
        <v>1874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5707</v>
      </c>
      <c r="C267" s="1" t="s">
        <v>5708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1911</v>
      </c>
      <c r="AJ267" s="1">
        <v>0</v>
      </c>
      <c r="AK267" s="1" t="s">
        <v>5126</v>
      </c>
      <c r="AL267" s="1" t="s">
        <v>5709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1589</v>
      </c>
      <c r="AS267" s="1">
        <v>0</v>
      </c>
      <c r="AT267" s="1" t="s">
        <v>1874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5710</v>
      </c>
      <c r="C268" s="1" t="s">
        <v>5711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1795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1213</v>
      </c>
      <c r="AH268" s="1">
        <v>2940</v>
      </c>
      <c r="AI268" s="1" t="s">
        <v>5712</v>
      </c>
      <c r="AJ268" s="1">
        <v>0</v>
      </c>
      <c r="AK268" s="1" t="s">
        <v>5713</v>
      </c>
      <c r="AL268" s="1" t="s">
        <v>5714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1793</v>
      </c>
      <c r="AS268" s="1">
        <v>0</v>
      </c>
      <c r="AT268" s="1" t="s">
        <v>1874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5715</v>
      </c>
      <c r="C269" s="1" t="s">
        <v>5716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906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5717</v>
      </c>
      <c r="AJ269" s="1">
        <v>0</v>
      </c>
      <c r="AK269" s="1" t="s">
        <v>5718</v>
      </c>
      <c r="AL269" s="1" t="s">
        <v>5719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5720</v>
      </c>
      <c r="AS269" s="1">
        <v>0</v>
      </c>
      <c r="AT269" s="1" t="s">
        <v>1874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5823</v>
      </c>
      <c r="C270" s="1" t="s">
        <v>5824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1911</v>
      </c>
      <c r="AJ270" s="1">
        <v>0</v>
      </c>
      <c r="AK270" s="1" t="s">
        <v>4858</v>
      </c>
      <c r="AL270" s="1" t="s">
        <v>5825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1508</v>
      </c>
      <c r="AS270" s="1">
        <v>0</v>
      </c>
      <c r="AT270" s="1" t="s">
        <v>1874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5826</v>
      </c>
      <c r="C271" s="1" t="s">
        <v>5827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5791</v>
      </c>
      <c r="AH271" s="1">
        <v>3600</v>
      </c>
      <c r="AI271" s="1" t="s">
        <v>1911</v>
      </c>
      <c r="AJ271" s="1">
        <v>0</v>
      </c>
      <c r="AK271" s="1" t="s">
        <v>5822</v>
      </c>
      <c r="AL271" s="1" t="s">
        <v>5828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1508</v>
      </c>
      <c r="AS271" s="1">
        <v>0</v>
      </c>
      <c r="AT271" s="1" t="s">
        <v>1874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5829</v>
      </c>
      <c r="C272" s="1" t="s">
        <v>5830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5806</v>
      </c>
      <c r="AH272" s="1">
        <v>3600</v>
      </c>
      <c r="AI272" s="1" t="s">
        <v>5712</v>
      </c>
      <c r="AJ272" s="1">
        <v>0</v>
      </c>
      <c r="AK272" s="1" t="s">
        <v>5831</v>
      </c>
      <c r="AL272" s="1" t="s">
        <v>5832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1563</v>
      </c>
      <c r="AS272" s="1">
        <v>0</v>
      </c>
      <c r="AT272" s="1" t="s">
        <v>1874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5833</v>
      </c>
      <c r="C273" s="1" t="s">
        <v>5834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5835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5799</v>
      </c>
      <c r="AH273" s="1">
        <v>3600</v>
      </c>
      <c r="AI273" s="1" t="s">
        <v>1911</v>
      </c>
      <c r="AJ273" s="1">
        <v>0</v>
      </c>
      <c r="AK273" s="1" t="s">
        <v>5836</v>
      </c>
      <c r="AL273" s="1" t="s">
        <v>5837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5838</v>
      </c>
      <c r="AS273" s="1">
        <v>0</v>
      </c>
      <c r="AT273" s="1" t="s">
        <v>1874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5839</v>
      </c>
      <c r="C274" s="1" t="s">
        <v>5840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5815</v>
      </c>
      <c r="AH274" s="1">
        <v>3060</v>
      </c>
      <c r="AI274" s="1" t="s">
        <v>2474</v>
      </c>
      <c r="AJ274" s="1">
        <v>0</v>
      </c>
      <c r="AK274" s="1" t="s">
        <v>5841</v>
      </c>
      <c r="AL274" s="1" t="s">
        <v>5842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5843</v>
      </c>
      <c r="AS274" s="1">
        <v>0</v>
      </c>
      <c r="AT274" s="1" t="s">
        <v>1874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6378</v>
      </c>
      <c r="C275" s="1" t="s">
        <v>6379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2297</v>
      </c>
      <c r="AJ275" s="1">
        <v>0</v>
      </c>
      <c r="AK275" s="1" t="s">
        <v>6380</v>
      </c>
      <c r="AL275" s="1" t="s">
        <v>6381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1629</v>
      </c>
      <c r="AS275" s="1">
        <v>0</v>
      </c>
      <c r="AT275" s="1" t="s">
        <v>1874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6417</v>
      </c>
      <c r="C276" s="1" t="s">
        <v>6418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6419</v>
      </c>
      <c r="AJ276" s="1">
        <v>0</v>
      </c>
      <c r="AK276" s="1" t="s">
        <v>5444</v>
      </c>
      <c r="AL276" s="1" t="s">
        <v>6420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6421</v>
      </c>
      <c r="AS276" s="1">
        <v>0</v>
      </c>
      <c r="AT276" s="1" t="s">
        <v>1874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>
        <v>278</v>
      </c>
      <c r="B277" t="s">
        <v>6489</v>
      </c>
      <c r="C277" t="s">
        <v>6490</v>
      </c>
      <c r="D277">
        <v>5</v>
      </c>
      <c r="E277">
        <v>1</v>
      </c>
      <c r="F277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t="s">
        <v>2283</v>
      </c>
      <c r="AJ277">
        <v>0</v>
      </c>
      <c r="AK277" s="1" t="s">
        <v>5482</v>
      </c>
      <c r="AL277" s="1" t="s">
        <v>6491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t="s">
        <v>1585</v>
      </c>
      <c r="AS277">
        <v>0</v>
      </c>
      <c r="AT277" t="s">
        <v>1874</v>
      </c>
      <c r="AU277">
        <v>10</v>
      </c>
      <c r="AV277">
        <v>18089</v>
      </c>
      <c r="AW277">
        <v>0</v>
      </c>
      <c r="AX277">
        <v>0</v>
      </c>
    </row>
    <row r="278" spans="1:50" x14ac:dyDescent="0.25">
      <c r="A278">
        <v>279</v>
      </c>
      <c r="B278" t="s">
        <v>6492</v>
      </c>
      <c r="C278" t="s">
        <v>6493</v>
      </c>
      <c r="D278">
        <v>5</v>
      </c>
      <c r="E278">
        <v>1</v>
      </c>
      <c r="F278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t="s">
        <v>1911</v>
      </c>
      <c r="AJ278">
        <v>0</v>
      </c>
      <c r="AK278" s="1" t="s">
        <v>5609</v>
      </c>
      <c r="AL278" s="1" t="s">
        <v>6494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t="s">
        <v>1578</v>
      </c>
      <c r="AS278">
        <v>0</v>
      </c>
      <c r="AT278" t="s">
        <v>1874</v>
      </c>
      <c r="AU278">
        <v>10</v>
      </c>
      <c r="AV278">
        <v>18090</v>
      </c>
      <c r="AW278">
        <v>0</v>
      </c>
      <c r="AX278">
        <v>0</v>
      </c>
    </row>
    <row r="279" spans="1:50" x14ac:dyDescent="0.25">
      <c r="A279">
        <v>280</v>
      </c>
      <c r="B279" t="s">
        <v>6495</v>
      </c>
      <c r="C279" t="s">
        <v>6496</v>
      </c>
      <c r="D279">
        <v>5</v>
      </c>
      <c r="E279">
        <v>2</v>
      </c>
      <c r="F279">
        <v>19</v>
      </c>
      <c r="G279" s="1" t="s">
        <v>6497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t="s">
        <v>6498</v>
      </c>
      <c r="AJ279">
        <v>0</v>
      </c>
      <c r="AK279" s="1" t="s">
        <v>5297</v>
      </c>
      <c r="AL279" s="1" t="s">
        <v>6499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t="s">
        <v>6500</v>
      </c>
      <c r="AS279">
        <v>0</v>
      </c>
      <c r="AT279" t="s">
        <v>1874</v>
      </c>
      <c r="AU279">
        <v>10</v>
      </c>
      <c r="AV279">
        <v>19039</v>
      </c>
      <c r="AW279">
        <v>0</v>
      </c>
      <c r="AX279">
        <v>0</v>
      </c>
    </row>
    <row r="280" spans="1:50" x14ac:dyDescent="0.25">
      <c r="A280">
        <v>281</v>
      </c>
      <c r="B280" t="s">
        <v>6501</v>
      </c>
      <c r="C280" t="s">
        <v>6502</v>
      </c>
      <c r="D280">
        <v>5</v>
      </c>
      <c r="E280">
        <v>2</v>
      </c>
      <c r="F280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1647</v>
      </c>
      <c r="AH280" s="1">
        <v>3300</v>
      </c>
      <c r="AI280" t="s">
        <v>1911</v>
      </c>
      <c r="AJ280">
        <v>0</v>
      </c>
      <c r="AK280" s="1" t="s">
        <v>6503</v>
      </c>
      <c r="AL280" s="1" t="s">
        <v>6504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t="s">
        <v>1587</v>
      </c>
      <c r="AS280">
        <v>0</v>
      </c>
      <c r="AT280" t="s">
        <v>1874</v>
      </c>
      <c r="AU280">
        <v>10</v>
      </c>
      <c r="AV280">
        <v>19040</v>
      </c>
      <c r="AW280">
        <v>0</v>
      </c>
      <c r="AX280">
        <v>0</v>
      </c>
    </row>
    <row r="281" spans="1:50" x14ac:dyDescent="0.25">
      <c r="A281">
        <v>282</v>
      </c>
      <c r="B281" t="s">
        <v>6505</v>
      </c>
      <c r="C281" t="s">
        <v>6506</v>
      </c>
      <c r="D281">
        <v>5</v>
      </c>
      <c r="E281">
        <v>1</v>
      </c>
      <c r="F28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t="s">
        <v>1911</v>
      </c>
      <c r="AJ281">
        <v>0</v>
      </c>
      <c r="AK281" s="1" t="s">
        <v>5483</v>
      </c>
      <c r="AL281" s="1" t="s">
        <v>6507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t="s">
        <v>1586</v>
      </c>
      <c r="AS281">
        <v>0</v>
      </c>
      <c r="AT281" t="s">
        <v>1874</v>
      </c>
      <c r="AU281">
        <v>10</v>
      </c>
      <c r="AV281">
        <v>18091</v>
      </c>
      <c r="AW281">
        <v>0</v>
      </c>
      <c r="AX281">
        <v>0</v>
      </c>
    </row>
    <row r="282" spans="1:50" x14ac:dyDescent="0.25">
      <c r="A282">
        <v>283</v>
      </c>
      <c r="B282" t="s">
        <v>6535</v>
      </c>
      <c r="C282" t="s">
        <v>6536</v>
      </c>
      <c r="D282">
        <v>5</v>
      </c>
      <c r="E282">
        <v>1</v>
      </c>
      <c r="F282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t="s">
        <v>2275</v>
      </c>
      <c r="AJ282">
        <v>0</v>
      </c>
      <c r="AK282" s="1" t="s">
        <v>5471</v>
      </c>
      <c r="AL282" s="1" t="s">
        <v>6537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t="s">
        <v>1556</v>
      </c>
      <c r="AS282">
        <v>0</v>
      </c>
      <c r="AT282" t="s">
        <v>1874</v>
      </c>
      <c r="AU282">
        <v>10</v>
      </c>
      <c r="AV282">
        <v>18092</v>
      </c>
      <c r="AW282">
        <v>0</v>
      </c>
      <c r="AX282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8"/>
  <sheetViews>
    <sheetView workbookViewId="0">
      <pane ySplit="1" topLeftCell="A528" activePane="bottomLeft" state="frozen"/>
      <selection activeCell="U2" sqref="U2:U45"/>
      <selection pane="bottomLeft" activeCell="U2" sqref="U2:U4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988</v>
      </c>
      <c r="J1" s="43" t="s">
        <v>61</v>
      </c>
      <c r="K1" s="43" t="s">
        <v>220</v>
      </c>
      <c r="L1" s="43" t="s">
        <v>323</v>
      </c>
      <c r="M1" s="43" t="s">
        <v>2677</v>
      </c>
      <c r="N1" s="43" t="s">
        <v>2678</v>
      </c>
      <c r="O1" s="43" t="s">
        <v>2679</v>
      </c>
      <c r="P1" s="43" t="s">
        <v>2680</v>
      </c>
      <c r="Q1" s="43" t="s">
        <v>2681</v>
      </c>
      <c r="R1" s="43" t="s">
        <v>2682</v>
      </c>
      <c r="S1" s="43" t="s">
        <v>2683</v>
      </c>
      <c r="T1" s="43" t="s">
        <v>2684</v>
      </c>
      <c r="U1" s="43" t="s">
        <v>1141</v>
      </c>
      <c r="V1" s="43" t="s">
        <v>1142</v>
      </c>
      <c r="W1" s="43" t="s">
        <v>1143</v>
      </c>
      <c r="X1" s="43" t="s">
        <v>2685</v>
      </c>
      <c r="Y1" s="43" t="s">
        <v>1144</v>
      </c>
      <c r="Z1" s="43" t="s">
        <v>1145</v>
      </c>
      <c r="AA1" s="43" t="s">
        <v>1146</v>
      </c>
      <c r="AB1" s="43" t="s">
        <v>221</v>
      </c>
      <c r="AC1" s="43" t="s">
        <v>2686</v>
      </c>
      <c r="AD1" s="43" t="s">
        <v>2687</v>
      </c>
      <c r="AE1" s="43" t="s">
        <v>1147</v>
      </c>
      <c r="AF1" s="43" t="s">
        <v>2688</v>
      </c>
      <c r="AG1" s="43" t="s">
        <v>41</v>
      </c>
      <c r="AH1" s="43" t="s">
        <v>42</v>
      </c>
      <c r="AI1" s="43" t="s">
        <v>1148</v>
      </c>
      <c r="AJ1" s="43" t="s">
        <v>630</v>
      </c>
      <c r="AK1" s="43" t="s">
        <v>1149</v>
      </c>
      <c r="AL1" s="43" t="s">
        <v>2689</v>
      </c>
      <c r="AM1" s="43" t="s">
        <v>2690</v>
      </c>
      <c r="AN1" s="43" t="s">
        <v>2691</v>
      </c>
      <c r="AO1" s="43" t="s">
        <v>2692</v>
      </c>
      <c r="AP1" s="43" t="s">
        <v>2693</v>
      </c>
      <c r="AQ1" s="43" t="s">
        <v>1150</v>
      </c>
      <c r="AR1" s="43" t="s">
        <v>1151</v>
      </c>
      <c r="AS1" s="43" t="s">
        <v>1152</v>
      </c>
      <c r="AT1" t="s">
        <v>2694</v>
      </c>
      <c r="AU1" t="s">
        <v>2695</v>
      </c>
      <c r="AV1" t="s">
        <v>583</v>
      </c>
      <c r="AW1" t="s">
        <v>2696</v>
      </c>
      <c r="AX1" t="s">
        <v>2697</v>
      </c>
      <c r="AY1" t="s">
        <v>2698</v>
      </c>
      <c r="AZ1" t="s">
        <v>2699</v>
      </c>
      <c r="BA1" t="s">
        <v>2700</v>
      </c>
      <c r="BB1" t="s">
        <v>2701</v>
      </c>
      <c r="BC1" t="s">
        <v>2702</v>
      </c>
      <c r="BD1" t="s">
        <v>2703</v>
      </c>
    </row>
    <row r="2" spans="1:57" x14ac:dyDescent="0.25">
      <c r="A2" s="1">
        <v>1</v>
      </c>
      <c r="B2" s="1" t="s">
        <v>2704</v>
      </c>
      <c r="C2" s="9" t="s">
        <v>19</v>
      </c>
      <c r="D2" s="1" t="s">
        <v>2705</v>
      </c>
      <c r="E2" s="1"/>
      <c r="F2" s="1"/>
      <c r="G2" s="1" t="s">
        <v>2706</v>
      </c>
      <c r="H2" s="1" t="s">
        <v>2707</v>
      </c>
      <c r="I2" s="1" t="s">
        <v>2708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1874</v>
      </c>
      <c r="AN2" s="1" t="s">
        <v>4808</v>
      </c>
      <c r="AO2" s="1" t="s">
        <v>4809</v>
      </c>
      <c r="AP2" s="1">
        <v>0</v>
      </c>
      <c r="AQ2" s="1" t="s">
        <v>4810</v>
      </c>
      <c r="AR2" s="1" t="s">
        <v>1154</v>
      </c>
      <c r="AS2" s="1" t="s">
        <v>1155</v>
      </c>
      <c r="AT2" s="1" t="s">
        <v>329</v>
      </c>
      <c r="AU2" s="1">
        <v>1</v>
      </c>
      <c r="AV2" s="1">
        <v>0</v>
      </c>
      <c r="AW2" s="1" t="s">
        <v>4560</v>
      </c>
      <c r="AX2" s="1" t="s">
        <v>471</v>
      </c>
      <c r="AY2" s="1">
        <v>4</v>
      </c>
      <c r="AZ2" s="1">
        <v>0</v>
      </c>
      <c r="BA2" s="1" t="s">
        <v>4811</v>
      </c>
      <c r="BB2" s="1" t="s">
        <v>371</v>
      </c>
      <c r="BC2" s="1" t="s">
        <v>4788</v>
      </c>
      <c r="BD2" s="1">
        <v>10302</v>
      </c>
      <c r="BE2" s="1"/>
    </row>
    <row r="3" spans="1:57" x14ac:dyDescent="0.25">
      <c r="A3" s="1">
        <v>2</v>
      </c>
      <c r="B3" s="1" t="s">
        <v>2709</v>
      </c>
      <c r="C3" s="9" t="s">
        <v>62</v>
      </c>
      <c r="D3" s="1" t="s">
        <v>62</v>
      </c>
      <c r="E3" s="1"/>
      <c r="F3" s="1"/>
      <c r="G3" s="1" t="s">
        <v>2710</v>
      </c>
      <c r="H3" s="1" t="s">
        <v>2711</v>
      </c>
      <c r="I3" s="1" t="s">
        <v>2712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1156</v>
      </c>
      <c r="AK3" s="1" t="s">
        <v>329</v>
      </c>
      <c r="AL3" s="1">
        <v>13</v>
      </c>
      <c r="AM3" s="1" t="s">
        <v>1874</v>
      </c>
      <c r="AN3" s="1" t="s">
        <v>4808</v>
      </c>
      <c r="AO3" s="1" t="s">
        <v>4812</v>
      </c>
      <c r="AP3" s="1">
        <v>0</v>
      </c>
      <c r="AQ3" s="1" t="s">
        <v>1153</v>
      </c>
      <c r="AR3" s="1" t="s">
        <v>1779</v>
      </c>
      <c r="AS3" s="1" t="s">
        <v>1155</v>
      </c>
      <c r="AT3" s="1" t="s">
        <v>329</v>
      </c>
      <c r="AU3" s="1">
        <v>2</v>
      </c>
      <c r="AV3" s="1">
        <v>0</v>
      </c>
      <c r="AW3" s="1" t="s">
        <v>4560</v>
      </c>
      <c r="AX3" s="1" t="s">
        <v>471</v>
      </c>
      <c r="AY3" s="1">
        <v>2</v>
      </c>
      <c r="AZ3" s="1">
        <v>0</v>
      </c>
      <c r="BA3" s="1" t="s">
        <v>4813</v>
      </c>
      <c r="BB3" s="1" t="s">
        <v>4814</v>
      </c>
      <c r="BC3" s="1" t="s">
        <v>4788</v>
      </c>
      <c r="BD3" s="1">
        <v>10202</v>
      </c>
      <c r="BE3" s="1"/>
    </row>
    <row r="4" spans="1:57" x14ac:dyDescent="0.25">
      <c r="A4" s="1">
        <v>3</v>
      </c>
      <c r="B4" s="1" t="s">
        <v>2713</v>
      </c>
      <c r="C4" s="9" t="s">
        <v>63</v>
      </c>
      <c r="D4" s="1" t="s">
        <v>63</v>
      </c>
      <c r="E4" s="1"/>
      <c r="F4" s="1"/>
      <c r="G4" s="1" t="s">
        <v>2714</v>
      </c>
      <c r="H4" s="1" t="s">
        <v>2715</v>
      </c>
      <c r="I4" s="1" t="s">
        <v>2716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1156</v>
      </c>
      <c r="AK4" s="1" t="s">
        <v>329</v>
      </c>
      <c r="AL4" s="1">
        <v>13</v>
      </c>
      <c r="AM4" s="1" t="s">
        <v>1874</v>
      </c>
      <c r="AN4" s="1" t="s">
        <v>4815</v>
      </c>
      <c r="AO4" s="1" t="s">
        <v>4816</v>
      </c>
      <c r="AP4" s="1">
        <v>0</v>
      </c>
      <c r="AQ4" s="1" t="s">
        <v>4810</v>
      </c>
      <c r="AR4" s="1" t="s">
        <v>1154</v>
      </c>
      <c r="AS4" s="1" t="s">
        <v>1155</v>
      </c>
      <c r="AT4" s="1" t="s">
        <v>329</v>
      </c>
      <c r="AU4" s="1">
        <v>3</v>
      </c>
      <c r="AV4" s="1">
        <v>0</v>
      </c>
      <c r="AW4" s="1" t="s">
        <v>4560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4817</v>
      </c>
      <c r="BC4" s="1" t="s">
        <v>4788</v>
      </c>
      <c r="BD4" s="1">
        <v>10202</v>
      </c>
      <c r="BE4" s="1"/>
    </row>
    <row r="5" spans="1:57" x14ac:dyDescent="0.25">
      <c r="A5" s="1">
        <v>4</v>
      </c>
      <c r="B5" s="1" t="s">
        <v>2717</v>
      </c>
      <c r="C5" s="9" t="s">
        <v>64</v>
      </c>
      <c r="D5" s="1" t="s">
        <v>64</v>
      </c>
      <c r="E5" s="1"/>
      <c r="F5" s="1"/>
      <c r="G5" s="1" t="s">
        <v>2718</v>
      </c>
      <c r="H5" s="1" t="s">
        <v>2719</v>
      </c>
      <c r="I5" s="1" t="s">
        <v>2720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1157</v>
      </c>
      <c r="AK5" s="1" t="s">
        <v>1158</v>
      </c>
      <c r="AL5" s="1">
        <v>13</v>
      </c>
      <c r="AM5" s="1" t="s">
        <v>1874</v>
      </c>
      <c r="AN5" s="1" t="s">
        <v>4818</v>
      </c>
      <c r="AO5" s="1" t="s">
        <v>4819</v>
      </c>
      <c r="AP5" s="1">
        <v>0</v>
      </c>
      <c r="AQ5" s="1" t="s">
        <v>1153</v>
      </c>
      <c r="AR5" s="1" t="s">
        <v>1154</v>
      </c>
      <c r="AS5" s="1" t="s">
        <v>1155</v>
      </c>
      <c r="AT5" s="1" t="s">
        <v>329</v>
      </c>
      <c r="AU5" s="1">
        <v>4</v>
      </c>
      <c r="AV5" s="1">
        <v>0</v>
      </c>
      <c r="AW5" s="1" t="s">
        <v>4820</v>
      </c>
      <c r="AX5" s="1" t="s">
        <v>4821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4788</v>
      </c>
      <c r="BD5" s="1">
        <v>10202</v>
      </c>
      <c r="BE5" s="1"/>
    </row>
    <row r="6" spans="1:57" x14ac:dyDescent="0.25">
      <c r="A6" s="1">
        <v>5</v>
      </c>
      <c r="B6" s="1" t="s">
        <v>2721</v>
      </c>
      <c r="C6" s="9" t="s">
        <v>65</v>
      </c>
      <c r="D6" s="1" t="s">
        <v>65</v>
      </c>
      <c r="E6" s="1"/>
      <c r="F6" s="1"/>
      <c r="G6" s="1" t="s">
        <v>2722</v>
      </c>
      <c r="H6" s="1" t="s">
        <v>2723</v>
      </c>
      <c r="I6" s="1" t="s">
        <v>2724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1159</v>
      </c>
      <c r="AK6" s="1" t="s">
        <v>329</v>
      </c>
      <c r="AL6" s="1">
        <v>13</v>
      </c>
      <c r="AM6" s="1" t="s">
        <v>1874</v>
      </c>
      <c r="AN6" s="1" t="s">
        <v>4822</v>
      </c>
      <c r="AO6" s="1" t="s">
        <v>4823</v>
      </c>
      <c r="AP6" s="1">
        <v>0</v>
      </c>
      <c r="AQ6" s="1" t="s">
        <v>4810</v>
      </c>
      <c r="AR6" s="1" t="s">
        <v>1154</v>
      </c>
      <c r="AS6" s="1" t="s">
        <v>1155</v>
      </c>
      <c r="AT6" s="1" t="s">
        <v>329</v>
      </c>
      <c r="AU6" s="1">
        <v>5</v>
      </c>
      <c r="AV6" s="1">
        <v>0</v>
      </c>
      <c r="AW6" s="1" t="s">
        <v>4560</v>
      </c>
      <c r="AX6" s="1" t="s">
        <v>471</v>
      </c>
      <c r="AY6" s="1">
        <v>2</v>
      </c>
      <c r="AZ6" s="1">
        <v>0</v>
      </c>
      <c r="BA6" s="1" t="s">
        <v>4813</v>
      </c>
      <c r="BB6" s="1" t="s">
        <v>4824</v>
      </c>
      <c r="BC6" s="1" t="s">
        <v>4825</v>
      </c>
      <c r="BD6" s="1">
        <v>10302</v>
      </c>
      <c r="BE6" s="1"/>
    </row>
    <row r="7" spans="1:57" x14ac:dyDescent="0.25">
      <c r="A7" s="1">
        <v>6</v>
      </c>
      <c r="B7" s="1" t="s">
        <v>2725</v>
      </c>
      <c r="C7" s="9" t="s">
        <v>66</v>
      </c>
      <c r="D7" s="1" t="s">
        <v>2726</v>
      </c>
      <c r="E7" s="1"/>
      <c r="F7" s="1"/>
      <c r="G7" s="1" t="s">
        <v>2727</v>
      </c>
      <c r="H7" s="1" t="s">
        <v>2728</v>
      </c>
      <c r="I7" s="1" t="s">
        <v>2729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4826</v>
      </c>
      <c r="AK7" s="1" t="s">
        <v>329</v>
      </c>
      <c r="AL7" s="1">
        <v>13</v>
      </c>
      <c r="AM7" s="1" t="s">
        <v>1874</v>
      </c>
      <c r="AN7" s="1" t="s">
        <v>4815</v>
      </c>
      <c r="AO7" s="1" t="s">
        <v>4812</v>
      </c>
      <c r="AP7" s="1">
        <v>0</v>
      </c>
      <c r="AQ7" s="1" t="s">
        <v>1153</v>
      </c>
      <c r="AR7" s="1" t="s">
        <v>1154</v>
      </c>
      <c r="AS7" s="1" t="s">
        <v>1155</v>
      </c>
      <c r="AT7" s="1" t="s">
        <v>329</v>
      </c>
      <c r="AU7" s="1">
        <v>6</v>
      </c>
      <c r="AV7" s="1">
        <v>0</v>
      </c>
      <c r="AW7" s="1" t="s">
        <v>4560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4827</v>
      </c>
      <c r="BC7" s="1" t="s">
        <v>4825</v>
      </c>
      <c r="BD7" s="1">
        <v>10302</v>
      </c>
      <c r="BE7" s="1"/>
    </row>
    <row r="8" spans="1:57" x14ac:dyDescent="0.25">
      <c r="A8" s="1">
        <v>7</v>
      </c>
      <c r="B8" s="1" t="s">
        <v>2730</v>
      </c>
      <c r="C8" s="9" t="s">
        <v>67</v>
      </c>
      <c r="D8" s="1" t="s">
        <v>2731</v>
      </c>
      <c r="E8" s="1"/>
      <c r="F8" s="1"/>
      <c r="G8" s="1" t="s">
        <v>2732</v>
      </c>
      <c r="H8" s="1" t="s">
        <v>2733</v>
      </c>
      <c r="I8" s="1" t="s">
        <v>2734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1874</v>
      </c>
      <c r="AN8" s="1" t="s">
        <v>4815</v>
      </c>
      <c r="AO8" s="1" t="s">
        <v>4828</v>
      </c>
      <c r="AP8" s="1">
        <v>0</v>
      </c>
      <c r="AQ8" s="1" t="s">
        <v>4810</v>
      </c>
      <c r="AR8" s="1" t="s">
        <v>1154</v>
      </c>
      <c r="AS8" s="1" t="s">
        <v>4829</v>
      </c>
      <c r="AT8" s="1" t="s">
        <v>329</v>
      </c>
      <c r="AU8" s="1">
        <v>7</v>
      </c>
      <c r="AV8" s="1">
        <v>0</v>
      </c>
      <c r="AW8" s="1" t="s">
        <v>4560</v>
      </c>
      <c r="AX8" s="1" t="s">
        <v>4830</v>
      </c>
      <c r="AY8" s="1">
        <v>4</v>
      </c>
      <c r="AZ8" s="1">
        <v>0</v>
      </c>
      <c r="BA8" s="1" t="s">
        <v>4811</v>
      </c>
      <c r="BB8" s="1" t="s">
        <v>485</v>
      </c>
      <c r="BC8" s="1" t="s">
        <v>4825</v>
      </c>
      <c r="BD8" s="1">
        <v>10303</v>
      </c>
      <c r="BE8" s="1"/>
    </row>
    <row r="9" spans="1:57" x14ac:dyDescent="0.25">
      <c r="A9" s="1">
        <v>8</v>
      </c>
      <c r="B9" s="1" t="s">
        <v>2735</v>
      </c>
      <c r="C9" s="9" t="s">
        <v>68</v>
      </c>
      <c r="D9" s="1" t="s">
        <v>2736</v>
      </c>
      <c r="E9" s="1"/>
      <c r="F9" s="1"/>
      <c r="G9" s="1" t="s">
        <v>2737</v>
      </c>
      <c r="H9" s="1" t="s">
        <v>2738</v>
      </c>
      <c r="I9" s="1" t="s">
        <v>2739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1160</v>
      </c>
      <c r="AK9" s="1" t="s">
        <v>1161</v>
      </c>
      <c r="AL9" s="1">
        <v>13</v>
      </c>
      <c r="AM9" s="1" t="s">
        <v>1874</v>
      </c>
      <c r="AN9" s="1" t="s">
        <v>4831</v>
      </c>
      <c r="AO9" s="1" t="s">
        <v>4832</v>
      </c>
      <c r="AP9" s="1">
        <v>0</v>
      </c>
      <c r="AQ9" s="1" t="s">
        <v>4810</v>
      </c>
      <c r="AR9" s="1" t="s">
        <v>1779</v>
      </c>
      <c r="AS9" s="1" t="s">
        <v>1155</v>
      </c>
      <c r="AT9" s="1" t="s">
        <v>329</v>
      </c>
      <c r="AU9" s="1">
        <v>8</v>
      </c>
      <c r="AV9" s="1">
        <v>0</v>
      </c>
      <c r="AW9" s="1" t="s">
        <v>4560</v>
      </c>
      <c r="AX9" s="1" t="s">
        <v>471</v>
      </c>
      <c r="AY9" s="1">
        <v>3</v>
      </c>
      <c r="AZ9" s="1">
        <v>0</v>
      </c>
      <c r="BA9" s="1" t="s">
        <v>4833</v>
      </c>
      <c r="BB9" s="1" t="s">
        <v>4834</v>
      </c>
      <c r="BC9" s="1" t="s">
        <v>4825</v>
      </c>
      <c r="BD9" s="1">
        <v>10704</v>
      </c>
      <c r="BE9" s="1"/>
    </row>
    <row r="10" spans="1:57" x14ac:dyDescent="0.25">
      <c r="A10" s="1">
        <v>9</v>
      </c>
      <c r="B10" s="1" t="s">
        <v>2740</v>
      </c>
      <c r="C10" s="9" t="s">
        <v>69</v>
      </c>
      <c r="D10" s="1" t="s">
        <v>69</v>
      </c>
      <c r="E10" s="1"/>
      <c r="F10" s="1"/>
      <c r="G10" s="1" t="s">
        <v>2741</v>
      </c>
      <c r="H10" s="1" t="s">
        <v>2742</v>
      </c>
      <c r="I10" s="1" t="s">
        <v>2743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1162</v>
      </c>
      <c r="AK10" s="1" t="s">
        <v>329</v>
      </c>
      <c r="AL10" s="1">
        <v>13</v>
      </c>
      <c r="AM10" s="1" t="s">
        <v>1874</v>
      </c>
      <c r="AN10" s="1" t="s">
        <v>4815</v>
      </c>
      <c r="AO10" s="1" t="s">
        <v>4835</v>
      </c>
      <c r="AP10" s="1">
        <v>0</v>
      </c>
      <c r="AQ10" s="1" t="s">
        <v>1153</v>
      </c>
      <c r="AR10" s="1" t="s">
        <v>1154</v>
      </c>
      <c r="AS10" s="1" t="s">
        <v>1155</v>
      </c>
      <c r="AT10" s="1" t="s">
        <v>329</v>
      </c>
      <c r="AU10" s="1">
        <v>9</v>
      </c>
      <c r="AV10" s="1">
        <v>0</v>
      </c>
      <c r="AW10" s="1" t="s">
        <v>4560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4836</v>
      </c>
      <c r="BC10" s="1" t="s">
        <v>4837</v>
      </c>
      <c r="BD10" s="1">
        <v>10803</v>
      </c>
      <c r="BE10" s="1"/>
    </row>
    <row r="11" spans="1:57" x14ac:dyDescent="0.25">
      <c r="A11" s="1">
        <v>10</v>
      </c>
      <c r="B11" s="1" t="s">
        <v>2744</v>
      </c>
      <c r="C11" s="9" t="s">
        <v>70</v>
      </c>
      <c r="D11" s="1" t="s">
        <v>70</v>
      </c>
      <c r="E11" s="1"/>
      <c r="F11" s="1"/>
      <c r="G11" s="1" t="s">
        <v>2745</v>
      </c>
      <c r="H11" s="1" t="s">
        <v>2746</v>
      </c>
      <c r="I11" s="1" t="s">
        <v>2747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4838</v>
      </c>
      <c r="AK11" s="1" t="s">
        <v>329</v>
      </c>
      <c r="AL11" s="1">
        <v>13</v>
      </c>
      <c r="AM11" s="1" t="s">
        <v>1874</v>
      </c>
      <c r="AN11" s="1" t="s">
        <v>4831</v>
      </c>
      <c r="AO11" s="1" t="s">
        <v>4839</v>
      </c>
      <c r="AP11" s="1">
        <v>0</v>
      </c>
      <c r="AQ11" s="1" t="s">
        <v>4810</v>
      </c>
      <c r="AR11" s="1" t="s">
        <v>1154</v>
      </c>
      <c r="AS11" s="1" t="s">
        <v>1155</v>
      </c>
      <c r="AT11" s="1" t="s">
        <v>329</v>
      </c>
      <c r="AU11" s="1">
        <v>10</v>
      </c>
      <c r="AV11" s="1">
        <v>0</v>
      </c>
      <c r="AW11" s="1" t="s">
        <v>4560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4840</v>
      </c>
      <c r="BC11" s="1" t="s">
        <v>4837</v>
      </c>
      <c r="BD11" s="1">
        <v>10303</v>
      </c>
      <c r="BE11" s="1"/>
    </row>
    <row r="12" spans="1:57" x14ac:dyDescent="0.25">
      <c r="A12" s="1">
        <v>11</v>
      </c>
      <c r="B12" s="1" t="s">
        <v>2748</v>
      </c>
      <c r="C12" s="9" t="s">
        <v>71</v>
      </c>
      <c r="D12" s="1" t="s">
        <v>71</v>
      </c>
      <c r="E12" s="1"/>
      <c r="F12" s="1"/>
      <c r="G12" s="1" t="s">
        <v>2749</v>
      </c>
      <c r="H12" s="1" t="s">
        <v>2750</v>
      </c>
      <c r="I12" s="1" t="s">
        <v>2751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1160</v>
      </c>
      <c r="AK12" s="1" t="s">
        <v>329</v>
      </c>
      <c r="AL12" s="1">
        <v>13</v>
      </c>
      <c r="AM12" s="1" t="s">
        <v>1874</v>
      </c>
      <c r="AN12" s="1" t="s">
        <v>4841</v>
      </c>
      <c r="AO12" s="1" t="s">
        <v>4842</v>
      </c>
      <c r="AP12" s="1">
        <v>0</v>
      </c>
      <c r="AQ12" s="1" t="s">
        <v>1153</v>
      </c>
      <c r="AR12" s="1" t="s">
        <v>1154</v>
      </c>
      <c r="AS12" s="1" t="s">
        <v>1155</v>
      </c>
      <c r="AT12" s="1" t="s">
        <v>329</v>
      </c>
      <c r="AU12" s="1">
        <v>11</v>
      </c>
      <c r="AV12" s="1">
        <v>0</v>
      </c>
      <c r="AW12" s="1" t="s">
        <v>4560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4843</v>
      </c>
      <c r="BC12" s="1" t="s">
        <v>4837</v>
      </c>
      <c r="BD12" s="1">
        <v>10303</v>
      </c>
      <c r="BE12" s="1"/>
    </row>
    <row r="13" spans="1:57" x14ac:dyDescent="0.25">
      <c r="A13" s="1">
        <v>12</v>
      </c>
      <c r="B13" s="1" t="s">
        <v>2752</v>
      </c>
      <c r="C13" s="9" t="s">
        <v>72</v>
      </c>
      <c r="D13" s="1" t="s">
        <v>72</v>
      </c>
      <c r="E13" s="1"/>
      <c r="F13" s="1"/>
      <c r="G13" s="1" t="s">
        <v>2753</v>
      </c>
      <c r="H13" s="1" t="s">
        <v>2754</v>
      </c>
      <c r="I13" s="1" t="s">
        <v>2755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1160</v>
      </c>
      <c r="AK13" s="1" t="s">
        <v>329</v>
      </c>
      <c r="AL13" s="1">
        <v>13</v>
      </c>
      <c r="AM13" s="1" t="s">
        <v>1874</v>
      </c>
      <c r="AN13" s="1" t="s">
        <v>4844</v>
      </c>
      <c r="AO13" s="1" t="s">
        <v>4845</v>
      </c>
      <c r="AP13" s="1">
        <v>0</v>
      </c>
      <c r="AQ13" s="1" t="s">
        <v>4810</v>
      </c>
      <c r="AR13" s="1" t="s">
        <v>1154</v>
      </c>
      <c r="AS13" s="1" t="s">
        <v>1155</v>
      </c>
      <c r="AT13" s="1" t="s">
        <v>329</v>
      </c>
      <c r="AU13" s="1">
        <v>12</v>
      </c>
      <c r="AV13" s="1">
        <v>0</v>
      </c>
      <c r="AW13" s="1" t="s">
        <v>4560</v>
      </c>
      <c r="AX13" s="1" t="s">
        <v>471</v>
      </c>
      <c r="AY13" s="1">
        <v>3</v>
      </c>
      <c r="AZ13" s="1">
        <v>0</v>
      </c>
      <c r="BA13" s="1" t="s">
        <v>4833</v>
      </c>
      <c r="BB13" s="1" t="s">
        <v>4846</v>
      </c>
      <c r="BC13" s="1" t="s">
        <v>4837</v>
      </c>
      <c r="BD13" s="1">
        <v>10302</v>
      </c>
      <c r="BE13" s="1"/>
    </row>
    <row r="14" spans="1:57" x14ac:dyDescent="0.25">
      <c r="A14" s="1">
        <v>13</v>
      </c>
      <c r="B14" s="1" t="s">
        <v>2756</v>
      </c>
      <c r="C14" s="9" t="s">
        <v>73</v>
      </c>
      <c r="D14" s="1" t="s">
        <v>2757</v>
      </c>
      <c r="E14" s="1"/>
      <c r="F14" s="1"/>
      <c r="G14" s="1" t="s">
        <v>2758</v>
      </c>
      <c r="H14" s="1" t="s">
        <v>2759</v>
      </c>
      <c r="I14" s="1" t="s">
        <v>2760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4847</v>
      </c>
      <c r="AK14" s="1" t="s">
        <v>329</v>
      </c>
      <c r="AL14" s="1">
        <v>13</v>
      </c>
      <c r="AM14" s="1" t="s">
        <v>1874</v>
      </c>
      <c r="AN14" s="1" t="s">
        <v>4848</v>
      </c>
      <c r="AO14" s="1" t="s">
        <v>4849</v>
      </c>
      <c r="AP14" s="1">
        <v>0</v>
      </c>
      <c r="AQ14" s="1" t="s">
        <v>1153</v>
      </c>
      <c r="AR14" s="1" t="s">
        <v>1154</v>
      </c>
      <c r="AS14" s="1" t="s">
        <v>1155</v>
      </c>
      <c r="AT14" s="1" t="s">
        <v>329</v>
      </c>
      <c r="AU14" s="1">
        <v>13</v>
      </c>
      <c r="AV14" s="1">
        <v>0</v>
      </c>
      <c r="AW14" s="1" t="s">
        <v>4560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4850</v>
      </c>
      <c r="BC14" s="1" t="s">
        <v>4851</v>
      </c>
      <c r="BD14" s="1">
        <v>10704</v>
      </c>
      <c r="BE14" s="1"/>
    </row>
    <row r="15" spans="1:57" x14ac:dyDescent="0.25">
      <c r="A15" s="1">
        <v>14</v>
      </c>
      <c r="B15" s="1" t="s">
        <v>2761</v>
      </c>
      <c r="C15" s="9" t="s">
        <v>74</v>
      </c>
      <c r="D15" s="1" t="s">
        <v>2762</v>
      </c>
      <c r="E15" s="1"/>
      <c r="F15" s="1"/>
      <c r="G15" s="1" t="s">
        <v>2763</v>
      </c>
      <c r="H15" s="1" t="s">
        <v>2764</v>
      </c>
      <c r="I15" s="1" t="s">
        <v>2765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1160</v>
      </c>
      <c r="AK15" s="1" t="s">
        <v>329</v>
      </c>
      <c r="AL15" s="1">
        <v>13</v>
      </c>
      <c r="AM15" s="1" t="s">
        <v>1874</v>
      </c>
      <c r="AN15" s="1" t="s">
        <v>4852</v>
      </c>
      <c r="AO15" s="1" t="s">
        <v>4853</v>
      </c>
      <c r="AP15" s="1">
        <v>0</v>
      </c>
      <c r="AQ15" s="1" t="s">
        <v>1153</v>
      </c>
      <c r="AR15" s="1" t="s">
        <v>1779</v>
      </c>
      <c r="AS15" s="1" t="s">
        <v>1155</v>
      </c>
      <c r="AT15" s="1" t="s">
        <v>329</v>
      </c>
      <c r="AU15" s="1">
        <v>14</v>
      </c>
      <c r="AV15" s="1">
        <v>0</v>
      </c>
      <c r="AW15" s="1" t="s">
        <v>4560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4854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2766</v>
      </c>
      <c r="C16" s="9" t="s">
        <v>75</v>
      </c>
      <c r="D16" s="1" t="s">
        <v>2767</v>
      </c>
      <c r="E16" s="1"/>
      <c r="F16" s="1"/>
      <c r="G16" s="1" t="s">
        <v>2768</v>
      </c>
      <c r="H16" s="1" t="s">
        <v>2769</v>
      </c>
      <c r="I16" s="1" t="s">
        <v>2770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1160</v>
      </c>
      <c r="AK16" s="1" t="s">
        <v>329</v>
      </c>
      <c r="AL16" s="1">
        <v>13</v>
      </c>
      <c r="AM16" s="1" t="s">
        <v>1874</v>
      </c>
      <c r="AN16" s="1" t="s">
        <v>4855</v>
      </c>
      <c r="AO16" s="1" t="s">
        <v>4845</v>
      </c>
      <c r="AP16" s="1">
        <v>0</v>
      </c>
      <c r="AQ16" s="1" t="s">
        <v>4810</v>
      </c>
      <c r="AR16" s="1" t="s">
        <v>1154</v>
      </c>
      <c r="AS16" s="1" t="s">
        <v>1155</v>
      </c>
      <c r="AT16" s="1" t="s">
        <v>329</v>
      </c>
      <c r="AU16" s="1">
        <v>15</v>
      </c>
      <c r="AV16" s="1">
        <v>0</v>
      </c>
      <c r="AW16" s="1" t="s">
        <v>4560</v>
      </c>
      <c r="AX16" s="1" t="s">
        <v>4856</v>
      </c>
      <c r="AY16" s="1">
        <v>3</v>
      </c>
      <c r="AZ16" s="1">
        <v>0</v>
      </c>
      <c r="BA16" s="1" t="s">
        <v>329</v>
      </c>
      <c r="BB16" s="1" t="s">
        <v>4857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2771</v>
      </c>
      <c r="C17" s="9" t="s">
        <v>76</v>
      </c>
      <c r="D17" s="1" t="s">
        <v>2772</v>
      </c>
      <c r="E17" s="1"/>
      <c r="F17" s="1"/>
      <c r="G17" s="1" t="s">
        <v>2773</v>
      </c>
      <c r="H17" s="1" t="s">
        <v>2774</v>
      </c>
      <c r="I17" s="1" t="s">
        <v>2775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1163</v>
      </c>
      <c r="AK17" s="1" t="s">
        <v>329</v>
      </c>
      <c r="AL17" s="1">
        <v>13</v>
      </c>
      <c r="AM17" s="1" t="s">
        <v>4858</v>
      </c>
      <c r="AN17" s="1" t="s">
        <v>389</v>
      </c>
      <c r="AO17" s="1" t="s">
        <v>4859</v>
      </c>
      <c r="AP17" s="1">
        <v>0</v>
      </c>
      <c r="AQ17" s="1" t="s">
        <v>1780</v>
      </c>
      <c r="AR17" s="1" t="s">
        <v>1154</v>
      </c>
      <c r="AS17" s="1" t="s">
        <v>1165</v>
      </c>
      <c r="AT17" s="1" t="s">
        <v>329</v>
      </c>
      <c r="AU17" s="1">
        <v>16</v>
      </c>
      <c r="AV17" s="1">
        <v>0</v>
      </c>
      <c r="AW17" s="1" t="s">
        <v>4560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4860</v>
      </c>
      <c r="BC17" s="1" t="s">
        <v>4788</v>
      </c>
      <c r="BD17" s="1">
        <v>102</v>
      </c>
      <c r="BE17" s="1"/>
    </row>
    <row r="18" spans="1:57" x14ac:dyDescent="0.25">
      <c r="A18" s="1">
        <v>17</v>
      </c>
      <c r="B18" s="1" t="s">
        <v>2776</v>
      </c>
      <c r="C18" s="9" t="s">
        <v>77</v>
      </c>
      <c r="D18" s="1" t="s">
        <v>77</v>
      </c>
      <c r="E18" s="1"/>
      <c r="F18" s="1"/>
      <c r="G18" s="1" t="s">
        <v>2777</v>
      </c>
      <c r="H18" s="1" t="s">
        <v>2778</v>
      </c>
      <c r="I18" s="1" t="s">
        <v>2779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1156</v>
      </c>
      <c r="AK18" s="1" t="s">
        <v>329</v>
      </c>
      <c r="AL18" s="1">
        <v>13</v>
      </c>
      <c r="AM18" s="1" t="s">
        <v>4858</v>
      </c>
      <c r="AN18" s="1" t="s">
        <v>4861</v>
      </c>
      <c r="AO18" s="1" t="s">
        <v>4862</v>
      </c>
      <c r="AP18" s="1">
        <v>0</v>
      </c>
      <c r="AQ18" s="1" t="s">
        <v>1164</v>
      </c>
      <c r="AR18" s="1" t="s">
        <v>1154</v>
      </c>
      <c r="AS18" s="1" t="s">
        <v>1781</v>
      </c>
      <c r="AT18" s="1" t="s">
        <v>329</v>
      </c>
      <c r="AU18" s="1">
        <v>17</v>
      </c>
      <c r="AV18" s="1">
        <v>0</v>
      </c>
      <c r="AW18" s="1" t="s">
        <v>4560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4788</v>
      </c>
      <c r="BD18" s="1">
        <v>10303</v>
      </c>
      <c r="BE18" s="1"/>
    </row>
    <row r="19" spans="1:57" x14ac:dyDescent="0.25">
      <c r="A19" s="1">
        <v>18</v>
      </c>
      <c r="B19" s="1" t="s">
        <v>2780</v>
      </c>
      <c r="C19" s="9" t="s">
        <v>78</v>
      </c>
      <c r="D19" s="1" t="s">
        <v>2781</v>
      </c>
      <c r="E19" s="1"/>
      <c r="F19" s="1"/>
      <c r="G19" s="1" t="s">
        <v>2782</v>
      </c>
      <c r="H19" s="1" t="s">
        <v>2783</v>
      </c>
      <c r="I19" s="1" t="s">
        <v>2784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1156</v>
      </c>
      <c r="AK19" s="1" t="s">
        <v>329</v>
      </c>
      <c r="AL19" s="1">
        <v>13</v>
      </c>
      <c r="AM19" s="1" t="s">
        <v>4858</v>
      </c>
      <c r="AN19" s="1" t="s">
        <v>4863</v>
      </c>
      <c r="AO19" s="1" t="s">
        <v>4864</v>
      </c>
      <c r="AP19" s="1">
        <v>0</v>
      </c>
      <c r="AQ19" s="1" t="s">
        <v>1164</v>
      </c>
      <c r="AR19" s="1" t="s">
        <v>1154</v>
      </c>
      <c r="AS19" s="1" t="s">
        <v>1781</v>
      </c>
      <c r="AT19" s="1" t="s">
        <v>329</v>
      </c>
      <c r="AU19" s="1">
        <v>18</v>
      </c>
      <c r="AV19" s="1">
        <v>0</v>
      </c>
      <c r="AW19" s="1" t="s">
        <v>4560</v>
      </c>
      <c r="AX19" s="1" t="s">
        <v>4865</v>
      </c>
      <c r="AY19" s="1">
        <v>3</v>
      </c>
      <c r="AZ19" s="1">
        <v>0</v>
      </c>
      <c r="BA19" s="1" t="s">
        <v>329</v>
      </c>
      <c r="BB19" s="1" t="s">
        <v>4866</v>
      </c>
      <c r="BC19" s="1" t="s">
        <v>4788</v>
      </c>
      <c r="BD19" s="1">
        <v>10202</v>
      </c>
      <c r="BE19" s="1"/>
    </row>
    <row r="20" spans="1:57" x14ac:dyDescent="0.25">
      <c r="A20" s="1">
        <v>19</v>
      </c>
      <c r="B20" s="1" t="s">
        <v>2785</v>
      </c>
      <c r="C20" s="9" t="s">
        <v>1644</v>
      </c>
      <c r="D20" s="1" t="s">
        <v>1644</v>
      </c>
      <c r="E20" s="1"/>
      <c r="F20" s="1"/>
      <c r="G20" s="1" t="s">
        <v>2786</v>
      </c>
      <c r="H20" s="1" t="s">
        <v>2787</v>
      </c>
      <c r="I20" s="1" t="s">
        <v>2788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1160</v>
      </c>
      <c r="AK20" s="1" t="s">
        <v>329</v>
      </c>
      <c r="AL20" s="1">
        <v>13</v>
      </c>
      <c r="AM20" s="1" t="s">
        <v>4858</v>
      </c>
      <c r="AN20" s="1" t="s">
        <v>389</v>
      </c>
      <c r="AO20" s="1" t="s">
        <v>4867</v>
      </c>
      <c r="AP20" s="1">
        <v>0</v>
      </c>
      <c r="AQ20" s="1" t="s">
        <v>1164</v>
      </c>
      <c r="AR20" s="1" t="s">
        <v>1154</v>
      </c>
      <c r="AS20" s="1" t="s">
        <v>1165</v>
      </c>
      <c r="AT20" s="1" t="s">
        <v>329</v>
      </c>
      <c r="AU20" s="1">
        <v>19</v>
      </c>
      <c r="AV20" s="1">
        <v>0</v>
      </c>
      <c r="AW20" s="1" t="s">
        <v>4560</v>
      </c>
      <c r="AX20" s="1" t="s">
        <v>4868</v>
      </c>
      <c r="AY20" s="1">
        <v>3</v>
      </c>
      <c r="AZ20" s="1">
        <v>0</v>
      </c>
      <c r="BA20" s="1" t="s">
        <v>329</v>
      </c>
      <c r="BB20" s="1" t="s">
        <v>4869</v>
      </c>
      <c r="BC20" s="1" t="s">
        <v>4788</v>
      </c>
      <c r="BD20" s="1">
        <v>10402</v>
      </c>
      <c r="BE20" s="1"/>
    </row>
    <row r="21" spans="1:57" x14ac:dyDescent="0.25">
      <c r="A21" s="1">
        <v>20</v>
      </c>
      <c r="B21" s="1" t="s">
        <v>2789</v>
      </c>
      <c r="C21" s="9" t="s">
        <v>79</v>
      </c>
      <c r="D21" s="1" t="s">
        <v>79</v>
      </c>
      <c r="E21" s="1"/>
      <c r="F21" s="1"/>
      <c r="G21" s="1" t="s">
        <v>2790</v>
      </c>
      <c r="H21" s="1" t="s">
        <v>2791</v>
      </c>
      <c r="I21" s="1" t="s">
        <v>2792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1166</v>
      </c>
      <c r="AK21" s="1" t="s">
        <v>329</v>
      </c>
      <c r="AL21" s="1">
        <v>13</v>
      </c>
      <c r="AM21" s="1" t="s">
        <v>4858</v>
      </c>
      <c r="AN21" s="1" t="s">
        <v>4861</v>
      </c>
      <c r="AO21" s="1" t="s">
        <v>4870</v>
      </c>
      <c r="AP21" s="1">
        <v>0</v>
      </c>
      <c r="AQ21" s="1" t="s">
        <v>1164</v>
      </c>
      <c r="AR21" s="1" t="s">
        <v>1154</v>
      </c>
      <c r="AS21" s="1" t="s">
        <v>1165</v>
      </c>
      <c r="AT21" s="1" t="s">
        <v>329</v>
      </c>
      <c r="AU21" s="1">
        <v>20</v>
      </c>
      <c r="AV21" s="1">
        <v>0</v>
      </c>
      <c r="AW21" s="1" t="s">
        <v>4560</v>
      </c>
      <c r="AX21" s="1" t="s">
        <v>4865</v>
      </c>
      <c r="AY21" s="1">
        <v>5</v>
      </c>
      <c r="AZ21" s="1">
        <v>0</v>
      </c>
      <c r="BA21" s="1" t="s">
        <v>329</v>
      </c>
      <c r="BB21" s="1" t="s">
        <v>4871</v>
      </c>
      <c r="BC21" s="1" t="s">
        <v>4788</v>
      </c>
      <c r="BD21" s="1">
        <v>10202</v>
      </c>
      <c r="BE21" s="1"/>
    </row>
    <row r="22" spans="1:57" x14ac:dyDescent="0.25">
      <c r="A22" s="1">
        <v>21</v>
      </c>
      <c r="B22" s="1" t="s">
        <v>2793</v>
      </c>
      <c r="C22" s="9" t="s">
        <v>914</v>
      </c>
      <c r="D22" s="1" t="s">
        <v>2794</v>
      </c>
      <c r="E22" s="1"/>
      <c r="F22" s="1"/>
      <c r="G22" s="1" t="s">
        <v>2795</v>
      </c>
      <c r="H22" s="1" t="s">
        <v>2796</v>
      </c>
      <c r="I22" s="1" t="s">
        <v>2797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1156</v>
      </c>
      <c r="AK22" s="1" t="s">
        <v>329</v>
      </c>
      <c r="AL22" s="1">
        <v>13</v>
      </c>
      <c r="AM22" s="1" t="s">
        <v>4858</v>
      </c>
      <c r="AN22" s="1" t="s">
        <v>465</v>
      </c>
      <c r="AO22" s="1" t="s">
        <v>4872</v>
      </c>
      <c r="AP22" s="1">
        <v>0</v>
      </c>
      <c r="AQ22" s="1" t="s">
        <v>1164</v>
      </c>
      <c r="AR22" s="1" t="s">
        <v>1154</v>
      </c>
      <c r="AS22" s="1" t="s">
        <v>1781</v>
      </c>
      <c r="AT22" s="1" t="s">
        <v>329</v>
      </c>
      <c r="AU22" s="1">
        <v>21</v>
      </c>
      <c r="AV22" s="1">
        <v>0</v>
      </c>
      <c r="AW22" s="1" t="s">
        <v>4560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4873</v>
      </c>
      <c r="BC22" s="1" t="s">
        <v>4825</v>
      </c>
      <c r="BD22" s="1">
        <v>10303</v>
      </c>
      <c r="BE22" s="1"/>
    </row>
    <row r="23" spans="1:57" x14ac:dyDescent="0.25">
      <c r="A23" s="1">
        <v>22</v>
      </c>
      <c r="B23" s="1" t="s">
        <v>2798</v>
      </c>
      <c r="C23" s="9" t="s">
        <v>1645</v>
      </c>
      <c r="D23" s="1" t="s">
        <v>1645</v>
      </c>
      <c r="E23" s="1"/>
      <c r="F23" s="1"/>
      <c r="G23" s="1" t="s">
        <v>2799</v>
      </c>
      <c r="H23" s="1" t="s">
        <v>2800</v>
      </c>
      <c r="I23" s="1" t="s">
        <v>2801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1156</v>
      </c>
      <c r="AK23" s="1" t="s">
        <v>329</v>
      </c>
      <c r="AL23" s="1">
        <v>13</v>
      </c>
      <c r="AM23" s="1" t="s">
        <v>4858</v>
      </c>
      <c r="AN23" s="1" t="s">
        <v>4863</v>
      </c>
      <c r="AO23" s="1" t="s">
        <v>4864</v>
      </c>
      <c r="AP23" s="1">
        <v>0</v>
      </c>
      <c r="AQ23" s="1" t="s">
        <v>1164</v>
      </c>
      <c r="AR23" s="1" t="s">
        <v>1154</v>
      </c>
      <c r="AS23" s="1" t="s">
        <v>1165</v>
      </c>
      <c r="AT23" s="1" t="s">
        <v>329</v>
      </c>
      <c r="AU23" s="1">
        <v>22</v>
      </c>
      <c r="AV23" s="1">
        <v>0</v>
      </c>
      <c r="AW23" s="1" t="s">
        <v>4560</v>
      </c>
      <c r="AX23" s="1" t="s">
        <v>4865</v>
      </c>
      <c r="AY23" s="1">
        <v>3</v>
      </c>
      <c r="AZ23" s="1">
        <v>0</v>
      </c>
      <c r="BA23" s="1" t="s">
        <v>329</v>
      </c>
      <c r="BB23" s="1" t="s">
        <v>4874</v>
      </c>
      <c r="BC23" s="1" t="s">
        <v>4825</v>
      </c>
      <c r="BD23" s="1">
        <v>10302</v>
      </c>
      <c r="BE23" s="1"/>
    </row>
    <row r="24" spans="1:57" x14ac:dyDescent="0.25">
      <c r="A24" s="1">
        <v>23</v>
      </c>
      <c r="B24" s="1" t="s">
        <v>2802</v>
      </c>
      <c r="C24" s="9" t="s">
        <v>1646</v>
      </c>
      <c r="D24" s="1" t="s">
        <v>1646</v>
      </c>
      <c r="E24" s="1"/>
      <c r="F24" s="1"/>
      <c r="G24" s="1" t="s">
        <v>2803</v>
      </c>
      <c r="H24" s="1" t="s">
        <v>2804</v>
      </c>
      <c r="I24" s="1" t="s">
        <v>2805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1167</v>
      </c>
      <c r="AK24" s="1" t="s">
        <v>329</v>
      </c>
      <c r="AL24" s="1">
        <v>13</v>
      </c>
      <c r="AM24" s="1" t="s">
        <v>4858</v>
      </c>
      <c r="AN24" s="1" t="s">
        <v>389</v>
      </c>
      <c r="AO24" s="1" t="s">
        <v>4875</v>
      </c>
      <c r="AP24" s="1">
        <v>0</v>
      </c>
      <c r="AQ24" s="1" t="s">
        <v>1164</v>
      </c>
      <c r="AR24" s="1" t="s">
        <v>1154</v>
      </c>
      <c r="AS24" s="1" t="s">
        <v>1165</v>
      </c>
      <c r="AT24" s="1" t="s">
        <v>329</v>
      </c>
      <c r="AU24" s="1">
        <v>23</v>
      </c>
      <c r="AV24" s="1">
        <v>0</v>
      </c>
      <c r="AW24" s="1" t="s">
        <v>4876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4825</v>
      </c>
      <c r="BD24" s="1">
        <v>10303</v>
      </c>
      <c r="BE24" s="1"/>
    </row>
    <row r="25" spans="1:57" x14ac:dyDescent="0.25">
      <c r="A25" s="1">
        <v>24</v>
      </c>
      <c r="B25" s="1" t="s">
        <v>2806</v>
      </c>
      <c r="C25" s="9" t="s">
        <v>1168</v>
      </c>
      <c r="D25" s="1" t="s">
        <v>1168</v>
      </c>
      <c r="E25" s="1"/>
      <c r="F25" s="1"/>
      <c r="G25" s="1" t="s">
        <v>2807</v>
      </c>
      <c r="H25" s="1" t="s">
        <v>2808</v>
      </c>
      <c r="I25" s="1" t="s">
        <v>2809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1156</v>
      </c>
      <c r="AK25" s="1" t="s">
        <v>329</v>
      </c>
      <c r="AL25" s="1">
        <v>13</v>
      </c>
      <c r="AM25" s="1" t="s">
        <v>4858</v>
      </c>
      <c r="AN25" s="1" t="s">
        <v>389</v>
      </c>
      <c r="AO25" s="1" t="s">
        <v>4877</v>
      </c>
      <c r="AP25" s="1">
        <v>0</v>
      </c>
      <c r="AQ25" s="1" t="s">
        <v>1164</v>
      </c>
      <c r="AR25" s="1" t="s">
        <v>1154</v>
      </c>
      <c r="AS25" s="1" t="s">
        <v>1781</v>
      </c>
      <c r="AT25" s="1" t="s">
        <v>329</v>
      </c>
      <c r="AU25" s="1">
        <v>24</v>
      </c>
      <c r="AV25" s="1">
        <v>0</v>
      </c>
      <c r="AW25" s="1" t="s">
        <v>4560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4878</v>
      </c>
      <c r="BC25" s="1" t="s">
        <v>4825</v>
      </c>
      <c r="BD25" s="1">
        <v>10303</v>
      </c>
      <c r="BE25" s="1"/>
    </row>
    <row r="26" spans="1:57" x14ac:dyDescent="0.25">
      <c r="A26" s="1">
        <v>25</v>
      </c>
      <c r="B26" s="1" t="s">
        <v>2810</v>
      </c>
      <c r="C26" s="9" t="s">
        <v>80</v>
      </c>
      <c r="D26" s="1" t="s">
        <v>80</v>
      </c>
      <c r="E26" s="1"/>
      <c r="F26" s="1"/>
      <c r="G26" s="1" t="s">
        <v>2811</v>
      </c>
      <c r="H26" s="1" t="s">
        <v>2812</v>
      </c>
      <c r="I26" s="1" t="s">
        <v>2813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1156</v>
      </c>
      <c r="AK26" s="1" t="s">
        <v>329</v>
      </c>
      <c r="AL26" s="1">
        <v>13</v>
      </c>
      <c r="AM26" s="1" t="s">
        <v>4858</v>
      </c>
      <c r="AN26" s="1" t="s">
        <v>389</v>
      </c>
      <c r="AO26" s="1" t="s">
        <v>4849</v>
      </c>
      <c r="AP26" s="1">
        <v>0</v>
      </c>
      <c r="AQ26" s="1" t="s">
        <v>1164</v>
      </c>
      <c r="AR26" s="1" t="s">
        <v>1154</v>
      </c>
      <c r="AS26" s="1" t="s">
        <v>1165</v>
      </c>
      <c r="AT26" s="1" t="s">
        <v>329</v>
      </c>
      <c r="AU26" s="1">
        <v>25</v>
      </c>
      <c r="AV26" s="1">
        <v>0</v>
      </c>
      <c r="AW26" s="1" t="s">
        <v>4560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4879</v>
      </c>
      <c r="BC26" s="1" t="s">
        <v>4837</v>
      </c>
      <c r="BD26" s="1">
        <v>10302</v>
      </c>
      <c r="BE26" s="1"/>
    </row>
    <row r="27" spans="1:57" x14ac:dyDescent="0.25">
      <c r="A27" s="1">
        <v>26</v>
      </c>
      <c r="B27" s="1" t="s">
        <v>2814</v>
      </c>
      <c r="C27" s="9" t="s">
        <v>730</v>
      </c>
      <c r="D27" s="1" t="s">
        <v>730</v>
      </c>
      <c r="E27" s="1"/>
      <c r="F27" s="1"/>
      <c r="G27" s="1" t="s">
        <v>2815</v>
      </c>
      <c r="H27" s="1" t="s">
        <v>2816</v>
      </c>
      <c r="I27" s="1" t="s">
        <v>2817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1169</v>
      </c>
      <c r="AK27" s="1" t="s">
        <v>329</v>
      </c>
      <c r="AL27" s="1">
        <v>13</v>
      </c>
      <c r="AM27" s="1" t="s">
        <v>4858</v>
      </c>
      <c r="AN27" s="1" t="s">
        <v>389</v>
      </c>
      <c r="AO27" s="1" t="s">
        <v>4880</v>
      </c>
      <c r="AP27" s="1">
        <v>0</v>
      </c>
      <c r="AQ27" s="1" t="s">
        <v>1780</v>
      </c>
      <c r="AR27" s="1" t="s">
        <v>1154</v>
      </c>
      <c r="AS27" s="1" t="s">
        <v>1781</v>
      </c>
      <c r="AT27" s="1" t="s">
        <v>329</v>
      </c>
      <c r="AU27" s="1">
        <v>26</v>
      </c>
      <c r="AV27" s="1">
        <v>0</v>
      </c>
      <c r="AW27" s="1" t="s">
        <v>4560</v>
      </c>
      <c r="AX27" s="1" t="s">
        <v>4865</v>
      </c>
      <c r="AY27" s="1">
        <v>4</v>
      </c>
      <c r="AZ27" s="1">
        <v>0</v>
      </c>
      <c r="BA27" s="1" t="s">
        <v>4811</v>
      </c>
      <c r="BB27" s="1" t="s">
        <v>4881</v>
      </c>
      <c r="BC27" s="1" t="s">
        <v>4837</v>
      </c>
      <c r="BD27" s="1">
        <v>10203</v>
      </c>
      <c r="BE27" s="1"/>
    </row>
    <row r="28" spans="1:57" x14ac:dyDescent="0.25">
      <c r="A28" s="1">
        <v>27</v>
      </c>
      <c r="B28" s="1" t="s">
        <v>2818</v>
      </c>
      <c r="C28" s="9" t="s">
        <v>81</v>
      </c>
      <c r="D28" s="1" t="s">
        <v>2819</v>
      </c>
      <c r="E28" s="1"/>
      <c r="F28" s="1"/>
      <c r="G28" s="1" t="s">
        <v>2820</v>
      </c>
      <c r="H28" s="1" t="s">
        <v>2821</v>
      </c>
      <c r="I28" s="1" t="s">
        <v>2822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4882</v>
      </c>
      <c r="AK28" s="1" t="s">
        <v>329</v>
      </c>
      <c r="AL28" s="1">
        <v>13</v>
      </c>
      <c r="AM28" s="1" t="s">
        <v>4858</v>
      </c>
      <c r="AN28" s="1" t="s">
        <v>4861</v>
      </c>
      <c r="AO28" s="1" t="s">
        <v>4883</v>
      </c>
      <c r="AP28" s="1">
        <v>0</v>
      </c>
      <c r="AQ28" s="1" t="s">
        <v>1164</v>
      </c>
      <c r="AR28" s="1" t="s">
        <v>1779</v>
      </c>
      <c r="AS28" s="1" t="s">
        <v>1165</v>
      </c>
      <c r="AT28" s="1" t="s">
        <v>329</v>
      </c>
      <c r="AU28" s="1">
        <v>27</v>
      </c>
      <c r="AV28" s="1">
        <v>0</v>
      </c>
      <c r="AW28" s="1" t="s">
        <v>4560</v>
      </c>
      <c r="AX28" s="1" t="s">
        <v>4865</v>
      </c>
      <c r="AY28" s="1">
        <v>3</v>
      </c>
      <c r="AZ28" s="1">
        <v>0</v>
      </c>
      <c r="BA28" s="1" t="s">
        <v>329</v>
      </c>
      <c r="BB28" s="1" t="s">
        <v>4884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2823</v>
      </c>
      <c r="C29" s="9" t="s">
        <v>82</v>
      </c>
      <c r="D29" s="1" t="s">
        <v>82</v>
      </c>
      <c r="E29" s="1"/>
      <c r="F29" s="1"/>
      <c r="G29" s="1" t="s">
        <v>2824</v>
      </c>
      <c r="H29" s="1" t="s">
        <v>2825</v>
      </c>
      <c r="I29" s="1" t="s">
        <v>2826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1170</v>
      </c>
      <c r="AK29" s="1" t="s">
        <v>329</v>
      </c>
      <c r="AL29" s="1">
        <v>13</v>
      </c>
      <c r="AM29" s="1" t="s">
        <v>4858</v>
      </c>
      <c r="AN29" s="1" t="s">
        <v>4863</v>
      </c>
      <c r="AO29" s="1" t="s">
        <v>4885</v>
      </c>
      <c r="AP29" s="1">
        <v>0</v>
      </c>
      <c r="AQ29" s="1" t="s">
        <v>1164</v>
      </c>
      <c r="AR29" s="1" t="s">
        <v>1154</v>
      </c>
      <c r="AS29" s="1" t="s">
        <v>1165</v>
      </c>
      <c r="AT29" s="1" t="s">
        <v>329</v>
      </c>
      <c r="AU29" s="1">
        <v>28</v>
      </c>
      <c r="AV29" s="1">
        <v>0</v>
      </c>
      <c r="AW29" s="1" t="s">
        <v>4886</v>
      </c>
      <c r="AX29" s="1" t="s">
        <v>4887</v>
      </c>
      <c r="AY29" s="1">
        <v>5</v>
      </c>
      <c r="AZ29" s="1">
        <v>0</v>
      </c>
      <c r="BA29" s="1" t="s">
        <v>329</v>
      </c>
      <c r="BB29" s="1" t="s">
        <v>4888</v>
      </c>
      <c r="BC29" s="1" t="s">
        <v>4837</v>
      </c>
      <c r="BD29" s="1">
        <v>10202</v>
      </c>
      <c r="BE29" s="1"/>
    </row>
    <row r="30" spans="1:57" x14ac:dyDescent="0.25">
      <c r="A30" s="1">
        <v>29</v>
      </c>
      <c r="B30" s="1" t="s">
        <v>2827</v>
      </c>
      <c r="C30" s="9" t="s">
        <v>830</v>
      </c>
      <c r="D30" s="1" t="s">
        <v>2828</v>
      </c>
      <c r="E30" s="1"/>
      <c r="F30" s="1"/>
      <c r="G30" s="1" t="s">
        <v>2829</v>
      </c>
      <c r="H30" s="1" t="s">
        <v>2830</v>
      </c>
      <c r="I30" s="1" t="s">
        <v>2831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1171</v>
      </c>
      <c r="AK30" s="1" t="s">
        <v>329</v>
      </c>
      <c r="AL30" s="1">
        <v>13</v>
      </c>
      <c r="AM30" s="1" t="s">
        <v>4858</v>
      </c>
      <c r="AN30" s="1" t="s">
        <v>4863</v>
      </c>
      <c r="AO30" s="1" t="s">
        <v>4889</v>
      </c>
      <c r="AP30" s="1">
        <v>0</v>
      </c>
      <c r="AQ30" s="1" t="s">
        <v>1164</v>
      </c>
      <c r="AR30" s="1" t="s">
        <v>1154</v>
      </c>
      <c r="AS30" s="1" t="s">
        <v>1781</v>
      </c>
      <c r="AT30" s="1" t="s">
        <v>329</v>
      </c>
      <c r="AU30" s="1">
        <v>29</v>
      </c>
      <c r="AV30" s="1">
        <v>0</v>
      </c>
      <c r="AW30" s="1" t="s">
        <v>4560</v>
      </c>
      <c r="AX30" s="1" t="s">
        <v>4865</v>
      </c>
      <c r="AY30" s="1">
        <v>3</v>
      </c>
      <c r="AZ30" s="1">
        <v>0</v>
      </c>
      <c r="BA30" s="1" t="s">
        <v>4833</v>
      </c>
      <c r="BB30" s="1" t="s">
        <v>4890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2832</v>
      </c>
      <c r="C31" s="9" t="s">
        <v>83</v>
      </c>
      <c r="D31" s="1" t="s">
        <v>2833</v>
      </c>
      <c r="E31" s="1"/>
      <c r="F31" s="1"/>
      <c r="G31" s="1" t="s">
        <v>2834</v>
      </c>
      <c r="H31" s="1" t="s">
        <v>2835</v>
      </c>
      <c r="I31" s="1" t="s">
        <v>2836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1156</v>
      </c>
      <c r="AK31" s="1" t="s">
        <v>1172</v>
      </c>
      <c r="AL31" s="1">
        <v>13</v>
      </c>
      <c r="AM31" s="1" t="s">
        <v>4858</v>
      </c>
      <c r="AN31" s="1" t="s">
        <v>389</v>
      </c>
      <c r="AO31" s="1" t="s">
        <v>4891</v>
      </c>
      <c r="AP31" s="1">
        <v>0</v>
      </c>
      <c r="AQ31" s="1" t="s">
        <v>1164</v>
      </c>
      <c r="AR31" s="1" t="s">
        <v>1154</v>
      </c>
      <c r="AS31" s="1" t="s">
        <v>1781</v>
      </c>
      <c r="AT31" s="1" t="s">
        <v>329</v>
      </c>
      <c r="AU31" s="1">
        <v>31</v>
      </c>
      <c r="AV31" s="1">
        <v>0</v>
      </c>
      <c r="AW31" s="1" t="s">
        <v>4560</v>
      </c>
      <c r="AX31" s="1" t="s">
        <v>471</v>
      </c>
      <c r="AY31" s="1">
        <v>2</v>
      </c>
      <c r="AZ31" s="1">
        <v>0</v>
      </c>
      <c r="BA31" s="1" t="s">
        <v>4813</v>
      </c>
      <c r="BB31" s="1" t="s">
        <v>329</v>
      </c>
      <c r="BC31" s="1" t="s">
        <v>4807</v>
      </c>
      <c r="BD31" s="1">
        <v>10302</v>
      </c>
      <c r="BE31" s="1"/>
    </row>
    <row r="32" spans="1:57" x14ac:dyDescent="0.25">
      <c r="A32" s="1">
        <v>32</v>
      </c>
      <c r="B32" s="1" t="s">
        <v>2837</v>
      </c>
      <c r="C32" s="9" t="s">
        <v>84</v>
      </c>
      <c r="D32" s="1" t="s">
        <v>2838</v>
      </c>
      <c r="E32" s="1"/>
      <c r="F32" s="1"/>
      <c r="G32" s="1" t="s">
        <v>2839</v>
      </c>
      <c r="H32" s="1" t="s">
        <v>2840</v>
      </c>
      <c r="I32" s="1" t="s">
        <v>2841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1156</v>
      </c>
      <c r="AK32" s="1" t="s">
        <v>1173</v>
      </c>
      <c r="AL32" s="1">
        <v>13</v>
      </c>
      <c r="AM32" s="1" t="s">
        <v>4858</v>
      </c>
      <c r="AN32" s="1" t="s">
        <v>465</v>
      </c>
      <c r="AO32" s="1" t="s">
        <v>4892</v>
      </c>
      <c r="AP32" s="1">
        <v>0</v>
      </c>
      <c r="AQ32" s="1" t="s">
        <v>1164</v>
      </c>
      <c r="AR32" s="1" t="s">
        <v>1154</v>
      </c>
      <c r="AS32" s="1" t="s">
        <v>1781</v>
      </c>
      <c r="AT32" s="1" t="s">
        <v>329</v>
      </c>
      <c r="AU32" s="1">
        <v>32</v>
      </c>
      <c r="AV32" s="1">
        <v>0</v>
      </c>
      <c r="AW32" s="1" t="s">
        <v>4560</v>
      </c>
      <c r="AX32" s="1" t="s">
        <v>4865</v>
      </c>
      <c r="AY32" s="1">
        <v>3</v>
      </c>
      <c r="AZ32" s="1">
        <v>0</v>
      </c>
      <c r="BA32" s="1" t="s">
        <v>4833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2842</v>
      </c>
      <c r="C33" s="9" t="s">
        <v>85</v>
      </c>
      <c r="D33" s="1" t="s">
        <v>85</v>
      </c>
      <c r="E33" s="1"/>
      <c r="F33" s="1"/>
      <c r="G33" s="1" t="s">
        <v>2843</v>
      </c>
      <c r="H33" s="1" t="s">
        <v>2844</v>
      </c>
      <c r="I33" s="1" t="s">
        <v>2845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1156</v>
      </c>
      <c r="AK33" s="1" t="s">
        <v>329</v>
      </c>
      <c r="AL33" s="1">
        <v>13</v>
      </c>
      <c r="AM33" s="1" t="s">
        <v>4858</v>
      </c>
      <c r="AN33" s="1" t="s">
        <v>389</v>
      </c>
      <c r="AO33" s="1" t="s">
        <v>4853</v>
      </c>
      <c r="AP33" s="1">
        <v>0</v>
      </c>
      <c r="AQ33" s="1" t="s">
        <v>1164</v>
      </c>
      <c r="AR33" s="1" t="s">
        <v>1154</v>
      </c>
      <c r="AS33" s="1" t="s">
        <v>1165</v>
      </c>
      <c r="AT33" s="1" t="s">
        <v>329</v>
      </c>
      <c r="AU33" s="1">
        <v>33</v>
      </c>
      <c r="AV33" s="1">
        <v>0</v>
      </c>
      <c r="AW33" s="1" t="s">
        <v>4560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4893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2846</v>
      </c>
      <c r="C34" s="9" t="s">
        <v>86</v>
      </c>
      <c r="D34" s="1" t="s">
        <v>2847</v>
      </c>
      <c r="E34" s="1"/>
      <c r="F34" s="1"/>
      <c r="G34" s="1" t="s">
        <v>2848</v>
      </c>
      <c r="H34" s="1" t="s">
        <v>2849</v>
      </c>
      <c r="I34" s="1" t="s">
        <v>2850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1174</v>
      </c>
      <c r="AK34" s="1" t="s">
        <v>329</v>
      </c>
      <c r="AL34" s="1">
        <v>13</v>
      </c>
      <c r="AM34" s="1" t="s">
        <v>4830</v>
      </c>
      <c r="AN34" s="1" t="s">
        <v>476</v>
      </c>
      <c r="AO34" s="1" t="s">
        <v>4894</v>
      </c>
      <c r="AP34" s="1">
        <v>0</v>
      </c>
      <c r="AQ34" s="1" t="s">
        <v>1175</v>
      </c>
      <c r="AR34" s="1" t="s">
        <v>1176</v>
      </c>
      <c r="AS34" s="1" t="s">
        <v>1177</v>
      </c>
      <c r="AT34" s="1" t="s">
        <v>329</v>
      </c>
      <c r="AU34" s="1">
        <v>34</v>
      </c>
      <c r="AV34" s="1">
        <v>0</v>
      </c>
      <c r="AW34" s="1" t="s">
        <v>4560</v>
      </c>
      <c r="AX34" s="1" t="s">
        <v>4865</v>
      </c>
      <c r="AY34" s="1">
        <v>3</v>
      </c>
      <c r="AZ34" s="1">
        <v>0</v>
      </c>
      <c r="BA34" s="1" t="s">
        <v>329</v>
      </c>
      <c r="BB34" s="1" t="s">
        <v>4895</v>
      </c>
      <c r="BC34" s="1" t="s">
        <v>4788</v>
      </c>
      <c r="BD34" s="1">
        <v>10303</v>
      </c>
      <c r="BE34" s="1"/>
    </row>
    <row r="35" spans="1:57" x14ac:dyDescent="0.25">
      <c r="A35" s="1">
        <v>35</v>
      </c>
      <c r="B35" s="1" t="s">
        <v>2851</v>
      </c>
      <c r="C35" s="9" t="s">
        <v>791</v>
      </c>
      <c r="D35" s="1" t="s">
        <v>791</v>
      </c>
      <c r="E35" s="1"/>
      <c r="F35" s="1"/>
      <c r="G35" s="1" t="s">
        <v>2852</v>
      </c>
      <c r="H35" s="1" t="s">
        <v>2853</v>
      </c>
      <c r="I35" s="1" t="s">
        <v>2854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1160</v>
      </c>
      <c r="AK35" s="1" t="s">
        <v>329</v>
      </c>
      <c r="AL35" s="1">
        <v>13</v>
      </c>
      <c r="AM35" s="1" t="s">
        <v>4830</v>
      </c>
      <c r="AN35" s="1" t="s">
        <v>465</v>
      </c>
      <c r="AO35" s="1" t="s">
        <v>4894</v>
      </c>
      <c r="AP35" s="1">
        <v>0</v>
      </c>
      <c r="AQ35" s="1" t="s">
        <v>1175</v>
      </c>
      <c r="AR35" s="1" t="s">
        <v>1176</v>
      </c>
      <c r="AS35" s="1" t="s">
        <v>1177</v>
      </c>
      <c r="AT35" s="1" t="s">
        <v>329</v>
      </c>
      <c r="AU35" s="1">
        <v>35</v>
      </c>
      <c r="AV35" s="1">
        <v>0</v>
      </c>
      <c r="AW35" s="1" t="s">
        <v>4896</v>
      </c>
      <c r="AX35" s="1" t="s">
        <v>4897</v>
      </c>
      <c r="AY35" s="1">
        <v>3</v>
      </c>
      <c r="AZ35" s="1">
        <v>0</v>
      </c>
      <c r="BA35" s="1" t="s">
        <v>329</v>
      </c>
      <c r="BB35" s="1" t="s">
        <v>4898</v>
      </c>
      <c r="BC35" s="1" t="s">
        <v>4788</v>
      </c>
      <c r="BD35" s="1">
        <v>10303</v>
      </c>
      <c r="BE35" s="1"/>
    </row>
    <row r="36" spans="1:57" x14ac:dyDescent="0.25">
      <c r="A36" s="1">
        <v>36</v>
      </c>
      <c r="B36" s="1" t="s">
        <v>2855</v>
      </c>
      <c r="C36" s="9" t="s">
        <v>87</v>
      </c>
      <c r="D36" s="1" t="s">
        <v>2856</v>
      </c>
      <c r="E36" s="1"/>
      <c r="F36" s="1"/>
      <c r="G36" s="1" t="s">
        <v>2857</v>
      </c>
      <c r="H36" s="1" t="s">
        <v>2858</v>
      </c>
      <c r="I36" s="1" t="s">
        <v>2859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1178</v>
      </c>
      <c r="AK36" s="1" t="s">
        <v>329</v>
      </c>
      <c r="AL36" s="1">
        <v>13</v>
      </c>
      <c r="AM36" s="1" t="s">
        <v>4830</v>
      </c>
      <c r="AN36" s="1" t="s">
        <v>4899</v>
      </c>
      <c r="AO36" s="1" t="s">
        <v>4900</v>
      </c>
      <c r="AP36" s="1">
        <v>0</v>
      </c>
      <c r="AQ36" s="1" t="s">
        <v>1782</v>
      </c>
      <c r="AR36" s="1" t="s">
        <v>1176</v>
      </c>
      <c r="AS36" s="1" t="s">
        <v>1177</v>
      </c>
      <c r="AT36" s="1" t="s">
        <v>329</v>
      </c>
      <c r="AU36" s="1">
        <v>36</v>
      </c>
      <c r="AV36" s="1">
        <v>0</v>
      </c>
      <c r="AW36" s="1" t="s">
        <v>4560</v>
      </c>
      <c r="AX36" s="1" t="s">
        <v>4865</v>
      </c>
      <c r="AY36" s="1">
        <v>4</v>
      </c>
      <c r="AZ36" s="1">
        <v>0</v>
      </c>
      <c r="BA36" s="1" t="s">
        <v>329</v>
      </c>
      <c r="BB36" s="1" t="s">
        <v>4901</v>
      </c>
      <c r="BC36" s="1" t="s">
        <v>4788</v>
      </c>
      <c r="BD36" s="1">
        <v>107</v>
      </c>
      <c r="BE36" s="1"/>
    </row>
    <row r="37" spans="1:57" x14ac:dyDescent="0.25">
      <c r="A37" s="1">
        <v>37</v>
      </c>
      <c r="B37" s="1" t="s">
        <v>2860</v>
      </c>
      <c r="C37" s="9" t="s">
        <v>88</v>
      </c>
      <c r="D37" s="1" t="s">
        <v>88</v>
      </c>
      <c r="E37" s="1"/>
      <c r="F37" s="1"/>
      <c r="G37" s="1" t="s">
        <v>2861</v>
      </c>
      <c r="H37" s="1" t="s">
        <v>2862</v>
      </c>
      <c r="I37" s="1" t="s">
        <v>2863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1160</v>
      </c>
      <c r="AK37" s="1" t="s">
        <v>329</v>
      </c>
      <c r="AL37" s="1">
        <v>13</v>
      </c>
      <c r="AM37" s="1" t="s">
        <v>4830</v>
      </c>
      <c r="AN37" s="1" t="s">
        <v>4902</v>
      </c>
      <c r="AO37" s="1" t="s">
        <v>4894</v>
      </c>
      <c r="AP37" s="1">
        <v>0</v>
      </c>
      <c r="AQ37" s="1" t="s">
        <v>1175</v>
      </c>
      <c r="AR37" s="1" t="s">
        <v>4903</v>
      </c>
      <c r="AS37" s="1" t="s">
        <v>1177</v>
      </c>
      <c r="AT37" s="1" t="s">
        <v>329</v>
      </c>
      <c r="AU37" s="1">
        <v>37</v>
      </c>
      <c r="AV37" s="1">
        <v>0</v>
      </c>
      <c r="AW37" s="1" t="s">
        <v>4560</v>
      </c>
      <c r="AX37" s="1" t="s">
        <v>4865</v>
      </c>
      <c r="AY37" s="1">
        <v>3</v>
      </c>
      <c r="AZ37" s="1">
        <v>0</v>
      </c>
      <c r="BA37" s="1" t="s">
        <v>4833</v>
      </c>
      <c r="BB37" s="1" t="s">
        <v>4904</v>
      </c>
      <c r="BC37" s="1" t="s">
        <v>4788</v>
      </c>
      <c r="BD37" s="1">
        <v>10202</v>
      </c>
      <c r="BE37" s="1"/>
    </row>
    <row r="38" spans="1:57" x14ac:dyDescent="0.25">
      <c r="A38" s="1">
        <v>38</v>
      </c>
      <c r="B38" s="1" t="s">
        <v>2864</v>
      </c>
      <c r="C38" s="9" t="s">
        <v>89</v>
      </c>
      <c r="D38" s="1" t="s">
        <v>89</v>
      </c>
      <c r="E38" s="1"/>
      <c r="F38" s="1"/>
      <c r="G38" s="1" t="s">
        <v>2865</v>
      </c>
      <c r="H38" s="1" t="s">
        <v>2866</v>
      </c>
      <c r="I38" s="1" t="s">
        <v>2867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1179</v>
      </c>
      <c r="AK38" s="1" t="s">
        <v>329</v>
      </c>
      <c r="AL38" s="1">
        <v>13</v>
      </c>
      <c r="AM38" s="1" t="s">
        <v>4830</v>
      </c>
      <c r="AN38" s="1" t="s">
        <v>465</v>
      </c>
      <c r="AO38" s="1" t="s">
        <v>4894</v>
      </c>
      <c r="AP38" s="1">
        <v>0</v>
      </c>
      <c r="AQ38" s="1" t="s">
        <v>1175</v>
      </c>
      <c r="AR38" s="1" t="s">
        <v>4903</v>
      </c>
      <c r="AS38" s="1" t="s">
        <v>1177</v>
      </c>
      <c r="AT38" s="1" t="s">
        <v>329</v>
      </c>
      <c r="AU38" s="1">
        <v>38</v>
      </c>
      <c r="AV38" s="1">
        <v>0</v>
      </c>
      <c r="AW38" s="1" t="s">
        <v>4560</v>
      </c>
      <c r="AX38" s="1" t="s">
        <v>4905</v>
      </c>
      <c r="AY38" s="1">
        <v>3</v>
      </c>
      <c r="AZ38" s="1">
        <v>0</v>
      </c>
      <c r="BA38" s="1" t="s">
        <v>329</v>
      </c>
      <c r="BB38" s="1" t="s">
        <v>4906</v>
      </c>
      <c r="BC38" s="1" t="s">
        <v>4788</v>
      </c>
      <c r="BD38" s="1">
        <v>10202</v>
      </c>
      <c r="BE38" s="1"/>
    </row>
    <row r="39" spans="1:57" x14ac:dyDescent="0.25">
      <c r="A39" s="1">
        <v>39</v>
      </c>
      <c r="B39" s="1" t="s">
        <v>2868</v>
      </c>
      <c r="C39" s="9" t="s">
        <v>729</v>
      </c>
      <c r="D39" s="1" t="s">
        <v>2869</v>
      </c>
      <c r="E39" s="1"/>
      <c r="F39" s="1"/>
      <c r="G39" s="1" t="s">
        <v>2870</v>
      </c>
      <c r="H39" s="1" t="s">
        <v>2871</v>
      </c>
      <c r="I39" s="1" t="s">
        <v>2872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1180</v>
      </c>
      <c r="AK39" s="1" t="s">
        <v>329</v>
      </c>
      <c r="AL39" s="1">
        <v>13</v>
      </c>
      <c r="AM39" s="1" t="s">
        <v>4830</v>
      </c>
      <c r="AN39" s="1" t="s">
        <v>4878</v>
      </c>
      <c r="AO39" s="1" t="s">
        <v>4900</v>
      </c>
      <c r="AP39" s="1">
        <v>0</v>
      </c>
      <c r="AQ39" s="1" t="s">
        <v>1175</v>
      </c>
      <c r="AR39" s="1" t="s">
        <v>4903</v>
      </c>
      <c r="AS39" s="1" t="s">
        <v>4907</v>
      </c>
      <c r="AT39" s="1" t="s">
        <v>329</v>
      </c>
      <c r="AU39" s="1">
        <v>39</v>
      </c>
      <c r="AV39" s="1">
        <v>0</v>
      </c>
      <c r="AW39" s="1" t="s">
        <v>4560</v>
      </c>
      <c r="AX39" s="1" t="s">
        <v>4865</v>
      </c>
      <c r="AY39" s="1">
        <v>4</v>
      </c>
      <c r="AZ39" s="1">
        <v>0</v>
      </c>
      <c r="BA39" s="1" t="s">
        <v>4811</v>
      </c>
      <c r="BB39" s="1" t="s">
        <v>4908</v>
      </c>
      <c r="BC39" s="1" t="s">
        <v>4825</v>
      </c>
      <c r="BD39" s="1">
        <v>10302</v>
      </c>
      <c r="BE39" s="1"/>
    </row>
    <row r="40" spans="1:57" x14ac:dyDescent="0.25">
      <c r="A40" s="1">
        <v>40</v>
      </c>
      <c r="B40" s="1" t="s">
        <v>2873</v>
      </c>
      <c r="C40" s="9" t="s">
        <v>1647</v>
      </c>
      <c r="D40" s="1" t="s">
        <v>1647</v>
      </c>
      <c r="E40" s="1"/>
      <c r="F40" s="1"/>
      <c r="G40" s="1" t="s">
        <v>2874</v>
      </c>
      <c r="H40" s="1" t="s">
        <v>2875</v>
      </c>
      <c r="I40" s="1" t="s">
        <v>2876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1179</v>
      </c>
      <c r="AK40" s="1" t="s">
        <v>329</v>
      </c>
      <c r="AL40" s="1">
        <v>13</v>
      </c>
      <c r="AM40" s="1" t="s">
        <v>4830</v>
      </c>
      <c r="AN40" s="1" t="s">
        <v>476</v>
      </c>
      <c r="AO40" s="1" t="s">
        <v>339</v>
      </c>
      <c r="AP40" s="1">
        <v>0</v>
      </c>
      <c r="AQ40" s="1" t="s">
        <v>1175</v>
      </c>
      <c r="AR40" s="1" t="s">
        <v>1176</v>
      </c>
      <c r="AS40" s="1" t="s">
        <v>1177</v>
      </c>
      <c r="AT40" s="1" t="s">
        <v>329</v>
      </c>
      <c r="AU40" s="1">
        <v>40</v>
      </c>
      <c r="AV40" s="1">
        <v>0</v>
      </c>
      <c r="AW40" s="1" t="s">
        <v>4560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4825</v>
      </c>
      <c r="BD40" s="1">
        <v>10303</v>
      </c>
      <c r="BE40" s="1"/>
    </row>
    <row r="41" spans="1:57" x14ac:dyDescent="0.25">
      <c r="A41" s="1">
        <v>41</v>
      </c>
      <c r="B41" s="1" t="s">
        <v>2877</v>
      </c>
      <c r="C41" s="9" t="s">
        <v>90</v>
      </c>
      <c r="D41" s="1" t="s">
        <v>90</v>
      </c>
      <c r="E41" s="1"/>
      <c r="F41" s="1"/>
      <c r="G41" s="1" t="s">
        <v>2878</v>
      </c>
      <c r="H41" s="1" t="s">
        <v>2879</v>
      </c>
      <c r="I41" s="1" t="s">
        <v>2880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1160</v>
      </c>
      <c r="AK41" s="1" t="s">
        <v>329</v>
      </c>
      <c r="AL41" s="1">
        <v>13</v>
      </c>
      <c r="AM41" s="1" t="s">
        <v>4830</v>
      </c>
      <c r="AN41" s="1" t="s">
        <v>465</v>
      </c>
      <c r="AO41" s="1" t="s">
        <v>339</v>
      </c>
      <c r="AP41" s="1">
        <v>0</v>
      </c>
      <c r="AQ41" s="1" t="s">
        <v>1175</v>
      </c>
      <c r="AR41" s="1" t="s">
        <v>1176</v>
      </c>
      <c r="AS41" s="1" t="s">
        <v>1177</v>
      </c>
      <c r="AT41" s="1" t="s">
        <v>329</v>
      </c>
      <c r="AU41" s="1">
        <v>41</v>
      </c>
      <c r="AV41" s="1">
        <v>0</v>
      </c>
      <c r="AW41" s="1" t="s">
        <v>4560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4909</v>
      </c>
      <c r="BC41" s="1" t="s">
        <v>4825</v>
      </c>
      <c r="BD41" s="1">
        <v>10302</v>
      </c>
      <c r="BE41" s="1"/>
    </row>
    <row r="42" spans="1:57" x14ac:dyDescent="0.25">
      <c r="A42" s="1">
        <v>42</v>
      </c>
      <c r="B42" s="1" t="s">
        <v>2881</v>
      </c>
      <c r="C42" s="9" t="s">
        <v>91</v>
      </c>
      <c r="D42" s="1" t="s">
        <v>91</v>
      </c>
      <c r="E42" s="1"/>
      <c r="F42" s="1"/>
      <c r="G42" s="1" t="s">
        <v>2882</v>
      </c>
      <c r="H42" s="1" t="s">
        <v>2883</v>
      </c>
      <c r="I42" s="1" t="s">
        <v>2884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1181</v>
      </c>
      <c r="AK42" s="1" t="s">
        <v>329</v>
      </c>
      <c r="AL42" s="1">
        <v>13</v>
      </c>
      <c r="AM42" s="1" t="s">
        <v>4830</v>
      </c>
      <c r="AN42" s="1" t="s">
        <v>507</v>
      </c>
      <c r="AO42" s="1" t="s">
        <v>4900</v>
      </c>
      <c r="AP42" s="1">
        <v>0</v>
      </c>
      <c r="AQ42" s="1" t="s">
        <v>1175</v>
      </c>
      <c r="AR42" s="1" t="s">
        <v>1176</v>
      </c>
      <c r="AS42" s="1" t="s">
        <v>4907</v>
      </c>
      <c r="AT42" s="1" t="s">
        <v>329</v>
      </c>
      <c r="AU42" s="1">
        <v>42</v>
      </c>
      <c r="AV42" s="1">
        <v>0</v>
      </c>
      <c r="AW42" s="1" t="s">
        <v>4560</v>
      </c>
      <c r="AX42" s="1" t="s">
        <v>4865</v>
      </c>
      <c r="AY42" s="1">
        <v>4</v>
      </c>
      <c r="AZ42" s="1">
        <v>0</v>
      </c>
      <c r="BA42" s="1" t="s">
        <v>329</v>
      </c>
      <c r="BB42" s="1" t="s">
        <v>4814</v>
      </c>
      <c r="BC42" s="1" t="s">
        <v>4825</v>
      </c>
      <c r="BD42" s="1">
        <v>10302</v>
      </c>
      <c r="BE42" s="1"/>
    </row>
    <row r="43" spans="1:57" x14ac:dyDescent="0.25">
      <c r="A43" s="1">
        <v>43</v>
      </c>
      <c r="B43" s="1" t="s">
        <v>2885</v>
      </c>
      <c r="C43" s="9" t="s">
        <v>92</v>
      </c>
      <c r="D43" s="1" t="s">
        <v>92</v>
      </c>
      <c r="E43" s="1"/>
      <c r="F43" s="1"/>
      <c r="G43" s="1" t="s">
        <v>2886</v>
      </c>
      <c r="H43" s="1" t="s">
        <v>2887</v>
      </c>
      <c r="I43" s="1" t="s">
        <v>2888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4830</v>
      </c>
      <c r="AN43" s="1" t="s">
        <v>4902</v>
      </c>
      <c r="AO43" s="1" t="s">
        <v>4900</v>
      </c>
      <c r="AP43" s="1">
        <v>0</v>
      </c>
      <c r="AQ43" s="1" t="s">
        <v>1782</v>
      </c>
      <c r="AR43" s="1" t="s">
        <v>1176</v>
      </c>
      <c r="AS43" s="1" t="s">
        <v>1177</v>
      </c>
      <c r="AT43" s="1" t="s">
        <v>329</v>
      </c>
      <c r="AU43" s="1">
        <v>43</v>
      </c>
      <c r="AV43" s="1">
        <v>0</v>
      </c>
      <c r="AW43" s="1" t="s">
        <v>4910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4911</v>
      </c>
      <c r="BC43" s="1" t="s">
        <v>4825</v>
      </c>
      <c r="BD43" s="1">
        <v>10402</v>
      </c>
      <c r="BE43" s="1"/>
    </row>
    <row r="44" spans="1:57" x14ac:dyDescent="0.25">
      <c r="A44" s="1">
        <v>44</v>
      </c>
      <c r="B44" s="1" t="s">
        <v>2889</v>
      </c>
      <c r="C44" s="9" t="s">
        <v>1648</v>
      </c>
      <c r="D44" s="1" t="s">
        <v>1648</v>
      </c>
      <c r="E44" s="1"/>
      <c r="F44" s="1"/>
      <c r="G44" s="1" t="s">
        <v>2890</v>
      </c>
      <c r="H44" s="1" t="s">
        <v>2891</v>
      </c>
      <c r="I44" s="1" t="s">
        <v>2892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1182</v>
      </c>
      <c r="AK44" s="1" t="s">
        <v>1183</v>
      </c>
      <c r="AL44" s="1">
        <v>13</v>
      </c>
      <c r="AM44" s="1" t="s">
        <v>4830</v>
      </c>
      <c r="AN44" s="1" t="s">
        <v>466</v>
      </c>
      <c r="AO44" s="1" t="s">
        <v>4894</v>
      </c>
      <c r="AP44" s="1">
        <v>0</v>
      </c>
      <c r="AQ44" s="1" t="s">
        <v>1175</v>
      </c>
      <c r="AR44" s="1" t="s">
        <v>1176</v>
      </c>
      <c r="AS44" s="1" t="s">
        <v>4907</v>
      </c>
      <c r="AT44" s="1" t="s">
        <v>329</v>
      </c>
      <c r="AU44" s="1">
        <v>44</v>
      </c>
      <c r="AV44" s="1">
        <v>0</v>
      </c>
      <c r="AW44" s="1" t="s">
        <v>4560</v>
      </c>
      <c r="AX44" s="1" t="s">
        <v>4865</v>
      </c>
      <c r="AY44" s="1">
        <v>3</v>
      </c>
      <c r="AZ44" s="1">
        <v>0</v>
      </c>
      <c r="BA44" s="1" t="s">
        <v>4833</v>
      </c>
      <c r="BB44" s="1" t="s">
        <v>4912</v>
      </c>
      <c r="BC44" s="1" t="s">
        <v>4825</v>
      </c>
      <c r="BD44" s="1">
        <v>10302</v>
      </c>
      <c r="BE44" s="1"/>
    </row>
    <row r="45" spans="1:57" x14ac:dyDescent="0.25">
      <c r="A45" s="1">
        <v>46</v>
      </c>
      <c r="B45" s="1" t="s">
        <v>2893</v>
      </c>
      <c r="C45" s="9" t="s">
        <v>93</v>
      </c>
      <c r="D45" s="1" t="s">
        <v>2894</v>
      </c>
      <c r="E45" s="1"/>
      <c r="F45" s="1"/>
      <c r="G45" s="1" t="s">
        <v>2895</v>
      </c>
      <c r="H45" s="1" t="s">
        <v>2896</v>
      </c>
      <c r="I45" s="1" t="s">
        <v>2897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1184</v>
      </c>
      <c r="AK45" s="1" t="s">
        <v>329</v>
      </c>
      <c r="AL45" s="1">
        <v>13</v>
      </c>
      <c r="AM45" s="1" t="s">
        <v>4830</v>
      </c>
      <c r="AN45" s="1" t="s">
        <v>4902</v>
      </c>
      <c r="AO45" s="1" t="s">
        <v>4913</v>
      </c>
      <c r="AP45" s="1">
        <v>0</v>
      </c>
      <c r="AQ45" s="1" t="s">
        <v>1175</v>
      </c>
      <c r="AR45" s="1" t="s">
        <v>4903</v>
      </c>
      <c r="AS45" s="1" t="s">
        <v>1177</v>
      </c>
      <c r="AT45" s="1" t="s">
        <v>329</v>
      </c>
      <c r="AU45" s="1">
        <v>46</v>
      </c>
      <c r="AV45" s="1">
        <v>0</v>
      </c>
      <c r="AW45" s="1" t="s">
        <v>4560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4914</v>
      </c>
      <c r="BC45" s="1" t="s">
        <v>4837</v>
      </c>
      <c r="BD45" s="1">
        <v>10201</v>
      </c>
      <c r="BE45" s="1"/>
    </row>
    <row r="46" spans="1:57" x14ac:dyDescent="0.25">
      <c r="A46" s="1">
        <v>47</v>
      </c>
      <c r="B46" s="1" t="s">
        <v>2898</v>
      </c>
      <c r="C46" s="9" t="s">
        <v>94</v>
      </c>
      <c r="D46" s="1" t="s">
        <v>94</v>
      </c>
      <c r="E46" s="1"/>
      <c r="F46" s="1"/>
      <c r="G46" s="1" t="s">
        <v>2899</v>
      </c>
      <c r="H46" s="1" t="s">
        <v>2900</v>
      </c>
      <c r="I46" s="1" t="s">
        <v>2901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1160</v>
      </c>
      <c r="AK46" s="1" t="s">
        <v>329</v>
      </c>
      <c r="AL46" s="1">
        <v>13</v>
      </c>
      <c r="AM46" s="1" t="s">
        <v>4830</v>
      </c>
      <c r="AN46" s="1" t="s">
        <v>4902</v>
      </c>
      <c r="AO46" s="1" t="s">
        <v>339</v>
      </c>
      <c r="AP46" s="1">
        <v>0</v>
      </c>
      <c r="AQ46" s="1" t="s">
        <v>1175</v>
      </c>
      <c r="AR46" s="1" t="s">
        <v>1176</v>
      </c>
      <c r="AS46" s="1" t="s">
        <v>1177</v>
      </c>
      <c r="AT46" s="1" t="s">
        <v>329</v>
      </c>
      <c r="AU46" s="1">
        <v>47</v>
      </c>
      <c r="AV46" s="1">
        <v>0</v>
      </c>
      <c r="AW46" s="1" t="s">
        <v>4560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4915</v>
      </c>
      <c r="BC46" s="1" t="s">
        <v>4837</v>
      </c>
      <c r="BD46" s="1">
        <v>10303</v>
      </c>
      <c r="BE46" s="1"/>
    </row>
    <row r="47" spans="1:57" x14ac:dyDescent="0.25">
      <c r="A47" s="1">
        <v>48</v>
      </c>
      <c r="B47" s="1" t="s">
        <v>2902</v>
      </c>
      <c r="C47" s="9" t="s">
        <v>95</v>
      </c>
      <c r="D47" s="1" t="s">
        <v>95</v>
      </c>
      <c r="E47" s="1"/>
      <c r="F47" s="1"/>
      <c r="G47" s="1" t="s">
        <v>2903</v>
      </c>
      <c r="H47" s="1" t="s">
        <v>2904</v>
      </c>
      <c r="I47" s="1" t="s">
        <v>2905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1185</v>
      </c>
      <c r="AK47" s="1" t="s">
        <v>329</v>
      </c>
      <c r="AL47" s="1">
        <v>13</v>
      </c>
      <c r="AM47" s="1" t="s">
        <v>4830</v>
      </c>
      <c r="AN47" s="1" t="s">
        <v>476</v>
      </c>
      <c r="AO47" s="1" t="s">
        <v>4913</v>
      </c>
      <c r="AP47" s="1">
        <v>0</v>
      </c>
      <c r="AQ47" s="1" t="s">
        <v>1175</v>
      </c>
      <c r="AR47" s="1" t="s">
        <v>4903</v>
      </c>
      <c r="AS47" s="1" t="s">
        <v>1177</v>
      </c>
      <c r="AT47" s="1" t="s">
        <v>329</v>
      </c>
      <c r="AU47" s="1">
        <v>48</v>
      </c>
      <c r="AV47" s="1">
        <v>0</v>
      </c>
      <c r="AW47" s="1" t="s">
        <v>4560</v>
      </c>
      <c r="AX47" s="1" t="s">
        <v>4865</v>
      </c>
      <c r="AY47" s="1">
        <v>5</v>
      </c>
      <c r="AZ47" s="1">
        <v>0</v>
      </c>
      <c r="BA47" s="1" t="s">
        <v>329</v>
      </c>
      <c r="BB47" s="1" t="s">
        <v>4858</v>
      </c>
      <c r="BC47" s="1" t="s">
        <v>4837</v>
      </c>
      <c r="BD47" s="1">
        <v>10201</v>
      </c>
      <c r="BE47" s="1"/>
    </row>
    <row r="48" spans="1:57" x14ac:dyDescent="0.25">
      <c r="A48" s="1">
        <v>49</v>
      </c>
      <c r="B48" s="1" t="s">
        <v>2906</v>
      </c>
      <c r="C48" s="9" t="s">
        <v>222</v>
      </c>
      <c r="D48" s="1" t="s">
        <v>2907</v>
      </c>
      <c r="E48" s="1"/>
      <c r="F48" s="1"/>
      <c r="G48" s="1" t="s">
        <v>2908</v>
      </c>
      <c r="H48" s="1" t="s">
        <v>2909</v>
      </c>
      <c r="I48" s="1" t="s">
        <v>2910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1186</v>
      </c>
      <c r="AK48" s="1" t="s">
        <v>329</v>
      </c>
      <c r="AL48" s="1">
        <v>13</v>
      </c>
      <c r="AM48" s="1" t="s">
        <v>4830</v>
      </c>
      <c r="AN48" s="1" t="s">
        <v>465</v>
      </c>
      <c r="AO48" s="1" t="s">
        <v>4894</v>
      </c>
      <c r="AP48" s="1">
        <v>0</v>
      </c>
      <c r="AQ48" s="1" t="s">
        <v>1782</v>
      </c>
      <c r="AR48" s="1" t="s">
        <v>1176</v>
      </c>
      <c r="AS48" s="1" t="s">
        <v>1177</v>
      </c>
      <c r="AT48" s="1" t="s">
        <v>329</v>
      </c>
      <c r="AU48" s="1">
        <v>49</v>
      </c>
      <c r="AV48" s="1">
        <v>0</v>
      </c>
      <c r="AW48" s="1" t="s">
        <v>4916</v>
      </c>
      <c r="AX48" s="1" t="s">
        <v>4917</v>
      </c>
      <c r="AY48" s="1">
        <v>3</v>
      </c>
      <c r="AZ48" s="1">
        <v>0</v>
      </c>
      <c r="BA48" s="1" t="s">
        <v>4833</v>
      </c>
      <c r="BB48" s="1" t="s">
        <v>4918</v>
      </c>
      <c r="BC48" s="1" t="s">
        <v>4851</v>
      </c>
      <c r="BD48" s="1">
        <v>10705</v>
      </c>
      <c r="BE48" s="1"/>
    </row>
    <row r="49" spans="1:57" x14ac:dyDescent="0.25">
      <c r="A49" s="1">
        <v>50</v>
      </c>
      <c r="B49" s="1" t="s">
        <v>2911</v>
      </c>
      <c r="C49" s="9" t="s">
        <v>96</v>
      </c>
      <c r="D49" s="1" t="s">
        <v>2912</v>
      </c>
      <c r="E49" s="1"/>
      <c r="F49" s="1"/>
      <c r="G49" s="1" t="s">
        <v>2913</v>
      </c>
      <c r="H49" s="1" t="s">
        <v>2914</v>
      </c>
      <c r="I49" s="1" t="s">
        <v>2915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4830</v>
      </c>
      <c r="AN49" s="1" t="s">
        <v>465</v>
      </c>
      <c r="AO49" s="1" t="s">
        <v>4913</v>
      </c>
      <c r="AP49" s="1">
        <v>0</v>
      </c>
      <c r="AQ49" s="1" t="s">
        <v>1175</v>
      </c>
      <c r="AR49" s="1" t="s">
        <v>4903</v>
      </c>
      <c r="AS49" s="1" t="s">
        <v>1177</v>
      </c>
      <c r="AT49" s="1" t="s">
        <v>329</v>
      </c>
      <c r="AU49" s="1">
        <v>50</v>
      </c>
      <c r="AV49" s="1">
        <v>0</v>
      </c>
      <c r="AW49" s="1" t="s">
        <v>4560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4919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2916</v>
      </c>
      <c r="C50" s="9" t="s">
        <v>1187</v>
      </c>
      <c r="D50" s="1" t="s">
        <v>1187</v>
      </c>
      <c r="E50" s="1"/>
      <c r="F50" s="1"/>
      <c r="G50" s="1" t="s">
        <v>2917</v>
      </c>
      <c r="H50" s="1" t="s">
        <v>2918</v>
      </c>
      <c r="I50" s="1" t="s">
        <v>2919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1160</v>
      </c>
      <c r="AK50" s="1" t="s">
        <v>329</v>
      </c>
      <c r="AL50" s="1">
        <v>13</v>
      </c>
      <c r="AM50" s="1" t="s">
        <v>4830</v>
      </c>
      <c r="AN50" s="1" t="s">
        <v>4902</v>
      </c>
      <c r="AO50" s="1" t="s">
        <v>339</v>
      </c>
      <c r="AP50" s="1">
        <v>0</v>
      </c>
      <c r="AQ50" s="1" t="s">
        <v>1175</v>
      </c>
      <c r="AR50" s="1" t="s">
        <v>4903</v>
      </c>
      <c r="AS50" s="1" t="s">
        <v>1177</v>
      </c>
      <c r="AT50" s="1" t="s">
        <v>329</v>
      </c>
      <c r="AU50" s="1">
        <v>51</v>
      </c>
      <c r="AV50" s="1">
        <v>0</v>
      </c>
      <c r="AW50" s="1" t="s">
        <v>4560</v>
      </c>
      <c r="AX50" s="1" t="s">
        <v>471</v>
      </c>
      <c r="AY50" s="1">
        <v>2</v>
      </c>
      <c r="AZ50" s="1">
        <v>0</v>
      </c>
      <c r="BA50" s="1" t="s">
        <v>4813</v>
      </c>
      <c r="BB50" s="1" t="s">
        <v>4920</v>
      </c>
      <c r="BC50" s="1" t="s">
        <v>4921</v>
      </c>
      <c r="BD50" s="1">
        <v>10202</v>
      </c>
      <c r="BE50" s="1"/>
    </row>
    <row r="51" spans="1:57" x14ac:dyDescent="0.25">
      <c r="A51" s="1">
        <v>52</v>
      </c>
      <c r="B51" s="1" t="s">
        <v>2920</v>
      </c>
      <c r="C51" s="9" t="s">
        <v>97</v>
      </c>
      <c r="D51" s="1" t="s">
        <v>2921</v>
      </c>
      <c r="E51" s="1"/>
      <c r="F51" s="1"/>
      <c r="G51" s="1" t="s">
        <v>2922</v>
      </c>
      <c r="H51" s="1" t="s">
        <v>2923</v>
      </c>
      <c r="I51" s="1" t="s">
        <v>2924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1160</v>
      </c>
      <c r="AK51" s="1" t="s">
        <v>329</v>
      </c>
      <c r="AL51" s="1">
        <v>13</v>
      </c>
      <c r="AM51" s="1" t="s">
        <v>4830</v>
      </c>
      <c r="AN51" s="1" t="s">
        <v>476</v>
      </c>
      <c r="AO51" s="1" t="s">
        <v>339</v>
      </c>
      <c r="AP51" s="1">
        <v>0</v>
      </c>
      <c r="AQ51" s="1" t="s">
        <v>1175</v>
      </c>
      <c r="AR51" s="1" t="s">
        <v>4903</v>
      </c>
      <c r="AS51" s="1" t="s">
        <v>1177</v>
      </c>
      <c r="AT51" s="1" t="s">
        <v>329</v>
      </c>
      <c r="AU51" s="1">
        <v>52</v>
      </c>
      <c r="AV51" s="1">
        <v>0</v>
      </c>
      <c r="AW51" s="1" t="s">
        <v>4560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4922</v>
      </c>
      <c r="BC51" s="1" t="s">
        <v>4807</v>
      </c>
      <c r="BD51" s="1">
        <v>10302</v>
      </c>
      <c r="BE51" s="1"/>
    </row>
    <row r="52" spans="1:57" x14ac:dyDescent="0.25">
      <c r="A52" s="1">
        <v>53</v>
      </c>
      <c r="B52" s="1" t="s">
        <v>2925</v>
      </c>
      <c r="C52" s="9" t="s">
        <v>1649</v>
      </c>
      <c r="D52" s="1" t="s">
        <v>1649</v>
      </c>
      <c r="E52" s="1"/>
      <c r="F52" s="1"/>
      <c r="G52" s="1" t="s">
        <v>2926</v>
      </c>
      <c r="H52" s="1" t="s">
        <v>2927</v>
      </c>
      <c r="I52" s="1" t="s">
        <v>2928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1181</v>
      </c>
      <c r="AK52" s="1" t="s">
        <v>329</v>
      </c>
      <c r="AL52" s="1">
        <v>13</v>
      </c>
      <c r="AM52" s="1" t="s">
        <v>4830</v>
      </c>
      <c r="AN52" s="1" t="s">
        <v>476</v>
      </c>
      <c r="AO52" s="1" t="s">
        <v>4913</v>
      </c>
      <c r="AP52" s="1">
        <v>0</v>
      </c>
      <c r="AQ52" s="1" t="s">
        <v>1782</v>
      </c>
      <c r="AR52" s="1" t="s">
        <v>1176</v>
      </c>
      <c r="AS52" s="1" t="s">
        <v>1177</v>
      </c>
      <c r="AT52" s="1" t="s">
        <v>329</v>
      </c>
      <c r="AU52" s="1">
        <v>53</v>
      </c>
      <c r="AV52" s="1">
        <v>0</v>
      </c>
      <c r="AW52" s="1" t="s">
        <v>4560</v>
      </c>
      <c r="AX52" s="1" t="s">
        <v>4559</v>
      </c>
      <c r="AY52" s="1">
        <v>5</v>
      </c>
      <c r="AZ52" s="1">
        <v>0</v>
      </c>
      <c r="BA52" s="1" t="s">
        <v>4923</v>
      </c>
      <c r="BB52" s="1" t="s">
        <v>4924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2929</v>
      </c>
      <c r="C53" s="9" t="s">
        <v>98</v>
      </c>
      <c r="D53" s="1" t="s">
        <v>98</v>
      </c>
      <c r="E53" s="1"/>
      <c r="F53" s="1"/>
      <c r="G53" s="1" t="s">
        <v>2930</v>
      </c>
      <c r="H53" s="1" t="s">
        <v>2931</v>
      </c>
      <c r="I53" s="1" t="s">
        <v>2932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1188</v>
      </c>
      <c r="AK53" s="1" t="s">
        <v>329</v>
      </c>
      <c r="AL53" s="1">
        <v>13</v>
      </c>
      <c r="AM53" s="1" t="s">
        <v>4787</v>
      </c>
      <c r="AN53" s="1" t="s">
        <v>4815</v>
      </c>
      <c r="AO53" s="1" t="s">
        <v>4867</v>
      </c>
      <c r="AP53" s="1">
        <v>0</v>
      </c>
      <c r="AQ53" s="1" t="s">
        <v>1189</v>
      </c>
      <c r="AR53" s="1" t="s">
        <v>4925</v>
      </c>
      <c r="AS53" s="1" t="s">
        <v>4925</v>
      </c>
      <c r="AT53" s="1" t="s">
        <v>329</v>
      </c>
      <c r="AU53" s="1">
        <v>54</v>
      </c>
      <c r="AV53" s="1">
        <v>0</v>
      </c>
      <c r="AW53" s="1" t="s">
        <v>4560</v>
      </c>
      <c r="AX53" s="1" t="s">
        <v>4926</v>
      </c>
      <c r="AY53" s="1">
        <v>4</v>
      </c>
      <c r="AZ53" s="1">
        <v>0</v>
      </c>
      <c r="BA53" s="1" t="s">
        <v>329</v>
      </c>
      <c r="BB53" s="1" t="s">
        <v>4927</v>
      </c>
      <c r="BC53" s="1" t="s">
        <v>4928</v>
      </c>
      <c r="BD53" s="1">
        <v>106</v>
      </c>
      <c r="BE53" s="1"/>
    </row>
    <row r="54" spans="1:57" x14ac:dyDescent="0.25">
      <c r="A54" s="1">
        <v>55</v>
      </c>
      <c r="B54" s="1" t="s">
        <v>2933</v>
      </c>
      <c r="C54" s="9" t="s">
        <v>22</v>
      </c>
      <c r="D54" s="1" t="s">
        <v>22</v>
      </c>
      <c r="E54" s="1"/>
      <c r="F54" s="1"/>
      <c r="G54" s="1" t="s">
        <v>2934</v>
      </c>
      <c r="H54" s="1" t="s">
        <v>2935</v>
      </c>
      <c r="I54" s="1" t="s">
        <v>2936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1190</v>
      </c>
      <c r="AK54" s="1" t="s">
        <v>329</v>
      </c>
      <c r="AL54" s="1">
        <v>13</v>
      </c>
      <c r="AM54" s="1" t="s">
        <v>4858</v>
      </c>
      <c r="AN54" s="1" t="s">
        <v>4929</v>
      </c>
      <c r="AO54" s="1" t="s">
        <v>4930</v>
      </c>
      <c r="AP54" s="1">
        <v>0</v>
      </c>
      <c r="AQ54" s="1" t="s">
        <v>1165</v>
      </c>
      <c r="AR54" s="1" t="s">
        <v>1189</v>
      </c>
      <c r="AS54" s="1" t="s">
        <v>1780</v>
      </c>
      <c r="AT54" s="1" t="s">
        <v>329</v>
      </c>
      <c r="AU54" s="1">
        <v>55</v>
      </c>
      <c r="AV54" s="1">
        <v>0</v>
      </c>
      <c r="AW54" s="1" t="s">
        <v>4560</v>
      </c>
      <c r="AX54" s="1" t="s">
        <v>4926</v>
      </c>
      <c r="AY54" s="1">
        <v>4</v>
      </c>
      <c r="AZ54" s="1">
        <v>0</v>
      </c>
      <c r="BA54" s="1" t="s">
        <v>4811</v>
      </c>
      <c r="BB54" s="1" t="s">
        <v>4931</v>
      </c>
      <c r="BC54" s="1" t="s">
        <v>4928</v>
      </c>
      <c r="BD54" s="1">
        <v>10601</v>
      </c>
      <c r="BE54" s="1"/>
    </row>
    <row r="55" spans="1:57" x14ac:dyDescent="0.25">
      <c r="A55" s="1">
        <v>56</v>
      </c>
      <c r="B55" s="1" t="s">
        <v>2937</v>
      </c>
      <c r="C55" s="9" t="s">
        <v>99</v>
      </c>
      <c r="D55" s="1" t="s">
        <v>99</v>
      </c>
      <c r="E55" s="1"/>
      <c r="F55" s="1"/>
      <c r="G55" s="1" t="s">
        <v>2938</v>
      </c>
      <c r="H55" s="1" t="s">
        <v>2939</v>
      </c>
      <c r="I55" s="1" t="s">
        <v>2940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1191</v>
      </c>
      <c r="AK55" s="1" t="s">
        <v>329</v>
      </c>
      <c r="AL55" s="1">
        <v>13</v>
      </c>
      <c r="AM55" s="1" t="s">
        <v>4787</v>
      </c>
      <c r="AN55" s="1" t="s">
        <v>4932</v>
      </c>
      <c r="AO55" s="1" t="s">
        <v>4933</v>
      </c>
      <c r="AP55" s="1">
        <v>0</v>
      </c>
      <c r="AQ55" s="1" t="s">
        <v>4934</v>
      </c>
      <c r="AR55" s="1" t="s">
        <v>4934</v>
      </c>
      <c r="AS55" s="1" t="s">
        <v>1189</v>
      </c>
      <c r="AT55" s="1" t="s">
        <v>329</v>
      </c>
      <c r="AU55" s="1">
        <v>56</v>
      </c>
      <c r="AV55" s="1">
        <v>0</v>
      </c>
      <c r="AW55" s="1" t="s">
        <v>4560</v>
      </c>
      <c r="AX55" s="1" t="s">
        <v>4926</v>
      </c>
      <c r="AY55" s="1">
        <v>4</v>
      </c>
      <c r="AZ55" s="1">
        <v>0</v>
      </c>
      <c r="BA55" s="1" t="s">
        <v>4811</v>
      </c>
      <c r="BB55" s="1" t="s">
        <v>475</v>
      </c>
      <c r="BC55" s="1" t="s">
        <v>4928</v>
      </c>
      <c r="BD55" s="1">
        <v>10601</v>
      </c>
      <c r="BE55" s="1"/>
    </row>
    <row r="56" spans="1:57" x14ac:dyDescent="0.25">
      <c r="A56" s="1">
        <v>57</v>
      </c>
      <c r="B56" s="1" t="s">
        <v>2941</v>
      </c>
      <c r="C56" s="9" t="s">
        <v>1650</v>
      </c>
      <c r="D56" s="1" t="s">
        <v>2942</v>
      </c>
      <c r="E56" s="1"/>
      <c r="F56" s="1"/>
      <c r="G56" s="1" t="s">
        <v>2943</v>
      </c>
      <c r="H56" s="1" t="s">
        <v>2944</v>
      </c>
      <c r="I56" s="1" t="s">
        <v>2945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1192</v>
      </c>
      <c r="AK56" s="1" t="s">
        <v>329</v>
      </c>
      <c r="AL56" s="1">
        <v>13</v>
      </c>
      <c r="AM56" s="1" t="s">
        <v>4787</v>
      </c>
      <c r="AN56" s="1" t="s">
        <v>4932</v>
      </c>
      <c r="AO56" s="1" t="s">
        <v>4935</v>
      </c>
      <c r="AP56" s="1">
        <v>0</v>
      </c>
      <c r="AQ56" s="1" t="s">
        <v>4934</v>
      </c>
      <c r="AR56" s="1" t="s">
        <v>4934</v>
      </c>
      <c r="AS56" s="1" t="s">
        <v>4936</v>
      </c>
      <c r="AT56" s="1" t="s">
        <v>329</v>
      </c>
      <c r="AU56" s="1">
        <v>57</v>
      </c>
      <c r="AV56" s="1">
        <v>0</v>
      </c>
      <c r="AW56" s="1" t="s">
        <v>4560</v>
      </c>
      <c r="AX56" s="1" t="s">
        <v>4926</v>
      </c>
      <c r="AY56" s="1">
        <v>4</v>
      </c>
      <c r="AZ56" s="1">
        <v>0</v>
      </c>
      <c r="BA56" s="1" t="s">
        <v>4811</v>
      </c>
      <c r="BB56" s="1" t="s">
        <v>4937</v>
      </c>
      <c r="BC56" s="1" t="s">
        <v>4928</v>
      </c>
      <c r="BD56" s="1">
        <v>10601</v>
      </c>
      <c r="BE56" s="1"/>
    </row>
    <row r="57" spans="1:57" x14ac:dyDescent="0.25">
      <c r="A57" s="1">
        <v>58</v>
      </c>
      <c r="B57" s="1" t="s">
        <v>2946</v>
      </c>
      <c r="C57" s="9" t="s">
        <v>1651</v>
      </c>
      <c r="D57" s="1" t="s">
        <v>1651</v>
      </c>
      <c r="E57" s="1"/>
      <c r="F57" s="1"/>
      <c r="G57" s="1" t="s">
        <v>2947</v>
      </c>
      <c r="H57" s="1" t="s">
        <v>2948</v>
      </c>
      <c r="I57" s="1" t="s">
        <v>2949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4938</v>
      </c>
      <c r="AK57" s="1" t="s">
        <v>329</v>
      </c>
      <c r="AL57" s="1">
        <v>13</v>
      </c>
      <c r="AM57" s="1" t="s">
        <v>4787</v>
      </c>
      <c r="AN57" s="1" t="s">
        <v>4878</v>
      </c>
      <c r="AO57" s="1" t="s">
        <v>4939</v>
      </c>
      <c r="AP57" s="1">
        <v>0</v>
      </c>
      <c r="AQ57" s="1" t="s">
        <v>1781</v>
      </c>
      <c r="AR57" s="1" t="s">
        <v>1189</v>
      </c>
      <c r="AS57" s="1" t="s">
        <v>1164</v>
      </c>
      <c r="AT57" s="1" t="s">
        <v>329</v>
      </c>
      <c r="AU57" s="1">
        <v>58</v>
      </c>
      <c r="AV57" s="1">
        <v>0</v>
      </c>
      <c r="AW57" s="1" t="s">
        <v>4560</v>
      </c>
      <c r="AX57" s="1" t="s">
        <v>4865</v>
      </c>
      <c r="AY57" s="1">
        <v>3</v>
      </c>
      <c r="AZ57" s="1">
        <v>0</v>
      </c>
      <c r="BA57" s="1" t="s">
        <v>329</v>
      </c>
      <c r="BB57" s="1" t="s">
        <v>4940</v>
      </c>
      <c r="BC57" s="1" t="s">
        <v>4825</v>
      </c>
      <c r="BD57" s="1">
        <v>10302</v>
      </c>
      <c r="BE57" s="1"/>
    </row>
    <row r="58" spans="1:57" x14ac:dyDescent="0.25">
      <c r="A58" s="1">
        <v>59</v>
      </c>
      <c r="B58" s="1" t="s">
        <v>2950</v>
      </c>
      <c r="C58" s="9" t="s">
        <v>1652</v>
      </c>
      <c r="D58" s="1" t="s">
        <v>2951</v>
      </c>
      <c r="E58" s="1"/>
      <c r="F58" s="1"/>
      <c r="G58" s="1" t="s">
        <v>2952</v>
      </c>
      <c r="H58" s="1" t="s">
        <v>2953</v>
      </c>
      <c r="I58" s="1" t="s">
        <v>2954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4941</v>
      </c>
      <c r="AK58" s="1" t="s">
        <v>4942</v>
      </c>
      <c r="AL58" s="1">
        <v>13</v>
      </c>
      <c r="AM58" s="1" t="s">
        <v>4858</v>
      </c>
      <c r="AN58" s="1" t="s">
        <v>4863</v>
      </c>
      <c r="AO58" s="1" t="s">
        <v>4943</v>
      </c>
      <c r="AP58" s="1">
        <v>0</v>
      </c>
      <c r="AQ58" s="1" t="s">
        <v>1164</v>
      </c>
      <c r="AR58" s="1" t="s">
        <v>1154</v>
      </c>
      <c r="AS58" s="1" t="s">
        <v>1165</v>
      </c>
      <c r="AT58" s="1" t="s">
        <v>329</v>
      </c>
      <c r="AU58" s="1">
        <v>59</v>
      </c>
      <c r="AV58" s="1">
        <v>0</v>
      </c>
      <c r="AW58" s="1" t="s">
        <v>4886</v>
      </c>
      <c r="AX58" s="1" t="s">
        <v>4944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4825</v>
      </c>
      <c r="BD58" s="1">
        <v>10203</v>
      </c>
      <c r="BE58" s="1"/>
    </row>
    <row r="59" spans="1:57" x14ac:dyDescent="0.25">
      <c r="A59" s="1">
        <v>60</v>
      </c>
      <c r="B59" s="1" t="s">
        <v>2955</v>
      </c>
      <c r="C59" s="9" t="s">
        <v>101</v>
      </c>
      <c r="D59" s="1" t="s">
        <v>2956</v>
      </c>
      <c r="E59" s="1"/>
      <c r="F59" s="1"/>
      <c r="G59" s="1" t="s">
        <v>2957</v>
      </c>
      <c r="H59" s="1" t="s">
        <v>2958</v>
      </c>
      <c r="I59" s="1" t="s">
        <v>2959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1193</v>
      </c>
      <c r="AK59" s="1" t="s">
        <v>329</v>
      </c>
      <c r="AL59" s="1">
        <v>13</v>
      </c>
      <c r="AM59" s="1" t="s">
        <v>4787</v>
      </c>
      <c r="AN59" s="1" t="s">
        <v>507</v>
      </c>
      <c r="AO59" s="1" t="s">
        <v>4945</v>
      </c>
      <c r="AP59" s="1">
        <v>0</v>
      </c>
      <c r="AQ59" s="1" t="s">
        <v>1165</v>
      </c>
      <c r="AR59" s="1" t="s">
        <v>4936</v>
      </c>
      <c r="AS59" s="1" t="s">
        <v>1164</v>
      </c>
      <c r="AT59" s="1" t="s">
        <v>329</v>
      </c>
      <c r="AU59" s="1">
        <v>60</v>
      </c>
      <c r="AV59" s="1">
        <v>0</v>
      </c>
      <c r="AW59" s="1" t="s">
        <v>4560</v>
      </c>
      <c r="AX59" s="1" t="s">
        <v>4865</v>
      </c>
      <c r="AY59" s="1">
        <v>4</v>
      </c>
      <c r="AZ59" s="1">
        <v>0</v>
      </c>
      <c r="BA59" s="1" t="s">
        <v>4811</v>
      </c>
      <c r="BB59" s="1" t="s">
        <v>4946</v>
      </c>
      <c r="BC59" s="1" t="s">
        <v>4825</v>
      </c>
      <c r="BD59" s="1">
        <v>10303</v>
      </c>
      <c r="BE59" s="1"/>
    </row>
    <row r="60" spans="1:57" x14ac:dyDescent="0.25">
      <c r="A60" s="1">
        <v>61</v>
      </c>
      <c r="B60" s="1" t="s">
        <v>2960</v>
      </c>
      <c r="C60" s="9" t="s">
        <v>102</v>
      </c>
      <c r="D60" s="1" t="s">
        <v>2961</v>
      </c>
      <c r="E60" s="1"/>
      <c r="F60" s="1"/>
      <c r="G60" s="1" t="s">
        <v>2962</v>
      </c>
      <c r="H60" s="1" t="s">
        <v>2963</v>
      </c>
      <c r="I60" s="1" t="s">
        <v>2964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1156</v>
      </c>
      <c r="AK60" s="1" t="s">
        <v>1194</v>
      </c>
      <c r="AL60" s="1">
        <v>13</v>
      </c>
      <c r="AM60" s="1" t="s">
        <v>4787</v>
      </c>
      <c r="AN60" s="1" t="s">
        <v>476</v>
      </c>
      <c r="AO60" s="1" t="s">
        <v>4947</v>
      </c>
      <c r="AP60" s="1">
        <v>0</v>
      </c>
      <c r="AQ60" s="1" t="s">
        <v>1165</v>
      </c>
      <c r="AR60" s="1" t="s">
        <v>4936</v>
      </c>
      <c r="AS60" s="1" t="s">
        <v>1164</v>
      </c>
      <c r="AT60" s="1" t="s">
        <v>329</v>
      </c>
      <c r="AU60" s="1">
        <v>61</v>
      </c>
      <c r="AV60" s="1">
        <v>0</v>
      </c>
      <c r="AW60" s="1" t="s">
        <v>4560</v>
      </c>
      <c r="AX60" s="1" t="s">
        <v>4865</v>
      </c>
      <c r="AY60" s="1">
        <v>3</v>
      </c>
      <c r="AZ60" s="1">
        <v>0</v>
      </c>
      <c r="BA60" s="1" t="s">
        <v>4833</v>
      </c>
      <c r="BB60" s="1" t="s">
        <v>4843</v>
      </c>
      <c r="BC60" s="1" t="s">
        <v>4837</v>
      </c>
      <c r="BD60" s="1">
        <v>10303</v>
      </c>
      <c r="BE60" s="1"/>
    </row>
    <row r="61" spans="1:57" x14ac:dyDescent="0.25">
      <c r="A61" s="1">
        <v>62</v>
      </c>
      <c r="B61" s="1" t="s">
        <v>2965</v>
      </c>
      <c r="C61" s="9" t="s">
        <v>735</v>
      </c>
      <c r="D61" s="1" t="s">
        <v>735</v>
      </c>
      <c r="E61" s="1"/>
      <c r="F61" s="1"/>
      <c r="G61" s="1" t="s">
        <v>2966</v>
      </c>
      <c r="H61" s="1" t="s">
        <v>2967</v>
      </c>
      <c r="I61" s="1" t="s">
        <v>2968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1195</v>
      </c>
      <c r="AK61" s="1" t="s">
        <v>329</v>
      </c>
      <c r="AL61" s="1">
        <v>13</v>
      </c>
      <c r="AM61" s="1" t="s">
        <v>4787</v>
      </c>
      <c r="AN61" s="1" t="s">
        <v>4902</v>
      </c>
      <c r="AO61" s="1" t="s">
        <v>4948</v>
      </c>
      <c r="AP61" s="1">
        <v>0</v>
      </c>
      <c r="AQ61" s="1" t="s">
        <v>1165</v>
      </c>
      <c r="AR61" s="1" t="s">
        <v>1189</v>
      </c>
      <c r="AS61" s="1" t="s">
        <v>1780</v>
      </c>
      <c r="AT61" s="1" t="s">
        <v>329</v>
      </c>
      <c r="AU61" s="1">
        <v>62</v>
      </c>
      <c r="AV61" s="1">
        <v>0</v>
      </c>
      <c r="AW61" s="1" t="s">
        <v>4560</v>
      </c>
      <c r="AX61" s="1" t="s">
        <v>4559</v>
      </c>
      <c r="AY61" s="1">
        <v>5</v>
      </c>
      <c r="AZ61" s="1">
        <v>0</v>
      </c>
      <c r="BA61" s="1" t="s">
        <v>329</v>
      </c>
      <c r="BB61" s="1" t="s">
        <v>4949</v>
      </c>
      <c r="BC61" s="1" t="s">
        <v>4837</v>
      </c>
      <c r="BD61" s="1">
        <v>10202</v>
      </c>
      <c r="BE61" s="1"/>
    </row>
    <row r="62" spans="1:57" x14ac:dyDescent="0.25">
      <c r="A62" s="1">
        <v>63</v>
      </c>
      <c r="B62" s="1" t="s">
        <v>2969</v>
      </c>
      <c r="C62" s="9" t="s">
        <v>1196</v>
      </c>
      <c r="D62" s="1" t="s">
        <v>1196</v>
      </c>
      <c r="E62" s="1"/>
      <c r="F62" s="1"/>
      <c r="G62" s="1" t="s">
        <v>2970</v>
      </c>
      <c r="H62" s="1" t="s">
        <v>2971</v>
      </c>
      <c r="I62" s="1" t="s">
        <v>2972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1156</v>
      </c>
      <c r="AK62" s="1" t="s">
        <v>329</v>
      </c>
      <c r="AL62" s="1">
        <v>13</v>
      </c>
      <c r="AM62" s="1" t="s">
        <v>4787</v>
      </c>
      <c r="AN62" s="1" t="s">
        <v>507</v>
      </c>
      <c r="AO62" s="1" t="s">
        <v>4950</v>
      </c>
      <c r="AP62" s="1">
        <v>0</v>
      </c>
      <c r="AQ62" s="1" t="s">
        <v>1781</v>
      </c>
      <c r="AR62" s="1" t="s">
        <v>1189</v>
      </c>
      <c r="AS62" s="1" t="s">
        <v>1164</v>
      </c>
      <c r="AT62" s="1" t="s">
        <v>329</v>
      </c>
      <c r="AU62" s="1">
        <v>63</v>
      </c>
      <c r="AV62" s="1">
        <v>0</v>
      </c>
      <c r="AW62" s="1" t="s">
        <v>4560</v>
      </c>
      <c r="AX62" s="1" t="s">
        <v>471</v>
      </c>
      <c r="AY62" s="1">
        <v>2</v>
      </c>
      <c r="AZ62" s="1">
        <v>0</v>
      </c>
      <c r="BA62" s="1" t="s">
        <v>4813</v>
      </c>
      <c r="BB62" s="1" t="s">
        <v>4951</v>
      </c>
      <c r="BC62" s="1" t="s">
        <v>4837</v>
      </c>
      <c r="BD62" s="1">
        <v>105</v>
      </c>
      <c r="BE62" s="1"/>
    </row>
    <row r="63" spans="1:57" x14ac:dyDescent="0.25">
      <c r="A63" s="1">
        <v>64</v>
      </c>
      <c r="B63" s="1" t="s">
        <v>2973</v>
      </c>
      <c r="C63" s="9" t="s">
        <v>1197</v>
      </c>
      <c r="D63" s="1" t="s">
        <v>1197</v>
      </c>
      <c r="E63" s="1"/>
      <c r="F63" s="1"/>
      <c r="G63" s="1" t="s">
        <v>2974</v>
      </c>
      <c r="H63" s="1" t="s">
        <v>2975</v>
      </c>
      <c r="I63" s="1" t="s">
        <v>2976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4787</v>
      </c>
      <c r="AN63" s="1" t="s">
        <v>4952</v>
      </c>
      <c r="AO63" s="1" t="s">
        <v>4953</v>
      </c>
      <c r="AP63" s="1">
        <v>0</v>
      </c>
      <c r="AQ63" s="1" t="s">
        <v>1781</v>
      </c>
      <c r="AR63" s="1" t="s">
        <v>1189</v>
      </c>
      <c r="AS63" s="1" t="s">
        <v>1164</v>
      </c>
      <c r="AT63" s="1" t="s">
        <v>329</v>
      </c>
      <c r="AU63" s="1">
        <v>64</v>
      </c>
      <c r="AV63" s="1">
        <v>0</v>
      </c>
      <c r="AW63" s="1" t="s">
        <v>4560</v>
      </c>
      <c r="AX63" s="1" t="s">
        <v>332</v>
      </c>
      <c r="AY63" s="1">
        <v>4</v>
      </c>
      <c r="AZ63" s="1">
        <v>0</v>
      </c>
      <c r="BA63" s="1" t="s">
        <v>4811</v>
      </c>
      <c r="BB63" s="1" t="s">
        <v>4954</v>
      </c>
      <c r="BC63" s="1" t="s">
        <v>4837</v>
      </c>
      <c r="BD63" s="1">
        <v>10705</v>
      </c>
      <c r="BE63" s="1"/>
    </row>
    <row r="64" spans="1:57" x14ac:dyDescent="0.25">
      <c r="A64" s="1">
        <v>65</v>
      </c>
      <c r="B64" s="1" t="s">
        <v>2977</v>
      </c>
      <c r="C64" s="9" t="s">
        <v>223</v>
      </c>
      <c r="D64" s="1" t="s">
        <v>223</v>
      </c>
      <c r="E64" s="1"/>
      <c r="F64" s="1"/>
      <c r="G64" s="1" t="s">
        <v>2978</v>
      </c>
      <c r="H64" s="1" t="s">
        <v>2979</v>
      </c>
      <c r="I64" s="1" t="s">
        <v>2980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1198</v>
      </c>
      <c r="AK64" s="1" t="s">
        <v>329</v>
      </c>
      <c r="AL64" s="1">
        <v>13</v>
      </c>
      <c r="AM64" s="1" t="s">
        <v>4787</v>
      </c>
      <c r="AN64" s="1" t="s">
        <v>476</v>
      </c>
      <c r="AO64" s="1" t="s">
        <v>4955</v>
      </c>
      <c r="AP64" s="1">
        <v>0</v>
      </c>
      <c r="AQ64" s="1" t="s">
        <v>1781</v>
      </c>
      <c r="AR64" s="1" t="s">
        <v>1189</v>
      </c>
      <c r="AS64" s="1" t="s">
        <v>1780</v>
      </c>
      <c r="AT64" s="1" t="s">
        <v>329</v>
      </c>
      <c r="AU64" s="1">
        <v>65</v>
      </c>
      <c r="AV64" s="1">
        <v>0</v>
      </c>
      <c r="AW64" s="1" t="s">
        <v>4560</v>
      </c>
      <c r="AX64" s="1" t="s">
        <v>4865</v>
      </c>
      <c r="AY64" s="1">
        <v>5</v>
      </c>
      <c r="AZ64" s="1">
        <v>0</v>
      </c>
      <c r="BA64" s="1" t="s">
        <v>4923</v>
      </c>
      <c r="BB64" s="1" t="s">
        <v>4956</v>
      </c>
      <c r="BC64" s="1" t="s">
        <v>4957</v>
      </c>
      <c r="BD64" s="1">
        <v>10104</v>
      </c>
      <c r="BE64" s="1"/>
    </row>
    <row r="65" spans="1:57" x14ac:dyDescent="0.25">
      <c r="A65" s="1">
        <v>66</v>
      </c>
      <c r="B65" s="1" t="s">
        <v>2981</v>
      </c>
      <c r="C65" s="9" t="s">
        <v>1653</v>
      </c>
      <c r="D65" s="1" t="s">
        <v>2982</v>
      </c>
      <c r="E65" s="1"/>
      <c r="F65" s="1"/>
      <c r="G65" s="1" t="s">
        <v>2983</v>
      </c>
      <c r="H65" s="1" t="s">
        <v>2984</v>
      </c>
      <c r="I65" s="1" t="s">
        <v>2985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1199</v>
      </c>
      <c r="AK65" s="1" t="s">
        <v>329</v>
      </c>
      <c r="AL65" s="1">
        <v>13</v>
      </c>
      <c r="AM65" s="1" t="s">
        <v>4787</v>
      </c>
      <c r="AN65" s="1" t="s">
        <v>476</v>
      </c>
      <c r="AO65" s="1" t="s">
        <v>4958</v>
      </c>
      <c r="AP65" s="1">
        <v>0</v>
      </c>
      <c r="AQ65" s="1" t="s">
        <v>1781</v>
      </c>
      <c r="AR65" s="1" t="s">
        <v>1189</v>
      </c>
      <c r="AS65" s="1" t="s">
        <v>1164</v>
      </c>
      <c r="AT65" s="1" t="s">
        <v>329</v>
      </c>
      <c r="AU65" s="1">
        <v>66</v>
      </c>
      <c r="AV65" s="1">
        <v>0</v>
      </c>
      <c r="AW65" s="1" t="s">
        <v>4560</v>
      </c>
      <c r="AX65" s="1" t="s">
        <v>4865</v>
      </c>
      <c r="AY65" s="1">
        <v>4</v>
      </c>
      <c r="AZ65" s="1">
        <v>0</v>
      </c>
      <c r="BA65" s="1" t="s">
        <v>329</v>
      </c>
      <c r="BB65" s="1" t="s">
        <v>4959</v>
      </c>
      <c r="BC65" s="1" t="s">
        <v>4851</v>
      </c>
      <c r="BD65" s="1">
        <v>10705</v>
      </c>
      <c r="BE65" s="1"/>
    </row>
    <row r="66" spans="1:57" x14ac:dyDescent="0.25">
      <c r="A66" s="1">
        <v>68</v>
      </c>
      <c r="B66" s="1" t="s">
        <v>2986</v>
      </c>
      <c r="C66" s="9" t="s">
        <v>103</v>
      </c>
      <c r="D66" s="1" t="s">
        <v>103</v>
      </c>
      <c r="E66" s="1"/>
      <c r="F66" s="1"/>
      <c r="G66" s="1" t="s">
        <v>2987</v>
      </c>
      <c r="H66" s="1" t="s">
        <v>2988</v>
      </c>
      <c r="I66" s="1" t="s">
        <v>2989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1156</v>
      </c>
      <c r="AK66" s="1" t="s">
        <v>329</v>
      </c>
      <c r="AL66" s="1">
        <v>13</v>
      </c>
      <c r="AM66" s="1" t="s">
        <v>4787</v>
      </c>
      <c r="AN66" s="1" t="s">
        <v>507</v>
      </c>
      <c r="AO66" s="1" t="s">
        <v>4960</v>
      </c>
      <c r="AP66" s="1">
        <v>0</v>
      </c>
      <c r="AQ66" s="1" t="s">
        <v>1165</v>
      </c>
      <c r="AR66" s="1" t="s">
        <v>1189</v>
      </c>
      <c r="AS66" s="1" t="s">
        <v>1164</v>
      </c>
      <c r="AT66" s="1" t="s">
        <v>329</v>
      </c>
      <c r="AU66" s="1">
        <v>68</v>
      </c>
      <c r="AV66" s="1">
        <v>0</v>
      </c>
      <c r="AW66" s="1" t="s">
        <v>4560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4961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2990</v>
      </c>
      <c r="C67" s="9" t="s">
        <v>711</v>
      </c>
      <c r="D67" s="1" t="s">
        <v>711</v>
      </c>
      <c r="E67" s="1"/>
      <c r="F67" s="1"/>
      <c r="G67" s="1" t="s">
        <v>2991</v>
      </c>
      <c r="H67" s="1" t="s">
        <v>2992</v>
      </c>
      <c r="I67" s="1" t="s">
        <v>2993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1199</v>
      </c>
      <c r="AK67" s="1" t="s">
        <v>329</v>
      </c>
      <c r="AL67" s="1">
        <v>13</v>
      </c>
      <c r="AM67" s="1" t="s">
        <v>4787</v>
      </c>
      <c r="AN67" s="1" t="s">
        <v>466</v>
      </c>
      <c r="AO67" s="1" t="s">
        <v>4962</v>
      </c>
      <c r="AP67" s="1">
        <v>0</v>
      </c>
      <c r="AQ67" s="1" t="s">
        <v>1781</v>
      </c>
      <c r="AR67" s="1" t="s">
        <v>1189</v>
      </c>
      <c r="AS67" s="1" t="s">
        <v>1164</v>
      </c>
      <c r="AT67" s="1" t="s">
        <v>329</v>
      </c>
      <c r="AU67" s="1">
        <v>69</v>
      </c>
      <c r="AV67" s="1">
        <v>0</v>
      </c>
      <c r="AW67" s="1" t="s">
        <v>4560</v>
      </c>
      <c r="AX67" s="1" t="s">
        <v>4865</v>
      </c>
      <c r="AY67" s="1">
        <v>4</v>
      </c>
      <c r="AZ67" s="1">
        <v>0</v>
      </c>
      <c r="BA67" s="1" t="s">
        <v>329</v>
      </c>
      <c r="BB67" s="1" t="s">
        <v>4963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2994</v>
      </c>
      <c r="C68" s="9" t="s">
        <v>1200</v>
      </c>
      <c r="D68" s="1" t="s">
        <v>2995</v>
      </c>
      <c r="E68" s="1"/>
      <c r="F68" s="1"/>
      <c r="G68" s="1" t="s">
        <v>2996</v>
      </c>
      <c r="H68" s="1" t="s">
        <v>2997</v>
      </c>
      <c r="I68" s="1" t="s">
        <v>2998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4964</v>
      </c>
      <c r="AK68" s="1" t="s">
        <v>329</v>
      </c>
      <c r="AL68" s="1">
        <v>13</v>
      </c>
      <c r="AM68" s="1" t="s">
        <v>4787</v>
      </c>
      <c r="AN68" s="1" t="s">
        <v>4899</v>
      </c>
      <c r="AO68" s="1" t="s">
        <v>4933</v>
      </c>
      <c r="AP68" s="1">
        <v>0</v>
      </c>
      <c r="AQ68" s="1" t="s">
        <v>1165</v>
      </c>
      <c r="AR68" s="1" t="s">
        <v>1189</v>
      </c>
      <c r="AS68" s="1" t="s">
        <v>1164</v>
      </c>
      <c r="AT68" s="1" t="s">
        <v>329</v>
      </c>
      <c r="AU68" s="1">
        <v>70</v>
      </c>
      <c r="AV68" s="1">
        <v>0</v>
      </c>
      <c r="AW68" s="1" t="s">
        <v>4560</v>
      </c>
      <c r="AX68" s="1" t="s">
        <v>4865</v>
      </c>
      <c r="AY68" s="1">
        <v>3</v>
      </c>
      <c r="AZ68" s="1">
        <v>0</v>
      </c>
      <c r="BA68" s="1" t="s">
        <v>329</v>
      </c>
      <c r="BB68" s="1" t="s">
        <v>4965</v>
      </c>
      <c r="BC68" s="1" t="s">
        <v>4921</v>
      </c>
      <c r="BD68" s="1">
        <v>10202</v>
      </c>
      <c r="BE68" s="1"/>
    </row>
    <row r="69" spans="1:57" x14ac:dyDescent="0.25">
      <c r="A69" s="1">
        <v>71</v>
      </c>
      <c r="B69" s="1" t="s">
        <v>2999</v>
      </c>
      <c r="C69" s="9" t="s">
        <v>842</v>
      </c>
      <c r="D69" s="1" t="s">
        <v>2</v>
      </c>
      <c r="E69" s="1"/>
      <c r="F69" s="1"/>
      <c r="G69" s="1" t="s">
        <v>3000</v>
      </c>
      <c r="H69" s="1" t="s">
        <v>3001</v>
      </c>
      <c r="I69" s="1" t="s">
        <v>3002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1160</v>
      </c>
      <c r="AK69" s="1" t="s">
        <v>329</v>
      </c>
      <c r="AL69" s="1">
        <v>13</v>
      </c>
      <c r="AM69" s="1" t="s">
        <v>4787</v>
      </c>
      <c r="AN69" s="1" t="s">
        <v>476</v>
      </c>
      <c r="AO69" s="1" t="s">
        <v>4966</v>
      </c>
      <c r="AP69" s="1">
        <v>0</v>
      </c>
      <c r="AQ69" s="1" t="s">
        <v>1165</v>
      </c>
      <c r="AR69" s="1" t="s">
        <v>1189</v>
      </c>
      <c r="AS69" s="1" t="s">
        <v>1780</v>
      </c>
      <c r="AT69" s="1" t="s">
        <v>329</v>
      </c>
      <c r="AU69" s="1">
        <v>71</v>
      </c>
      <c r="AV69" s="1">
        <v>0</v>
      </c>
      <c r="AW69" s="1" t="s">
        <v>4560</v>
      </c>
      <c r="AX69" s="1" t="s">
        <v>471</v>
      </c>
      <c r="AY69" s="1">
        <v>2</v>
      </c>
      <c r="AZ69" s="1">
        <v>0</v>
      </c>
      <c r="BA69" s="1" t="s">
        <v>4813</v>
      </c>
      <c r="BB69" s="1" t="s">
        <v>4967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3003</v>
      </c>
      <c r="C70" s="9" t="s">
        <v>739</v>
      </c>
      <c r="D70" s="1" t="s">
        <v>739</v>
      </c>
      <c r="E70" s="1"/>
      <c r="F70" s="1"/>
      <c r="G70" s="1" t="s">
        <v>3004</v>
      </c>
      <c r="H70" s="1" t="s">
        <v>3005</v>
      </c>
      <c r="I70" s="1" t="s">
        <v>3006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4787</v>
      </c>
      <c r="AN70" s="1" t="s">
        <v>4902</v>
      </c>
      <c r="AO70" s="1" t="s">
        <v>4939</v>
      </c>
      <c r="AP70" s="1">
        <v>0</v>
      </c>
      <c r="AQ70" s="1" t="s">
        <v>1165</v>
      </c>
      <c r="AR70" s="1" t="s">
        <v>1189</v>
      </c>
      <c r="AS70" s="1" t="s">
        <v>1780</v>
      </c>
      <c r="AT70" s="1" t="s">
        <v>329</v>
      </c>
      <c r="AU70" s="1">
        <v>72</v>
      </c>
      <c r="AV70" s="1">
        <v>0</v>
      </c>
      <c r="AW70" s="1" t="s">
        <v>4560</v>
      </c>
      <c r="AX70" s="1" t="s">
        <v>4865</v>
      </c>
      <c r="AY70" s="1">
        <v>4</v>
      </c>
      <c r="AZ70" s="1">
        <v>0</v>
      </c>
      <c r="BA70" s="1" t="s">
        <v>329</v>
      </c>
      <c r="BB70" s="1" t="s">
        <v>4968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3007</v>
      </c>
      <c r="C71" s="9" t="s">
        <v>104</v>
      </c>
      <c r="D71" s="1" t="s">
        <v>104</v>
      </c>
      <c r="E71" s="1"/>
      <c r="F71" s="1"/>
      <c r="G71" s="1" t="s">
        <v>3008</v>
      </c>
      <c r="H71" s="1" t="s">
        <v>3009</v>
      </c>
      <c r="I71" s="1" t="s">
        <v>3010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4969</v>
      </c>
      <c r="AK71" s="1" t="s">
        <v>329</v>
      </c>
      <c r="AL71" s="1">
        <v>13</v>
      </c>
      <c r="AM71" s="1" t="s">
        <v>1874</v>
      </c>
      <c r="AN71" s="1" t="s">
        <v>4970</v>
      </c>
      <c r="AO71" s="1" t="s">
        <v>4971</v>
      </c>
      <c r="AP71" s="1">
        <v>0</v>
      </c>
      <c r="AQ71" s="1" t="s">
        <v>1165</v>
      </c>
      <c r="AR71" s="1" t="s">
        <v>1189</v>
      </c>
      <c r="AS71" s="1" t="s">
        <v>1164</v>
      </c>
      <c r="AT71" s="1" t="s">
        <v>329</v>
      </c>
      <c r="AU71" s="1">
        <v>73</v>
      </c>
      <c r="AV71" s="1">
        <v>0</v>
      </c>
      <c r="AW71" s="1" t="s">
        <v>4972</v>
      </c>
      <c r="AX71" s="1" t="s">
        <v>4973</v>
      </c>
      <c r="AY71" s="1">
        <v>5</v>
      </c>
      <c r="AZ71" s="1">
        <v>0</v>
      </c>
      <c r="BA71" s="1" t="s">
        <v>329</v>
      </c>
      <c r="BB71" s="1" t="s">
        <v>4974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3011</v>
      </c>
      <c r="C72" s="9" t="s">
        <v>745</v>
      </c>
      <c r="D72" s="1" t="s">
        <v>745</v>
      </c>
      <c r="E72" s="1"/>
      <c r="F72" s="1"/>
      <c r="G72" s="1" t="s">
        <v>3012</v>
      </c>
      <c r="H72" s="1" t="s">
        <v>3013</v>
      </c>
      <c r="I72" s="1" t="s">
        <v>3014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1160</v>
      </c>
      <c r="AK72" s="1" t="s">
        <v>329</v>
      </c>
      <c r="AL72" s="1">
        <v>13</v>
      </c>
      <c r="AM72" s="1" t="s">
        <v>4787</v>
      </c>
      <c r="AN72" s="1" t="s">
        <v>4902</v>
      </c>
      <c r="AO72" s="1" t="s">
        <v>4975</v>
      </c>
      <c r="AP72" s="1">
        <v>0</v>
      </c>
      <c r="AQ72" s="1" t="s">
        <v>1781</v>
      </c>
      <c r="AR72" s="1" t="s">
        <v>1189</v>
      </c>
      <c r="AS72" s="1" t="s">
        <v>1164</v>
      </c>
      <c r="AT72" s="1" t="s">
        <v>329</v>
      </c>
      <c r="AU72" s="1">
        <v>74</v>
      </c>
      <c r="AV72" s="1">
        <v>0</v>
      </c>
      <c r="AW72" s="1" t="s">
        <v>4560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4976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3015</v>
      </c>
      <c r="C73" s="9" t="s">
        <v>105</v>
      </c>
      <c r="D73" s="1" t="s">
        <v>105</v>
      </c>
      <c r="E73" s="1"/>
      <c r="F73" s="1"/>
      <c r="G73" s="1" t="s">
        <v>3016</v>
      </c>
      <c r="H73" s="1" t="s">
        <v>3017</v>
      </c>
      <c r="I73" s="1" t="s">
        <v>3018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1201</v>
      </c>
      <c r="AK73" s="1" t="s">
        <v>329</v>
      </c>
      <c r="AL73" s="1">
        <v>18</v>
      </c>
      <c r="AM73" s="1" t="s">
        <v>4926</v>
      </c>
      <c r="AN73" s="1" t="s">
        <v>4977</v>
      </c>
      <c r="AO73" s="1" t="s">
        <v>4978</v>
      </c>
      <c r="AP73" s="1">
        <v>0</v>
      </c>
      <c r="AQ73" s="1" t="s">
        <v>1202</v>
      </c>
      <c r="AR73" s="1" t="s">
        <v>4979</v>
      </c>
      <c r="AS73" s="1" t="s">
        <v>4980</v>
      </c>
      <c r="AT73" s="1" t="s">
        <v>329</v>
      </c>
      <c r="AU73" s="1">
        <v>75</v>
      </c>
      <c r="AV73" s="1">
        <v>0</v>
      </c>
      <c r="AW73" s="1" t="s">
        <v>4560</v>
      </c>
      <c r="AX73" s="1" t="s">
        <v>4865</v>
      </c>
      <c r="AY73" s="1">
        <v>4</v>
      </c>
      <c r="AZ73" s="1">
        <v>0</v>
      </c>
      <c r="BA73" s="1" t="s">
        <v>4811</v>
      </c>
      <c r="BB73" s="1" t="s">
        <v>4981</v>
      </c>
      <c r="BC73" s="1" t="s">
        <v>4788</v>
      </c>
      <c r="BD73" s="1">
        <v>10303</v>
      </c>
      <c r="BE73" s="1"/>
    </row>
    <row r="74" spans="1:57" x14ac:dyDescent="0.25">
      <c r="A74" s="1">
        <v>77</v>
      </c>
      <c r="B74" s="1" t="s">
        <v>3019</v>
      </c>
      <c r="C74" s="9" t="s">
        <v>792</v>
      </c>
      <c r="D74" s="1" t="s">
        <v>792</v>
      </c>
      <c r="E74" s="1"/>
      <c r="F74" s="1"/>
      <c r="G74" s="1" t="s">
        <v>3020</v>
      </c>
      <c r="H74" s="1" t="s">
        <v>3021</v>
      </c>
      <c r="I74" s="1" t="s">
        <v>3022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1205</v>
      </c>
      <c r="AK74" s="1" t="s">
        <v>329</v>
      </c>
      <c r="AL74" s="1">
        <v>18</v>
      </c>
      <c r="AM74" s="1" t="s">
        <v>4926</v>
      </c>
      <c r="AN74" s="1" t="s">
        <v>4977</v>
      </c>
      <c r="AO74" s="1" t="s">
        <v>4982</v>
      </c>
      <c r="AP74" s="1">
        <v>0</v>
      </c>
      <c r="AQ74" s="1" t="s">
        <v>1202</v>
      </c>
      <c r="AR74" s="1" t="s">
        <v>1203</v>
      </c>
      <c r="AS74" s="1" t="s">
        <v>1204</v>
      </c>
      <c r="AT74" s="1" t="s">
        <v>329</v>
      </c>
      <c r="AU74" s="1">
        <v>77</v>
      </c>
      <c r="AV74" s="1">
        <v>0</v>
      </c>
      <c r="AW74" s="1" t="s">
        <v>4560</v>
      </c>
      <c r="AX74" s="1" t="s">
        <v>4865</v>
      </c>
      <c r="AY74" s="1">
        <v>3</v>
      </c>
      <c r="AZ74" s="1">
        <v>0</v>
      </c>
      <c r="BA74" s="1" t="s">
        <v>329</v>
      </c>
      <c r="BB74" s="1" t="s">
        <v>4983</v>
      </c>
      <c r="BC74" s="1" t="s">
        <v>4788</v>
      </c>
      <c r="BD74" s="1">
        <v>10302</v>
      </c>
      <c r="BE74" s="1"/>
    </row>
    <row r="75" spans="1:57" x14ac:dyDescent="0.25">
      <c r="A75" s="1">
        <v>78</v>
      </c>
      <c r="B75" s="1" t="s">
        <v>3023</v>
      </c>
      <c r="C75" s="9" t="s">
        <v>106</v>
      </c>
      <c r="D75" s="1" t="s">
        <v>106</v>
      </c>
      <c r="E75" s="1"/>
      <c r="F75" s="1"/>
      <c r="G75" s="1" t="s">
        <v>3024</v>
      </c>
      <c r="H75" s="1" t="s">
        <v>3025</v>
      </c>
      <c r="I75" s="1" t="s">
        <v>3026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1201</v>
      </c>
      <c r="AK75" s="1" t="s">
        <v>329</v>
      </c>
      <c r="AL75" s="1">
        <v>17</v>
      </c>
      <c r="AM75" s="1" t="s">
        <v>4926</v>
      </c>
      <c r="AN75" s="1" t="s">
        <v>4984</v>
      </c>
      <c r="AO75" s="1" t="s">
        <v>4985</v>
      </c>
      <c r="AP75" s="1">
        <v>0</v>
      </c>
      <c r="AQ75" s="1" t="s">
        <v>1202</v>
      </c>
      <c r="AR75" s="1" t="s">
        <v>1203</v>
      </c>
      <c r="AS75" s="1" t="s">
        <v>1204</v>
      </c>
      <c r="AT75" s="1" t="s">
        <v>329</v>
      </c>
      <c r="AU75" s="1">
        <v>78</v>
      </c>
      <c r="AV75" s="1">
        <v>0</v>
      </c>
      <c r="AW75" s="1" t="s">
        <v>4560</v>
      </c>
      <c r="AX75" s="1" t="s">
        <v>4865</v>
      </c>
      <c r="AY75" s="1">
        <v>4</v>
      </c>
      <c r="AZ75" s="1">
        <v>0</v>
      </c>
      <c r="BA75" s="1" t="s">
        <v>329</v>
      </c>
      <c r="BB75" s="1" t="s">
        <v>4986</v>
      </c>
      <c r="BC75" s="1" t="s">
        <v>4788</v>
      </c>
      <c r="BD75" s="1">
        <v>10704</v>
      </c>
      <c r="BE75" s="1"/>
    </row>
    <row r="76" spans="1:57" x14ac:dyDescent="0.25">
      <c r="A76" s="1">
        <v>79</v>
      </c>
      <c r="B76" s="1" t="s">
        <v>3027</v>
      </c>
      <c r="C76" s="9" t="s">
        <v>1206</v>
      </c>
      <c r="D76" s="1" t="s">
        <v>1206</v>
      </c>
      <c r="E76" s="1"/>
      <c r="F76" s="1"/>
      <c r="G76" s="1" t="s">
        <v>3028</v>
      </c>
      <c r="H76" s="1" t="s">
        <v>3029</v>
      </c>
      <c r="I76" s="1" t="s">
        <v>3030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1205</v>
      </c>
      <c r="AK76" s="1" t="s">
        <v>329</v>
      </c>
      <c r="AL76" s="1">
        <v>18</v>
      </c>
      <c r="AM76" s="1" t="s">
        <v>4926</v>
      </c>
      <c r="AN76" s="1" t="s">
        <v>4987</v>
      </c>
      <c r="AO76" s="1" t="s">
        <v>4988</v>
      </c>
      <c r="AP76" s="1">
        <v>0</v>
      </c>
      <c r="AQ76" s="1" t="s">
        <v>1202</v>
      </c>
      <c r="AR76" s="1" t="s">
        <v>1203</v>
      </c>
      <c r="AS76" s="1" t="s">
        <v>4980</v>
      </c>
      <c r="AT76" s="1" t="s">
        <v>329</v>
      </c>
      <c r="AU76" s="1">
        <v>79</v>
      </c>
      <c r="AV76" s="1">
        <v>0</v>
      </c>
      <c r="AW76" s="1" t="s">
        <v>4560</v>
      </c>
      <c r="AX76" s="1" t="s">
        <v>4989</v>
      </c>
      <c r="AY76" s="1">
        <v>3</v>
      </c>
      <c r="AZ76" s="1">
        <v>0</v>
      </c>
      <c r="BA76" s="1" t="s">
        <v>329</v>
      </c>
      <c r="BB76" s="1" t="s">
        <v>4983</v>
      </c>
      <c r="BC76" s="1" t="s">
        <v>4788</v>
      </c>
      <c r="BD76" s="1">
        <v>10302</v>
      </c>
      <c r="BE76" s="1"/>
    </row>
    <row r="77" spans="1:57" x14ac:dyDescent="0.25">
      <c r="A77" s="1">
        <v>80</v>
      </c>
      <c r="B77" s="1" t="s">
        <v>3031</v>
      </c>
      <c r="C77" s="9" t="s">
        <v>107</v>
      </c>
      <c r="D77" s="1" t="s">
        <v>107</v>
      </c>
      <c r="E77" s="1"/>
      <c r="F77" s="1"/>
      <c r="G77" s="1" t="s">
        <v>3032</v>
      </c>
      <c r="H77" s="1" t="s">
        <v>3033</v>
      </c>
      <c r="I77" s="1" t="s">
        <v>3034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4990</v>
      </c>
      <c r="AK77" s="1" t="s">
        <v>329</v>
      </c>
      <c r="AL77" s="1">
        <v>19</v>
      </c>
      <c r="AM77" s="1" t="s">
        <v>4926</v>
      </c>
      <c r="AN77" s="1" t="s">
        <v>4991</v>
      </c>
      <c r="AO77" s="1" t="s">
        <v>4992</v>
      </c>
      <c r="AP77" s="1">
        <v>0</v>
      </c>
      <c r="AQ77" s="1" t="s">
        <v>1202</v>
      </c>
      <c r="AR77" s="1" t="s">
        <v>4979</v>
      </c>
      <c r="AS77" s="1" t="s">
        <v>1204</v>
      </c>
      <c r="AT77" s="1" t="s">
        <v>329</v>
      </c>
      <c r="AU77" s="1">
        <v>80</v>
      </c>
      <c r="AV77" s="1">
        <v>0</v>
      </c>
      <c r="AW77" s="1" t="s">
        <v>4560</v>
      </c>
      <c r="AX77" s="1" t="s">
        <v>4865</v>
      </c>
      <c r="AY77" s="1">
        <v>3</v>
      </c>
      <c r="AZ77" s="1">
        <v>0</v>
      </c>
      <c r="BA77" s="1" t="s">
        <v>329</v>
      </c>
      <c r="BB77" s="1" t="s">
        <v>4993</v>
      </c>
      <c r="BC77" s="1" t="s">
        <v>4788</v>
      </c>
      <c r="BD77" s="1">
        <v>10704</v>
      </c>
      <c r="BE77" s="1"/>
    </row>
    <row r="78" spans="1:57" x14ac:dyDescent="0.25">
      <c r="A78" s="1">
        <v>81</v>
      </c>
      <c r="B78" s="1" t="s">
        <v>3035</v>
      </c>
      <c r="C78" s="9" t="s">
        <v>108</v>
      </c>
      <c r="D78" s="1" t="s">
        <v>108</v>
      </c>
      <c r="E78" s="1"/>
      <c r="F78" s="1"/>
      <c r="G78" s="1" t="s">
        <v>3036</v>
      </c>
      <c r="H78" s="1" t="s">
        <v>3037</v>
      </c>
      <c r="I78" s="1" t="s">
        <v>3038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1207</v>
      </c>
      <c r="AK78" s="1" t="s">
        <v>329</v>
      </c>
      <c r="AL78" s="1">
        <v>18</v>
      </c>
      <c r="AM78" s="1" t="s">
        <v>4926</v>
      </c>
      <c r="AN78" s="1" t="s">
        <v>4977</v>
      </c>
      <c r="AO78" s="1" t="s">
        <v>4994</v>
      </c>
      <c r="AP78" s="1">
        <v>0</v>
      </c>
      <c r="AQ78" s="1" t="s">
        <v>1202</v>
      </c>
      <c r="AR78" s="1" t="s">
        <v>4979</v>
      </c>
      <c r="AS78" s="1" t="s">
        <v>1204</v>
      </c>
      <c r="AT78" s="1" t="s">
        <v>329</v>
      </c>
      <c r="AU78" s="1">
        <v>81</v>
      </c>
      <c r="AV78" s="1">
        <v>0</v>
      </c>
      <c r="AW78" s="1" t="s">
        <v>4560</v>
      </c>
      <c r="AX78" s="1" t="s">
        <v>471</v>
      </c>
      <c r="AY78" s="1">
        <v>2</v>
      </c>
      <c r="AZ78" s="1">
        <v>0</v>
      </c>
      <c r="BA78" s="1" t="s">
        <v>4813</v>
      </c>
      <c r="BB78" s="1" t="s">
        <v>4995</v>
      </c>
      <c r="BC78" s="1" t="s">
        <v>4788</v>
      </c>
      <c r="BD78" s="1">
        <v>10302</v>
      </c>
      <c r="BE78" s="1"/>
    </row>
    <row r="79" spans="1:57" x14ac:dyDescent="0.25">
      <c r="A79" s="1">
        <v>82</v>
      </c>
      <c r="B79" s="1" t="s">
        <v>3039</v>
      </c>
      <c r="C79" s="9" t="s">
        <v>109</v>
      </c>
      <c r="D79" s="1" t="s">
        <v>109</v>
      </c>
      <c r="E79" s="1"/>
      <c r="F79" s="1"/>
      <c r="G79" s="1" t="s">
        <v>3040</v>
      </c>
      <c r="H79" s="1" t="s">
        <v>3041</v>
      </c>
      <c r="I79" s="1" t="s">
        <v>3042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1205</v>
      </c>
      <c r="AK79" s="1" t="s">
        <v>329</v>
      </c>
      <c r="AL79" s="1">
        <v>19</v>
      </c>
      <c r="AM79" s="1" t="s">
        <v>4926</v>
      </c>
      <c r="AN79" s="1" t="s">
        <v>4996</v>
      </c>
      <c r="AO79" s="1" t="s">
        <v>4997</v>
      </c>
      <c r="AP79" s="1">
        <v>0</v>
      </c>
      <c r="AQ79" s="1" t="s">
        <v>1202</v>
      </c>
      <c r="AR79" s="1" t="s">
        <v>4979</v>
      </c>
      <c r="AS79" s="1" t="s">
        <v>1204</v>
      </c>
      <c r="AT79" s="1" t="s">
        <v>329</v>
      </c>
      <c r="AU79" s="1">
        <v>82</v>
      </c>
      <c r="AV79" s="1">
        <v>0</v>
      </c>
      <c r="AW79" s="1" t="s">
        <v>4560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4998</v>
      </c>
      <c r="BC79" s="1" t="s">
        <v>4825</v>
      </c>
      <c r="BD79" s="1">
        <v>10302</v>
      </c>
      <c r="BE79" s="1"/>
    </row>
    <row r="80" spans="1:57" x14ac:dyDescent="0.25">
      <c r="A80" s="1">
        <v>84</v>
      </c>
      <c r="B80" s="1" t="s">
        <v>3043</v>
      </c>
      <c r="C80" s="9" t="s">
        <v>110</v>
      </c>
      <c r="D80" s="1" t="s">
        <v>110</v>
      </c>
      <c r="E80" s="1"/>
      <c r="F80" s="1"/>
      <c r="G80" s="1" t="s">
        <v>3044</v>
      </c>
      <c r="H80" s="1" t="s">
        <v>3045</v>
      </c>
      <c r="I80" s="1" t="s">
        <v>3046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4990</v>
      </c>
      <c r="AK80" s="1" t="s">
        <v>329</v>
      </c>
      <c r="AL80" s="1">
        <v>18</v>
      </c>
      <c r="AM80" s="1" t="s">
        <v>4926</v>
      </c>
      <c r="AN80" s="1" t="s">
        <v>4999</v>
      </c>
      <c r="AO80" s="1" t="s">
        <v>5000</v>
      </c>
      <c r="AP80" s="1">
        <v>0</v>
      </c>
      <c r="AQ80" s="1" t="s">
        <v>1202</v>
      </c>
      <c r="AR80" s="1" t="s">
        <v>1203</v>
      </c>
      <c r="AS80" s="1" t="s">
        <v>4980</v>
      </c>
      <c r="AT80" s="1" t="s">
        <v>329</v>
      </c>
      <c r="AU80" s="1">
        <v>84</v>
      </c>
      <c r="AV80" s="1">
        <v>0</v>
      </c>
      <c r="AW80" s="1" t="s">
        <v>5001</v>
      </c>
      <c r="AX80" s="1" t="s">
        <v>5002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4825</v>
      </c>
      <c r="BD80" s="1">
        <v>10704</v>
      </c>
      <c r="BE80" s="1"/>
    </row>
    <row r="81" spans="1:57" x14ac:dyDescent="0.25">
      <c r="A81" s="1">
        <v>85</v>
      </c>
      <c r="B81" s="1" t="s">
        <v>3047</v>
      </c>
      <c r="C81" s="9" t="s">
        <v>111</v>
      </c>
      <c r="D81" s="1" t="s">
        <v>111</v>
      </c>
      <c r="E81" s="1"/>
      <c r="F81" s="1"/>
      <c r="G81" s="1" t="s">
        <v>3048</v>
      </c>
      <c r="H81" s="1" t="s">
        <v>3049</v>
      </c>
      <c r="I81" s="1" t="s">
        <v>3050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5003</v>
      </c>
      <c r="AK81" s="1" t="s">
        <v>5004</v>
      </c>
      <c r="AL81" s="1">
        <v>18</v>
      </c>
      <c r="AM81" s="1" t="s">
        <v>4926</v>
      </c>
      <c r="AN81" s="1" t="s">
        <v>5005</v>
      </c>
      <c r="AO81" s="1" t="s">
        <v>4892</v>
      </c>
      <c r="AP81" s="1">
        <v>0</v>
      </c>
      <c r="AQ81" s="1" t="s">
        <v>1202</v>
      </c>
      <c r="AR81" s="1" t="s">
        <v>4979</v>
      </c>
      <c r="AS81" s="1" t="s">
        <v>1204</v>
      </c>
      <c r="AT81" s="1" t="s">
        <v>329</v>
      </c>
      <c r="AU81" s="1">
        <v>85</v>
      </c>
      <c r="AV81" s="1">
        <v>0</v>
      </c>
      <c r="AW81" s="1" t="s">
        <v>4560</v>
      </c>
      <c r="AX81" s="1" t="s">
        <v>4865</v>
      </c>
      <c r="AY81" s="1">
        <v>4</v>
      </c>
      <c r="AZ81" s="1">
        <v>0</v>
      </c>
      <c r="BA81" s="1" t="s">
        <v>329</v>
      </c>
      <c r="BB81" s="1" t="s">
        <v>5006</v>
      </c>
      <c r="BC81" s="1" t="s">
        <v>4825</v>
      </c>
      <c r="BD81" s="1">
        <v>10402</v>
      </c>
      <c r="BE81" s="1"/>
    </row>
    <row r="82" spans="1:57" x14ac:dyDescent="0.25">
      <c r="A82" s="1">
        <v>86</v>
      </c>
      <c r="B82" s="1" t="s">
        <v>3051</v>
      </c>
      <c r="C82" s="9" t="s">
        <v>112</v>
      </c>
      <c r="D82" s="1" t="s">
        <v>112</v>
      </c>
      <c r="E82" s="1"/>
      <c r="F82" s="1"/>
      <c r="G82" s="1" t="s">
        <v>3052</v>
      </c>
      <c r="H82" s="1" t="s">
        <v>3053</v>
      </c>
      <c r="I82" s="1" t="s">
        <v>3054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1205</v>
      </c>
      <c r="AK82" s="1" t="s">
        <v>329</v>
      </c>
      <c r="AL82" s="1">
        <v>17</v>
      </c>
      <c r="AM82" s="1" t="s">
        <v>4926</v>
      </c>
      <c r="AN82" s="1" t="s">
        <v>899</v>
      </c>
      <c r="AO82" s="1" t="s">
        <v>4982</v>
      </c>
      <c r="AP82" s="1">
        <v>0</v>
      </c>
      <c r="AQ82" s="1" t="s">
        <v>1202</v>
      </c>
      <c r="AR82" s="1" t="s">
        <v>1203</v>
      </c>
      <c r="AS82" s="1" t="s">
        <v>1204</v>
      </c>
      <c r="AT82" s="1" t="s">
        <v>329</v>
      </c>
      <c r="AU82" s="1">
        <v>86</v>
      </c>
      <c r="AV82" s="1">
        <v>0</v>
      </c>
      <c r="AW82" s="1" t="s">
        <v>4560</v>
      </c>
      <c r="AX82" s="1" t="s">
        <v>4865</v>
      </c>
      <c r="AY82" s="1">
        <v>3</v>
      </c>
      <c r="AZ82" s="1">
        <v>0</v>
      </c>
      <c r="BA82" s="1" t="s">
        <v>329</v>
      </c>
      <c r="BB82" s="1" t="s">
        <v>5007</v>
      </c>
      <c r="BC82" s="1" t="s">
        <v>4837</v>
      </c>
      <c r="BD82" s="1">
        <v>10702</v>
      </c>
      <c r="BE82" s="1"/>
    </row>
    <row r="83" spans="1:57" x14ac:dyDescent="0.25">
      <c r="A83" s="1">
        <v>87</v>
      </c>
      <c r="B83" s="1" t="s">
        <v>3055</v>
      </c>
      <c r="C83" s="9" t="s">
        <v>113</v>
      </c>
      <c r="D83" s="1" t="s">
        <v>113</v>
      </c>
      <c r="E83" s="1"/>
      <c r="F83" s="1"/>
      <c r="G83" s="1" t="s">
        <v>3056</v>
      </c>
      <c r="H83" s="1" t="s">
        <v>3057</v>
      </c>
      <c r="I83" s="1" t="s">
        <v>3058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1205</v>
      </c>
      <c r="AK83" s="1" t="s">
        <v>329</v>
      </c>
      <c r="AL83" s="1">
        <v>19</v>
      </c>
      <c r="AM83" s="1" t="s">
        <v>4926</v>
      </c>
      <c r="AN83" s="1" t="s">
        <v>4991</v>
      </c>
      <c r="AO83" s="1" t="s">
        <v>5008</v>
      </c>
      <c r="AP83" s="1">
        <v>0</v>
      </c>
      <c r="AQ83" s="1" t="s">
        <v>1202</v>
      </c>
      <c r="AR83" s="1" t="s">
        <v>1203</v>
      </c>
      <c r="AS83" s="1" t="s">
        <v>1204</v>
      </c>
      <c r="AT83" s="1" t="s">
        <v>329</v>
      </c>
      <c r="AU83" s="1">
        <v>87</v>
      </c>
      <c r="AV83" s="1">
        <v>0</v>
      </c>
      <c r="AW83" s="1" t="s">
        <v>4560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5009</v>
      </c>
      <c r="BC83" s="1" t="s">
        <v>4837</v>
      </c>
      <c r="BD83" s="1">
        <v>10702</v>
      </c>
      <c r="BE83" s="1"/>
    </row>
    <row r="84" spans="1:57" x14ac:dyDescent="0.25">
      <c r="A84" s="1">
        <v>88</v>
      </c>
      <c r="B84" s="1" t="s">
        <v>3059</v>
      </c>
      <c r="C84" s="9" t="s">
        <v>114</v>
      </c>
      <c r="D84" s="1" t="s">
        <v>114</v>
      </c>
      <c r="E84" s="1"/>
      <c r="F84" s="1"/>
      <c r="G84" s="1" t="s">
        <v>3060</v>
      </c>
      <c r="H84" s="1" t="s">
        <v>3061</v>
      </c>
      <c r="I84" s="1" t="s">
        <v>3062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1201</v>
      </c>
      <c r="AK84" s="1" t="s">
        <v>329</v>
      </c>
      <c r="AL84" s="1">
        <v>18</v>
      </c>
      <c r="AM84" s="1" t="s">
        <v>4926</v>
      </c>
      <c r="AN84" s="1" t="s">
        <v>4999</v>
      </c>
      <c r="AO84" s="1" t="s">
        <v>5010</v>
      </c>
      <c r="AP84" s="1">
        <v>0</v>
      </c>
      <c r="AQ84" s="1" t="s">
        <v>1202</v>
      </c>
      <c r="AR84" s="1" t="s">
        <v>1203</v>
      </c>
      <c r="AS84" s="1" t="s">
        <v>4980</v>
      </c>
      <c r="AT84" s="1" t="s">
        <v>329</v>
      </c>
      <c r="AU84" s="1">
        <v>88</v>
      </c>
      <c r="AV84" s="1">
        <v>0</v>
      </c>
      <c r="AW84" s="1" t="s">
        <v>4560</v>
      </c>
      <c r="AX84" s="1" t="s">
        <v>4865</v>
      </c>
      <c r="AY84" s="1">
        <v>4</v>
      </c>
      <c r="AZ84" s="1">
        <v>0</v>
      </c>
      <c r="BA84" s="1" t="s">
        <v>329</v>
      </c>
      <c r="BB84" s="1" t="s">
        <v>5011</v>
      </c>
      <c r="BC84" s="1" t="s">
        <v>4837</v>
      </c>
      <c r="BD84" s="1">
        <v>10302</v>
      </c>
      <c r="BE84" s="1"/>
    </row>
    <row r="85" spans="1:57" x14ac:dyDescent="0.25">
      <c r="A85" s="1">
        <v>89</v>
      </c>
      <c r="B85" s="1" t="s">
        <v>3063</v>
      </c>
      <c r="C85" s="9" t="s">
        <v>115</v>
      </c>
      <c r="D85" s="1" t="s">
        <v>3064</v>
      </c>
      <c r="E85" s="1"/>
      <c r="F85" s="1"/>
      <c r="G85" s="1" t="s">
        <v>3065</v>
      </c>
      <c r="H85" s="1" t="s">
        <v>3066</v>
      </c>
      <c r="I85" s="1" t="s">
        <v>3067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1205</v>
      </c>
      <c r="AK85" s="1" t="s">
        <v>329</v>
      </c>
      <c r="AL85" s="1">
        <v>17</v>
      </c>
      <c r="AM85" s="1" t="s">
        <v>4926</v>
      </c>
      <c r="AN85" s="1" t="s">
        <v>4984</v>
      </c>
      <c r="AO85" s="1" t="s">
        <v>5012</v>
      </c>
      <c r="AP85" s="1">
        <v>0</v>
      </c>
      <c r="AQ85" s="1" t="s">
        <v>1202</v>
      </c>
      <c r="AR85" s="1" t="s">
        <v>4979</v>
      </c>
      <c r="AS85" s="1" t="s">
        <v>1204</v>
      </c>
      <c r="AT85" s="1" t="s">
        <v>329</v>
      </c>
      <c r="AU85" s="1">
        <v>89</v>
      </c>
      <c r="AV85" s="1">
        <v>0</v>
      </c>
      <c r="AW85" s="1" t="s">
        <v>4560</v>
      </c>
      <c r="AX85" s="1" t="s">
        <v>4865</v>
      </c>
      <c r="AY85" s="1">
        <v>3</v>
      </c>
      <c r="AZ85" s="1">
        <v>0</v>
      </c>
      <c r="BA85" s="1" t="s">
        <v>4833</v>
      </c>
      <c r="BB85" s="1" t="s">
        <v>5013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3068</v>
      </c>
      <c r="C86" s="9" t="s">
        <v>1208</v>
      </c>
      <c r="D86" s="1" t="s">
        <v>1208</v>
      </c>
      <c r="E86" s="1"/>
      <c r="F86" s="1"/>
      <c r="G86" s="1" t="s">
        <v>3069</v>
      </c>
      <c r="H86" s="1" t="s">
        <v>3070</v>
      </c>
      <c r="I86" s="1" t="s">
        <v>3071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1160</v>
      </c>
      <c r="AK86" s="1" t="s">
        <v>329</v>
      </c>
      <c r="AL86" s="1">
        <v>13</v>
      </c>
      <c r="AM86" s="1" t="s">
        <v>1874</v>
      </c>
      <c r="AN86" s="1" t="s">
        <v>4929</v>
      </c>
      <c r="AO86" s="1" t="s">
        <v>5014</v>
      </c>
      <c r="AP86" s="1">
        <v>0</v>
      </c>
      <c r="AQ86" s="1" t="s">
        <v>1153</v>
      </c>
      <c r="AR86" s="1" t="s">
        <v>1154</v>
      </c>
      <c r="AS86" s="1" t="s">
        <v>1155</v>
      </c>
      <c r="AT86" s="1" t="s">
        <v>329</v>
      </c>
      <c r="AU86" s="1">
        <v>90</v>
      </c>
      <c r="AV86" s="1">
        <v>0</v>
      </c>
      <c r="AW86" s="1" t="s">
        <v>4560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4878</v>
      </c>
      <c r="BC86" s="1" t="s">
        <v>4921</v>
      </c>
      <c r="BD86" s="1">
        <v>10704</v>
      </c>
      <c r="BE86" s="1"/>
    </row>
    <row r="87" spans="1:57" x14ac:dyDescent="0.25">
      <c r="A87" s="1">
        <v>91</v>
      </c>
      <c r="B87" s="1" t="s">
        <v>3072</v>
      </c>
      <c r="C87" s="9" t="s">
        <v>1654</v>
      </c>
      <c r="D87" s="1" t="s">
        <v>1654</v>
      </c>
      <c r="E87" s="1"/>
      <c r="F87" s="1"/>
      <c r="G87" s="1" t="s">
        <v>3073</v>
      </c>
      <c r="H87" s="1" t="s">
        <v>3074</v>
      </c>
      <c r="I87" s="1" t="s">
        <v>3075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1209</v>
      </c>
      <c r="AK87" s="1" t="s">
        <v>329</v>
      </c>
      <c r="AL87" s="1">
        <v>13</v>
      </c>
      <c r="AM87" s="1" t="s">
        <v>1874</v>
      </c>
      <c r="AN87" s="1" t="s">
        <v>5015</v>
      </c>
      <c r="AO87" s="1" t="s">
        <v>5016</v>
      </c>
      <c r="AP87" s="1">
        <v>0</v>
      </c>
      <c r="AQ87" s="1" t="s">
        <v>4810</v>
      </c>
      <c r="AR87" s="1" t="s">
        <v>1154</v>
      </c>
      <c r="AS87" s="1" t="s">
        <v>1155</v>
      </c>
      <c r="AT87" s="1" t="s">
        <v>329</v>
      </c>
      <c r="AU87" s="1">
        <v>91</v>
      </c>
      <c r="AV87" s="1">
        <v>0</v>
      </c>
      <c r="AW87" s="1" t="s">
        <v>4560</v>
      </c>
      <c r="AX87" s="1" t="s">
        <v>471</v>
      </c>
      <c r="AY87" s="1">
        <v>2</v>
      </c>
      <c r="AZ87" s="1">
        <v>0</v>
      </c>
      <c r="BA87" s="1" t="s">
        <v>4813</v>
      </c>
      <c r="BB87" s="1" t="s">
        <v>414</v>
      </c>
      <c r="BC87" s="1" t="s">
        <v>4825</v>
      </c>
      <c r="BD87" s="1">
        <v>10302</v>
      </c>
      <c r="BE87" s="1"/>
    </row>
    <row r="88" spans="1:57" x14ac:dyDescent="0.25">
      <c r="A88" s="1">
        <v>92</v>
      </c>
      <c r="B88" s="1" t="s">
        <v>3076</v>
      </c>
      <c r="C88" s="9" t="s">
        <v>116</v>
      </c>
      <c r="D88" s="1" t="s">
        <v>3077</v>
      </c>
      <c r="E88" s="1"/>
      <c r="F88" s="1"/>
      <c r="G88" s="1" t="s">
        <v>3078</v>
      </c>
      <c r="H88" s="1" t="s">
        <v>3079</v>
      </c>
      <c r="I88" s="1" t="s">
        <v>3080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1160</v>
      </c>
      <c r="AK88" s="1" t="s">
        <v>329</v>
      </c>
      <c r="AL88" s="1">
        <v>13</v>
      </c>
      <c r="AM88" s="1" t="s">
        <v>4858</v>
      </c>
      <c r="AN88" s="1" t="s">
        <v>4861</v>
      </c>
      <c r="AO88" s="1" t="s">
        <v>5008</v>
      </c>
      <c r="AP88" s="1">
        <v>0</v>
      </c>
      <c r="AQ88" s="1" t="s">
        <v>1164</v>
      </c>
      <c r="AR88" s="1" t="s">
        <v>1154</v>
      </c>
      <c r="AS88" s="1" t="s">
        <v>1781</v>
      </c>
      <c r="AT88" s="1" t="s">
        <v>329</v>
      </c>
      <c r="AU88" s="1">
        <v>92</v>
      </c>
      <c r="AV88" s="1">
        <v>0</v>
      </c>
      <c r="AW88" s="1" t="s">
        <v>4560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4807</v>
      </c>
      <c r="BD88" s="1">
        <v>10704</v>
      </c>
      <c r="BE88" s="1"/>
    </row>
    <row r="89" spans="1:57" x14ac:dyDescent="0.25">
      <c r="A89" s="1">
        <v>93</v>
      </c>
      <c r="B89" s="1" t="s">
        <v>3081</v>
      </c>
      <c r="C89" s="9" t="s">
        <v>117</v>
      </c>
      <c r="D89" s="1" t="s">
        <v>117</v>
      </c>
      <c r="E89" s="1"/>
      <c r="F89" s="1"/>
      <c r="G89" s="1" t="s">
        <v>3082</v>
      </c>
      <c r="H89" s="1" t="s">
        <v>3083</v>
      </c>
      <c r="I89" s="1" t="s">
        <v>3084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1210</v>
      </c>
      <c r="AK89" s="1" t="s">
        <v>329</v>
      </c>
      <c r="AL89" s="1">
        <v>13</v>
      </c>
      <c r="AM89" s="1" t="s">
        <v>4858</v>
      </c>
      <c r="AN89" s="1" t="s">
        <v>4863</v>
      </c>
      <c r="AO89" s="1" t="s">
        <v>5017</v>
      </c>
      <c r="AP89" s="1">
        <v>0</v>
      </c>
      <c r="AQ89" s="1" t="s">
        <v>1780</v>
      </c>
      <c r="AR89" s="1" t="s">
        <v>1154</v>
      </c>
      <c r="AS89" s="1" t="s">
        <v>1165</v>
      </c>
      <c r="AT89" s="1" t="s">
        <v>329</v>
      </c>
      <c r="AU89" s="1">
        <v>93</v>
      </c>
      <c r="AV89" s="1">
        <v>0</v>
      </c>
      <c r="AW89" s="1" t="s">
        <v>4560</v>
      </c>
      <c r="AX89" s="1" t="s">
        <v>471</v>
      </c>
      <c r="AY89" s="1">
        <v>2</v>
      </c>
      <c r="AZ89" s="1">
        <v>0</v>
      </c>
      <c r="BA89" s="1" t="s">
        <v>4813</v>
      </c>
      <c r="BB89" s="1" t="s">
        <v>5018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3085</v>
      </c>
      <c r="C90" s="9" t="s">
        <v>118</v>
      </c>
      <c r="D90" s="1" t="s">
        <v>3086</v>
      </c>
      <c r="E90" s="1"/>
      <c r="F90" s="1"/>
      <c r="G90" s="1" t="s">
        <v>3087</v>
      </c>
      <c r="H90" s="1" t="s">
        <v>3088</v>
      </c>
      <c r="I90" s="1" t="s">
        <v>3089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1156</v>
      </c>
      <c r="AK90" s="1" t="s">
        <v>329</v>
      </c>
      <c r="AL90" s="1">
        <v>13</v>
      </c>
      <c r="AM90" s="1" t="s">
        <v>4858</v>
      </c>
      <c r="AN90" s="1" t="s">
        <v>4861</v>
      </c>
      <c r="AO90" s="1" t="s">
        <v>5019</v>
      </c>
      <c r="AP90" s="1">
        <v>0</v>
      </c>
      <c r="AQ90" s="1" t="s">
        <v>1780</v>
      </c>
      <c r="AR90" s="1" t="s">
        <v>1154</v>
      </c>
      <c r="AS90" s="1" t="s">
        <v>1781</v>
      </c>
      <c r="AT90" s="1" t="s">
        <v>329</v>
      </c>
      <c r="AU90" s="1">
        <v>94</v>
      </c>
      <c r="AV90" s="1">
        <v>0</v>
      </c>
      <c r="AW90" s="1" t="s">
        <v>4560</v>
      </c>
      <c r="AX90" s="1" t="s">
        <v>471</v>
      </c>
      <c r="AY90" s="1">
        <v>2</v>
      </c>
      <c r="AZ90" s="1">
        <v>0</v>
      </c>
      <c r="BA90" s="1" t="s">
        <v>4813</v>
      </c>
      <c r="BB90" s="1" t="s">
        <v>5020</v>
      </c>
      <c r="BC90" s="1" t="s">
        <v>4851</v>
      </c>
      <c r="BD90" s="1">
        <v>10705</v>
      </c>
      <c r="BE90" s="1"/>
    </row>
    <row r="91" spans="1:57" x14ac:dyDescent="0.25">
      <c r="A91" s="1">
        <v>95</v>
      </c>
      <c r="B91" s="1" t="s">
        <v>3090</v>
      </c>
      <c r="C91" s="9" t="s">
        <v>119</v>
      </c>
      <c r="D91" s="1" t="s">
        <v>3091</v>
      </c>
      <c r="E91" s="1"/>
      <c r="F91" s="1"/>
      <c r="G91" s="1" t="s">
        <v>3092</v>
      </c>
      <c r="H91" s="1" t="s">
        <v>3093</v>
      </c>
      <c r="I91" s="1" t="s">
        <v>3094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1211</v>
      </c>
      <c r="AK91" s="1" t="s">
        <v>329</v>
      </c>
      <c r="AL91" s="1">
        <v>13</v>
      </c>
      <c r="AM91" s="1" t="s">
        <v>4830</v>
      </c>
      <c r="AN91" s="1" t="s">
        <v>476</v>
      </c>
      <c r="AO91" s="1" t="s">
        <v>4894</v>
      </c>
      <c r="AP91" s="1">
        <v>0</v>
      </c>
      <c r="AQ91" s="1" t="s">
        <v>1782</v>
      </c>
      <c r="AR91" s="1" t="s">
        <v>4903</v>
      </c>
      <c r="AS91" s="1" t="s">
        <v>1177</v>
      </c>
      <c r="AT91" s="1" t="s">
        <v>329</v>
      </c>
      <c r="AU91" s="1">
        <v>95</v>
      </c>
      <c r="AV91" s="1">
        <v>0</v>
      </c>
      <c r="AW91" s="1" t="s">
        <v>4560</v>
      </c>
      <c r="AX91" s="1" t="s">
        <v>332</v>
      </c>
      <c r="AY91" s="1">
        <v>3</v>
      </c>
      <c r="AZ91" s="1">
        <v>0</v>
      </c>
      <c r="BA91" s="1" t="s">
        <v>4833</v>
      </c>
      <c r="BB91" s="1" t="s">
        <v>5020</v>
      </c>
      <c r="BC91" s="1" t="s">
        <v>4851</v>
      </c>
      <c r="BD91" s="1">
        <v>10701</v>
      </c>
      <c r="BE91" s="1"/>
    </row>
    <row r="92" spans="1:57" x14ac:dyDescent="0.25">
      <c r="A92" s="1">
        <v>96</v>
      </c>
      <c r="B92" s="1" t="s">
        <v>3095</v>
      </c>
      <c r="C92" s="9" t="s">
        <v>120</v>
      </c>
      <c r="D92" s="1" t="s">
        <v>120</v>
      </c>
      <c r="E92" s="1"/>
      <c r="F92" s="1"/>
      <c r="G92" s="1" t="s">
        <v>3096</v>
      </c>
      <c r="H92" s="1" t="s">
        <v>3097</v>
      </c>
      <c r="I92" s="1" t="s">
        <v>3098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1212</v>
      </c>
      <c r="AL92" s="1">
        <v>13</v>
      </c>
      <c r="AM92" s="1" t="s">
        <v>1874</v>
      </c>
      <c r="AN92" s="1" t="s">
        <v>5021</v>
      </c>
      <c r="AO92" s="1" t="s">
        <v>5022</v>
      </c>
      <c r="AP92" s="1">
        <v>0</v>
      </c>
      <c r="AQ92" s="1" t="s">
        <v>1153</v>
      </c>
      <c r="AR92" s="1" t="s">
        <v>1154</v>
      </c>
      <c r="AS92" s="1" t="s">
        <v>4829</v>
      </c>
      <c r="AT92" s="1" t="s">
        <v>329</v>
      </c>
      <c r="AU92" s="1">
        <v>96</v>
      </c>
      <c r="AV92" s="1">
        <v>0</v>
      </c>
      <c r="AW92" s="1" t="s">
        <v>4560</v>
      </c>
      <c r="AX92" s="1" t="s">
        <v>4830</v>
      </c>
      <c r="AY92" s="1">
        <v>5</v>
      </c>
      <c r="AZ92" s="1">
        <v>0</v>
      </c>
      <c r="BA92" s="1" t="s">
        <v>329</v>
      </c>
      <c r="BB92" s="1" t="s">
        <v>5023</v>
      </c>
      <c r="BC92" s="1" t="s">
        <v>4788</v>
      </c>
      <c r="BD92" s="1">
        <v>10401</v>
      </c>
      <c r="BE92" s="1"/>
    </row>
    <row r="93" spans="1:57" x14ac:dyDescent="0.25">
      <c r="A93" s="1">
        <v>97</v>
      </c>
      <c r="B93" s="1" t="s">
        <v>3099</v>
      </c>
      <c r="C93" s="9" t="s">
        <v>121</v>
      </c>
      <c r="D93" s="1" t="s">
        <v>121</v>
      </c>
      <c r="E93" s="1"/>
      <c r="F93" s="1"/>
      <c r="G93" s="1" t="s">
        <v>3100</v>
      </c>
      <c r="H93" s="1" t="s">
        <v>3101</v>
      </c>
      <c r="I93" s="1" t="s">
        <v>3102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1874</v>
      </c>
      <c r="AN93" s="1" t="s">
        <v>4852</v>
      </c>
      <c r="AO93" s="1" t="s">
        <v>4885</v>
      </c>
      <c r="AP93" s="1">
        <v>0</v>
      </c>
      <c r="AQ93" s="1" t="s">
        <v>4810</v>
      </c>
      <c r="AR93" s="1" t="s">
        <v>1154</v>
      </c>
      <c r="AS93" s="1" t="s">
        <v>1155</v>
      </c>
      <c r="AT93" s="1" t="s">
        <v>329</v>
      </c>
      <c r="AU93" s="1">
        <v>97</v>
      </c>
      <c r="AV93" s="1">
        <v>0</v>
      </c>
      <c r="AW93" s="1" t="s">
        <v>4560</v>
      </c>
      <c r="AX93" s="1" t="s">
        <v>5024</v>
      </c>
      <c r="AY93" s="1">
        <v>5</v>
      </c>
      <c r="AZ93" s="1">
        <v>0</v>
      </c>
      <c r="BA93" s="1" t="s">
        <v>4923</v>
      </c>
      <c r="BB93" s="1" t="s">
        <v>5025</v>
      </c>
      <c r="BC93" s="1" t="s">
        <v>4788</v>
      </c>
      <c r="BD93" s="1">
        <v>10202</v>
      </c>
      <c r="BE93" s="1"/>
    </row>
    <row r="94" spans="1:57" x14ac:dyDescent="0.25">
      <c r="A94" s="1">
        <v>98</v>
      </c>
      <c r="B94" s="1" t="s">
        <v>3103</v>
      </c>
      <c r="C94" s="9" t="s">
        <v>1655</v>
      </c>
      <c r="D94" s="1" t="s">
        <v>1655</v>
      </c>
      <c r="E94" s="1"/>
      <c r="F94" s="1"/>
      <c r="G94" s="1" t="s">
        <v>3104</v>
      </c>
      <c r="H94" s="1" t="s">
        <v>3105</v>
      </c>
      <c r="I94" s="1" t="s">
        <v>3106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1874</v>
      </c>
      <c r="AN94" s="1" t="s">
        <v>5026</v>
      </c>
      <c r="AO94" s="1" t="s">
        <v>5027</v>
      </c>
      <c r="AP94" s="1">
        <v>0</v>
      </c>
      <c r="AQ94" s="1" t="s">
        <v>1153</v>
      </c>
      <c r="AR94" s="1" t="s">
        <v>1154</v>
      </c>
      <c r="AS94" s="1" t="s">
        <v>1155</v>
      </c>
      <c r="AT94" s="1" t="s">
        <v>329</v>
      </c>
      <c r="AU94" s="1">
        <v>98</v>
      </c>
      <c r="AV94" s="1">
        <v>0</v>
      </c>
      <c r="AW94" s="1" t="s">
        <v>5028</v>
      </c>
      <c r="AX94" s="1" t="s">
        <v>1874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4825</v>
      </c>
      <c r="BD94" s="1">
        <v>10802</v>
      </c>
      <c r="BE94" s="1"/>
    </row>
    <row r="95" spans="1:57" x14ac:dyDescent="0.25">
      <c r="A95" s="1">
        <v>99</v>
      </c>
      <c r="B95" s="1" t="s">
        <v>3107</v>
      </c>
      <c r="C95" s="9" t="s">
        <v>1213</v>
      </c>
      <c r="D95" s="1" t="s">
        <v>1213</v>
      </c>
      <c r="E95" s="1"/>
      <c r="F95" s="1"/>
      <c r="G95" s="1" t="s">
        <v>3108</v>
      </c>
      <c r="H95" s="1" t="s">
        <v>3109</v>
      </c>
      <c r="I95" s="1" t="s">
        <v>3110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1874</v>
      </c>
      <c r="AN95" s="1" t="s">
        <v>4831</v>
      </c>
      <c r="AO95" s="1" t="s">
        <v>4892</v>
      </c>
      <c r="AP95" s="1">
        <v>0</v>
      </c>
      <c r="AQ95" s="1" t="s">
        <v>1153</v>
      </c>
      <c r="AR95" s="1" t="s">
        <v>1154</v>
      </c>
      <c r="AS95" s="1" t="s">
        <v>1155</v>
      </c>
      <c r="AT95" s="1" t="s">
        <v>329</v>
      </c>
      <c r="AU95" s="1">
        <v>99</v>
      </c>
      <c r="AV95" s="1">
        <v>0</v>
      </c>
      <c r="AW95" s="1" t="s">
        <v>4560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5029</v>
      </c>
      <c r="BC95" s="1" t="s">
        <v>4837</v>
      </c>
      <c r="BD95" s="1">
        <v>10302</v>
      </c>
      <c r="BE95" s="1"/>
    </row>
    <row r="96" spans="1:57" x14ac:dyDescent="0.25">
      <c r="A96" s="1">
        <v>100</v>
      </c>
      <c r="B96" s="1" t="s">
        <v>3111</v>
      </c>
      <c r="C96" s="9" t="s">
        <v>122</v>
      </c>
      <c r="D96" s="1" t="s">
        <v>122</v>
      </c>
      <c r="E96" s="1"/>
      <c r="F96" s="1"/>
      <c r="G96" s="1" t="s">
        <v>3112</v>
      </c>
      <c r="H96" s="1" t="s">
        <v>3113</v>
      </c>
      <c r="I96" s="1" t="s">
        <v>3114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1874</v>
      </c>
      <c r="AN96" s="1" t="s">
        <v>5030</v>
      </c>
      <c r="AO96" s="1" t="s">
        <v>4935</v>
      </c>
      <c r="AP96" s="1">
        <v>0</v>
      </c>
      <c r="AQ96" s="1" t="s">
        <v>1153</v>
      </c>
      <c r="AR96" s="1" t="s">
        <v>1154</v>
      </c>
      <c r="AS96" s="1" t="s">
        <v>1155</v>
      </c>
      <c r="AT96" s="1" t="s">
        <v>329</v>
      </c>
      <c r="AU96" s="1">
        <v>100</v>
      </c>
      <c r="AV96" s="1">
        <v>0</v>
      </c>
      <c r="AW96" s="1" t="s">
        <v>4560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5031</v>
      </c>
      <c r="BC96" s="1" t="s">
        <v>4837</v>
      </c>
      <c r="BD96" s="1">
        <v>10303</v>
      </c>
      <c r="BE96" s="1"/>
    </row>
    <row r="97" spans="1:57" x14ac:dyDescent="0.25">
      <c r="A97" s="1">
        <v>101</v>
      </c>
      <c r="B97" s="1" t="s">
        <v>3115</v>
      </c>
      <c r="C97" s="9" t="s">
        <v>123</v>
      </c>
      <c r="D97" s="1" t="s">
        <v>123</v>
      </c>
      <c r="E97" s="1"/>
      <c r="F97" s="1"/>
      <c r="G97" s="1" t="s">
        <v>3116</v>
      </c>
      <c r="H97" s="1" t="s">
        <v>3117</v>
      </c>
      <c r="I97" s="1" t="s">
        <v>3118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1214</v>
      </c>
      <c r="AK97" s="1" t="s">
        <v>329</v>
      </c>
      <c r="AL97" s="1">
        <v>13</v>
      </c>
      <c r="AM97" s="1" t="s">
        <v>4858</v>
      </c>
      <c r="AN97" s="1" t="s">
        <v>4863</v>
      </c>
      <c r="AO97" s="1" t="s">
        <v>5032</v>
      </c>
      <c r="AP97" s="1">
        <v>0</v>
      </c>
      <c r="AQ97" s="1" t="s">
        <v>1780</v>
      </c>
      <c r="AR97" s="1" t="s">
        <v>1154</v>
      </c>
      <c r="AS97" s="1" t="s">
        <v>1781</v>
      </c>
      <c r="AT97" s="1" t="s">
        <v>329</v>
      </c>
      <c r="AU97" s="1">
        <v>101</v>
      </c>
      <c r="AV97" s="1">
        <v>0</v>
      </c>
      <c r="AW97" s="1" t="s">
        <v>4560</v>
      </c>
      <c r="AX97" s="1" t="s">
        <v>4865</v>
      </c>
      <c r="AY97" s="1">
        <v>4</v>
      </c>
      <c r="AZ97" s="1">
        <v>0</v>
      </c>
      <c r="BA97" s="1" t="s">
        <v>4811</v>
      </c>
      <c r="BB97" s="1" t="s">
        <v>5033</v>
      </c>
      <c r="BC97" s="1" t="s">
        <v>4957</v>
      </c>
      <c r="BD97" s="1">
        <v>10104</v>
      </c>
      <c r="BE97" s="1"/>
    </row>
    <row r="98" spans="1:57" x14ac:dyDescent="0.25">
      <c r="A98" s="1">
        <v>102</v>
      </c>
      <c r="B98" s="1" t="s">
        <v>3119</v>
      </c>
      <c r="C98" s="9" t="s">
        <v>24</v>
      </c>
      <c r="D98" s="1" t="s">
        <v>24</v>
      </c>
      <c r="E98" s="1"/>
      <c r="F98" s="1"/>
      <c r="G98" s="1" t="s">
        <v>3120</v>
      </c>
      <c r="H98" s="1" t="s">
        <v>3121</v>
      </c>
      <c r="I98" s="1" t="s">
        <v>3122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1215</v>
      </c>
      <c r="AK98" s="1" t="s">
        <v>329</v>
      </c>
      <c r="AL98" s="1">
        <v>13</v>
      </c>
      <c r="AM98" s="1" t="s">
        <v>4787</v>
      </c>
      <c r="AN98" s="1" t="s">
        <v>4815</v>
      </c>
      <c r="AO98" s="1" t="s">
        <v>5034</v>
      </c>
      <c r="AP98" s="1">
        <v>0</v>
      </c>
      <c r="AQ98" s="1" t="s">
        <v>1780</v>
      </c>
      <c r="AR98" s="1" t="s">
        <v>1154</v>
      </c>
      <c r="AS98" s="1" t="s">
        <v>1165</v>
      </c>
      <c r="AT98" s="1" t="s">
        <v>329</v>
      </c>
      <c r="AU98" s="1">
        <v>102</v>
      </c>
      <c r="AV98" s="1">
        <v>0</v>
      </c>
      <c r="AW98" s="1" t="s">
        <v>5035</v>
      </c>
      <c r="AX98" s="1" t="s">
        <v>1874</v>
      </c>
      <c r="AY98" s="1">
        <v>4</v>
      </c>
      <c r="AZ98" s="1">
        <v>0</v>
      </c>
      <c r="BA98" s="1" t="s">
        <v>329</v>
      </c>
      <c r="BB98" s="1" t="s">
        <v>5036</v>
      </c>
      <c r="BC98" s="1" t="s">
        <v>4837</v>
      </c>
      <c r="BD98" s="1">
        <v>0</v>
      </c>
      <c r="BE98" s="1"/>
    </row>
    <row r="99" spans="1:57" x14ac:dyDescent="0.25">
      <c r="A99" s="1">
        <v>103</v>
      </c>
      <c r="B99" s="1" t="s">
        <v>3123</v>
      </c>
      <c r="C99" s="9" t="s">
        <v>23</v>
      </c>
      <c r="D99" s="1" t="s">
        <v>23</v>
      </c>
      <c r="E99" s="1"/>
      <c r="F99" s="1"/>
      <c r="G99" s="1" t="s">
        <v>3124</v>
      </c>
      <c r="H99" s="1" t="s">
        <v>3125</v>
      </c>
      <c r="I99" s="1" t="s">
        <v>3126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1216</v>
      </c>
      <c r="AK99" s="1" t="s">
        <v>329</v>
      </c>
      <c r="AL99" s="1">
        <v>13</v>
      </c>
      <c r="AM99" s="1" t="s">
        <v>4858</v>
      </c>
      <c r="AN99" s="1" t="s">
        <v>4863</v>
      </c>
      <c r="AO99" s="1" t="s">
        <v>4930</v>
      </c>
      <c r="AP99" s="1">
        <v>0</v>
      </c>
      <c r="AQ99" s="1" t="s">
        <v>1780</v>
      </c>
      <c r="AR99" s="1" t="s">
        <v>1154</v>
      </c>
      <c r="AS99" s="1" t="s">
        <v>1781</v>
      </c>
      <c r="AT99" s="1" t="s">
        <v>329</v>
      </c>
      <c r="AU99" s="1">
        <v>103</v>
      </c>
      <c r="AV99" s="1">
        <v>0</v>
      </c>
      <c r="AW99" s="1" t="s">
        <v>5037</v>
      </c>
      <c r="AX99" s="1" t="s">
        <v>4865</v>
      </c>
      <c r="AY99" s="1">
        <v>4</v>
      </c>
      <c r="AZ99" s="1">
        <v>0</v>
      </c>
      <c r="BA99" s="1" t="s">
        <v>4811</v>
      </c>
      <c r="BB99" s="1" t="s">
        <v>5038</v>
      </c>
      <c r="BC99" s="1" t="s">
        <v>4957</v>
      </c>
      <c r="BD99" s="1">
        <v>10104</v>
      </c>
      <c r="BE99" s="1"/>
    </row>
    <row r="100" spans="1:57" x14ac:dyDescent="0.25">
      <c r="A100" s="1">
        <v>104</v>
      </c>
      <c r="B100" s="1" t="s">
        <v>3127</v>
      </c>
      <c r="C100" s="9" t="s">
        <v>1637</v>
      </c>
      <c r="D100" s="1" t="s">
        <v>3128</v>
      </c>
      <c r="E100" s="1"/>
      <c r="F100" s="1"/>
      <c r="G100" s="1" t="s">
        <v>3129</v>
      </c>
      <c r="H100" s="1" t="s">
        <v>3130</v>
      </c>
      <c r="I100" s="1" t="s">
        <v>3131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4858</v>
      </c>
      <c r="AN100" s="1" t="s">
        <v>4863</v>
      </c>
      <c r="AO100" s="1" t="s">
        <v>4985</v>
      </c>
      <c r="AP100" s="1">
        <v>0</v>
      </c>
      <c r="AQ100" s="1" t="s">
        <v>1780</v>
      </c>
      <c r="AR100" s="1" t="s">
        <v>1154</v>
      </c>
      <c r="AS100" s="1" t="s">
        <v>1165</v>
      </c>
      <c r="AT100" s="1" t="s">
        <v>329</v>
      </c>
      <c r="AU100" s="1">
        <v>104</v>
      </c>
      <c r="AV100" s="1">
        <v>0</v>
      </c>
      <c r="AW100" s="1" t="s">
        <v>5039</v>
      </c>
      <c r="AX100" s="1" t="s">
        <v>332</v>
      </c>
      <c r="AY100" s="1">
        <v>5</v>
      </c>
      <c r="AZ100" s="1">
        <v>0</v>
      </c>
      <c r="BA100" s="1" t="s">
        <v>4923</v>
      </c>
      <c r="BB100" s="1" t="s">
        <v>5040</v>
      </c>
      <c r="BC100" s="1" t="s">
        <v>4837</v>
      </c>
      <c r="BD100" s="1">
        <v>10703</v>
      </c>
      <c r="BE100" s="1"/>
    </row>
    <row r="101" spans="1:57" x14ac:dyDescent="0.25">
      <c r="A101" s="1">
        <v>105</v>
      </c>
      <c r="B101" s="1" t="s">
        <v>3132</v>
      </c>
      <c r="C101" s="9" t="s">
        <v>727</v>
      </c>
      <c r="D101" s="1" t="s">
        <v>727</v>
      </c>
      <c r="E101" s="1"/>
      <c r="F101" s="1"/>
      <c r="G101" s="1" t="s">
        <v>3133</v>
      </c>
      <c r="H101" s="1" t="s">
        <v>3134</v>
      </c>
      <c r="I101" s="1" t="s">
        <v>3135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1160</v>
      </c>
      <c r="AK101" s="1" t="s">
        <v>329</v>
      </c>
      <c r="AL101" s="1">
        <v>13</v>
      </c>
      <c r="AM101" s="1" t="s">
        <v>4787</v>
      </c>
      <c r="AN101" s="1" t="s">
        <v>4897</v>
      </c>
      <c r="AO101" s="1" t="s">
        <v>5041</v>
      </c>
      <c r="AP101" s="1">
        <v>0</v>
      </c>
      <c r="AQ101" s="1" t="s">
        <v>1165</v>
      </c>
      <c r="AR101" s="1" t="s">
        <v>4936</v>
      </c>
      <c r="AS101" s="1" t="s">
        <v>1164</v>
      </c>
      <c r="AT101" s="1" t="s">
        <v>329</v>
      </c>
      <c r="AU101" s="1">
        <v>105</v>
      </c>
      <c r="AV101" s="1">
        <v>0</v>
      </c>
      <c r="AW101" s="1" t="s">
        <v>4560</v>
      </c>
      <c r="AX101" s="1" t="s">
        <v>4865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4825</v>
      </c>
      <c r="BD101" s="1">
        <v>10704</v>
      </c>
      <c r="BE101" s="1"/>
    </row>
    <row r="102" spans="1:57" x14ac:dyDescent="0.25">
      <c r="A102" s="1">
        <v>106</v>
      </c>
      <c r="B102" s="1" t="s">
        <v>3136</v>
      </c>
      <c r="C102" s="9" t="s">
        <v>124</v>
      </c>
      <c r="D102" s="1" t="s">
        <v>3137</v>
      </c>
      <c r="E102" s="1"/>
      <c r="F102" s="1"/>
      <c r="G102" s="1" t="s">
        <v>3138</v>
      </c>
      <c r="H102" s="1" t="s">
        <v>3139</v>
      </c>
      <c r="I102" s="1" t="s">
        <v>3140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5042</v>
      </c>
      <c r="AK102" s="1" t="s">
        <v>1217</v>
      </c>
      <c r="AL102" s="1">
        <v>13</v>
      </c>
      <c r="AM102" s="1" t="s">
        <v>4787</v>
      </c>
      <c r="AN102" s="1" t="s">
        <v>4932</v>
      </c>
      <c r="AO102" s="1" t="s">
        <v>5017</v>
      </c>
      <c r="AP102" s="1">
        <v>0</v>
      </c>
      <c r="AQ102" s="1" t="s">
        <v>1165</v>
      </c>
      <c r="AR102" s="1" t="s">
        <v>1189</v>
      </c>
      <c r="AS102" s="1" t="s">
        <v>1164</v>
      </c>
      <c r="AT102" s="1" t="s">
        <v>329</v>
      </c>
      <c r="AU102" s="1">
        <v>106</v>
      </c>
      <c r="AV102" s="1">
        <v>0</v>
      </c>
      <c r="AW102" s="1" t="s">
        <v>4560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5043</v>
      </c>
      <c r="BC102" s="1" t="s">
        <v>4921</v>
      </c>
      <c r="BD102" s="1">
        <v>10202</v>
      </c>
      <c r="BE102" s="1"/>
    </row>
    <row r="103" spans="1:57" x14ac:dyDescent="0.25">
      <c r="A103" s="1">
        <v>107</v>
      </c>
      <c r="B103" s="1" t="s">
        <v>3141</v>
      </c>
      <c r="C103" s="9" t="s">
        <v>1218</v>
      </c>
      <c r="D103" s="1" t="s">
        <v>1218</v>
      </c>
      <c r="E103" s="1"/>
      <c r="F103" s="1"/>
      <c r="G103" s="1" t="s">
        <v>3142</v>
      </c>
      <c r="H103" s="1" t="s">
        <v>3143</v>
      </c>
      <c r="I103" s="1" t="s">
        <v>3144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1160</v>
      </c>
      <c r="AK103" s="1" t="s">
        <v>329</v>
      </c>
      <c r="AL103" s="1">
        <v>13</v>
      </c>
      <c r="AM103" s="1" t="s">
        <v>4787</v>
      </c>
      <c r="AN103" s="1" t="s">
        <v>476</v>
      </c>
      <c r="AO103" s="1" t="s">
        <v>5044</v>
      </c>
      <c r="AP103" s="1">
        <v>0</v>
      </c>
      <c r="AQ103" s="1" t="s">
        <v>1781</v>
      </c>
      <c r="AR103" s="1" t="s">
        <v>1189</v>
      </c>
      <c r="AS103" s="1" t="s">
        <v>1164</v>
      </c>
      <c r="AT103" s="1" t="s">
        <v>329</v>
      </c>
      <c r="AU103" s="1">
        <v>107</v>
      </c>
      <c r="AV103" s="1">
        <v>0</v>
      </c>
      <c r="AW103" s="1" t="s">
        <v>4560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5045</v>
      </c>
      <c r="BC103" s="1" t="s">
        <v>4921</v>
      </c>
      <c r="BD103" s="1">
        <v>10202</v>
      </c>
      <c r="BE103" s="1"/>
    </row>
    <row r="104" spans="1:57" x14ac:dyDescent="0.25">
      <c r="A104" s="1">
        <v>108</v>
      </c>
      <c r="B104" s="1" t="s">
        <v>3145</v>
      </c>
      <c r="C104" s="9" t="s">
        <v>1656</v>
      </c>
      <c r="D104" s="1" t="s">
        <v>1656</v>
      </c>
      <c r="E104" s="1"/>
      <c r="F104" s="1"/>
      <c r="G104" s="1" t="s">
        <v>3146</v>
      </c>
      <c r="H104" s="1" t="s">
        <v>3147</v>
      </c>
      <c r="I104" s="1" t="s">
        <v>3148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1156</v>
      </c>
      <c r="AK104" s="1" t="s">
        <v>329</v>
      </c>
      <c r="AL104" s="1">
        <v>13</v>
      </c>
      <c r="AM104" s="1" t="s">
        <v>4787</v>
      </c>
      <c r="AN104" s="1" t="s">
        <v>4902</v>
      </c>
      <c r="AO104" s="1" t="s">
        <v>5046</v>
      </c>
      <c r="AP104" s="1">
        <v>0</v>
      </c>
      <c r="AQ104" s="1" t="s">
        <v>1165</v>
      </c>
      <c r="AR104" s="1" t="s">
        <v>1189</v>
      </c>
      <c r="AS104" s="1" t="s">
        <v>1164</v>
      </c>
      <c r="AT104" s="1" t="s">
        <v>329</v>
      </c>
      <c r="AU104" s="1">
        <v>108</v>
      </c>
      <c r="AV104" s="1">
        <v>0</v>
      </c>
      <c r="AW104" s="1" t="s">
        <v>4560</v>
      </c>
      <c r="AX104" s="1" t="s">
        <v>5047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3149</v>
      </c>
      <c r="C105" s="9" t="s">
        <v>301</v>
      </c>
      <c r="D105" s="1" t="s">
        <v>301</v>
      </c>
      <c r="E105" s="1"/>
      <c r="F105" s="1"/>
      <c r="G105" s="1" t="s">
        <v>3150</v>
      </c>
      <c r="H105" s="1" t="s">
        <v>3151</v>
      </c>
      <c r="I105" s="1" t="s">
        <v>3152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1201</v>
      </c>
      <c r="AK105" s="1" t="s">
        <v>329</v>
      </c>
      <c r="AL105" s="1">
        <v>18</v>
      </c>
      <c r="AM105" s="1" t="s">
        <v>4926</v>
      </c>
      <c r="AN105" s="1" t="s">
        <v>4999</v>
      </c>
      <c r="AO105" s="1" t="s">
        <v>4806</v>
      </c>
      <c r="AP105" s="1">
        <v>0</v>
      </c>
      <c r="AQ105" s="1" t="s">
        <v>1202</v>
      </c>
      <c r="AR105" s="1" t="s">
        <v>1203</v>
      </c>
      <c r="AS105" s="1" t="s">
        <v>1204</v>
      </c>
      <c r="AT105" s="1" t="s">
        <v>329</v>
      </c>
      <c r="AU105" s="1">
        <v>109</v>
      </c>
      <c r="AV105" s="1">
        <v>0</v>
      </c>
      <c r="AW105" s="1" t="s">
        <v>4560</v>
      </c>
      <c r="AX105" s="1" t="s">
        <v>5048</v>
      </c>
      <c r="AY105" s="1">
        <v>5</v>
      </c>
      <c r="AZ105" s="1">
        <v>0</v>
      </c>
      <c r="BA105" s="1" t="s">
        <v>329</v>
      </c>
      <c r="BB105" s="1" t="s">
        <v>5049</v>
      </c>
      <c r="BC105" s="1" t="s">
        <v>4837</v>
      </c>
      <c r="BD105" s="1">
        <v>10402</v>
      </c>
      <c r="BE105" s="1"/>
    </row>
    <row r="106" spans="1:57" x14ac:dyDescent="0.25">
      <c r="A106" s="1">
        <v>110</v>
      </c>
      <c r="B106" s="1" t="s">
        <v>3153</v>
      </c>
      <c r="C106" s="9" t="s">
        <v>125</v>
      </c>
      <c r="D106" s="1" t="s">
        <v>125</v>
      </c>
      <c r="E106" s="1"/>
      <c r="F106" s="1"/>
      <c r="G106" s="1" t="s">
        <v>3154</v>
      </c>
      <c r="H106" s="1" t="s">
        <v>3155</v>
      </c>
      <c r="I106" s="1" t="s">
        <v>3156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1205</v>
      </c>
      <c r="AK106" s="1" t="s">
        <v>329</v>
      </c>
      <c r="AL106" s="1">
        <v>18</v>
      </c>
      <c r="AM106" s="1" t="s">
        <v>4926</v>
      </c>
      <c r="AN106" s="1" t="s">
        <v>4999</v>
      </c>
      <c r="AO106" s="1" t="s">
        <v>5050</v>
      </c>
      <c r="AP106" s="1">
        <v>0</v>
      </c>
      <c r="AQ106" s="1" t="s">
        <v>1202</v>
      </c>
      <c r="AR106" s="1" t="s">
        <v>4979</v>
      </c>
      <c r="AS106" s="1" t="s">
        <v>1204</v>
      </c>
      <c r="AT106" s="1" t="s">
        <v>329</v>
      </c>
      <c r="AU106" s="1">
        <v>110</v>
      </c>
      <c r="AV106" s="1">
        <v>0</v>
      </c>
      <c r="AW106" s="1" t="s">
        <v>4560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4837</v>
      </c>
      <c r="BD106" s="1">
        <v>10303</v>
      </c>
      <c r="BE106" s="1"/>
    </row>
    <row r="107" spans="1:57" x14ac:dyDescent="0.25">
      <c r="A107" s="1">
        <v>111</v>
      </c>
      <c r="B107" s="1" t="s">
        <v>3157</v>
      </c>
      <c r="C107" s="9" t="s">
        <v>1657</v>
      </c>
      <c r="D107" s="1" t="s">
        <v>1657</v>
      </c>
      <c r="E107" s="1"/>
      <c r="F107" s="1"/>
      <c r="G107" s="1" t="s">
        <v>3158</v>
      </c>
      <c r="H107" s="1" t="s">
        <v>3159</v>
      </c>
      <c r="I107" s="1" t="s">
        <v>3160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1205</v>
      </c>
      <c r="AK107" s="1" t="s">
        <v>329</v>
      </c>
      <c r="AL107" s="1">
        <v>17</v>
      </c>
      <c r="AM107" s="1" t="s">
        <v>4926</v>
      </c>
      <c r="AN107" s="1" t="s">
        <v>899</v>
      </c>
      <c r="AO107" s="1" t="s">
        <v>5019</v>
      </c>
      <c r="AP107" s="1">
        <v>0</v>
      </c>
      <c r="AQ107" s="1" t="s">
        <v>1202</v>
      </c>
      <c r="AR107" s="1" t="s">
        <v>1203</v>
      </c>
      <c r="AS107" s="1" t="s">
        <v>1204</v>
      </c>
      <c r="AT107" s="1" t="s">
        <v>329</v>
      </c>
      <c r="AU107" s="1">
        <v>111</v>
      </c>
      <c r="AV107" s="1">
        <v>0</v>
      </c>
      <c r="AW107" s="1" t="s">
        <v>4560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5051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3161</v>
      </c>
      <c r="C108" s="9" t="s">
        <v>126</v>
      </c>
      <c r="D108" s="1" t="s">
        <v>3162</v>
      </c>
      <c r="E108" s="1"/>
      <c r="F108" s="1"/>
      <c r="G108" s="1" t="s">
        <v>3163</v>
      </c>
      <c r="H108" s="1" t="s">
        <v>3164</v>
      </c>
      <c r="I108" s="1" t="s">
        <v>3165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1219</v>
      </c>
      <c r="AK108" s="1" t="s">
        <v>329</v>
      </c>
      <c r="AL108" s="1">
        <v>18</v>
      </c>
      <c r="AM108" s="1" t="s">
        <v>4926</v>
      </c>
      <c r="AN108" s="1" t="s">
        <v>5052</v>
      </c>
      <c r="AO108" s="1" t="s">
        <v>5053</v>
      </c>
      <c r="AP108" s="1">
        <v>0</v>
      </c>
      <c r="AQ108" s="1" t="s">
        <v>1202</v>
      </c>
      <c r="AR108" s="1" t="s">
        <v>1203</v>
      </c>
      <c r="AS108" s="1" t="s">
        <v>1204</v>
      </c>
      <c r="AT108" s="1" t="s">
        <v>329</v>
      </c>
      <c r="AU108" s="1">
        <v>112</v>
      </c>
      <c r="AV108" s="1">
        <v>0</v>
      </c>
      <c r="AW108" s="1" t="s">
        <v>4560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5054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3166</v>
      </c>
      <c r="C109" s="9" t="s">
        <v>750</v>
      </c>
      <c r="D109" s="1" t="s">
        <v>3167</v>
      </c>
      <c r="E109" s="1"/>
      <c r="F109" s="1"/>
      <c r="G109" s="1" t="s">
        <v>3168</v>
      </c>
      <c r="H109" s="1" t="s">
        <v>3169</v>
      </c>
      <c r="I109" s="1" t="s">
        <v>3170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5055</v>
      </c>
      <c r="AK109" s="1" t="s">
        <v>329</v>
      </c>
      <c r="AL109" s="1">
        <v>13</v>
      </c>
      <c r="AM109" s="1" t="s">
        <v>1874</v>
      </c>
      <c r="AN109" s="1" t="s">
        <v>4822</v>
      </c>
      <c r="AO109" s="1" t="s">
        <v>4971</v>
      </c>
      <c r="AP109" s="1">
        <v>0</v>
      </c>
      <c r="AQ109" s="1" t="s">
        <v>4810</v>
      </c>
      <c r="AR109" s="1" t="s">
        <v>1154</v>
      </c>
      <c r="AS109" s="1" t="s">
        <v>1155</v>
      </c>
      <c r="AT109" s="1" t="s">
        <v>329</v>
      </c>
      <c r="AU109" s="1">
        <v>113</v>
      </c>
      <c r="AV109" s="1">
        <v>0</v>
      </c>
      <c r="AW109" s="1" t="s">
        <v>5056</v>
      </c>
      <c r="AX109" s="1" t="s">
        <v>5002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4825</v>
      </c>
      <c r="BD109" s="1">
        <v>10801</v>
      </c>
      <c r="BE109" s="1"/>
    </row>
    <row r="110" spans="1:57" x14ac:dyDescent="0.25">
      <c r="A110" s="1">
        <v>114</v>
      </c>
      <c r="B110" s="1" t="s">
        <v>3171</v>
      </c>
      <c r="C110" s="9" t="s">
        <v>838</v>
      </c>
      <c r="D110" s="1" t="s">
        <v>3172</v>
      </c>
      <c r="E110" s="1"/>
      <c r="F110" s="1"/>
      <c r="G110" s="1" t="s">
        <v>3173</v>
      </c>
      <c r="H110" s="1" t="s">
        <v>3174</v>
      </c>
      <c r="I110" s="1" t="s">
        <v>3175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1874</v>
      </c>
      <c r="AN110" s="1" t="s">
        <v>5015</v>
      </c>
      <c r="AO110" s="1" t="s">
        <v>4985</v>
      </c>
      <c r="AP110" s="1">
        <v>0</v>
      </c>
      <c r="AQ110" s="1" t="s">
        <v>1153</v>
      </c>
      <c r="AR110" s="1" t="s">
        <v>1154</v>
      </c>
      <c r="AS110" s="1" t="s">
        <v>4829</v>
      </c>
      <c r="AT110" s="1" t="s">
        <v>329</v>
      </c>
      <c r="AU110" s="1">
        <v>114</v>
      </c>
      <c r="AV110" s="1">
        <v>0</v>
      </c>
      <c r="AW110" s="1" t="s">
        <v>5037</v>
      </c>
      <c r="AX110" s="1" t="s">
        <v>4830</v>
      </c>
      <c r="AY110" s="1">
        <v>5</v>
      </c>
      <c r="AZ110" s="1">
        <v>0</v>
      </c>
      <c r="BA110" s="1" t="s">
        <v>4923</v>
      </c>
      <c r="BB110" s="1" t="s">
        <v>5057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3176</v>
      </c>
      <c r="C111" s="9" t="s">
        <v>127</v>
      </c>
      <c r="D111" s="1" t="s">
        <v>3177</v>
      </c>
      <c r="E111" s="1"/>
      <c r="F111" s="1"/>
      <c r="G111" s="1" t="s">
        <v>3178</v>
      </c>
      <c r="H111" s="1" t="s">
        <v>3179</v>
      </c>
      <c r="I111" s="1" t="s">
        <v>3180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5058</v>
      </c>
      <c r="AK111" s="1" t="s">
        <v>329</v>
      </c>
      <c r="AL111" s="1">
        <v>13</v>
      </c>
      <c r="AM111" s="1" t="s">
        <v>4858</v>
      </c>
      <c r="AN111" s="1" t="s">
        <v>389</v>
      </c>
      <c r="AO111" s="1" t="s">
        <v>5059</v>
      </c>
      <c r="AP111" s="1">
        <v>0</v>
      </c>
      <c r="AQ111" s="1" t="s">
        <v>1780</v>
      </c>
      <c r="AR111" s="1" t="s">
        <v>1154</v>
      </c>
      <c r="AS111" s="1" t="s">
        <v>1165</v>
      </c>
      <c r="AT111" s="1" t="s">
        <v>329</v>
      </c>
      <c r="AU111" s="1">
        <v>115</v>
      </c>
      <c r="AV111" s="1">
        <v>0</v>
      </c>
      <c r="AW111" s="1" t="s">
        <v>5037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5060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3181</v>
      </c>
      <c r="C112" s="9" t="s">
        <v>1658</v>
      </c>
      <c r="D112" s="1" t="s">
        <v>1658</v>
      </c>
      <c r="E112" s="1"/>
      <c r="F112" s="1"/>
      <c r="G112" s="1" t="s">
        <v>3182</v>
      </c>
      <c r="H112" s="1" t="s">
        <v>3183</v>
      </c>
      <c r="I112" s="1" t="s">
        <v>3184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1156</v>
      </c>
      <c r="AK112" s="1" t="s">
        <v>329</v>
      </c>
      <c r="AL112" s="1">
        <v>13</v>
      </c>
      <c r="AM112" s="1" t="s">
        <v>4858</v>
      </c>
      <c r="AN112" s="1" t="s">
        <v>5061</v>
      </c>
      <c r="AO112" s="1" t="s">
        <v>5062</v>
      </c>
      <c r="AP112" s="1">
        <v>0</v>
      </c>
      <c r="AQ112" s="1" t="s">
        <v>1164</v>
      </c>
      <c r="AR112" s="1" t="s">
        <v>1154</v>
      </c>
      <c r="AS112" s="1" t="s">
        <v>1165</v>
      </c>
      <c r="AT112" s="1" t="s">
        <v>329</v>
      </c>
      <c r="AU112" s="1">
        <v>116</v>
      </c>
      <c r="AV112" s="1">
        <v>0</v>
      </c>
      <c r="AW112" s="1" t="s">
        <v>5028</v>
      </c>
      <c r="AX112" s="1" t="s">
        <v>5063</v>
      </c>
      <c r="AY112" s="1">
        <v>3</v>
      </c>
      <c r="AZ112" s="1">
        <v>0</v>
      </c>
      <c r="BA112" s="1" t="s">
        <v>329</v>
      </c>
      <c r="BB112" s="1" t="s">
        <v>5064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3185</v>
      </c>
      <c r="C113" s="9" t="s">
        <v>1659</v>
      </c>
      <c r="D113" s="1" t="s">
        <v>1659</v>
      </c>
      <c r="E113" s="1"/>
      <c r="F113" s="1"/>
      <c r="G113" s="1" t="s">
        <v>3186</v>
      </c>
      <c r="H113" s="1" t="s">
        <v>3187</v>
      </c>
      <c r="I113" s="1" t="s">
        <v>3188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1178</v>
      </c>
      <c r="AK113" s="1" t="s">
        <v>329</v>
      </c>
      <c r="AL113" s="1">
        <v>13</v>
      </c>
      <c r="AM113" s="1" t="s">
        <v>4830</v>
      </c>
      <c r="AN113" s="1" t="s">
        <v>465</v>
      </c>
      <c r="AO113" s="1" t="s">
        <v>4900</v>
      </c>
      <c r="AP113" s="1">
        <v>0</v>
      </c>
      <c r="AQ113" s="1" t="s">
        <v>1175</v>
      </c>
      <c r="AR113" s="1" t="s">
        <v>1176</v>
      </c>
      <c r="AS113" s="1" t="s">
        <v>1177</v>
      </c>
      <c r="AT113" s="1" t="s">
        <v>329</v>
      </c>
      <c r="AU113" s="1">
        <v>117</v>
      </c>
      <c r="AV113" s="1">
        <v>0</v>
      </c>
      <c r="AW113" s="1" t="s">
        <v>5028</v>
      </c>
      <c r="AX113" s="1" t="s">
        <v>5063</v>
      </c>
      <c r="AY113" s="1">
        <v>4</v>
      </c>
      <c r="AZ113" s="1">
        <v>0</v>
      </c>
      <c r="BA113" s="1" t="s">
        <v>329</v>
      </c>
      <c r="BB113" s="1" t="s">
        <v>4827</v>
      </c>
      <c r="BC113" s="1" t="s">
        <v>4837</v>
      </c>
      <c r="BD113" s="1">
        <v>10302</v>
      </c>
      <c r="BE113" s="1"/>
    </row>
    <row r="114" spans="1:57" x14ac:dyDescent="0.25">
      <c r="A114" s="1">
        <v>118</v>
      </c>
      <c r="B114" s="1" t="s">
        <v>3189</v>
      </c>
      <c r="C114" s="9" t="s">
        <v>717</v>
      </c>
      <c r="D114" s="1" t="s">
        <v>717</v>
      </c>
      <c r="E114" s="1"/>
      <c r="F114" s="1"/>
      <c r="G114" s="1" t="s">
        <v>3190</v>
      </c>
      <c r="H114" s="1" t="s">
        <v>3191</v>
      </c>
      <c r="I114" s="1" t="s">
        <v>3192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1220</v>
      </c>
      <c r="AK114" s="1" t="s">
        <v>5065</v>
      </c>
      <c r="AL114" s="1">
        <v>13</v>
      </c>
      <c r="AM114" s="1" t="s">
        <v>4787</v>
      </c>
      <c r="AN114" s="1" t="s">
        <v>4902</v>
      </c>
      <c r="AO114" s="1" t="s">
        <v>5066</v>
      </c>
      <c r="AP114" s="1">
        <v>0</v>
      </c>
      <c r="AQ114" s="1" t="s">
        <v>1781</v>
      </c>
      <c r="AR114" s="1" t="s">
        <v>1189</v>
      </c>
      <c r="AS114" s="1" t="s">
        <v>1780</v>
      </c>
      <c r="AT114" s="1" t="s">
        <v>329</v>
      </c>
      <c r="AU114" s="1">
        <v>118</v>
      </c>
      <c r="AV114" s="1">
        <v>0</v>
      </c>
      <c r="AW114" s="1" t="s">
        <v>5037</v>
      </c>
      <c r="AX114" s="1" t="s">
        <v>4865</v>
      </c>
      <c r="AY114" s="1">
        <v>4</v>
      </c>
      <c r="AZ114" s="1">
        <v>0</v>
      </c>
      <c r="BA114" s="1" t="s">
        <v>329</v>
      </c>
      <c r="BB114" s="1" t="s">
        <v>5067</v>
      </c>
      <c r="BC114" s="1" t="s">
        <v>4825</v>
      </c>
      <c r="BD114" s="1">
        <v>10403</v>
      </c>
      <c r="BE114" s="1"/>
    </row>
    <row r="115" spans="1:57" x14ac:dyDescent="0.25">
      <c r="A115" s="1">
        <v>119</v>
      </c>
      <c r="B115" s="1" t="s">
        <v>3193</v>
      </c>
      <c r="C115" s="9" t="s">
        <v>1660</v>
      </c>
      <c r="D115" s="1" t="s">
        <v>1660</v>
      </c>
      <c r="E115" s="1"/>
      <c r="F115" s="1"/>
      <c r="G115" s="1" t="s">
        <v>3194</v>
      </c>
      <c r="H115" s="1" t="s">
        <v>3195</v>
      </c>
      <c r="I115" s="1" t="s">
        <v>3196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4787</v>
      </c>
      <c r="AN115" s="1" t="s">
        <v>4932</v>
      </c>
      <c r="AO115" s="1" t="s">
        <v>5068</v>
      </c>
      <c r="AP115" s="1">
        <v>0</v>
      </c>
      <c r="AQ115" s="1" t="s">
        <v>1165</v>
      </c>
      <c r="AR115" s="1" t="s">
        <v>1189</v>
      </c>
      <c r="AS115" s="1" t="s">
        <v>1164</v>
      </c>
      <c r="AT115" s="1" t="s">
        <v>329</v>
      </c>
      <c r="AU115" s="1">
        <v>119</v>
      </c>
      <c r="AV115" s="1">
        <v>0</v>
      </c>
      <c r="AW115" s="1" t="s">
        <v>5028</v>
      </c>
      <c r="AX115" s="1" t="s">
        <v>1874</v>
      </c>
      <c r="AY115" s="1">
        <v>5</v>
      </c>
      <c r="AZ115" s="1">
        <v>0</v>
      </c>
      <c r="BA115" s="1" t="s">
        <v>329</v>
      </c>
      <c r="BB115" s="1" t="s">
        <v>5069</v>
      </c>
      <c r="BC115" s="1" t="s">
        <v>4825</v>
      </c>
      <c r="BD115" s="1">
        <v>10202</v>
      </c>
      <c r="BE115" s="1"/>
    </row>
    <row r="116" spans="1:57" x14ac:dyDescent="0.25">
      <c r="A116" s="1">
        <v>120</v>
      </c>
      <c r="B116" s="1" t="s">
        <v>3197</v>
      </c>
      <c r="C116" s="9" t="s">
        <v>1661</v>
      </c>
      <c r="D116" s="1" t="s">
        <v>1661</v>
      </c>
      <c r="E116" s="1"/>
      <c r="F116" s="1"/>
      <c r="G116" s="1" t="s">
        <v>3198</v>
      </c>
      <c r="H116" s="1" t="s">
        <v>3199</v>
      </c>
      <c r="I116" s="1" t="s">
        <v>3200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1156</v>
      </c>
      <c r="AK116" s="1" t="s">
        <v>329</v>
      </c>
      <c r="AL116" s="1">
        <v>13</v>
      </c>
      <c r="AM116" s="1" t="s">
        <v>4787</v>
      </c>
      <c r="AN116" s="1" t="s">
        <v>466</v>
      </c>
      <c r="AO116" s="1" t="s">
        <v>5070</v>
      </c>
      <c r="AP116" s="1">
        <v>0</v>
      </c>
      <c r="AQ116" s="1" t="s">
        <v>1165</v>
      </c>
      <c r="AR116" s="1" t="s">
        <v>1189</v>
      </c>
      <c r="AS116" s="1" t="s">
        <v>1164</v>
      </c>
      <c r="AT116" s="1" t="s">
        <v>329</v>
      </c>
      <c r="AU116" s="1">
        <v>120</v>
      </c>
      <c r="AV116" s="1">
        <v>0</v>
      </c>
      <c r="AW116" s="1" t="s">
        <v>5028</v>
      </c>
      <c r="AX116" s="1" t="s">
        <v>5063</v>
      </c>
      <c r="AY116" s="1">
        <v>3</v>
      </c>
      <c r="AZ116" s="1">
        <v>0</v>
      </c>
      <c r="BA116" s="1" t="s">
        <v>329</v>
      </c>
      <c r="BB116" s="1" t="s">
        <v>4983</v>
      </c>
      <c r="BC116" s="1" t="s">
        <v>4807</v>
      </c>
      <c r="BD116" s="1">
        <v>10403</v>
      </c>
      <c r="BE116" s="1"/>
    </row>
    <row r="117" spans="1:57" x14ac:dyDescent="0.25">
      <c r="A117" s="1">
        <v>121</v>
      </c>
      <c r="B117" s="1" t="s">
        <v>3201</v>
      </c>
      <c r="C117" s="9" t="s">
        <v>128</v>
      </c>
      <c r="D117" s="1" t="s">
        <v>128</v>
      </c>
      <c r="E117" s="1"/>
      <c r="F117" s="1"/>
      <c r="G117" s="1" t="s">
        <v>3202</v>
      </c>
      <c r="H117" s="1" t="s">
        <v>3203</v>
      </c>
      <c r="I117" s="1" t="s">
        <v>3204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1201</v>
      </c>
      <c r="AK117" s="1" t="s">
        <v>329</v>
      </c>
      <c r="AL117" s="1">
        <v>19</v>
      </c>
      <c r="AM117" s="1" t="s">
        <v>4926</v>
      </c>
      <c r="AN117" s="1" t="s">
        <v>4996</v>
      </c>
      <c r="AO117" s="1" t="s">
        <v>5071</v>
      </c>
      <c r="AP117" s="1">
        <v>0</v>
      </c>
      <c r="AQ117" s="1" t="s">
        <v>1202</v>
      </c>
      <c r="AR117" s="1" t="s">
        <v>1203</v>
      </c>
      <c r="AS117" s="1" t="s">
        <v>1204</v>
      </c>
      <c r="AT117" s="1" t="s">
        <v>329</v>
      </c>
      <c r="AU117" s="1">
        <v>121</v>
      </c>
      <c r="AV117" s="1">
        <v>0</v>
      </c>
      <c r="AW117" s="1" t="s">
        <v>5037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5072</v>
      </c>
      <c r="BC117" s="1" t="s">
        <v>4788</v>
      </c>
      <c r="BD117" s="1">
        <v>10402</v>
      </c>
      <c r="BE117" s="1"/>
    </row>
    <row r="118" spans="1:57" x14ac:dyDescent="0.25">
      <c r="A118" s="1">
        <v>122</v>
      </c>
      <c r="B118" s="1" t="s">
        <v>3205</v>
      </c>
      <c r="C118" s="9" t="s">
        <v>1221</v>
      </c>
      <c r="D118" s="1" t="s">
        <v>1221</v>
      </c>
      <c r="E118" s="1"/>
      <c r="F118" s="1"/>
      <c r="G118" s="1" t="s">
        <v>3206</v>
      </c>
      <c r="H118" s="1" t="s">
        <v>3207</v>
      </c>
      <c r="I118" s="1" t="s">
        <v>3208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1222</v>
      </c>
      <c r="AK118" s="1" t="s">
        <v>329</v>
      </c>
      <c r="AL118" s="1">
        <v>13</v>
      </c>
      <c r="AM118" s="1" t="s">
        <v>4787</v>
      </c>
      <c r="AN118" s="1" t="s">
        <v>476</v>
      </c>
      <c r="AO118" s="1" t="s">
        <v>5073</v>
      </c>
      <c r="AP118" s="1">
        <v>0</v>
      </c>
      <c r="AQ118" s="1" t="s">
        <v>1165</v>
      </c>
      <c r="AR118" s="1" t="s">
        <v>1189</v>
      </c>
      <c r="AS118" s="1" t="s">
        <v>1780</v>
      </c>
      <c r="AT118" s="1" t="s">
        <v>329</v>
      </c>
      <c r="AU118" s="1">
        <v>122</v>
      </c>
      <c r="AV118" s="1">
        <v>0</v>
      </c>
      <c r="AW118" s="1" t="s">
        <v>5028</v>
      </c>
      <c r="AX118" s="1" t="s">
        <v>332</v>
      </c>
      <c r="AY118" s="1">
        <v>5</v>
      </c>
      <c r="AZ118" s="1">
        <v>0</v>
      </c>
      <c r="BA118" s="1" t="s">
        <v>4923</v>
      </c>
      <c r="BB118" s="1" t="s">
        <v>5074</v>
      </c>
      <c r="BC118" s="1" t="s">
        <v>4957</v>
      </c>
      <c r="BD118" s="1">
        <v>10104</v>
      </c>
      <c r="BE118" s="1"/>
    </row>
    <row r="119" spans="1:57" x14ac:dyDescent="0.25">
      <c r="A119" s="1">
        <v>123</v>
      </c>
      <c r="B119" s="1" t="s">
        <v>3209</v>
      </c>
      <c r="C119" s="9" t="s">
        <v>129</v>
      </c>
      <c r="D119" s="1" t="s">
        <v>129</v>
      </c>
      <c r="E119" s="1"/>
      <c r="F119" s="1"/>
      <c r="G119" s="1" t="s">
        <v>3210</v>
      </c>
      <c r="H119" s="1" t="s">
        <v>3211</v>
      </c>
      <c r="I119" s="1" t="s">
        <v>3212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1160</v>
      </c>
      <c r="AK119" s="1" t="s">
        <v>329</v>
      </c>
      <c r="AL119" s="1">
        <v>13</v>
      </c>
      <c r="AM119" s="1" t="s">
        <v>1874</v>
      </c>
      <c r="AN119" s="1" t="s">
        <v>4841</v>
      </c>
      <c r="AO119" s="1" t="s">
        <v>5075</v>
      </c>
      <c r="AP119" s="1">
        <v>0</v>
      </c>
      <c r="AQ119" s="1" t="s">
        <v>1153</v>
      </c>
      <c r="AR119" s="1" t="s">
        <v>1154</v>
      </c>
      <c r="AS119" s="1" t="s">
        <v>1155</v>
      </c>
      <c r="AT119" s="1" t="s">
        <v>329</v>
      </c>
      <c r="AU119" s="1">
        <v>123</v>
      </c>
      <c r="AV119" s="1">
        <v>0</v>
      </c>
      <c r="AW119" s="1" t="s">
        <v>4910</v>
      </c>
      <c r="AX119" s="1" t="s">
        <v>4830</v>
      </c>
      <c r="AY119" s="1">
        <v>3</v>
      </c>
      <c r="AZ119" s="1">
        <v>0</v>
      </c>
      <c r="BA119" s="1" t="s">
        <v>329</v>
      </c>
      <c r="BB119" s="1" t="s">
        <v>5076</v>
      </c>
      <c r="BC119" s="1" t="s">
        <v>4837</v>
      </c>
      <c r="BD119" s="1">
        <v>10704</v>
      </c>
      <c r="BE119" s="1"/>
    </row>
    <row r="120" spans="1:57" x14ac:dyDescent="0.25">
      <c r="A120" s="1">
        <v>124</v>
      </c>
      <c r="B120" s="1" t="s">
        <v>3213</v>
      </c>
      <c r="C120" s="9" t="s">
        <v>130</v>
      </c>
      <c r="D120" s="1" t="s">
        <v>3214</v>
      </c>
      <c r="E120" s="1"/>
      <c r="F120" s="1"/>
      <c r="G120" s="1" t="s">
        <v>3215</v>
      </c>
      <c r="H120" s="1" t="s">
        <v>3216</v>
      </c>
      <c r="I120" s="1" t="s">
        <v>3217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1223</v>
      </c>
      <c r="AK120" s="1" t="s">
        <v>329</v>
      </c>
      <c r="AL120" s="1">
        <v>13</v>
      </c>
      <c r="AM120" s="1" t="s">
        <v>4830</v>
      </c>
      <c r="AN120" s="1" t="s">
        <v>4899</v>
      </c>
      <c r="AO120" s="1" t="s">
        <v>4894</v>
      </c>
      <c r="AP120" s="1">
        <v>0</v>
      </c>
      <c r="AQ120" s="1" t="s">
        <v>1175</v>
      </c>
      <c r="AR120" s="1" t="s">
        <v>4903</v>
      </c>
      <c r="AS120" s="1" t="s">
        <v>1177</v>
      </c>
      <c r="AT120" s="1" t="s">
        <v>329</v>
      </c>
      <c r="AU120" s="1">
        <v>124</v>
      </c>
      <c r="AV120" s="1">
        <v>0</v>
      </c>
      <c r="AW120" s="1" t="s">
        <v>5077</v>
      </c>
      <c r="AX120" s="1" t="s">
        <v>4917</v>
      </c>
      <c r="AY120" s="1">
        <v>3</v>
      </c>
      <c r="AZ120" s="1">
        <v>0</v>
      </c>
      <c r="BA120" s="1" t="s">
        <v>4833</v>
      </c>
      <c r="BB120" s="1" t="s">
        <v>5078</v>
      </c>
      <c r="BC120" s="1" t="s">
        <v>4788</v>
      </c>
      <c r="BD120" s="1">
        <v>10202</v>
      </c>
      <c r="BE120" s="1"/>
    </row>
    <row r="121" spans="1:57" x14ac:dyDescent="0.25">
      <c r="A121" s="1">
        <v>125</v>
      </c>
      <c r="B121" s="1" t="s">
        <v>3218</v>
      </c>
      <c r="C121" s="9" t="s">
        <v>300</v>
      </c>
      <c r="D121" s="1" t="s">
        <v>300</v>
      </c>
      <c r="E121" s="1"/>
      <c r="F121" s="1"/>
      <c r="G121" s="1" t="s">
        <v>3219</v>
      </c>
      <c r="H121" s="1" t="s">
        <v>3220</v>
      </c>
      <c r="I121" s="1" t="s">
        <v>3221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1224</v>
      </c>
      <c r="AK121" s="1" t="s">
        <v>329</v>
      </c>
      <c r="AL121" s="1">
        <v>18</v>
      </c>
      <c r="AM121" s="1" t="s">
        <v>4926</v>
      </c>
      <c r="AN121" s="1" t="s">
        <v>4999</v>
      </c>
      <c r="AO121" s="1" t="s">
        <v>5079</v>
      </c>
      <c r="AP121" s="1">
        <v>0</v>
      </c>
      <c r="AQ121" s="1" t="s">
        <v>5080</v>
      </c>
      <c r="AR121" s="1" t="s">
        <v>4979</v>
      </c>
      <c r="AS121" s="1" t="s">
        <v>1204</v>
      </c>
      <c r="AT121" s="1" t="s">
        <v>329</v>
      </c>
      <c r="AU121" s="1">
        <v>125</v>
      </c>
      <c r="AV121" s="1">
        <v>0</v>
      </c>
      <c r="AW121" s="1" t="s">
        <v>4910</v>
      </c>
      <c r="AX121" s="1" t="s">
        <v>332</v>
      </c>
      <c r="AY121" s="1">
        <v>5</v>
      </c>
      <c r="AZ121" s="1">
        <v>0</v>
      </c>
      <c r="BA121" s="1" t="s">
        <v>4923</v>
      </c>
      <c r="BB121" s="1" t="s">
        <v>329</v>
      </c>
      <c r="BC121" s="1" t="s">
        <v>4837</v>
      </c>
      <c r="BD121" s="1">
        <v>10402</v>
      </c>
      <c r="BE121" s="1"/>
    </row>
    <row r="122" spans="1:57" x14ac:dyDescent="0.25">
      <c r="A122" s="1">
        <v>126</v>
      </c>
      <c r="B122" s="1" t="s">
        <v>3222</v>
      </c>
      <c r="C122" s="9" t="s">
        <v>131</v>
      </c>
      <c r="D122" s="1" t="s">
        <v>131</v>
      </c>
      <c r="E122" s="1"/>
      <c r="F122" s="1"/>
      <c r="G122" s="1" t="s">
        <v>3223</v>
      </c>
      <c r="H122" s="1" t="s">
        <v>3224</v>
      </c>
      <c r="I122" s="1" t="s">
        <v>3225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1874</v>
      </c>
      <c r="AN122" s="1" t="s">
        <v>5081</v>
      </c>
      <c r="AO122" s="1" t="s">
        <v>5082</v>
      </c>
      <c r="AP122" s="1">
        <v>0</v>
      </c>
      <c r="AQ122" s="1" t="s">
        <v>4810</v>
      </c>
      <c r="AR122" s="1" t="s">
        <v>1154</v>
      </c>
      <c r="AS122" s="1" t="s">
        <v>1155</v>
      </c>
      <c r="AT122" s="1" t="s">
        <v>329</v>
      </c>
      <c r="AU122" s="1">
        <v>126</v>
      </c>
      <c r="AV122" s="1">
        <v>0</v>
      </c>
      <c r="AW122" s="1" t="s">
        <v>5083</v>
      </c>
      <c r="AX122" s="1" t="s">
        <v>4830</v>
      </c>
      <c r="AY122" s="1">
        <v>5</v>
      </c>
      <c r="AZ122" s="1">
        <v>0</v>
      </c>
      <c r="BA122" s="1" t="s">
        <v>329</v>
      </c>
      <c r="BB122" s="1" t="s">
        <v>5084</v>
      </c>
      <c r="BC122" s="1" t="s">
        <v>4851</v>
      </c>
      <c r="BD122" s="1">
        <v>10402</v>
      </c>
      <c r="BE122" s="1"/>
    </row>
    <row r="123" spans="1:57" x14ac:dyDescent="0.25">
      <c r="A123" s="1">
        <v>127</v>
      </c>
      <c r="B123" s="1" t="s">
        <v>3226</v>
      </c>
      <c r="C123" s="9" t="s">
        <v>224</v>
      </c>
      <c r="D123" s="1" t="s">
        <v>3227</v>
      </c>
      <c r="E123" s="1"/>
      <c r="F123" s="1"/>
      <c r="G123" s="1" t="s">
        <v>3228</v>
      </c>
      <c r="H123" s="1" t="s">
        <v>3229</v>
      </c>
      <c r="I123" s="1" t="s">
        <v>3230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1225</v>
      </c>
      <c r="AK123" s="1" t="s">
        <v>329</v>
      </c>
      <c r="AL123" s="1">
        <v>13</v>
      </c>
      <c r="AM123" s="1" t="s">
        <v>4858</v>
      </c>
      <c r="AN123" s="1" t="s">
        <v>389</v>
      </c>
      <c r="AO123" s="1" t="s">
        <v>5008</v>
      </c>
      <c r="AP123" s="1">
        <v>0</v>
      </c>
      <c r="AQ123" s="1" t="s">
        <v>1164</v>
      </c>
      <c r="AR123" s="1" t="s">
        <v>1779</v>
      </c>
      <c r="AS123" s="1" t="s">
        <v>1165</v>
      </c>
      <c r="AT123" s="1" t="s">
        <v>329</v>
      </c>
      <c r="AU123" s="1">
        <v>127</v>
      </c>
      <c r="AV123" s="1">
        <v>0</v>
      </c>
      <c r="AW123" s="1" t="s">
        <v>5083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5020</v>
      </c>
      <c r="BC123" s="1" t="s">
        <v>4851</v>
      </c>
      <c r="BD123" s="1">
        <v>10203</v>
      </c>
      <c r="BE123" s="1"/>
    </row>
    <row r="124" spans="1:57" x14ac:dyDescent="0.25">
      <c r="A124" s="1">
        <v>128</v>
      </c>
      <c r="B124" s="1" t="s">
        <v>3231</v>
      </c>
      <c r="C124" s="9" t="s">
        <v>132</v>
      </c>
      <c r="D124" s="1" t="s">
        <v>132</v>
      </c>
      <c r="E124" s="1"/>
      <c r="F124" s="1"/>
      <c r="G124" s="1" t="s">
        <v>3232</v>
      </c>
      <c r="H124" s="1" t="s">
        <v>3233</v>
      </c>
      <c r="I124" s="1" t="s">
        <v>3234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1181</v>
      </c>
      <c r="AK124" s="1" t="s">
        <v>329</v>
      </c>
      <c r="AL124" s="1">
        <v>13</v>
      </c>
      <c r="AM124" s="1" t="s">
        <v>4830</v>
      </c>
      <c r="AN124" s="1" t="s">
        <v>476</v>
      </c>
      <c r="AO124" s="1" t="s">
        <v>4913</v>
      </c>
      <c r="AP124" s="1">
        <v>0</v>
      </c>
      <c r="AQ124" s="1" t="s">
        <v>1175</v>
      </c>
      <c r="AR124" s="1" t="s">
        <v>1176</v>
      </c>
      <c r="AS124" s="1" t="s">
        <v>1177</v>
      </c>
      <c r="AT124" s="1" t="s">
        <v>329</v>
      </c>
      <c r="AU124" s="1">
        <v>128</v>
      </c>
      <c r="AV124" s="1">
        <v>0</v>
      </c>
      <c r="AW124" s="1" t="s">
        <v>5083</v>
      </c>
      <c r="AX124" s="1" t="s">
        <v>5085</v>
      </c>
      <c r="AY124" s="1">
        <v>5</v>
      </c>
      <c r="AZ124" s="1">
        <v>0</v>
      </c>
      <c r="BA124" s="1" t="s">
        <v>329</v>
      </c>
      <c r="BB124" s="1" t="s">
        <v>5086</v>
      </c>
      <c r="BC124" s="1" t="s">
        <v>4851</v>
      </c>
      <c r="BD124" s="1">
        <v>10203</v>
      </c>
      <c r="BE124" s="1"/>
    </row>
    <row r="125" spans="1:57" x14ac:dyDescent="0.25">
      <c r="A125" s="1">
        <v>129</v>
      </c>
      <c r="B125" s="1" t="s">
        <v>3235</v>
      </c>
      <c r="C125" s="9" t="s">
        <v>133</v>
      </c>
      <c r="D125" s="1" t="s">
        <v>3236</v>
      </c>
      <c r="E125" s="1"/>
      <c r="F125" s="1"/>
      <c r="G125" s="1" t="s">
        <v>3237</v>
      </c>
      <c r="H125" s="1" t="s">
        <v>3238</v>
      </c>
      <c r="I125" s="1" t="s">
        <v>3239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1226</v>
      </c>
      <c r="AK125" s="1" t="s">
        <v>329</v>
      </c>
      <c r="AL125" s="1">
        <v>13</v>
      </c>
      <c r="AM125" s="1" t="s">
        <v>4787</v>
      </c>
      <c r="AN125" s="1" t="s">
        <v>466</v>
      </c>
      <c r="AO125" s="1" t="s">
        <v>5087</v>
      </c>
      <c r="AP125" s="1">
        <v>0</v>
      </c>
      <c r="AQ125" s="1" t="s">
        <v>1781</v>
      </c>
      <c r="AR125" s="1" t="s">
        <v>1189</v>
      </c>
      <c r="AS125" s="1" t="s">
        <v>1164</v>
      </c>
      <c r="AT125" s="1" t="s">
        <v>329</v>
      </c>
      <c r="AU125" s="1">
        <v>129</v>
      </c>
      <c r="AV125" s="1">
        <v>0</v>
      </c>
      <c r="AW125" s="1" t="s">
        <v>5083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5088</v>
      </c>
      <c r="BC125" s="1" t="s">
        <v>4851</v>
      </c>
      <c r="BD125" s="1">
        <v>10203</v>
      </c>
      <c r="BE125" s="1"/>
    </row>
    <row r="126" spans="1:57" x14ac:dyDescent="0.25">
      <c r="A126" s="1">
        <v>130</v>
      </c>
      <c r="B126" s="1" t="s">
        <v>3240</v>
      </c>
      <c r="C126" s="9" t="s">
        <v>134</v>
      </c>
      <c r="D126" s="1" t="s">
        <v>3241</v>
      </c>
      <c r="E126" s="1"/>
      <c r="F126" s="1"/>
      <c r="G126" s="1" t="s">
        <v>3242</v>
      </c>
      <c r="H126" s="1" t="s">
        <v>3243</v>
      </c>
      <c r="I126" s="1" t="s">
        <v>3244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1226</v>
      </c>
      <c r="AK126" s="1" t="s">
        <v>329</v>
      </c>
      <c r="AL126" s="1">
        <v>13</v>
      </c>
      <c r="AM126" s="1" t="s">
        <v>4787</v>
      </c>
      <c r="AN126" s="1" t="s">
        <v>4899</v>
      </c>
      <c r="AO126" s="1" t="s">
        <v>5089</v>
      </c>
      <c r="AP126" s="1">
        <v>0</v>
      </c>
      <c r="AQ126" s="1" t="s">
        <v>1781</v>
      </c>
      <c r="AR126" s="1" t="s">
        <v>1189</v>
      </c>
      <c r="AS126" s="1" t="s">
        <v>1164</v>
      </c>
      <c r="AT126" s="1" t="s">
        <v>329</v>
      </c>
      <c r="AU126" s="1">
        <v>130</v>
      </c>
      <c r="AV126" s="1">
        <v>0</v>
      </c>
      <c r="AW126" s="1" t="s">
        <v>5083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5090</v>
      </c>
      <c r="BC126" s="1" t="s">
        <v>4851</v>
      </c>
      <c r="BD126" s="1">
        <v>10203</v>
      </c>
      <c r="BE126" s="1"/>
    </row>
    <row r="127" spans="1:57" x14ac:dyDescent="0.25">
      <c r="A127" s="1">
        <v>131</v>
      </c>
      <c r="B127" s="1" t="s">
        <v>3245</v>
      </c>
      <c r="C127" s="9" t="s">
        <v>135</v>
      </c>
      <c r="D127" s="1" t="s">
        <v>3246</v>
      </c>
      <c r="E127" s="1"/>
      <c r="F127" s="1"/>
      <c r="G127" s="1" t="s">
        <v>3247</v>
      </c>
      <c r="H127" s="1" t="s">
        <v>3248</v>
      </c>
      <c r="I127" s="1" t="s">
        <v>3249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1156</v>
      </c>
      <c r="AK127" s="1" t="s">
        <v>329</v>
      </c>
      <c r="AL127" s="1">
        <v>13</v>
      </c>
      <c r="AM127" s="1" t="s">
        <v>4858</v>
      </c>
      <c r="AN127" s="1" t="s">
        <v>4861</v>
      </c>
      <c r="AO127" s="1" t="s">
        <v>5091</v>
      </c>
      <c r="AP127" s="1">
        <v>0</v>
      </c>
      <c r="AQ127" s="1" t="s">
        <v>1164</v>
      </c>
      <c r="AR127" s="1" t="s">
        <v>1154</v>
      </c>
      <c r="AS127" s="1" t="s">
        <v>1165</v>
      </c>
      <c r="AT127" s="1" t="s">
        <v>329</v>
      </c>
      <c r="AU127" s="1">
        <v>131</v>
      </c>
      <c r="AV127" s="1">
        <v>0</v>
      </c>
      <c r="AW127" s="1" t="s">
        <v>5092</v>
      </c>
      <c r="AX127" s="1" t="s">
        <v>4917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3250</v>
      </c>
      <c r="C128" s="9" t="s">
        <v>225</v>
      </c>
      <c r="D128" s="1" t="s">
        <v>3251</v>
      </c>
      <c r="E128" s="1"/>
      <c r="F128" s="1"/>
      <c r="G128" s="1" t="s">
        <v>3252</v>
      </c>
      <c r="H128" s="1" t="s">
        <v>3253</v>
      </c>
      <c r="I128" s="1" t="s">
        <v>3254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1160</v>
      </c>
      <c r="AK128" s="1" t="s">
        <v>329</v>
      </c>
      <c r="AL128" s="1">
        <v>13</v>
      </c>
      <c r="AM128" s="1" t="s">
        <v>1874</v>
      </c>
      <c r="AN128" s="1" t="s">
        <v>4929</v>
      </c>
      <c r="AO128" s="1" t="s">
        <v>4877</v>
      </c>
      <c r="AP128" s="1">
        <v>0</v>
      </c>
      <c r="AQ128" s="1" t="s">
        <v>1153</v>
      </c>
      <c r="AR128" s="1" t="s">
        <v>1154</v>
      </c>
      <c r="AS128" s="1" t="s">
        <v>1155</v>
      </c>
      <c r="AT128" s="1" t="s">
        <v>329</v>
      </c>
      <c r="AU128" s="1">
        <v>132</v>
      </c>
      <c r="AV128" s="1">
        <v>0</v>
      </c>
      <c r="AW128" s="1" t="s">
        <v>5093</v>
      </c>
      <c r="AX128" s="1" t="s">
        <v>4917</v>
      </c>
      <c r="AY128" s="1">
        <v>3</v>
      </c>
      <c r="AZ128" s="1">
        <v>0</v>
      </c>
      <c r="BA128" s="1" t="s">
        <v>329</v>
      </c>
      <c r="BB128" s="1" t="s">
        <v>5094</v>
      </c>
      <c r="BC128" s="1" t="s">
        <v>4851</v>
      </c>
      <c r="BD128" s="1">
        <v>10704</v>
      </c>
      <c r="BE128" s="1"/>
    </row>
    <row r="129" spans="1:57" x14ac:dyDescent="0.25">
      <c r="A129" s="1">
        <v>133</v>
      </c>
      <c r="B129" s="1" t="s">
        <v>3255</v>
      </c>
      <c r="C129" s="9" t="s">
        <v>136</v>
      </c>
      <c r="D129" s="1" t="s">
        <v>3256</v>
      </c>
      <c r="E129" s="1"/>
      <c r="F129" s="1"/>
      <c r="G129" s="1" t="s">
        <v>3257</v>
      </c>
      <c r="H129" s="1" t="s">
        <v>3258</v>
      </c>
      <c r="I129" s="1" t="s">
        <v>3259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1160</v>
      </c>
      <c r="AK129" s="1" t="s">
        <v>329</v>
      </c>
      <c r="AL129" s="1">
        <v>13</v>
      </c>
      <c r="AM129" s="1" t="s">
        <v>4787</v>
      </c>
      <c r="AN129" s="1" t="s">
        <v>476</v>
      </c>
      <c r="AO129" s="1" t="s">
        <v>5095</v>
      </c>
      <c r="AP129" s="1">
        <v>0</v>
      </c>
      <c r="AQ129" s="1" t="s">
        <v>1781</v>
      </c>
      <c r="AR129" s="1" t="s">
        <v>1189</v>
      </c>
      <c r="AS129" s="1" t="s">
        <v>1164</v>
      </c>
      <c r="AT129" s="1" t="s">
        <v>329</v>
      </c>
      <c r="AU129" s="1">
        <v>133</v>
      </c>
      <c r="AV129" s="1">
        <v>0</v>
      </c>
      <c r="AW129" s="1" t="s">
        <v>4896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5020</v>
      </c>
      <c r="BC129" s="1" t="s">
        <v>4851</v>
      </c>
      <c r="BD129" s="1">
        <v>10704</v>
      </c>
      <c r="BE129" s="1"/>
    </row>
    <row r="130" spans="1:57" x14ac:dyDescent="0.25">
      <c r="A130" s="1">
        <v>134</v>
      </c>
      <c r="B130" s="1" t="s">
        <v>3260</v>
      </c>
      <c r="C130" s="9" t="s">
        <v>137</v>
      </c>
      <c r="D130" s="1" t="s">
        <v>137</v>
      </c>
      <c r="E130" s="1"/>
      <c r="F130" s="1"/>
      <c r="G130" s="1" t="s">
        <v>3261</v>
      </c>
      <c r="H130" s="1" t="s">
        <v>3262</v>
      </c>
      <c r="I130" s="1" t="s">
        <v>3263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1156</v>
      </c>
      <c r="AK130" s="1" t="s">
        <v>329</v>
      </c>
      <c r="AL130" s="1">
        <v>13</v>
      </c>
      <c r="AM130" s="1" t="s">
        <v>4787</v>
      </c>
      <c r="AN130" s="1" t="s">
        <v>4899</v>
      </c>
      <c r="AO130" s="1" t="s">
        <v>5096</v>
      </c>
      <c r="AP130" s="1">
        <v>0</v>
      </c>
      <c r="AQ130" s="1" t="s">
        <v>1165</v>
      </c>
      <c r="AR130" s="1" t="s">
        <v>1189</v>
      </c>
      <c r="AS130" s="1" t="s">
        <v>1164</v>
      </c>
      <c r="AT130" s="1" t="s">
        <v>329</v>
      </c>
      <c r="AU130" s="1">
        <v>134</v>
      </c>
      <c r="AV130" s="1">
        <v>0</v>
      </c>
      <c r="AW130" s="1" t="s">
        <v>5097</v>
      </c>
      <c r="AX130" s="1" t="s">
        <v>4917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4807</v>
      </c>
      <c r="BD130" s="1">
        <v>10302</v>
      </c>
      <c r="BE130" s="1"/>
    </row>
    <row r="131" spans="1:57" x14ac:dyDescent="0.25">
      <c r="A131" s="1">
        <v>135</v>
      </c>
      <c r="B131" s="1" t="s">
        <v>3264</v>
      </c>
      <c r="C131" s="9" t="s">
        <v>1662</v>
      </c>
      <c r="D131" s="1" t="s">
        <v>1662</v>
      </c>
      <c r="E131" s="1"/>
      <c r="F131" s="1"/>
      <c r="G131" s="1" t="s">
        <v>3265</v>
      </c>
      <c r="H131" s="1" t="s">
        <v>3266</v>
      </c>
      <c r="I131" s="1" t="s">
        <v>3267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4858</v>
      </c>
      <c r="AN131" s="1" t="s">
        <v>4863</v>
      </c>
      <c r="AO131" s="1" t="s">
        <v>5098</v>
      </c>
      <c r="AP131" s="1">
        <v>0</v>
      </c>
      <c r="AQ131" s="1" t="s">
        <v>1164</v>
      </c>
      <c r="AR131" s="1" t="s">
        <v>1154</v>
      </c>
      <c r="AS131" s="1" t="s">
        <v>1781</v>
      </c>
      <c r="AT131" s="1" t="s">
        <v>329</v>
      </c>
      <c r="AU131" s="1">
        <v>135</v>
      </c>
      <c r="AV131" s="1">
        <v>0</v>
      </c>
      <c r="AW131" s="1" t="s">
        <v>4876</v>
      </c>
      <c r="AX131" s="1" t="s">
        <v>4559</v>
      </c>
      <c r="AY131" s="1">
        <v>5</v>
      </c>
      <c r="AZ131" s="1">
        <v>0</v>
      </c>
      <c r="BA131" s="1" t="s">
        <v>329</v>
      </c>
      <c r="BB131" s="1" t="s">
        <v>5099</v>
      </c>
      <c r="BC131" s="1" t="s">
        <v>4825</v>
      </c>
      <c r="BD131" s="1">
        <v>10202</v>
      </c>
      <c r="BE131" s="1"/>
    </row>
    <row r="132" spans="1:57" x14ac:dyDescent="0.25">
      <c r="A132" s="1">
        <v>136</v>
      </c>
      <c r="B132" s="1" t="s">
        <v>3268</v>
      </c>
      <c r="C132" s="9" t="s">
        <v>1663</v>
      </c>
      <c r="D132" s="1" t="s">
        <v>1663</v>
      </c>
      <c r="E132" s="1"/>
      <c r="F132" s="1"/>
      <c r="G132" s="1" t="s">
        <v>3269</v>
      </c>
      <c r="H132" s="1" t="s">
        <v>3270</v>
      </c>
      <c r="I132" s="1" t="s">
        <v>3271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1199</v>
      </c>
      <c r="AK132" s="1" t="s">
        <v>329</v>
      </c>
      <c r="AL132" s="1">
        <v>13</v>
      </c>
      <c r="AM132" s="1" t="s">
        <v>4858</v>
      </c>
      <c r="AN132" s="1" t="s">
        <v>4861</v>
      </c>
      <c r="AO132" s="1" t="s">
        <v>5100</v>
      </c>
      <c r="AP132" s="1">
        <v>0</v>
      </c>
      <c r="AQ132" s="1" t="s">
        <v>1164</v>
      </c>
      <c r="AR132" s="1" t="s">
        <v>1154</v>
      </c>
      <c r="AS132" s="1" t="s">
        <v>1781</v>
      </c>
      <c r="AT132" s="1" t="s">
        <v>329</v>
      </c>
      <c r="AU132" s="1">
        <v>136</v>
      </c>
      <c r="AV132" s="1">
        <v>0</v>
      </c>
      <c r="AW132" s="1" t="s">
        <v>4876</v>
      </c>
      <c r="AX132" s="1" t="s">
        <v>1874</v>
      </c>
      <c r="AY132" s="1">
        <v>4</v>
      </c>
      <c r="AZ132" s="1">
        <v>0</v>
      </c>
      <c r="BA132" s="1" t="s">
        <v>4811</v>
      </c>
      <c r="BB132" s="1" t="s">
        <v>4861</v>
      </c>
      <c r="BC132" s="1" t="s">
        <v>4825</v>
      </c>
      <c r="BD132" s="1">
        <v>10203</v>
      </c>
      <c r="BE132" s="1"/>
    </row>
    <row r="133" spans="1:57" x14ac:dyDescent="0.25">
      <c r="A133" s="1">
        <v>137</v>
      </c>
      <c r="B133" s="1" t="s">
        <v>3272</v>
      </c>
      <c r="C133" s="9" t="s">
        <v>226</v>
      </c>
      <c r="D133" s="1" t="s">
        <v>226</v>
      </c>
      <c r="E133" s="1"/>
      <c r="F133" s="1"/>
      <c r="G133" s="1" t="s">
        <v>3273</v>
      </c>
      <c r="H133" s="1" t="s">
        <v>3274</v>
      </c>
      <c r="I133" s="1" t="s">
        <v>3275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4858</v>
      </c>
      <c r="AN133" s="1" t="s">
        <v>389</v>
      </c>
      <c r="AO133" s="1" t="s">
        <v>5032</v>
      </c>
      <c r="AP133" s="1">
        <v>0</v>
      </c>
      <c r="AQ133" s="1" t="s">
        <v>1164</v>
      </c>
      <c r="AR133" s="1" t="s">
        <v>1154</v>
      </c>
      <c r="AS133" s="1" t="s">
        <v>1165</v>
      </c>
      <c r="AT133" s="1" t="s">
        <v>329</v>
      </c>
      <c r="AU133" s="1">
        <v>137</v>
      </c>
      <c r="AV133" s="1">
        <v>0</v>
      </c>
      <c r="AW133" s="1" t="s">
        <v>5101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4825</v>
      </c>
      <c r="BD133" s="1">
        <v>10802</v>
      </c>
      <c r="BE133" s="1"/>
    </row>
    <row r="134" spans="1:57" x14ac:dyDescent="0.25">
      <c r="A134" s="1">
        <v>138</v>
      </c>
      <c r="B134" s="1" t="s">
        <v>3276</v>
      </c>
      <c r="C134" s="9" t="s">
        <v>138</v>
      </c>
      <c r="D134" s="1" t="s">
        <v>138</v>
      </c>
      <c r="E134" s="1"/>
      <c r="F134" s="1"/>
      <c r="G134" s="1" t="s">
        <v>3277</v>
      </c>
      <c r="H134" s="1" t="s">
        <v>3278</v>
      </c>
      <c r="I134" s="1" t="s">
        <v>3279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1160</v>
      </c>
      <c r="AK134" s="1" t="s">
        <v>329</v>
      </c>
      <c r="AL134" s="1">
        <v>13</v>
      </c>
      <c r="AM134" s="1" t="s">
        <v>4787</v>
      </c>
      <c r="AN134" s="1" t="s">
        <v>476</v>
      </c>
      <c r="AO134" s="1" t="s">
        <v>5102</v>
      </c>
      <c r="AP134" s="1">
        <v>0</v>
      </c>
      <c r="AQ134" s="1" t="s">
        <v>1165</v>
      </c>
      <c r="AR134" s="1" t="s">
        <v>1227</v>
      </c>
      <c r="AS134" s="1" t="s">
        <v>1164</v>
      </c>
      <c r="AT134" s="1" t="s">
        <v>329</v>
      </c>
      <c r="AU134" s="1">
        <v>138</v>
      </c>
      <c r="AV134" s="1">
        <v>0</v>
      </c>
      <c r="AW134" s="1" t="s">
        <v>5103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4825</v>
      </c>
      <c r="BD134" s="1">
        <v>10102</v>
      </c>
      <c r="BE134" s="1"/>
    </row>
    <row r="135" spans="1:57" x14ac:dyDescent="0.25">
      <c r="A135" s="1">
        <v>139</v>
      </c>
      <c r="B135" s="1" t="s">
        <v>3280</v>
      </c>
      <c r="C135" s="9" t="s">
        <v>139</v>
      </c>
      <c r="D135" s="1" t="s">
        <v>3281</v>
      </c>
      <c r="E135" s="1"/>
      <c r="F135" s="1"/>
      <c r="G135" s="1" t="s">
        <v>3282</v>
      </c>
      <c r="H135" s="1" t="s">
        <v>3283</v>
      </c>
      <c r="I135" s="1" t="s">
        <v>3284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1160</v>
      </c>
      <c r="AK135" s="1" t="s">
        <v>329</v>
      </c>
      <c r="AL135" s="1">
        <v>13</v>
      </c>
      <c r="AM135" s="1" t="s">
        <v>1874</v>
      </c>
      <c r="AN135" s="1" t="s">
        <v>4808</v>
      </c>
      <c r="AO135" s="1" t="s">
        <v>5104</v>
      </c>
      <c r="AP135" s="1">
        <v>0</v>
      </c>
      <c r="AQ135" s="1" t="s">
        <v>1153</v>
      </c>
      <c r="AR135" s="1" t="s">
        <v>1154</v>
      </c>
      <c r="AS135" s="1" t="s">
        <v>1155</v>
      </c>
      <c r="AT135" s="1" t="s">
        <v>329</v>
      </c>
      <c r="AU135" s="1">
        <v>139</v>
      </c>
      <c r="AV135" s="1">
        <v>0</v>
      </c>
      <c r="AW135" s="1" t="s">
        <v>5105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4788</v>
      </c>
      <c r="BD135" s="1">
        <v>10704</v>
      </c>
      <c r="BE135" s="1"/>
    </row>
    <row r="136" spans="1:57" x14ac:dyDescent="0.25">
      <c r="A136" s="1">
        <v>140</v>
      </c>
      <c r="B136" s="1" t="s">
        <v>3285</v>
      </c>
      <c r="C136" s="9" t="s">
        <v>140</v>
      </c>
      <c r="D136" s="1" t="s">
        <v>140</v>
      </c>
      <c r="E136" s="1"/>
      <c r="F136" s="1"/>
      <c r="G136" s="1" t="s">
        <v>3286</v>
      </c>
      <c r="H136" s="1" t="s">
        <v>3287</v>
      </c>
      <c r="I136" s="1" t="s">
        <v>3288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1160</v>
      </c>
      <c r="AK136" s="1" t="s">
        <v>329</v>
      </c>
      <c r="AL136" s="1">
        <v>13</v>
      </c>
      <c r="AM136" s="1" t="s">
        <v>1874</v>
      </c>
      <c r="AN136" s="1" t="s">
        <v>5106</v>
      </c>
      <c r="AO136" s="1" t="s">
        <v>5107</v>
      </c>
      <c r="AP136" s="1">
        <v>0</v>
      </c>
      <c r="AQ136" s="1" t="s">
        <v>1153</v>
      </c>
      <c r="AR136" s="1" t="s">
        <v>1154</v>
      </c>
      <c r="AS136" s="1" t="s">
        <v>1155</v>
      </c>
      <c r="AT136" s="1" t="s">
        <v>329</v>
      </c>
      <c r="AU136" s="1">
        <v>140</v>
      </c>
      <c r="AV136" s="1">
        <v>0</v>
      </c>
      <c r="AW136" s="1" t="s">
        <v>5105</v>
      </c>
      <c r="AX136" s="1" t="s">
        <v>5108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4825</v>
      </c>
      <c r="BD136" s="1">
        <v>10704</v>
      </c>
      <c r="BE136" s="1"/>
    </row>
    <row r="137" spans="1:57" x14ac:dyDescent="0.25">
      <c r="A137" s="1">
        <v>141</v>
      </c>
      <c r="B137" s="1" t="s">
        <v>3289</v>
      </c>
      <c r="C137" s="9" t="s">
        <v>1228</v>
      </c>
      <c r="D137" s="1" t="s">
        <v>1228</v>
      </c>
      <c r="E137" s="1"/>
      <c r="F137" s="1"/>
      <c r="G137" s="1" t="s">
        <v>3290</v>
      </c>
      <c r="H137" s="1" t="s">
        <v>3291</v>
      </c>
      <c r="I137" s="1" t="s">
        <v>3292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1160</v>
      </c>
      <c r="AK137" s="1" t="s">
        <v>329</v>
      </c>
      <c r="AL137" s="1">
        <v>13</v>
      </c>
      <c r="AM137" s="1" t="s">
        <v>1874</v>
      </c>
      <c r="AN137" s="1" t="s">
        <v>4844</v>
      </c>
      <c r="AO137" s="1" t="s">
        <v>5109</v>
      </c>
      <c r="AP137" s="1">
        <v>0</v>
      </c>
      <c r="AQ137" s="1" t="s">
        <v>1153</v>
      </c>
      <c r="AR137" s="1" t="s">
        <v>1154</v>
      </c>
      <c r="AS137" s="1" t="s">
        <v>1155</v>
      </c>
      <c r="AT137" s="1" t="s">
        <v>329</v>
      </c>
      <c r="AU137" s="1">
        <v>141</v>
      </c>
      <c r="AV137" s="1">
        <v>0</v>
      </c>
      <c r="AW137" s="1" t="s">
        <v>5105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4837</v>
      </c>
      <c r="BD137" s="1">
        <v>10704</v>
      </c>
      <c r="BE137" s="1"/>
    </row>
    <row r="138" spans="1:57" x14ac:dyDescent="0.25">
      <c r="A138" s="1">
        <v>142</v>
      </c>
      <c r="B138" s="1" t="s">
        <v>3293</v>
      </c>
      <c r="C138" s="9" t="s">
        <v>1664</v>
      </c>
      <c r="D138" s="1" t="s">
        <v>3294</v>
      </c>
      <c r="E138" s="1"/>
      <c r="F138" s="1"/>
      <c r="G138" s="1" t="s">
        <v>3295</v>
      </c>
      <c r="H138" s="1" t="s">
        <v>3296</v>
      </c>
      <c r="I138" s="1" t="s">
        <v>3297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1874</v>
      </c>
      <c r="AN138" s="1" t="s">
        <v>4815</v>
      </c>
      <c r="AO138" s="1" t="s">
        <v>5110</v>
      </c>
      <c r="AP138" s="1">
        <v>0</v>
      </c>
      <c r="AQ138" s="1" t="s">
        <v>1153</v>
      </c>
      <c r="AR138" s="1" t="s">
        <v>1154</v>
      </c>
      <c r="AS138" s="1" t="s">
        <v>1155</v>
      </c>
      <c r="AT138" s="1" t="s">
        <v>329</v>
      </c>
      <c r="AU138" s="1">
        <v>142</v>
      </c>
      <c r="AV138" s="1">
        <v>0</v>
      </c>
      <c r="AW138" s="1" t="s">
        <v>5111</v>
      </c>
      <c r="AX138" s="1" t="s">
        <v>5112</v>
      </c>
      <c r="AY138" s="1">
        <v>5</v>
      </c>
      <c r="AZ138" s="1">
        <v>0</v>
      </c>
      <c r="BA138" s="1" t="s">
        <v>329</v>
      </c>
      <c r="BB138" s="1" t="s">
        <v>5113</v>
      </c>
      <c r="BC138" s="1" t="s">
        <v>4921</v>
      </c>
      <c r="BD138" s="1">
        <v>10202</v>
      </c>
      <c r="BE138" s="1"/>
    </row>
    <row r="139" spans="1:57" x14ac:dyDescent="0.25">
      <c r="A139" s="1">
        <v>143</v>
      </c>
      <c r="B139" s="1" t="s">
        <v>3298</v>
      </c>
      <c r="C139" s="9" t="s">
        <v>141</v>
      </c>
      <c r="D139" s="1" t="s">
        <v>141</v>
      </c>
      <c r="E139" s="1"/>
      <c r="F139" s="1"/>
      <c r="G139" s="1" t="s">
        <v>3299</v>
      </c>
      <c r="H139" s="1" t="s">
        <v>3300</v>
      </c>
      <c r="I139" s="1" t="s">
        <v>3301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1229</v>
      </c>
      <c r="AK139" s="1" t="s">
        <v>329</v>
      </c>
      <c r="AL139" s="1">
        <v>13</v>
      </c>
      <c r="AM139" s="1" t="s">
        <v>4858</v>
      </c>
      <c r="AN139" s="1" t="s">
        <v>5015</v>
      </c>
      <c r="AO139" s="1" t="s">
        <v>5114</v>
      </c>
      <c r="AP139" s="1">
        <v>0</v>
      </c>
      <c r="AQ139" s="1" t="s">
        <v>1780</v>
      </c>
      <c r="AR139" s="1" t="s">
        <v>1154</v>
      </c>
      <c r="AS139" s="1" t="s">
        <v>1165</v>
      </c>
      <c r="AT139" s="1" t="s">
        <v>329</v>
      </c>
      <c r="AU139" s="1">
        <v>143</v>
      </c>
      <c r="AV139" s="1">
        <v>0</v>
      </c>
      <c r="AW139" s="1" t="s">
        <v>5105</v>
      </c>
      <c r="AX139" s="1" t="s">
        <v>4926</v>
      </c>
      <c r="AY139" s="1">
        <v>5</v>
      </c>
      <c r="AZ139" s="1">
        <v>0</v>
      </c>
      <c r="BA139" s="1" t="s">
        <v>4923</v>
      </c>
      <c r="BB139" s="1" t="s">
        <v>5115</v>
      </c>
      <c r="BC139" s="1" t="s">
        <v>4928</v>
      </c>
      <c r="BD139" s="1">
        <v>10601</v>
      </c>
      <c r="BE139" s="1"/>
    </row>
    <row r="140" spans="1:57" x14ac:dyDescent="0.25">
      <c r="A140" s="1">
        <v>144</v>
      </c>
      <c r="B140" s="1" t="s">
        <v>3302</v>
      </c>
      <c r="C140" s="9" t="s">
        <v>1665</v>
      </c>
      <c r="D140" s="1" t="s">
        <v>1665</v>
      </c>
      <c r="E140" s="1"/>
      <c r="F140" s="1"/>
      <c r="G140" s="1" t="s">
        <v>3303</v>
      </c>
      <c r="H140" s="1" t="s">
        <v>3304</v>
      </c>
      <c r="I140" s="1" t="s">
        <v>3305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1156</v>
      </c>
      <c r="AK140" s="1" t="s">
        <v>329</v>
      </c>
      <c r="AL140" s="1">
        <v>13</v>
      </c>
      <c r="AM140" s="1" t="s">
        <v>4858</v>
      </c>
      <c r="AN140" s="1" t="s">
        <v>389</v>
      </c>
      <c r="AO140" s="1" t="s">
        <v>4867</v>
      </c>
      <c r="AP140" s="1">
        <v>0</v>
      </c>
      <c r="AQ140" s="1" t="s">
        <v>1164</v>
      </c>
      <c r="AR140" s="1" t="s">
        <v>1154</v>
      </c>
      <c r="AS140" s="1" t="s">
        <v>1165</v>
      </c>
      <c r="AT140" s="1" t="s">
        <v>329</v>
      </c>
      <c r="AU140" s="1">
        <v>144</v>
      </c>
      <c r="AV140" s="1">
        <v>0</v>
      </c>
      <c r="AW140" s="1" t="s">
        <v>5116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3306</v>
      </c>
      <c r="C141" s="9" t="s">
        <v>1666</v>
      </c>
      <c r="D141" s="1" t="s">
        <v>3307</v>
      </c>
      <c r="E141" s="1"/>
      <c r="F141" s="1"/>
      <c r="G141" s="1" t="s">
        <v>3308</v>
      </c>
      <c r="H141" s="1" t="s">
        <v>3309</v>
      </c>
      <c r="I141" s="1" t="s">
        <v>3310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1230</v>
      </c>
      <c r="AK141" s="1" t="s">
        <v>329</v>
      </c>
      <c r="AL141" s="1">
        <v>13</v>
      </c>
      <c r="AM141" s="1" t="s">
        <v>4830</v>
      </c>
      <c r="AN141" s="1" t="s">
        <v>4902</v>
      </c>
      <c r="AO141" s="1" t="s">
        <v>4894</v>
      </c>
      <c r="AP141" s="1">
        <v>0</v>
      </c>
      <c r="AQ141" s="1" t="s">
        <v>1175</v>
      </c>
      <c r="AR141" s="1" t="s">
        <v>4903</v>
      </c>
      <c r="AS141" s="1" t="s">
        <v>1177</v>
      </c>
      <c r="AT141" s="1" t="s">
        <v>329</v>
      </c>
      <c r="AU141" s="1">
        <v>145</v>
      </c>
      <c r="AV141" s="1">
        <v>0</v>
      </c>
      <c r="AW141" s="1" t="s">
        <v>5111</v>
      </c>
      <c r="AX141" s="1" t="s">
        <v>5117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4825</v>
      </c>
      <c r="BD141" s="1">
        <v>10703</v>
      </c>
      <c r="BE141" s="1"/>
    </row>
    <row r="142" spans="1:57" x14ac:dyDescent="0.25">
      <c r="A142" s="1">
        <v>146</v>
      </c>
      <c r="B142" s="1" t="s">
        <v>3311</v>
      </c>
      <c r="C142" s="9" t="s">
        <v>227</v>
      </c>
      <c r="D142" s="1" t="s">
        <v>227</v>
      </c>
      <c r="E142" s="1"/>
      <c r="F142" s="1"/>
      <c r="G142" s="1" t="s">
        <v>3312</v>
      </c>
      <c r="H142" s="1" t="s">
        <v>3313</v>
      </c>
      <c r="I142" s="1" t="s">
        <v>3314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1231</v>
      </c>
      <c r="AK142" s="1" t="s">
        <v>329</v>
      </c>
      <c r="AL142" s="1">
        <v>13</v>
      </c>
      <c r="AM142" s="1" t="s">
        <v>4830</v>
      </c>
      <c r="AN142" s="1" t="s">
        <v>465</v>
      </c>
      <c r="AO142" s="1" t="s">
        <v>4900</v>
      </c>
      <c r="AP142" s="1">
        <v>0</v>
      </c>
      <c r="AQ142" s="1" t="s">
        <v>1175</v>
      </c>
      <c r="AR142" s="1" t="s">
        <v>1176</v>
      </c>
      <c r="AS142" s="1" t="s">
        <v>1177</v>
      </c>
      <c r="AT142" s="1" t="s">
        <v>329</v>
      </c>
      <c r="AU142" s="1">
        <v>146</v>
      </c>
      <c r="AV142" s="1">
        <v>0</v>
      </c>
      <c r="AW142" s="1" t="s">
        <v>5111</v>
      </c>
      <c r="AX142" s="1" t="s">
        <v>5117</v>
      </c>
      <c r="AY142" s="1">
        <v>4</v>
      </c>
      <c r="AZ142" s="1">
        <v>0</v>
      </c>
      <c r="BA142" s="1" t="s">
        <v>329</v>
      </c>
      <c r="BB142" s="1" t="s">
        <v>5118</v>
      </c>
      <c r="BC142" s="1" t="s">
        <v>4837</v>
      </c>
      <c r="BD142" s="1">
        <v>10701</v>
      </c>
      <c r="BE142" s="1"/>
    </row>
    <row r="143" spans="1:57" x14ac:dyDescent="0.25">
      <c r="A143" s="1">
        <v>147</v>
      </c>
      <c r="B143" s="1" t="s">
        <v>3315</v>
      </c>
      <c r="C143" s="9" t="s">
        <v>142</v>
      </c>
      <c r="D143" s="1" t="s">
        <v>3316</v>
      </c>
      <c r="E143" s="1"/>
      <c r="F143" s="1"/>
      <c r="G143" s="1" t="s">
        <v>3317</v>
      </c>
      <c r="H143" s="1" t="s">
        <v>3318</v>
      </c>
      <c r="I143" s="1" t="s">
        <v>3319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1160</v>
      </c>
      <c r="AK143" s="1" t="s">
        <v>329</v>
      </c>
      <c r="AL143" s="1">
        <v>13</v>
      </c>
      <c r="AM143" s="1" t="s">
        <v>4830</v>
      </c>
      <c r="AN143" s="1" t="s">
        <v>476</v>
      </c>
      <c r="AO143" s="1" t="s">
        <v>4894</v>
      </c>
      <c r="AP143" s="1">
        <v>0</v>
      </c>
      <c r="AQ143" s="1" t="s">
        <v>1175</v>
      </c>
      <c r="AR143" s="1" t="s">
        <v>1176</v>
      </c>
      <c r="AS143" s="1" t="s">
        <v>1177</v>
      </c>
      <c r="AT143" s="1" t="s">
        <v>329</v>
      </c>
      <c r="AU143" s="1">
        <v>147</v>
      </c>
      <c r="AV143" s="1">
        <v>0</v>
      </c>
      <c r="AW143" s="1" t="s">
        <v>5119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3320</v>
      </c>
      <c r="C144" s="9" t="s">
        <v>143</v>
      </c>
      <c r="D144" s="1" t="s">
        <v>3321</v>
      </c>
      <c r="E144" s="1"/>
      <c r="F144" s="1"/>
      <c r="G144" s="1" t="s">
        <v>3322</v>
      </c>
      <c r="H144" s="1" t="s">
        <v>3323</v>
      </c>
      <c r="I144" s="1" t="s">
        <v>3324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1232</v>
      </c>
      <c r="AK144" s="1" t="s">
        <v>329</v>
      </c>
      <c r="AL144" s="1">
        <v>13</v>
      </c>
      <c r="AM144" s="1" t="s">
        <v>4830</v>
      </c>
      <c r="AN144" s="1" t="s">
        <v>465</v>
      </c>
      <c r="AO144" s="1" t="s">
        <v>4913</v>
      </c>
      <c r="AP144" s="1">
        <v>0</v>
      </c>
      <c r="AQ144" s="1" t="s">
        <v>1175</v>
      </c>
      <c r="AR144" s="1" t="s">
        <v>1176</v>
      </c>
      <c r="AS144" s="1" t="s">
        <v>1177</v>
      </c>
      <c r="AT144" s="1" t="s">
        <v>329</v>
      </c>
      <c r="AU144" s="1">
        <v>148</v>
      </c>
      <c r="AV144" s="1">
        <v>0</v>
      </c>
      <c r="AW144" s="1" t="s">
        <v>5120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5121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3325</v>
      </c>
      <c r="C145" s="9" t="s">
        <v>1667</v>
      </c>
      <c r="D145" s="1" t="s">
        <v>1667</v>
      </c>
      <c r="E145" s="1"/>
      <c r="F145" s="1"/>
      <c r="G145" s="1" t="s">
        <v>3326</v>
      </c>
      <c r="H145" s="1" t="s">
        <v>3327</v>
      </c>
      <c r="I145" s="1" t="s">
        <v>3328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1201</v>
      </c>
      <c r="AK145" s="1" t="s">
        <v>329</v>
      </c>
      <c r="AL145" s="1">
        <v>18</v>
      </c>
      <c r="AM145" s="1" t="s">
        <v>4926</v>
      </c>
      <c r="AN145" s="1" t="s">
        <v>4999</v>
      </c>
      <c r="AO145" s="1" t="s">
        <v>5122</v>
      </c>
      <c r="AP145" s="1">
        <v>0</v>
      </c>
      <c r="AQ145" s="1" t="s">
        <v>1202</v>
      </c>
      <c r="AR145" s="1" t="s">
        <v>1203</v>
      </c>
      <c r="AS145" s="1" t="s">
        <v>1204</v>
      </c>
      <c r="AT145" s="1" t="s">
        <v>329</v>
      </c>
      <c r="AU145" s="1">
        <v>149</v>
      </c>
      <c r="AV145" s="1">
        <v>0</v>
      </c>
      <c r="AW145" s="1" t="s">
        <v>5120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5123</v>
      </c>
      <c r="BC145" s="1" t="s">
        <v>4825</v>
      </c>
      <c r="BD145" s="1">
        <v>10202</v>
      </c>
      <c r="BE145" s="1"/>
    </row>
    <row r="146" spans="1:57" x14ac:dyDescent="0.25">
      <c r="A146" s="1">
        <v>150</v>
      </c>
      <c r="B146" s="1" t="s">
        <v>3329</v>
      </c>
      <c r="C146" s="9" t="s">
        <v>144</v>
      </c>
      <c r="D146" s="1" t="s">
        <v>144</v>
      </c>
      <c r="E146" s="1"/>
      <c r="F146" s="1"/>
      <c r="G146" s="1" t="s">
        <v>3330</v>
      </c>
      <c r="H146" s="1" t="s">
        <v>3331</v>
      </c>
      <c r="I146" s="1" t="s">
        <v>3332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1233</v>
      </c>
      <c r="AK146" s="1" t="s">
        <v>329</v>
      </c>
      <c r="AL146" s="1">
        <v>13</v>
      </c>
      <c r="AM146" s="1" t="s">
        <v>4858</v>
      </c>
      <c r="AN146" s="1" t="s">
        <v>389</v>
      </c>
      <c r="AO146" s="1" t="s">
        <v>5124</v>
      </c>
      <c r="AP146" s="1">
        <v>0</v>
      </c>
      <c r="AQ146" s="1" t="s">
        <v>1164</v>
      </c>
      <c r="AR146" s="1" t="s">
        <v>1154</v>
      </c>
      <c r="AS146" s="1" t="s">
        <v>1165</v>
      </c>
      <c r="AT146" s="1" t="s">
        <v>329</v>
      </c>
      <c r="AU146" s="1">
        <v>150</v>
      </c>
      <c r="AV146" s="1">
        <v>0</v>
      </c>
      <c r="AW146" s="1" t="s">
        <v>5120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3333</v>
      </c>
      <c r="C147" s="9" t="s">
        <v>145</v>
      </c>
      <c r="D147" s="1" t="s">
        <v>145</v>
      </c>
      <c r="E147" s="1"/>
      <c r="F147" s="1"/>
      <c r="G147" s="1" t="s">
        <v>3334</v>
      </c>
      <c r="H147" s="1" t="s">
        <v>3335</v>
      </c>
      <c r="I147" s="1" t="s">
        <v>3336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1234</v>
      </c>
      <c r="AK147" s="1" t="s">
        <v>329</v>
      </c>
      <c r="AL147" s="1">
        <v>8</v>
      </c>
      <c r="AM147" s="1" t="s">
        <v>4784</v>
      </c>
      <c r="AN147" s="1" t="s">
        <v>477</v>
      </c>
      <c r="AO147" s="1" t="s">
        <v>5125</v>
      </c>
      <c r="AP147" s="1">
        <v>0</v>
      </c>
      <c r="AQ147" s="1" t="s">
        <v>1235</v>
      </c>
      <c r="AR147" s="1" t="s">
        <v>1236</v>
      </c>
      <c r="AS147" s="1" t="s">
        <v>1237</v>
      </c>
      <c r="AT147" s="1" t="s">
        <v>329</v>
      </c>
      <c r="AU147" s="1">
        <v>151</v>
      </c>
      <c r="AV147" s="1">
        <v>0</v>
      </c>
      <c r="AW147" s="1" t="s">
        <v>5111</v>
      </c>
      <c r="AX147" s="1" t="s">
        <v>5126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4788</v>
      </c>
      <c r="BD147" s="1">
        <v>10202</v>
      </c>
      <c r="BE147" s="1"/>
    </row>
    <row r="148" spans="1:57" x14ac:dyDescent="0.25">
      <c r="A148" s="1">
        <v>152</v>
      </c>
      <c r="B148" s="1" t="s">
        <v>3337</v>
      </c>
      <c r="C148" s="9" t="s">
        <v>146</v>
      </c>
      <c r="D148" s="1" t="s">
        <v>146</v>
      </c>
      <c r="E148" s="1"/>
      <c r="F148" s="1"/>
      <c r="G148" s="1" t="s">
        <v>3338</v>
      </c>
      <c r="H148" s="1" t="s">
        <v>3339</v>
      </c>
      <c r="I148" s="1" t="s">
        <v>3340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1238</v>
      </c>
      <c r="AK148" s="1" t="s">
        <v>329</v>
      </c>
      <c r="AL148" s="1">
        <v>8</v>
      </c>
      <c r="AM148" s="1" t="s">
        <v>4784</v>
      </c>
      <c r="AN148" s="1" t="s">
        <v>335</v>
      </c>
      <c r="AO148" s="1" t="s">
        <v>5127</v>
      </c>
      <c r="AP148" s="1">
        <v>0</v>
      </c>
      <c r="AQ148" s="1" t="s">
        <v>1235</v>
      </c>
      <c r="AR148" s="1" t="s">
        <v>5128</v>
      </c>
      <c r="AS148" s="1" t="s">
        <v>1237</v>
      </c>
      <c r="AT148" s="1" t="s">
        <v>329</v>
      </c>
      <c r="AU148" s="1">
        <v>152</v>
      </c>
      <c r="AV148" s="1">
        <v>0</v>
      </c>
      <c r="AW148" s="1" t="s">
        <v>5129</v>
      </c>
      <c r="AX148" s="1" t="s">
        <v>4787</v>
      </c>
      <c r="AY148" s="1">
        <v>3</v>
      </c>
      <c r="AZ148" s="1">
        <v>0</v>
      </c>
      <c r="BA148" s="1" t="s">
        <v>4833</v>
      </c>
      <c r="BB148" s="1" t="s">
        <v>329</v>
      </c>
      <c r="BC148" s="1" t="s">
        <v>4788</v>
      </c>
      <c r="BD148" s="1">
        <v>10303</v>
      </c>
      <c r="BE148" s="1"/>
    </row>
    <row r="149" spans="1:57" x14ac:dyDescent="0.25">
      <c r="A149" s="1">
        <v>153</v>
      </c>
      <c r="B149" s="1" t="s">
        <v>3341</v>
      </c>
      <c r="C149" s="9" t="s">
        <v>147</v>
      </c>
      <c r="D149" s="1" t="s">
        <v>3342</v>
      </c>
      <c r="E149" s="1"/>
      <c r="F149" s="1"/>
      <c r="G149" s="1" t="s">
        <v>3343</v>
      </c>
      <c r="H149" s="1" t="s">
        <v>3344</v>
      </c>
      <c r="I149" s="1" t="s">
        <v>3345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1234</v>
      </c>
      <c r="AK149" s="1" t="s">
        <v>329</v>
      </c>
      <c r="AL149" s="1">
        <v>8</v>
      </c>
      <c r="AM149" s="1" t="s">
        <v>4784</v>
      </c>
      <c r="AN149" s="1" t="s">
        <v>399</v>
      </c>
      <c r="AO149" s="1" t="s">
        <v>4892</v>
      </c>
      <c r="AP149" s="1">
        <v>0</v>
      </c>
      <c r="AQ149" s="1" t="s">
        <v>1235</v>
      </c>
      <c r="AR149" s="1" t="s">
        <v>1236</v>
      </c>
      <c r="AS149" s="1" t="s">
        <v>1237</v>
      </c>
      <c r="AT149" s="1" t="s">
        <v>329</v>
      </c>
      <c r="AU149" s="1">
        <v>153</v>
      </c>
      <c r="AV149" s="1">
        <v>0</v>
      </c>
      <c r="AW149" s="1" t="s">
        <v>5105</v>
      </c>
      <c r="AX149" s="1" t="s">
        <v>4787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4788</v>
      </c>
      <c r="BD149" s="1">
        <v>10702</v>
      </c>
      <c r="BE149" s="1"/>
    </row>
    <row r="150" spans="1:57" x14ac:dyDescent="0.25">
      <c r="A150" s="1">
        <v>154</v>
      </c>
      <c r="B150" s="1" t="s">
        <v>3346</v>
      </c>
      <c r="C150" s="9" t="s">
        <v>148</v>
      </c>
      <c r="D150" s="1" t="s">
        <v>148</v>
      </c>
      <c r="E150" s="1"/>
      <c r="F150" s="1"/>
      <c r="G150" s="1" t="s">
        <v>3347</v>
      </c>
      <c r="H150" s="1" t="s">
        <v>3348</v>
      </c>
      <c r="I150" s="1" t="s">
        <v>3349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1238</v>
      </c>
      <c r="AK150" s="1" t="s">
        <v>329</v>
      </c>
      <c r="AL150" s="1">
        <v>7</v>
      </c>
      <c r="AM150" s="1" t="s">
        <v>4784</v>
      </c>
      <c r="AN150" s="1" t="s">
        <v>471</v>
      </c>
      <c r="AO150" s="1" t="s">
        <v>4892</v>
      </c>
      <c r="AP150" s="1">
        <v>0</v>
      </c>
      <c r="AQ150" s="1" t="s">
        <v>1235</v>
      </c>
      <c r="AR150" s="1" t="s">
        <v>1236</v>
      </c>
      <c r="AS150" s="1" t="s">
        <v>5130</v>
      </c>
      <c r="AT150" s="1" t="s">
        <v>329</v>
      </c>
      <c r="AU150" s="1">
        <v>154</v>
      </c>
      <c r="AV150" s="1">
        <v>0</v>
      </c>
      <c r="AW150" s="1" t="s">
        <v>5105</v>
      </c>
      <c r="AX150" s="1" t="s">
        <v>4787</v>
      </c>
      <c r="AY150" s="1">
        <v>3</v>
      </c>
      <c r="AZ150" s="1">
        <v>0</v>
      </c>
      <c r="BA150" s="1" t="s">
        <v>4833</v>
      </c>
      <c r="BB150" s="1" t="s">
        <v>329</v>
      </c>
      <c r="BC150" s="1" t="s">
        <v>4788</v>
      </c>
      <c r="BD150" s="1">
        <v>10802</v>
      </c>
      <c r="BE150" s="1"/>
    </row>
    <row r="151" spans="1:57" x14ac:dyDescent="0.25">
      <c r="A151" s="1">
        <v>155</v>
      </c>
      <c r="B151" s="1" t="s">
        <v>3350</v>
      </c>
      <c r="C151" s="9" t="s">
        <v>149</v>
      </c>
      <c r="D151" s="1" t="s">
        <v>149</v>
      </c>
      <c r="E151" s="1"/>
      <c r="F151" s="1"/>
      <c r="G151" s="1" t="s">
        <v>3351</v>
      </c>
      <c r="H151" s="1" t="s">
        <v>3352</v>
      </c>
      <c r="I151" s="1" t="s">
        <v>3353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1234</v>
      </c>
      <c r="AK151" s="1" t="s">
        <v>329</v>
      </c>
      <c r="AL151" s="1">
        <v>9</v>
      </c>
      <c r="AM151" s="1" t="s">
        <v>4784</v>
      </c>
      <c r="AN151" s="1" t="s">
        <v>336</v>
      </c>
      <c r="AO151" s="1" t="s">
        <v>5091</v>
      </c>
      <c r="AP151" s="1">
        <v>0</v>
      </c>
      <c r="AQ151" s="1" t="s">
        <v>1235</v>
      </c>
      <c r="AR151" s="1" t="s">
        <v>1236</v>
      </c>
      <c r="AS151" s="1" t="s">
        <v>1237</v>
      </c>
      <c r="AT151" s="1" t="s">
        <v>329</v>
      </c>
      <c r="AU151" s="1">
        <v>155</v>
      </c>
      <c r="AV151" s="1">
        <v>0</v>
      </c>
      <c r="AW151" s="1" t="s">
        <v>5105</v>
      </c>
      <c r="AX151" s="1" t="s">
        <v>4787</v>
      </c>
      <c r="AY151" s="1">
        <v>4</v>
      </c>
      <c r="AZ151" s="1">
        <v>0</v>
      </c>
      <c r="BA151" s="1" t="s">
        <v>329</v>
      </c>
      <c r="BB151" s="1" t="s">
        <v>4827</v>
      </c>
      <c r="BC151" s="1" t="s">
        <v>4788</v>
      </c>
      <c r="BD151" s="1">
        <v>10402</v>
      </c>
      <c r="BE151" s="1"/>
    </row>
    <row r="152" spans="1:57" x14ac:dyDescent="0.25">
      <c r="A152" s="1">
        <v>156</v>
      </c>
      <c r="B152" s="1" t="s">
        <v>3354</v>
      </c>
      <c r="C152" s="9" t="s">
        <v>1668</v>
      </c>
      <c r="D152" s="1" t="s">
        <v>1668</v>
      </c>
      <c r="E152" s="1"/>
      <c r="F152" s="1"/>
      <c r="G152" s="1" t="s">
        <v>3355</v>
      </c>
      <c r="H152" s="1" t="s">
        <v>3356</v>
      </c>
      <c r="I152" s="1" t="s">
        <v>3357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1239</v>
      </c>
      <c r="AK152" s="1" t="s">
        <v>329</v>
      </c>
      <c r="AL152" s="1">
        <v>8</v>
      </c>
      <c r="AM152" s="1" t="s">
        <v>4784</v>
      </c>
      <c r="AN152" s="1" t="s">
        <v>477</v>
      </c>
      <c r="AO152" s="1" t="s">
        <v>5131</v>
      </c>
      <c r="AP152" s="1">
        <v>0</v>
      </c>
      <c r="AQ152" s="1" t="s">
        <v>1235</v>
      </c>
      <c r="AR152" s="1" t="s">
        <v>1236</v>
      </c>
      <c r="AS152" s="1" t="s">
        <v>1237</v>
      </c>
      <c r="AT152" s="1" t="s">
        <v>329</v>
      </c>
      <c r="AU152" s="1">
        <v>156</v>
      </c>
      <c r="AV152" s="1">
        <v>0</v>
      </c>
      <c r="AW152" s="1" t="s">
        <v>5129</v>
      </c>
      <c r="AX152" s="1" t="s">
        <v>4787</v>
      </c>
      <c r="AY152" s="1">
        <v>4</v>
      </c>
      <c r="AZ152" s="1">
        <v>0</v>
      </c>
      <c r="BA152" s="1" t="s">
        <v>329</v>
      </c>
      <c r="BB152" s="1" t="s">
        <v>5132</v>
      </c>
      <c r="BC152" s="1" t="s">
        <v>4788</v>
      </c>
      <c r="BD152" s="1">
        <v>10203</v>
      </c>
      <c r="BE152" s="1"/>
    </row>
    <row r="153" spans="1:57" x14ac:dyDescent="0.25">
      <c r="A153" s="1">
        <v>157</v>
      </c>
      <c r="B153" s="1" t="s">
        <v>3358</v>
      </c>
      <c r="C153" s="9" t="s">
        <v>1240</v>
      </c>
      <c r="D153" s="1" t="s">
        <v>1240</v>
      </c>
      <c r="E153" s="1"/>
      <c r="F153" s="1"/>
      <c r="G153" s="1" t="s">
        <v>3359</v>
      </c>
      <c r="H153" s="1" t="s">
        <v>3360</v>
      </c>
      <c r="I153" s="1" t="s">
        <v>3361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5133</v>
      </c>
      <c r="AK153" s="1" t="s">
        <v>329</v>
      </c>
      <c r="AL153" s="1">
        <v>8</v>
      </c>
      <c r="AM153" s="1" t="s">
        <v>4784</v>
      </c>
      <c r="AN153" s="1" t="s">
        <v>399</v>
      </c>
      <c r="AO153" s="1" t="s">
        <v>5008</v>
      </c>
      <c r="AP153" s="1">
        <v>0</v>
      </c>
      <c r="AQ153" s="1" t="s">
        <v>1235</v>
      </c>
      <c r="AR153" s="1" t="s">
        <v>1236</v>
      </c>
      <c r="AS153" s="1" t="s">
        <v>1237</v>
      </c>
      <c r="AT153" s="1" t="s">
        <v>329</v>
      </c>
      <c r="AU153" s="1">
        <v>157</v>
      </c>
      <c r="AV153" s="1">
        <v>0</v>
      </c>
      <c r="AW153" s="1" t="s">
        <v>5105</v>
      </c>
      <c r="AX153" s="1" t="s">
        <v>4787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4788</v>
      </c>
      <c r="BD153" s="1">
        <v>10202</v>
      </c>
      <c r="BE153" s="1"/>
    </row>
    <row r="154" spans="1:57" x14ac:dyDescent="0.25">
      <c r="A154" s="1">
        <v>158</v>
      </c>
      <c r="B154" s="1" t="s">
        <v>3362</v>
      </c>
      <c r="C154" s="9" t="s">
        <v>723</v>
      </c>
      <c r="D154" s="1" t="s">
        <v>723</v>
      </c>
      <c r="E154" s="1"/>
      <c r="F154" s="1"/>
      <c r="G154" s="1" t="s">
        <v>3363</v>
      </c>
      <c r="H154" s="1" t="s">
        <v>3364</v>
      </c>
      <c r="I154" s="1" t="s">
        <v>3365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1241</v>
      </c>
      <c r="AK154" s="1" t="s">
        <v>329</v>
      </c>
      <c r="AL154" s="1">
        <v>7</v>
      </c>
      <c r="AM154" s="1" t="s">
        <v>4784</v>
      </c>
      <c r="AN154" s="1" t="s">
        <v>4830</v>
      </c>
      <c r="AO154" s="1" t="s">
        <v>5134</v>
      </c>
      <c r="AP154" s="1">
        <v>0</v>
      </c>
      <c r="AQ154" s="1" t="s">
        <v>1235</v>
      </c>
      <c r="AR154" s="1" t="s">
        <v>5128</v>
      </c>
      <c r="AS154" s="1" t="s">
        <v>1237</v>
      </c>
      <c r="AT154" s="1" t="s">
        <v>329</v>
      </c>
      <c r="AU154" s="1">
        <v>158</v>
      </c>
      <c r="AV154" s="1">
        <v>0</v>
      </c>
      <c r="AW154" s="1" t="s">
        <v>5105</v>
      </c>
      <c r="AX154" s="1" t="s">
        <v>4787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4825</v>
      </c>
      <c r="BD154" s="1">
        <v>10402</v>
      </c>
      <c r="BE154" s="1"/>
    </row>
    <row r="155" spans="1:57" x14ac:dyDescent="0.25">
      <c r="A155" s="1">
        <v>159</v>
      </c>
      <c r="B155" s="1" t="s">
        <v>3366</v>
      </c>
      <c r="C155" s="9" t="s">
        <v>1669</v>
      </c>
      <c r="D155" s="1" t="s">
        <v>1669</v>
      </c>
      <c r="E155" s="1"/>
      <c r="F155" s="1"/>
      <c r="G155" s="1" t="s">
        <v>3367</v>
      </c>
      <c r="H155" s="1" t="s">
        <v>3368</v>
      </c>
      <c r="I155" s="1" t="s">
        <v>3369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1238</v>
      </c>
      <c r="AK155" s="1" t="s">
        <v>329</v>
      </c>
      <c r="AL155" s="1">
        <v>9</v>
      </c>
      <c r="AM155" s="1" t="s">
        <v>4784</v>
      </c>
      <c r="AN155" s="1" t="s">
        <v>4784</v>
      </c>
      <c r="AO155" s="1" t="s">
        <v>5134</v>
      </c>
      <c r="AP155" s="1">
        <v>0</v>
      </c>
      <c r="AQ155" s="1" t="s">
        <v>5135</v>
      </c>
      <c r="AR155" s="1" t="s">
        <v>1236</v>
      </c>
      <c r="AS155" s="1" t="s">
        <v>1237</v>
      </c>
      <c r="AT155" s="1" t="s">
        <v>329</v>
      </c>
      <c r="AU155" s="1">
        <v>159</v>
      </c>
      <c r="AV155" s="1">
        <v>0</v>
      </c>
      <c r="AW155" s="1" t="s">
        <v>5105</v>
      </c>
      <c r="AX155" s="1" t="s">
        <v>4787</v>
      </c>
      <c r="AY155" s="1">
        <v>3</v>
      </c>
      <c r="AZ155" s="1">
        <v>0</v>
      </c>
      <c r="BA155" s="1" t="s">
        <v>4833</v>
      </c>
      <c r="BB155" s="1" t="s">
        <v>329</v>
      </c>
      <c r="BC155" s="1" t="s">
        <v>4825</v>
      </c>
      <c r="BD155" s="1">
        <v>10704</v>
      </c>
      <c r="BE155" s="1"/>
    </row>
    <row r="156" spans="1:57" x14ac:dyDescent="0.25">
      <c r="A156" s="1">
        <v>160</v>
      </c>
      <c r="B156" s="1" t="s">
        <v>3370</v>
      </c>
      <c r="C156" s="9" t="s">
        <v>1670</v>
      </c>
      <c r="D156" s="1" t="s">
        <v>1670</v>
      </c>
      <c r="E156" s="1"/>
      <c r="F156" s="1"/>
      <c r="G156" s="1" t="s">
        <v>3371</v>
      </c>
      <c r="H156" s="1" t="s">
        <v>3372</v>
      </c>
      <c r="I156" s="1" t="s">
        <v>3373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1234</v>
      </c>
      <c r="AK156" s="1" t="s">
        <v>329</v>
      </c>
      <c r="AL156" s="1">
        <v>8</v>
      </c>
      <c r="AM156" s="1" t="s">
        <v>4784</v>
      </c>
      <c r="AN156" s="1" t="s">
        <v>4796</v>
      </c>
      <c r="AO156" s="1" t="s">
        <v>5136</v>
      </c>
      <c r="AP156" s="1">
        <v>0</v>
      </c>
      <c r="AQ156" s="1" t="s">
        <v>1235</v>
      </c>
      <c r="AR156" s="1" t="s">
        <v>1236</v>
      </c>
      <c r="AS156" s="1" t="s">
        <v>1237</v>
      </c>
      <c r="AT156" s="1" t="s">
        <v>329</v>
      </c>
      <c r="AU156" s="1">
        <v>160</v>
      </c>
      <c r="AV156" s="1">
        <v>0</v>
      </c>
      <c r="AW156" s="1" t="s">
        <v>5129</v>
      </c>
      <c r="AX156" s="1" t="s">
        <v>4787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4825</v>
      </c>
      <c r="BD156" s="1">
        <v>10802</v>
      </c>
      <c r="BE156" s="1"/>
    </row>
    <row r="157" spans="1:57" x14ac:dyDescent="0.25">
      <c r="A157" s="1">
        <v>161</v>
      </c>
      <c r="B157" s="1" t="s">
        <v>3374</v>
      </c>
      <c r="C157" s="9" t="s">
        <v>150</v>
      </c>
      <c r="D157" s="1" t="s">
        <v>3375</v>
      </c>
      <c r="E157" s="1"/>
      <c r="F157" s="1"/>
      <c r="G157" s="1" t="s">
        <v>3376</v>
      </c>
      <c r="H157" s="1" t="s">
        <v>3377</v>
      </c>
      <c r="I157" s="1" t="s">
        <v>3378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1242</v>
      </c>
      <c r="AK157" s="1" t="s">
        <v>329</v>
      </c>
      <c r="AL157" s="1">
        <v>8</v>
      </c>
      <c r="AM157" s="1" t="s">
        <v>4784</v>
      </c>
      <c r="AN157" s="1" t="s">
        <v>4796</v>
      </c>
      <c r="AO157" s="1" t="s">
        <v>4864</v>
      </c>
      <c r="AP157" s="1">
        <v>0</v>
      </c>
      <c r="AQ157" s="1" t="s">
        <v>5135</v>
      </c>
      <c r="AR157" s="1" t="s">
        <v>1236</v>
      </c>
      <c r="AS157" s="1" t="s">
        <v>1237</v>
      </c>
      <c r="AT157" s="1" t="s">
        <v>329</v>
      </c>
      <c r="AU157" s="1">
        <v>161</v>
      </c>
      <c r="AV157" s="1">
        <v>0</v>
      </c>
      <c r="AW157" s="1" t="s">
        <v>5105</v>
      </c>
      <c r="AX157" s="1" t="s">
        <v>5137</v>
      </c>
      <c r="AY157" s="1">
        <v>4</v>
      </c>
      <c r="AZ157" s="1">
        <v>0</v>
      </c>
      <c r="BA157" s="1" t="s">
        <v>4811</v>
      </c>
      <c r="BB157" s="1" t="s">
        <v>5020</v>
      </c>
      <c r="BC157" s="1" t="s">
        <v>4851</v>
      </c>
      <c r="BD157" s="1">
        <v>10302</v>
      </c>
      <c r="BE157" s="1"/>
    </row>
    <row r="158" spans="1:57" x14ac:dyDescent="0.25">
      <c r="A158" s="1">
        <v>162</v>
      </c>
      <c r="B158" s="1" t="s">
        <v>3379</v>
      </c>
      <c r="C158" s="9" t="s">
        <v>1671</v>
      </c>
      <c r="D158" s="1" t="s">
        <v>1671</v>
      </c>
      <c r="E158" s="1"/>
      <c r="F158" s="1"/>
      <c r="G158" s="1" t="s">
        <v>3380</v>
      </c>
      <c r="H158" s="1" t="s">
        <v>3381</v>
      </c>
      <c r="I158" s="1" t="s">
        <v>3382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5138</v>
      </c>
      <c r="AK158" s="1" t="s">
        <v>329</v>
      </c>
      <c r="AL158" s="1">
        <v>8</v>
      </c>
      <c r="AM158" s="1" t="s">
        <v>4784</v>
      </c>
      <c r="AN158" s="1" t="s">
        <v>355</v>
      </c>
      <c r="AO158" s="1" t="s">
        <v>5008</v>
      </c>
      <c r="AP158" s="1">
        <v>0</v>
      </c>
      <c r="AQ158" s="1" t="s">
        <v>1235</v>
      </c>
      <c r="AR158" s="1" t="s">
        <v>1236</v>
      </c>
      <c r="AS158" s="1" t="s">
        <v>1237</v>
      </c>
      <c r="AT158" s="1" t="s">
        <v>329</v>
      </c>
      <c r="AU158" s="1">
        <v>162</v>
      </c>
      <c r="AV158" s="1">
        <v>0</v>
      </c>
      <c r="AW158" s="1" t="s">
        <v>5129</v>
      </c>
      <c r="AX158" s="1" t="s">
        <v>4787</v>
      </c>
      <c r="AY158" s="1">
        <v>4</v>
      </c>
      <c r="AZ158" s="1">
        <v>0</v>
      </c>
      <c r="BA158" s="1" t="s">
        <v>329</v>
      </c>
      <c r="BB158" s="1" t="s">
        <v>4784</v>
      </c>
      <c r="BC158" s="1" t="s">
        <v>4807</v>
      </c>
      <c r="BD158" s="1">
        <v>10402</v>
      </c>
      <c r="BE158" s="1"/>
    </row>
    <row r="159" spans="1:57" x14ac:dyDescent="0.25">
      <c r="A159" s="1">
        <v>163</v>
      </c>
      <c r="B159" s="1" t="s">
        <v>3383</v>
      </c>
      <c r="C159" s="9" t="s">
        <v>724</v>
      </c>
      <c r="D159" s="1" t="s">
        <v>724</v>
      </c>
      <c r="E159" s="1"/>
      <c r="F159" s="1"/>
      <c r="G159" s="1" t="s">
        <v>3384</v>
      </c>
      <c r="H159" s="1" t="s">
        <v>3385</v>
      </c>
      <c r="I159" s="1" t="s">
        <v>3386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1243</v>
      </c>
      <c r="AK159" s="1" t="s">
        <v>1244</v>
      </c>
      <c r="AL159" s="1">
        <v>8</v>
      </c>
      <c r="AM159" s="1" t="s">
        <v>4784</v>
      </c>
      <c r="AN159" s="1" t="s">
        <v>355</v>
      </c>
      <c r="AO159" s="1" t="s">
        <v>4982</v>
      </c>
      <c r="AP159" s="1">
        <v>0</v>
      </c>
      <c r="AQ159" s="1" t="s">
        <v>1235</v>
      </c>
      <c r="AR159" s="1" t="s">
        <v>5128</v>
      </c>
      <c r="AS159" s="1" t="s">
        <v>1237</v>
      </c>
      <c r="AT159" s="1" t="s">
        <v>329</v>
      </c>
      <c r="AU159" s="1">
        <v>163</v>
      </c>
      <c r="AV159" s="1">
        <v>0</v>
      </c>
      <c r="AW159" s="1" t="s">
        <v>5139</v>
      </c>
      <c r="AX159" s="1" t="s">
        <v>4787</v>
      </c>
      <c r="AY159" s="1">
        <v>5</v>
      </c>
      <c r="AZ159" s="1">
        <v>0</v>
      </c>
      <c r="BA159" s="1" t="s">
        <v>329</v>
      </c>
      <c r="BB159" s="1" t="s">
        <v>5136</v>
      </c>
      <c r="BC159" s="1" t="s">
        <v>4788</v>
      </c>
      <c r="BD159" s="1">
        <v>10402</v>
      </c>
      <c r="BE159" s="1"/>
    </row>
    <row r="160" spans="1:57" x14ac:dyDescent="0.25">
      <c r="A160" s="1">
        <v>164</v>
      </c>
      <c r="B160" s="1" t="s">
        <v>3387</v>
      </c>
      <c r="C160" s="9" t="s">
        <v>1672</v>
      </c>
      <c r="D160" s="1" t="s">
        <v>1672</v>
      </c>
      <c r="E160" s="1"/>
      <c r="F160" s="1"/>
      <c r="G160" s="1" t="s">
        <v>3388</v>
      </c>
      <c r="H160" s="1" t="s">
        <v>3389</v>
      </c>
      <c r="I160" s="1" t="s">
        <v>3390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5140</v>
      </c>
      <c r="AK160" s="1" t="s">
        <v>1245</v>
      </c>
      <c r="AL160" s="1">
        <v>7</v>
      </c>
      <c r="AM160" s="1" t="s">
        <v>4784</v>
      </c>
      <c r="AN160" s="1" t="s">
        <v>5141</v>
      </c>
      <c r="AO160" s="1" t="s">
        <v>5142</v>
      </c>
      <c r="AP160" s="1">
        <v>0</v>
      </c>
      <c r="AQ160" s="1" t="s">
        <v>1235</v>
      </c>
      <c r="AR160" s="1" t="s">
        <v>1236</v>
      </c>
      <c r="AS160" s="1" t="s">
        <v>1237</v>
      </c>
      <c r="AT160" s="1" t="s">
        <v>329</v>
      </c>
      <c r="AU160" s="1">
        <v>164</v>
      </c>
      <c r="AV160" s="1">
        <v>0</v>
      </c>
      <c r="AW160" s="1" t="s">
        <v>5139</v>
      </c>
      <c r="AX160" s="1" t="s">
        <v>4787</v>
      </c>
      <c r="AY160" s="1">
        <v>5</v>
      </c>
      <c r="AZ160" s="1">
        <v>0</v>
      </c>
      <c r="BA160" s="1" t="s">
        <v>329</v>
      </c>
      <c r="BB160" s="1" t="s">
        <v>5143</v>
      </c>
      <c r="BC160" s="1" t="s">
        <v>4807</v>
      </c>
      <c r="BD160" s="1">
        <v>10202</v>
      </c>
      <c r="BE160" s="1"/>
    </row>
    <row r="161" spans="1:57" x14ac:dyDescent="0.25">
      <c r="A161" s="1">
        <v>165</v>
      </c>
      <c r="B161" s="1" t="s">
        <v>3391</v>
      </c>
      <c r="C161" s="9" t="s">
        <v>151</v>
      </c>
      <c r="D161" s="1" t="s">
        <v>151</v>
      </c>
      <c r="E161" s="1"/>
      <c r="F161" s="1"/>
      <c r="G161" s="1" t="s">
        <v>3392</v>
      </c>
      <c r="H161" s="1" t="s">
        <v>3393</v>
      </c>
      <c r="I161" s="1" t="s">
        <v>3394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1234</v>
      </c>
      <c r="AK161" s="1" t="s">
        <v>329</v>
      </c>
      <c r="AL161" s="1">
        <v>9</v>
      </c>
      <c r="AM161" s="1" t="s">
        <v>4784</v>
      </c>
      <c r="AN161" s="1" t="s">
        <v>336</v>
      </c>
      <c r="AO161" s="1" t="s">
        <v>5008</v>
      </c>
      <c r="AP161" s="1">
        <v>0</v>
      </c>
      <c r="AQ161" s="1" t="s">
        <v>1235</v>
      </c>
      <c r="AR161" s="1" t="s">
        <v>1236</v>
      </c>
      <c r="AS161" s="1" t="s">
        <v>1237</v>
      </c>
      <c r="AT161" s="1" t="s">
        <v>329</v>
      </c>
      <c r="AU161" s="1">
        <v>165</v>
      </c>
      <c r="AV161" s="1">
        <v>0</v>
      </c>
      <c r="AW161" s="1" t="s">
        <v>5139</v>
      </c>
      <c r="AX161" s="1" t="s">
        <v>4787</v>
      </c>
      <c r="AY161" s="1">
        <v>4</v>
      </c>
      <c r="AZ161" s="1">
        <v>0</v>
      </c>
      <c r="BA161" s="1" t="s">
        <v>329</v>
      </c>
      <c r="BB161" s="1" t="s">
        <v>5144</v>
      </c>
      <c r="BC161" s="1" t="s">
        <v>4807</v>
      </c>
      <c r="BD161" s="1">
        <v>10704</v>
      </c>
      <c r="BE161" s="1"/>
    </row>
    <row r="162" spans="1:57" x14ac:dyDescent="0.25">
      <c r="A162" s="1">
        <v>166</v>
      </c>
      <c r="B162" s="1" t="s">
        <v>3395</v>
      </c>
      <c r="C162" s="9" t="s">
        <v>152</v>
      </c>
      <c r="D162" s="1" t="s">
        <v>152</v>
      </c>
      <c r="E162" s="1"/>
      <c r="F162" s="1"/>
      <c r="G162" s="1" t="s">
        <v>3396</v>
      </c>
      <c r="H162" s="1" t="s">
        <v>3397</v>
      </c>
      <c r="I162" s="1" t="s">
        <v>3398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1874</v>
      </c>
      <c r="AN162" s="1" t="s">
        <v>5026</v>
      </c>
      <c r="AO162" s="1" t="s">
        <v>5145</v>
      </c>
      <c r="AP162" s="1">
        <v>0</v>
      </c>
      <c r="AQ162" s="1" t="s">
        <v>1153</v>
      </c>
      <c r="AR162" s="1" t="s">
        <v>1154</v>
      </c>
      <c r="AS162" s="1" t="s">
        <v>1155</v>
      </c>
      <c r="AT162" s="1" t="s">
        <v>329</v>
      </c>
      <c r="AU162" s="1">
        <v>166</v>
      </c>
      <c r="AV162" s="1">
        <v>0</v>
      </c>
      <c r="AW162" s="1" t="s">
        <v>5146</v>
      </c>
      <c r="AX162" s="1" t="s">
        <v>5126</v>
      </c>
      <c r="AY162" s="1">
        <v>5</v>
      </c>
      <c r="AZ162" s="1">
        <v>0</v>
      </c>
      <c r="BA162" s="1" t="s">
        <v>329</v>
      </c>
      <c r="BB162" s="1" t="s">
        <v>5147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3399</v>
      </c>
      <c r="C163" s="9" t="s">
        <v>228</v>
      </c>
      <c r="D163" s="1" t="s">
        <v>228</v>
      </c>
      <c r="E163" s="1"/>
      <c r="F163" s="1"/>
      <c r="G163" s="1" t="s">
        <v>3400</v>
      </c>
      <c r="H163" s="1" t="s">
        <v>3401</v>
      </c>
      <c r="I163" s="1" t="s">
        <v>3402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1160</v>
      </c>
      <c r="AK163" s="1" t="s">
        <v>329</v>
      </c>
      <c r="AL163" s="1">
        <v>13</v>
      </c>
      <c r="AM163" s="1" t="s">
        <v>1874</v>
      </c>
      <c r="AN163" s="1" t="s">
        <v>4852</v>
      </c>
      <c r="AO163" s="1" t="s">
        <v>5148</v>
      </c>
      <c r="AP163" s="1">
        <v>0</v>
      </c>
      <c r="AQ163" s="1" t="s">
        <v>1153</v>
      </c>
      <c r="AR163" s="1" t="s">
        <v>1154</v>
      </c>
      <c r="AS163" s="1" t="s">
        <v>1155</v>
      </c>
      <c r="AT163" s="1" t="s">
        <v>329</v>
      </c>
      <c r="AU163" s="1">
        <v>167</v>
      </c>
      <c r="AV163" s="1">
        <v>0</v>
      </c>
      <c r="AW163" s="1" t="s">
        <v>5149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4837</v>
      </c>
      <c r="BD163" s="1">
        <v>10803</v>
      </c>
      <c r="BE163" s="1"/>
    </row>
    <row r="164" spans="1:57" x14ac:dyDescent="0.25">
      <c r="A164" s="1">
        <v>168</v>
      </c>
      <c r="B164" s="1" t="s">
        <v>3403</v>
      </c>
      <c r="C164" s="9" t="s">
        <v>153</v>
      </c>
      <c r="D164" s="1" t="s">
        <v>153</v>
      </c>
      <c r="E164" s="1"/>
      <c r="F164" s="1"/>
      <c r="G164" s="1" t="s">
        <v>3404</v>
      </c>
      <c r="H164" s="1" t="s">
        <v>3405</v>
      </c>
      <c r="I164" s="1" t="s">
        <v>3406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5150</v>
      </c>
      <c r="AK164" s="1" t="s">
        <v>329</v>
      </c>
      <c r="AL164" s="1">
        <v>18</v>
      </c>
      <c r="AM164" s="1" t="s">
        <v>1874</v>
      </c>
      <c r="AN164" s="1" t="s">
        <v>5151</v>
      </c>
      <c r="AO164" s="1" t="s">
        <v>5131</v>
      </c>
      <c r="AP164" s="1">
        <v>0</v>
      </c>
      <c r="AQ164" s="1" t="s">
        <v>1153</v>
      </c>
      <c r="AR164" s="1" t="s">
        <v>1154</v>
      </c>
      <c r="AS164" s="1" t="s">
        <v>1155</v>
      </c>
      <c r="AT164" s="1" t="s">
        <v>329</v>
      </c>
      <c r="AU164" s="1">
        <v>168</v>
      </c>
      <c r="AV164" s="1">
        <v>0</v>
      </c>
      <c r="AW164" s="1" t="s">
        <v>5152</v>
      </c>
      <c r="AX164" s="1" t="s">
        <v>4830</v>
      </c>
      <c r="AY164" s="1">
        <v>4</v>
      </c>
      <c r="AZ164" s="1">
        <v>0</v>
      </c>
      <c r="BA164" s="1" t="s">
        <v>329</v>
      </c>
      <c r="BB164" s="1" t="s">
        <v>5153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3407</v>
      </c>
      <c r="C165" s="9" t="s">
        <v>751</v>
      </c>
      <c r="D165" s="1" t="s">
        <v>3408</v>
      </c>
      <c r="E165" s="1"/>
      <c r="F165" s="1"/>
      <c r="G165" s="1" t="s">
        <v>3409</v>
      </c>
      <c r="H165" s="1" t="s">
        <v>3410</v>
      </c>
      <c r="I165" s="1" t="s">
        <v>3411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1160</v>
      </c>
      <c r="AK165" s="1" t="s">
        <v>329</v>
      </c>
      <c r="AL165" s="1">
        <v>13</v>
      </c>
      <c r="AM165" s="1" t="s">
        <v>4858</v>
      </c>
      <c r="AN165" s="1" t="s">
        <v>4861</v>
      </c>
      <c r="AO165" s="1" t="s">
        <v>5154</v>
      </c>
      <c r="AP165" s="1">
        <v>0</v>
      </c>
      <c r="AQ165" s="1" t="s">
        <v>1164</v>
      </c>
      <c r="AR165" s="1" t="s">
        <v>1154</v>
      </c>
      <c r="AS165" s="1" t="s">
        <v>1781</v>
      </c>
      <c r="AT165" s="1" t="s">
        <v>329</v>
      </c>
      <c r="AU165" s="1">
        <v>169</v>
      </c>
      <c r="AV165" s="1">
        <v>0</v>
      </c>
      <c r="AW165" s="1" t="s">
        <v>5152</v>
      </c>
      <c r="AX165" s="1" t="s">
        <v>4987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4788</v>
      </c>
      <c r="BD165" s="1">
        <v>10703</v>
      </c>
      <c r="BE165" s="1"/>
    </row>
    <row r="166" spans="1:57" x14ac:dyDescent="0.25">
      <c r="A166" s="1">
        <v>170</v>
      </c>
      <c r="B166" s="1" t="s">
        <v>3412</v>
      </c>
      <c r="C166" s="9" t="s">
        <v>5558</v>
      </c>
      <c r="D166" s="1" t="s">
        <v>3413</v>
      </c>
      <c r="E166" s="1"/>
      <c r="F166" s="1"/>
      <c r="G166" s="1" t="s">
        <v>3414</v>
      </c>
      <c r="H166" s="1" t="s">
        <v>3415</v>
      </c>
      <c r="I166" s="1" t="s">
        <v>3416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1160</v>
      </c>
      <c r="AK166" s="1" t="s">
        <v>329</v>
      </c>
      <c r="AL166" s="1">
        <v>13</v>
      </c>
      <c r="AM166" s="1" t="s">
        <v>4787</v>
      </c>
      <c r="AN166" s="1" t="s">
        <v>4902</v>
      </c>
      <c r="AO166" s="1" t="s">
        <v>5155</v>
      </c>
      <c r="AP166" s="1">
        <v>0</v>
      </c>
      <c r="AQ166" s="1" t="s">
        <v>1165</v>
      </c>
      <c r="AR166" s="1" t="s">
        <v>1189</v>
      </c>
      <c r="AS166" s="1" t="s">
        <v>1164</v>
      </c>
      <c r="AT166" s="1" t="s">
        <v>329</v>
      </c>
      <c r="AU166" s="1">
        <v>170</v>
      </c>
      <c r="AV166" s="1">
        <v>0</v>
      </c>
      <c r="AW166" s="1" t="s">
        <v>5156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4825</v>
      </c>
      <c r="BD166" s="1">
        <v>10402</v>
      </c>
      <c r="BE166" s="1"/>
    </row>
    <row r="167" spans="1:57" x14ac:dyDescent="0.25">
      <c r="A167" s="1">
        <v>171</v>
      </c>
      <c r="B167" s="1" t="s">
        <v>3417</v>
      </c>
      <c r="C167" s="9" t="s">
        <v>229</v>
      </c>
      <c r="D167" s="1" t="s">
        <v>3418</v>
      </c>
      <c r="E167" s="1"/>
      <c r="F167" s="1"/>
      <c r="G167" s="1" t="s">
        <v>3419</v>
      </c>
      <c r="H167" s="1" t="s">
        <v>3420</v>
      </c>
      <c r="I167" s="1" t="s">
        <v>3421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1783</v>
      </c>
      <c r="AK167" s="1" t="s">
        <v>329</v>
      </c>
      <c r="AL167" s="1">
        <v>13</v>
      </c>
      <c r="AM167" s="1" t="s">
        <v>4858</v>
      </c>
      <c r="AN167" s="1" t="s">
        <v>465</v>
      </c>
      <c r="AO167" s="1" t="s">
        <v>5008</v>
      </c>
      <c r="AP167" s="1">
        <v>0</v>
      </c>
      <c r="AQ167" s="1" t="s">
        <v>1781</v>
      </c>
      <c r="AR167" s="1" t="s">
        <v>1189</v>
      </c>
      <c r="AS167" s="1" t="s">
        <v>1164</v>
      </c>
      <c r="AT167" s="1" t="s">
        <v>329</v>
      </c>
      <c r="AU167" s="1">
        <v>171</v>
      </c>
      <c r="AV167" s="1">
        <v>0</v>
      </c>
      <c r="AW167" s="1" t="s">
        <v>5152</v>
      </c>
      <c r="AX167" s="1" t="s">
        <v>332</v>
      </c>
      <c r="AY167" s="1">
        <v>4</v>
      </c>
      <c r="AZ167" s="1">
        <v>0</v>
      </c>
      <c r="BA167" s="1" t="s">
        <v>4811</v>
      </c>
      <c r="BB167" s="1" t="s">
        <v>5157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3422</v>
      </c>
      <c r="C168" s="9" t="s">
        <v>230</v>
      </c>
      <c r="D168" s="1" t="s">
        <v>230</v>
      </c>
      <c r="E168" s="1"/>
      <c r="F168" s="1"/>
      <c r="G168" s="1" t="s">
        <v>3423</v>
      </c>
      <c r="H168" s="1" t="s">
        <v>3424</v>
      </c>
      <c r="I168" s="1" t="s">
        <v>3425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1246</v>
      </c>
      <c r="AK168" s="1" t="s">
        <v>329</v>
      </c>
      <c r="AL168" s="1">
        <v>13</v>
      </c>
      <c r="AM168" s="1" t="s">
        <v>4787</v>
      </c>
      <c r="AN168" s="1" t="s">
        <v>4932</v>
      </c>
      <c r="AO168" s="1" t="s">
        <v>5158</v>
      </c>
      <c r="AP168" s="1">
        <v>0</v>
      </c>
      <c r="AQ168" s="1" t="s">
        <v>1781</v>
      </c>
      <c r="AR168" s="1" t="s">
        <v>1189</v>
      </c>
      <c r="AS168" s="1" t="s">
        <v>1164</v>
      </c>
      <c r="AT168" s="1" t="s">
        <v>329</v>
      </c>
      <c r="AU168" s="1">
        <v>172</v>
      </c>
      <c r="AV168" s="1">
        <v>0</v>
      </c>
      <c r="AW168" s="1" t="s">
        <v>5152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5159</v>
      </c>
      <c r="BC168" s="1" t="s">
        <v>4788</v>
      </c>
      <c r="BD168" s="1">
        <v>10802</v>
      </c>
      <c r="BE168" s="1"/>
    </row>
    <row r="169" spans="1:57" x14ac:dyDescent="0.25">
      <c r="A169" s="1">
        <v>173</v>
      </c>
      <c r="B169" s="1" t="s">
        <v>3426</v>
      </c>
      <c r="C169" s="9" t="s">
        <v>154</v>
      </c>
      <c r="D169" s="1" t="s">
        <v>154</v>
      </c>
      <c r="E169" s="1"/>
      <c r="F169" s="1"/>
      <c r="G169" s="1" t="s">
        <v>3427</v>
      </c>
      <c r="H169" s="1" t="s">
        <v>3428</v>
      </c>
      <c r="I169" s="1" t="s">
        <v>3429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5160</v>
      </c>
      <c r="AK169" s="1" t="s">
        <v>329</v>
      </c>
      <c r="AL169" s="1">
        <v>17</v>
      </c>
      <c r="AM169" s="1" t="s">
        <v>4926</v>
      </c>
      <c r="AN169" s="1" t="s">
        <v>5161</v>
      </c>
      <c r="AO169" s="1" t="s">
        <v>5162</v>
      </c>
      <c r="AP169" s="1">
        <v>0</v>
      </c>
      <c r="AQ169" s="1" t="s">
        <v>1202</v>
      </c>
      <c r="AR169" s="1" t="s">
        <v>1203</v>
      </c>
      <c r="AS169" s="1" t="s">
        <v>1204</v>
      </c>
      <c r="AT169" s="1" t="s">
        <v>329</v>
      </c>
      <c r="AU169" s="1">
        <v>173</v>
      </c>
      <c r="AV169" s="1">
        <v>0</v>
      </c>
      <c r="AW169" s="1" t="s">
        <v>5152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5163</v>
      </c>
      <c r="BC169" s="1" t="s">
        <v>4825</v>
      </c>
      <c r="BD169" s="1">
        <v>10402</v>
      </c>
      <c r="BE169" s="1"/>
    </row>
    <row r="170" spans="1:57" x14ac:dyDescent="0.25">
      <c r="A170" s="1">
        <v>174</v>
      </c>
      <c r="B170" s="1" t="s">
        <v>3430</v>
      </c>
      <c r="C170" s="9" t="s">
        <v>1638</v>
      </c>
      <c r="D170" s="1" t="s">
        <v>3431</v>
      </c>
      <c r="E170" s="1"/>
      <c r="F170" s="1"/>
      <c r="G170" s="1" t="s">
        <v>3432</v>
      </c>
      <c r="H170" s="1" t="s">
        <v>3433</v>
      </c>
      <c r="I170" s="1" t="s">
        <v>3434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1160</v>
      </c>
      <c r="AK170" s="1" t="s">
        <v>329</v>
      </c>
      <c r="AL170" s="1">
        <v>13</v>
      </c>
      <c r="AM170" s="1" t="s">
        <v>4830</v>
      </c>
      <c r="AN170" s="1" t="s">
        <v>4899</v>
      </c>
      <c r="AO170" s="1" t="s">
        <v>4894</v>
      </c>
      <c r="AP170" s="1">
        <v>0</v>
      </c>
      <c r="AQ170" s="1" t="s">
        <v>1175</v>
      </c>
      <c r="AR170" s="1" t="s">
        <v>1176</v>
      </c>
      <c r="AS170" s="1" t="s">
        <v>1177</v>
      </c>
      <c r="AT170" s="1" t="s">
        <v>329</v>
      </c>
      <c r="AU170" s="1">
        <v>174</v>
      </c>
      <c r="AV170" s="1">
        <v>0</v>
      </c>
      <c r="AW170" s="1" t="s">
        <v>5164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5020</v>
      </c>
      <c r="BC170" s="1" t="s">
        <v>4851</v>
      </c>
      <c r="BD170" s="1">
        <v>10701</v>
      </c>
      <c r="BE170" s="1"/>
    </row>
    <row r="171" spans="1:57" x14ac:dyDescent="0.25">
      <c r="A171" s="1">
        <v>175</v>
      </c>
      <c r="B171" s="1" t="s">
        <v>3435</v>
      </c>
      <c r="C171" s="9" t="s">
        <v>155</v>
      </c>
      <c r="D171" s="1" t="s">
        <v>155</v>
      </c>
      <c r="E171" s="1"/>
      <c r="F171" s="1"/>
      <c r="G171" s="1" t="s">
        <v>3436</v>
      </c>
      <c r="H171" s="1" t="s">
        <v>3437</v>
      </c>
      <c r="I171" s="1" t="s">
        <v>3438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4787</v>
      </c>
      <c r="AN171" s="1" t="s">
        <v>4902</v>
      </c>
      <c r="AO171" s="1" t="s">
        <v>4948</v>
      </c>
      <c r="AP171" s="1">
        <v>0</v>
      </c>
      <c r="AQ171" s="1" t="s">
        <v>1165</v>
      </c>
      <c r="AR171" s="1" t="s">
        <v>1189</v>
      </c>
      <c r="AS171" s="1" t="s">
        <v>1164</v>
      </c>
      <c r="AT171" s="1" t="s">
        <v>329</v>
      </c>
      <c r="AU171" s="1">
        <v>175</v>
      </c>
      <c r="AV171" s="1">
        <v>0</v>
      </c>
      <c r="AW171" s="1" t="s">
        <v>5165</v>
      </c>
      <c r="AX171" s="1" t="s">
        <v>5112</v>
      </c>
      <c r="AY171" s="1">
        <v>5</v>
      </c>
      <c r="AZ171" s="1">
        <v>0</v>
      </c>
      <c r="BA171" s="1" t="s">
        <v>329</v>
      </c>
      <c r="BB171" s="1" t="s">
        <v>5166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3439</v>
      </c>
      <c r="C172" s="9" t="s">
        <v>156</v>
      </c>
      <c r="D172" s="1" t="s">
        <v>156</v>
      </c>
      <c r="E172" s="1"/>
      <c r="F172" s="1"/>
      <c r="G172" s="1" t="s">
        <v>3440</v>
      </c>
      <c r="H172" s="1" t="s">
        <v>3441</v>
      </c>
      <c r="I172" s="1" t="s">
        <v>3442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5167</v>
      </c>
      <c r="AK172" s="1" t="s">
        <v>329</v>
      </c>
      <c r="AL172" s="1">
        <v>12</v>
      </c>
      <c r="AM172" s="1" t="s">
        <v>4858</v>
      </c>
      <c r="AN172" s="1" t="s">
        <v>359</v>
      </c>
      <c r="AO172" s="1" t="s">
        <v>5131</v>
      </c>
      <c r="AP172" s="1">
        <v>0</v>
      </c>
      <c r="AQ172" s="1" t="s">
        <v>1164</v>
      </c>
      <c r="AR172" s="1" t="s">
        <v>1154</v>
      </c>
      <c r="AS172" s="1" t="s">
        <v>1165</v>
      </c>
      <c r="AT172" s="1" t="s">
        <v>329</v>
      </c>
      <c r="AU172" s="1">
        <v>176</v>
      </c>
      <c r="AV172" s="1">
        <v>0</v>
      </c>
      <c r="AW172" s="1" t="s">
        <v>5168</v>
      </c>
      <c r="AX172" s="1" t="s">
        <v>5169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3443</v>
      </c>
      <c r="C173" s="9" t="s">
        <v>157</v>
      </c>
      <c r="D173" s="1" t="s">
        <v>157</v>
      </c>
      <c r="E173" s="1"/>
      <c r="F173" s="1"/>
      <c r="G173" s="1" t="s">
        <v>3444</v>
      </c>
      <c r="H173" s="1" t="s">
        <v>3445</v>
      </c>
      <c r="I173" s="1" t="s">
        <v>3446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1199</v>
      </c>
      <c r="AK173" s="1" t="s">
        <v>329</v>
      </c>
      <c r="AL173" s="1">
        <v>13</v>
      </c>
      <c r="AM173" s="1" t="s">
        <v>4858</v>
      </c>
      <c r="AN173" s="1" t="s">
        <v>4861</v>
      </c>
      <c r="AO173" s="1" t="s">
        <v>4870</v>
      </c>
      <c r="AP173" s="1">
        <v>0</v>
      </c>
      <c r="AQ173" s="1" t="s">
        <v>1164</v>
      </c>
      <c r="AR173" s="1" t="s">
        <v>1154</v>
      </c>
      <c r="AS173" s="1" t="s">
        <v>1165</v>
      </c>
      <c r="AT173" s="1" t="s">
        <v>329</v>
      </c>
      <c r="AU173" s="1">
        <v>177</v>
      </c>
      <c r="AV173" s="1">
        <v>0</v>
      </c>
      <c r="AW173" s="1" t="s">
        <v>5035</v>
      </c>
      <c r="AX173" s="1" t="s">
        <v>1874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4825</v>
      </c>
      <c r="BD173" s="1">
        <v>10704</v>
      </c>
      <c r="BE173" s="1"/>
    </row>
    <row r="174" spans="1:57" x14ac:dyDescent="0.25">
      <c r="A174" s="1">
        <v>178</v>
      </c>
      <c r="B174" s="1" t="s">
        <v>3447</v>
      </c>
      <c r="C174" s="9" t="s">
        <v>158</v>
      </c>
      <c r="D174" s="1" t="s">
        <v>158</v>
      </c>
      <c r="E174" s="1"/>
      <c r="F174" s="1"/>
      <c r="G174" s="1" t="s">
        <v>3448</v>
      </c>
      <c r="H174" s="1" t="s">
        <v>3449</v>
      </c>
      <c r="I174" s="1" t="s">
        <v>3450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1160</v>
      </c>
      <c r="AK174" s="1" t="s">
        <v>329</v>
      </c>
      <c r="AL174" s="1">
        <v>13</v>
      </c>
      <c r="AM174" s="1" t="s">
        <v>4858</v>
      </c>
      <c r="AN174" s="1" t="s">
        <v>389</v>
      </c>
      <c r="AO174" s="1" t="s">
        <v>5170</v>
      </c>
      <c r="AP174" s="1">
        <v>0</v>
      </c>
      <c r="AQ174" s="1" t="s">
        <v>1780</v>
      </c>
      <c r="AR174" s="1" t="s">
        <v>1154</v>
      </c>
      <c r="AS174" s="1" t="s">
        <v>1165</v>
      </c>
      <c r="AT174" s="1" t="s">
        <v>329</v>
      </c>
      <c r="AU174" s="1">
        <v>178</v>
      </c>
      <c r="AV174" s="1">
        <v>0</v>
      </c>
      <c r="AW174" s="1" t="s">
        <v>5035</v>
      </c>
      <c r="AX174" s="1" t="s">
        <v>5171</v>
      </c>
      <c r="AY174" s="1">
        <v>3</v>
      </c>
      <c r="AZ174" s="1">
        <v>0</v>
      </c>
      <c r="BA174" s="1" t="s">
        <v>4833</v>
      </c>
      <c r="BB174" s="1" t="s">
        <v>5172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3451</v>
      </c>
      <c r="C175" s="9" t="s">
        <v>1673</v>
      </c>
      <c r="D175" s="1" t="s">
        <v>1673</v>
      </c>
      <c r="E175" s="1"/>
      <c r="F175" s="1"/>
      <c r="G175" s="1" t="s">
        <v>3452</v>
      </c>
      <c r="H175" s="1" t="s">
        <v>3453</v>
      </c>
      <c r="I175" s="1" t="s">
        <v>3454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1181</v>
      </c>
      <c r="AK175" s="1" t="s">
        <v>329</v>
      </c>
      <c r="AL175" s="1">
        <v>18</v>
      </c>
      <c r="AM175" s="1" t="s">
        <v>4830</v>
      </c>
      <c r="AN175" s="1" t="s">
        <v>5173</v>
      </c>
      <c r="AO175" s="1" t="s">
        <v>4913</v>
      </c>
      <c r="AP175" s="1">
        <v>0</v>
      </c>
      <c r="AQ175" s="1" t="s">
        <v>1175</v>
      </c>
      <c r="AR175" s="1" t="s">
        <v>1176</v>
      </c>
      <c r="AS175" s="1" t="s">
        <v>1177</v>
      </c>
      <c r="AT175" s="1" t="s">
        <v>329</v>
      </c>
      <c r="AU175" s="1">
        <v>179</v>
      </c>
      <c r="AV175" s="1">
        <v>0</v>
      </c>
      <c r="AW175" s="1" t="s">
        <v>5035</v>
      </c>
      <c r="AX175" s="1" t="s">
        <v>1874</v>
      </c>
      <c r="AY175" s="1">
        <v>5</v>
      </c>
      <c r="AZ175" s="1">
        <v>0</v>
      </c>
      <c r="BA175" s="1" t="s">
        <v>329</v>
      </c>
      <c r="BB175" s="1" t="s">
        <v>5174</v>
      </c>
      <c r="BC175" s="1" t="s">
        <v>4837</v>
      </c>
      <c r="BD175" s="1">
        <v>10701</v>
      </c>
      <c r="BE175" s="1"/>
    </row>
    <row r="176" spans="1:57" x14ac:dyDescent="0.25">
      <c r="A176" s="1">
        <v>180</v>
      </c>
      <c r="B176" s="1" t="s">
        <v>3455</v>
      </c>
      <c r="C176" s="9" t="s">
        <v>159</v>
      </c>
      <c r="D176" s="1" t="s">
        <v>159</v>
      </c>
      <c r="E176" s="1"/>
      <c r="F176" s="1"/>
      <c r="G176" s="1" t="s">
        <v>3456</v>
      </c>
      <c r="H176" s="1" t="s">
        <v>3457</v>
      </c>
      <c r="I176" s="1" t="s">
        <v>3458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1247</v>
      </c>
      <c r="AK176" s="1" t="s">
        <v>329</v>
      </c>
      <c r="AL176" s="1">
        <v>13</v>
      </c>
      <c r="AM176" s="1" t="s">
        <v>4830</v>
      </c>
      <c r="AN176" s="1" t="s">
        <v>465</v>
      </c>
      <c r="AO176" s="1" t="s">
        <v>4900</v>
      </c>
      <c r="AP176" s="1">
        <v>0</v>
      </c>
      <c r="AQ176" s="1" t="s">
        <v>1782</v>
      </c>
      <c r="AR176" s="1" t="s">
        <v>1176</v>
      </c>
      <c r="AS176" s="1" t="s">
        <v>1177</v>
      </c>
      <c r="AT176" s="1" t="s">
        <v>329</v>
      </c>
      <c r="AU176" s="1">
        <v>180</v>
      </c>
      <c r="AV176" s="1">
        <v>0</v>
      </c>
      <c r="AW176" s="1" t="s">
        <v>5035</v>
      </c>
      <c r="AX176" s="1" t="s">
        <v>5171</v>
      </c>
      <c r="AY176" s="1">
        <v>4</v>
      </c>
      <c r="AZ176" s="1">
        <v>0</v>
      </c>
      <c r="BA176" s="1" t="s">
        <v>329</v>
      </c>
      <c r="BB176" s="1" t="s">
        <v>5175</v>
      </c>
      <c r="BC176" s="1" t="s">
        <v>4837</v>
      </c>
      <c r="BD176" s="1">
        <v>10402</v>
      </c>
      <c r="BE176" s="1"/>
    </row>
    <row r="177" spans="1:57" x14ac:dyDescent="0.25">
      <c r="A177" s="1">
        <v>181</v>
      </c>
      <c r="B177" s="1" t="s">
        <v>3459</v>
      </c>
      <c r="C177" s="9" t="s">
        <v>160</v>
      </c>
      <c r="D177" s="1" t="s">
        <v>160</v>
      </c>
      <c r="E177" s="1"/>
      <c r="F177" s="1"/>
      <c r="G177" s="1" t="s">
        <v>3460</v>
      </c>
      <c r="H177" s="1" t="s">
        <v>3461</v>
      </c>
      <c r="I177" s="1" t="s">
        <v>3462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4787</v>
      </c>
      <c r="AN177" s="1" t="s">
        <v>5176</v>
      </c>
      <c r="AO177" s="1" t="s">
        <v>5177</v>
      </c>
      <c r="AP177" s="1">
        <v>0</v>
      </c>
      <c r="AQ177" s="1" t="s">
        <v>1165</v>
      </c>
      <c r="AR177" s="1" t="s">
        <v>1189</v>
      </c>
      <c r="AS177" s="1" t="s">
        <v>1164</v>
      </c>
      <c r="AT177" s="1" t="s">
        <v>329</v>
      </c>
      <c r="AU177" s="1">
        <v>181</v>
      </c>
      <c r="AV177" s="1">
        <v>0</v>
      </c>
      <c r="AW177" s="1" t="s">
        <v>5178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5179</v>
      </c>
      <c r="BC177" s="1" t="s">
        <v>4851</v>
      </c>
      <c r="BD177" s="1">
        <v>10203</v>
      </c>
      <c r="BE177" s="1"/>
    </row>
    <row r="178" spans="1:57" x14ac:dyDescent="0.25">
      <c r="A178" s="1">
        <v>182</v>
      </c>
      <c r="B178" s="1" t="s">
        <v>3463</v>
      </c>
      <c r="C178" s="9" t="s">
        <v>3464</v>
      </c>
      <c r="D178" s="1" t="s">
        <v>3464</v>
      </c>
      <c r="E178" s="1"/>
      <c r="F178" s="1"/>
      <c r="G178" s="1" t="s">
        <v>3465</v>
      </c>
      <c r="H178" s="1" t="s">
        <v>3466</v>
      </c>
      <c r="I178" s="1" t="s">
        <v>3467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1160</v>
      </c>
      <c r="AK178" s="1" t="s">
        <v>329</v>
      </c>
      <c r="AL178" s="1">
        <v>13</v>
      </c>
      <c r="AM178" s="1" t="s">
        <v>4830</v>
      </c>
      <c r="AN178" s="1" t="s">
        <v>466</v>
      </c>
      <c r="AO178" s="1" t="s">
        <v>4894</v>
      </c>
      <c r="AP178" s="1">
        <v>0</v>
      </c>
      <c r="AQ178" s="1" t="s">
        <v>1175</v>
      </c>
      <c r="AR178" s="1" t="s">
        <v>1176</v>
      </c>
      <c r="AS178" s="1" t="s">
        <v>1177</v>
      </c>
      <c r="AT178" s="1" t="s">
        <v>329</v>
      </c>
      <c r="AU178" s="1">
        <v>182</v>
      </c>
      <c r="AV178" s="1">
        <v>0</v>
      </c>
      <c r="AW178" s="1" t="s">
        <v>5180</v>
      </c>
      <c r="AX178" s="1" t="s">
        <v>5169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3468</v>
      </c>
      <c r="C179" s="9" t="s">
        <v>161</v>
      </c>
      <c r="D179" s="1" t="s">
        <v>161</v>
      </c>
      <c r="E179" s="1"/>
      <c r="F179" s="1"/>
      <c r="G179" s="1" t="s">
        <v>3469</v>
      </c>
      <c r="H179" s="1" t="s">
        <v>3470</v>
      </c>
      <c r="I179" s="1" t="s">
        <v>3471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1248</v>
      </c>
      <c r="AK179" s="1" t="s">
        <v>1249</v>
      </c>
      <c r="AL179" s="1">
        <v>13</v>
      </c>
      <c r="AM179" s="1" t="s">
        <v>1874</v>
      </c>
      <c r="AN179" s="1" t="s">
        <v>4848</v>
      </c>
      <c r="AO179" s="1" t="s">
        <v>4819</v>
      </c>
      <c r="AP179" s="1">
        <v>0</v>
      </c>
      <c r="AQ179" s="1" t="s">
        <v>1153</v>
      </c>
      <c r="AR179" s="1" t="s">
        <v>1250</v>
      </c>
      <c r="AS179" s="1" t="s">
        <v>1155</v>
      </c>
      <c r="AT179" s="1" t="s">
        <v>329</v>
      </c>
      <c r="AU179" s="1">
        <v>183</v>
      </c>
      <c r="AV179" s="1">
        <v>0</v>
      </c>
      <c r="AW179" s="1" t="s">
        <v>5178</v>
      </c>
      <c r="AX179" s="1" t="s">
        <v>4830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4788</v>
      </c>
      <c r="BD179" s="1">
        <v>10203</v>
      </c>
      <c r="BE179" s="1"/>
    </row>
    <row r="180" spans="1:57" x14ac:dyDescent="0.25">
      <c r="A180" s="1">
        <v>184</v>
      </c>
      <c r="B180" s="1" t="s">
        <v>3472</v>
      </c>
      <c r="C180" s="9" t="s">
        <v>1674</v>
      </c>
      <c r="D180" s="1" t="s">
        <v>1674</v>
      </c>
      <c r="E180" s="1"/>
      <c r="F180" s="1"/>
      <c r="G180" s="1" t="s">
        <v>3473</v>
      </c>
      <c r="H180" s="1" t="s">
        <v>3474</v>
      </c>
      <c r="I180" s="1" t="s">
        <v>3475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4830</v>
      </c>
      <c r="AN180" s="1" t="s">
        <v>5181</v>
      </c>
      <c r="AO180" s="1" t="s">
        <v>4900</v>
      </c>
      <c r="AP180" s="1">
        <v>0</v>
      </c>
      <c r="AQ180" s="1" t="s">
        <v>1175</v>
      </c>
      <c r="AR180" s="1" t="s">
        <v>1176</v>
      </c>
      <c r="AS180" s="1" t="s">
        <v>1177</v>
      </c>
      <c r="AT180" s="1" t="s">
        <v>329</v>
      </c>
      <c r="AU180" s="1">
        <v>184</v>
      </c>
      <c r="AV180" s="1">
        <v>0</v>
      </c>
      <c r="AW180" s="1" t="s">
        <v>5178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1761</v>
      </c>
      <c r="BC180" s="1" t="s">
        <v>4825</v>
      </c>
      <c r="BD180" s="1">
        <v>10302</v>
      </c>
      <c r="BE180" s="1"/>
    </row>
    <row r="181" spans="1:57" x14ac:dyDescent="0.25">
      <c r="A181" s="1">
        <v>185</v>
      </c>
      <c r="B181" s="1" t="s">
        <v>3476</v>
      </c>
      <c r="C181" s="9" t="s">
        <v>162</v>
      </c>
      <c r="D181" s="1" t="s">
        <v>162</v>
      </c>
      <c r="E181" s="1"/>
      <c r="F181" s="1"/>
      <c r="G181" s="1" t="s">
        <v>3477</v>
      </c>
      <c r="H181" s="1" t="s">
        <v>3478</v>
      </c>
      <c r="I181" s="1" t="s">
        <v>3479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1251</v>
      </c>
      <c r="AK181" s="1" t="s">
        <v>329</v>
      </c>
      <c r="AL181" s="1">
        <v>18</v>
      </c>
      <c r="AM181" s="1" t="s">
        <v>4926</v>
      </c>
      <c r="AN181" s="1" t="s">
        <v>5052</v>
      </c>
      <c r="AO181" s="1" t="s">
        <v>5182</v>
      </c>
      <c r="AP181" s="1">
        <v>0</v>
      </c>
      <c r="AQ181" s="1" t="s">
        <v>1202</v>
      </c>
      <c r="AR181" s="1" t="s">
        <v>1203</v>
      </c>
      <c r="AS181" s="1" t="s">
        <v>4980</v>
      </c>
      <c r="AT181" s="1" t="s">
        <v>329</v>
      </c>
      <c r="AU181" s="1">
        <v>185</v>
      </c>
      <c r="AV181" s="1">
        <v>0</v>
      </c>
      <c r="AW181" s="1" t="s">
        <v>5178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4991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3480</v>
      </c>
      <c r="C182" s="9" t="s">
        <v>163</v>
      </c>
      <c r="D182" s="1" t="s">
        <v>163</v>
      </c>
      <c r="E182" s="1"/>
      <c r="F182" s="1"/>
      <c r="G182" s="1" t="s">
        <v>3481</v>
      </c>
      <c r="H182" s="1" t="s">
        <v>3482</v>
      </c>
      <c r="I182" s="1" t="s">
        <v>3483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1160</v>
      </c>
      <c r="AK182" s="1" t="s">
        <v>329</v>
      </c>
      <c r="AL182" s="1">
        <v>13</v>
      </c>
      <c r="AM182" s="1" t="s">
        <v>1874</v>
      </c>
      <c r="AN182" s="1" t="s">
        <v>4841</v>
      </c>
      <c r="AO182" s="1" t="s">
        <v>4877</v>
      </c>
      <c r="AP182" s="1">
        <v>0</v>
      </c>
      <c r="AQ182" s="1" t="s">
        <v>1153</v>
      </c>
      <c r="AR182" s="1" t="s">
        <v>1154</v>
      </c>
      <c r="AS182" s="1" t="s">
        <v>1155</v>
      </c>
      <c r="AT182" s="1" t="s">
        <v>329</v>
      </c>
      <c r="AU182" s="1">
        <v>186</v>
      </c>
      <c r="AV182" s="1">
        <v>0</v>
      </c>
      <c r="AW182" s="1" t="s">
        <v>5183</v>
      </c>
      <c r="AX182" s="1" t="s">
        <v>5184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4837</v>
      </c>
      <c r="BD182" s="1">
        <v>10703</v>
      </c>
      <c r="BE182" s="1"/>
    </row>
    <row r="183" spans="1:57" x14ac:dyDescent="0.25">
      <c r="A183" s="1">
        <v>187</v>
      </c>
      <c r="B183" s="1" t="s">
        <v>3484</v>
      </c>
      <c r="C183" s="9" t="s">
        <v>231</v>
      </c>
      <c r="D183" s="1" t="s">
        <v>231</v>
      </c>
      <c r="E183" s="1"/>
      <c r="F183" s="1"/>
      <c r="G183" s="1" t="s">
        <v>3485</v>
      </c>
      <c r="H183" s="1" t="s">
        <v>3486</v>
      </c>
      <c r="I183" s="1" t="s">
        <v>3487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5185</v>
      </c>
      <c r="AK183" s="1" t="s">
        <v>329</v>
      </c>
      <c r="AL183" s="1">
        <v>13</v>
      </c>
      <c r="AM183" s="1" t="s">
        <v>4787</v>
      </c>
      <c r="AN183" s="1" t="s">
        <v>4902</v>
      </c>
      <c r="AO183" s="1" t="s">
        <v>5186</v>
      </c>
      <c r="AP183" s="1">
        <v>0</v>
      </c>
      <c r="AQ183" s="1" t="s">
        <v>1165</v>
      </c>
      <c r="AR183" s="1" t="s">
        <v>1189</v>
      </c>
      <c r="AS183" s="1" t="s">
        <v>1164</v>
      </c>
      <c r="AT183" s="1" t="s">
        <v>329</v>
      </c>
      <c r="AU183" s="1">
        <v>187</v>
      </c>
      <c r="AV183" s="1">
        <v>0</v>
      </c>
      <c r="AW183" s="1" t="s">
        <v>5183</v>
      </c>
      <c r="AX183" s="1" t="s">
        <v>5187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3488</v>
      </c>
      <c r="C184" s="9" t="s">
        <v>3489</v>
      </c>
      <c r="D184" s="1" t="s">
        <v>3489</v>
      </c>
      <c r="E184" s="1"/>
      <c r="F184" s="1"/>
      <c r="G184" s="1" t="s">
        <v>3490</v>
      </c>
      <c r="H184" s="1" t="s">
        <v>3491</v>
      </c>
      <c r="I184" s="1" t="s">
        <v>3492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1234</v>
      </c>
      <c r="AK184" s="1" t="s">
        <v>329</v>
      </c>
      <c r="AL184" s="1">
        <v>8</v>
      </c>
      <c r="AM184" s="1" t="s">
        <v>4784</v>
      </c>
      <c r="AN184" s="1" t="s">
        <v>4796</v>
      </c>
      <c r="AO184" s="1" t="s">
        <v>5010</v>
      </c>
      <c r="AP184" s="1">
        <v>0</v>
      </c>
      <c r="AQ184" s="1" t="s">
        <v>1235</v>
      </c>
      <c r="AR184" s="1" t="s">
        <v>1236</v>
      </c>
      <c r="AS184" s="1" t="s">
        <v>1237</v>
      </c>
      <c r="AT184" s="1" t="s">
        <v>329</v>
      </c>
      <c r="AU184" s="1">
        <v>188</v>
      </c>
      <c r="AV184" s="1">
        <v>0</v>
      </c>
      <c r="AW184" s="1" t="s">
        <v>5183</v>
      </c>
      <c r="AX184" s="1" t="s">
        <v>4787</v>
      </c>
      <c r="AY184" s="1">
        <v>5</v>
      </c>
      <c r="AZ184" s="1">
        <v>0</v>
      </c>
      <c r="BA184" s="1" t="s">
        <v>329</v>
      </c>
      <c r="BB184" s="1" t="s">
        <v>5188</v>
      </c>
      <c r="BC184" s="1" t="s">
        <v>4807</v>
      </c>
      <c r="BD184" s="1">
        <v>10705</v>
      </c>
      <c r="BE184" s="1"/>
    </row>
    <row r="185" spans="1:57" x14ac:dyDescent="0.25">
      <c r="A185" s="1">
        <v>189</v>
      </c>
      <c r="B185" s="1" t="s">
        <v>3493</v>
      </c>
      <c r="C185" s="9" t="s">
        <v>1675</v>
      </c>
      <c r="D185" s="1" t="s">
        <v>1675</v>
      </c>
      <c r="E185" s="1"/>
      <c r="F185" s="1"/>
      <c r="G185" s="1" t="s">
        <v>3494</v>
      </c>
      <c r="H185" s="1" t="s">
        <v>3495</v>
      </c>
      <c r="I185" s="1" t="s">
        <v>3496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1252</v>
      </c>
      <c r="AK185" s="1" t="s">
        <v>329</v>
      </c>
      <c r="AL185" s="1">
        <v>8</v>
      </c>
      <c r="AM185" s="1" t="s">
        <v>4784</v>
      </c>
      <c r="AN185" s="1" t="s">
        <v>4858</v>
      </c>
      <c r="AO185" s="1" t="s">
        <v>5131</v>
      </c>
      <c r="AP185" s="1">
        <v>0</v>
      </c>
      <c r="AQ185" s="1" t="s">
        <v>1235</v>
      </c>
      <c r="AR185" s="1" t="s">
        <v>1236</v>
      </c>
      <c r="AS185" s="1" t="s">
        <v>1237</v>
      </c>
      <c r="AT185" s="1" t="s">
        <v>329</v>
      </c>
      <c r="AU185" s="1">
        <v>189</v>
      </c>
      <c r="AV185" s="1">
        <v>0</v>
      </c>
      <c r="AW185" s="1" t="s">
        <v>5183</v>
      </c>
      <c r="AX185" s="1" t="s">
        <v>4787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3497</v>
      </c>
      <c r="C186" s="9" t="s">
        <v>164</v>
      </c>
      <c r="D186" s="1" t="s">
        <v>164</v>
      </c>
      <c r="E186" s="1"/>
      <c r="F186" s="1"/>
      <c r="G186" s="1" t="s">
        <v>3498</v>
      </c>
      <c r="H186" s="1" t="s">
        <v>3499</v>
      </c>
      <c r="I186" s="1" t="s">
        <v>3500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5189</v>
      </c>
      <c r="AK186" s="1" t="s">
        <v>329</v>
      </c>
      <c r="AL186" s="1">
        <v>7</v>
      </c>
      <c r="AM186" s="1" t="s">
        <v>4784</v>
      </c>
      <c r="AN186" s="1" t="s">
        <v>471</v>
      </c>
      <c r="AO186" s="1" t="s">
        <v>5136</v>
      </c>
      <c r="AP186" s="1">
        <v>0</v>
      </c>
      <c r="AQ186" s="1" t="s">
        <v>1235</v>
      </c>
      <c r="AR186" s="1" t="s">
        <v>1236</v>
      </c>
      <c r="AS186" s="1" t="s">
        <v>1237</v>
      </c>
      <c r="AT186" s="1" t="s">
        <v>329</v>
      </c>
      <c r="AU186" s="1">
        <v>190</v>
      </c>
      <c r="AV186" s="1">
        <v>0</v>
      </c>
      <c r="AW186" s="1" t="s">
        <v>5183</v>
      </c>
      <c r="AX186" s="1" t="s">
        <v>4787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3501</v>
      </c>
      <c r="C187" s="9" t="s">
        <v>165</v>
      </c>
      <c r="D187" s="1" t="s">
        <v>165</v>
      </c>
      <c r="E187" s="1"/>
      <c r="F187" s="1"/>
      <c r="G187" s="1" t="s">
        <v>3502</v>
      </c>
      <c r="H187" s="1" t="s">
        <v>3503</v>
      </c>
      <c r="I187" s="1" t="s">
        <v>3504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1156</v>
      </c>
      <c r="AK187" s="1" t="s">
        <v>329</v>
      </c>
      <c r="AL187" s="1">
        <v>13</v>
      </c>
      <c r="AM187" s="1" t="s">
        <v>4858</v>
      </c>
      <c r="AN187" s="1" t="s">
        <v>4863</v>
      </c>
      <c r="AO187" s="1" t="s">
        <v>5190</v>
      </c>
      <c r="AP187" s="1">
        <v>0</v>
      </c>
      <c r="AQ187" s="1" t="s">
        <v>1164</v>
      </c>
      <c r="AR187" s="1" t="s">
        <v>1154</v>
      </c>
      <c r="AS187" s="1" t="s">
        <v>1165</v>
      </c>
      <c r="AT187" s="1" t="s">
        <v>329</v>
      </c>
      <c r="AU187" s="1">
        <v>191</v>
      </c>
      <c r="AV187" s="1">
        <v>0</v>
      </c>
      <c r="AW187" s="1" t="s">
        <v>5191</v>
      </c>
      <c r="AX187" s="1" t="s">
        <v>5192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4807</v>
      </c>
      <c r="BD187" s="1">
        <v>10704</v>
      </c>
      <c r="BE187" s="1"/>
    </row>
    <row r="188" spans="1:57" x14ac:dyDescent="0.25">
      <c r="A188" s="1">
        <v>192</v>
      </c>
      <c r="B188" s="1" t="s">
        <v>3505</v>
      </c>
      <c r="C188" s="9" t="s">
        <v>166</v>
      </c>
      <c r="D188" s="1" t="s">
        <v>3506</v>
      </c>
      <c r="E188" s="1"/>
      <c r="F188" s="1"/>
      <c r="G188" s="1" t="s">
        <v>3507</v>
      </c>
      <c r="H188" s="1" t="s">
        <v>3508</v>
      </c>
      <c r="I188" s="1" t="s">
        <v>3509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1247</v>
      </c>
      <c r="AK188" s="1" t="s">
        <v>329</v>
      </c>
      <c r="AL188" s="1">
        <v>13</v>
      </c>
      <c r="AM188" s="1" t="s">
        <v>4830</v>
      </c>
      <c r="AN188" s="1" t="s">
        <v>4902</v>
      </c>
      <c r="AO188" s="1" t="s">
        <v>4913</v>
      </c>
      <c r="AP188" s="1">
        <v>0</v>
      </c>
      <c r="AQ188" s="1" t="s">
        <v>1175</v>
      </c>
      <c r="AR188" s="1" t="s">
        <v>1176</v>
      </c>
      <c r="AS188" s="1" t="s">
        <v>1177</v>
      </c>
      <c r="AT188" s="1" t="s">
        <v>329</v>
      </c>
      <c r="AU188" s="1">
        <v>192</v>
      </c>
      <c r="AV188" s="1">
        <v>0</v>
      </c>
      <c r="AW188" s="1" t="s">
        <v>5191</v>
      </c>
      <c r="AX188" s="1" t="s">
        <v>5193</v>
      </c>
      <c r="AY188" s="1">
        <v>5</v>
      </c>
      <c r="AZ188" s="1">
        <v>0</v>
      </c>
      <c r="BA188" s="1" t="s">
        <v>329</v>
      </c>
      <c r="BB188" s="1" t="s">
        <v>5194</v>
      </c>
      <c r="BC188" s="1" t="s">
        <v>4851</v>
      </c>
      <c r="BD188" s="1">
        <v>10403</v>
      </c>
      <c r="BE188" s="1"/>
    </row>
    <row r="189" spans="1:57" x14ac:dyDescent="0.25">
      <c r="A189" s="1">
        <v>193</v>
      </c>
      <c r="B189" s="1" t="s">
        <v>3510</v>
      </c>
      <c r="C189" s="9" t="s">
        <v>167</v>
      </c>
      <c r="D189" s="1" t="s">
        <v>167</v>
      </c>
      <c r="E189" s="1"/>
      <c r="F189" s="1"/>
      <c r="G189" s="1" t="s">
        <v>3511</v>
      </c>
      <c r="H189" s="1" t="s">
        <v>3512</v>
      </c>
      <c r="I189" s="1" t="s">
        <v>3513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1160</v>
      </c>
      <c r="AK189" s="1" t="s">
        <v>329</v>
      </c>
      <c r="AL189" s="1">
        <v>13</v>
      </c>
      <c r="AM189" s="1" t="s">
        <v>4787</v>
      </c>
      <c r="AN189" s="1" t="s">
        <v>4897</v>
      </c>
      <c r="AO189" s="1" t="s">
        <v>4943</v>
      </c>
      <c r="AP189" s="1">
        <v>0</v>
      </c>
      <c r="AQ189" s="1" t="s">
        <v>1165</v>
      </c>
      <c r="AR189" s="1" t="s">
        <v>1189</v>
      </c>
      <c r="AS189" s="1" t="s">
        <v>1164</v>
      </c>
      <c r="AT189" s="1" t="s">
        <v>329</v>
      </c>
      <c r="AU189" s="1">
        <v>193</v>
      </c>
      <c r="AV189" s="1">
        <v>0</v>
      </c>
      <c r="AW189" s="1" t="s">
        <v>5195</v>
      </c>
      <c r="AX189" s="1" t="s">
        <v>5196</v>
      </c>
      <c r="AY189" s="1">
        <v>3</v>
      </c>
      <c r="AZ189" s="1">
        <v>0</v>
      </c>
      <c r="BA189" s="1" t="s">
        <v>329</v>
      </c>
      <c r="BB189" s="1" t="s">
        <v>5020</v>
      </c>
      <c r="BC189" s="1" t="s">
        <v>4851</v>
      </c>
      <c r="BD189" s="1">
        <v>10704</v>
      </c>
      <c r="BE189" s="1"/>
    </row>
    <row r="190" spans="1:57" x14ac:dyDescent="0.25">
      <c r="A190" s="1">
        <v>194</v>
      </c>
      <c r="B190" s="1" t="s">
        <v>3514</v>
      </c>
      <c r="C190" s="9" t="s">
        <v>168</v>
      </c>
      <c r="D190" s="1" t="s">
        <v>168</v>
      </c>
      <c r="E190" s="1"/>
      <c r="F190" s="1"/>
      <c r="G190" s="1" t="s">
        <v>3515</v>
      </c>
      <c r="H190" s="1" t="s">
        <v>3516</v>
      </c>
      <c r="I190" s="1" t="s">
        <v>3517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1253</v>
      </c>
      <c r="AK190" s="1" t="s">
        <v>1254</v>
      </c>
      <c r="AL190" s="1">
        <v>13</v>
      </c>
      <c r="AM190" s="1" t="s">
        <v>4787</v>
      </c>
      <c r="AN190" s="1" t="s">
        <v>4902</v>
      </c>
      <c r="AO190" s="1" t="s">
        <v>5070</v>
      </c>
      <c r="AP190" s="1">
        <v>0</v>
      </c>
      <c r="AQ190" s="1" t="s">
        <v>1165</v>
      </c>
      <c r="AR190" s="1" t="s">
        <v>1189</v>
      </c>
      <c r="AS190" s="1" t="s">
        <v>1164</v>
      </c>
      <c r="AT190" s="1" t="s">
        <v>329</v>
      </c>
      <c r="AU190" s="1">
        <v>194</v>
      </c>
      <c r="AV190" s="1">
        <v>0</v>
      </c>
      <c r="AW190" s="1" t="s">
        <v>5197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3518</v>
      </c>
      <c r="C191" s="9" t="s">
        <v>232</v>
      </c>
      <c r="D191" s="1" t="s">
        <v>232</v>
      </c>
      <c r="E191" s="1"/>
      <c r="F191" s="1"/>
      <c r="G191" s="1" t="s">
        <v>3519</v>
      </c>
      <c r="H191" s="1" t="s">
        <v>3520</v>
      </c>
      <c r="I191" s="1" t="s">
        <v>3521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1205</v>
      </c>
      <c r="AK191" s="1" t="s">
        <v>329</v>
      </c>
      <c r="AL191" s="1">
        <v>18</v>
      </c>
      <c r="AM191" s="1" t="s">
        <v>4926</v>
      </c>
      <c r="AN191" s="1" t="s">
        <v>5005</v>
      </c>
      <c r="AO191" s="1" t="s">
        <v>5198</v>
      </c>
      <c r="AP191" s="1">
        <v>0</v>
      </c>
      <c r="AQ191" s="1" t="s">
        <v>1202</v>
      </c>
      <c r="AR191" s="1" t="s">
        <v>1203</v>
      </c>
      <c r="AS191" s="1" t="s">
        <v>1204</v>
      </c>
      <c r="AT191" s="1" t="s">
        <v>329</v>
      </c>
      <c r="AU191" s="1">
        <v>195</v>
      </c>
      <c r="AV191" s="1">
        <v>0</v>
      </c>
      <c r="AW191" s="1" t="s">
        <v>5199</v>
      </c>
      <c r="AX191" s="1" t="s">
        <v>5200</v>
      </c>
      <c r="AY191" s="1">
        <v>3</v>
      </c>
      <c r="AZ191" s="1">
        <v>0</v>
      </c>
      <c r="BA191" s="1" t="s">
        <v>329</v>
      </c>
      <c r="BB191" s="1" t="s">
        <v>4861</v>
      </c>
      <c r="BC191" s="1" t="s">
        <v>4837</v>
      </c>
      <c r="BD191" s="1">
        <v>10704</v>
      </c>
      <c r="BE191" s="1"/>
    </row>
    <row r="192" spans="1:57" x14ac:dyDescent="0.25">
      <c r="A192" s="1">
        <v>196</v>
      </c>
      <c r="B192" s="1" t="s">
        <v>3522</v>
      </c>
      <c r="C192" s="9" t="s">
        <v>169</v>
      </c>
      <c r="D192" s="1" t="s">
        <v>3523</v>
      </c>
      <c r="E192" s="1"/>
      <c r="F192" s="1"/>
      <c r="G192" s="1" t="s">
        <v>3524</v>
      </c>
      <c r="H192" s="1" t="s">
        <v>3525</v>
      </c>
      <c r="I192" s="1" t="s">
        <v>3526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1255</v>
      </c>
      <c r="AK192" s="1" t="s">
        <v>1256</v>
      </c>
      <c r="AL192" s="1">
        <v>13</v>
      </c>
      <c r="AM192" s="1" t="s">
        <v>4787</v>
      </c>
      <c r="AN192" s="1" t="s">
        <v>4902</v>
      </c>
      <c r="AO192" s="1" t="s">
        <v>5201</v>
      </c>
      <c r="AP192" s="1">
        <v>0</v>
      </c>
      <c r="AQ192" s="1" t="s">
        <v>1165</v>
      </c>
      <c r="AR192" s="1" t="s">
        <v>1189</v>
      </c>
      <c r="AS192" s="1" t="s">
        <v>1164</v>
      </c>
      <c r="AT192" s="1" t="s">
        <v>329</v>
      </c>
      <c r="AU192" s="1">
        <v>196</v>
      </c>
      <c r="AV192" s="1">
        <v>0</v>
      </c>
      <c r="AW192" s="1" t="s">
        <v>5101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4949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3527</v>
      </c>
      <c r="C193" s="9" t="s">
        <v>170</v>
      </c>
      <c r="D193" s="1" t="s">
        <v>3528</v>
      </c>
      <c r="E193" s="1"/>
      <c r="F193" s="1"/>
      <c r="G193" s="1" t="s">
        <v>3529</v>
      </c>
      <c r="H193" s="1" t="s">
        <v>3530</v>
      </c>
      <c r="I193" s="1" t="s">
        <v>3531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1257</v>
      </c>
      <c r="AK193" s="1" t="s">
        <v>1258</v>
      </c>
      <c r="AL193" s="1">
        <v>17</v>
      </c>
      <c r="AM193" s="1" t="s">
        <v>477</v>
      </c>
      <c r="AN193" s="1" t="s">
        <v>5202</v>
      </c>
      <c r="AO193" s="1" t="s">
        <v>339</v>
      </c>
      <c r="AP193" s="1">
        <v>0</v>
      </c>
      <c r="AQ193" s="1" t="s">
        <v>1175</v>
      </c>
      <c r="AR193" s="1" t="s">
        <v>1176</v>
      </c>
      <c r="AS193" s="1" t="s">
        <v>1177</v>
      </c>
      <c r="AT193" s="1" t="s">
        <v>329</v>
      </c>
      <c r="AU193" s="1">
        <v>197</v>
      </c>
      <c r="AV193" s="1">
        <v>0</v>
      </c>
      <c r="AW193" s="1" t="s">
        <v>5101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4807</v>
      </c>
      <c r="BD193" s="1">
        <v>10203</v>
      </c>
      <c r="BE193" s="1"/>
    </row>
    <row r="194" spans="1:57" x14ac:dyDescent="0.25">
      <c r="A194" s="1">
        <v>198</v>
      </c>
      <c r="B194" s="1" t="s">
        <v>3532</v>
      </c>
      <c r="C194" s="9" t="s">
        <v>171</v>
      </c>
      <c r="D194" s="1" t="s">
        <v>3533</v>
      </c>
      <c r="E194" s="1"/>
      <c r="F194" s="1"/>
      <c r="G194" s="1" t="s">
        <v>3534</v>
      </c>
      <c r="H194" s="1" t="s">
        <v>3535</v>
      </c>
      <c r="I194" s="1" t="s">
        <v>3536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1259</v>
      </c>
      <c r="AK194" s="1" t="s">
        <v>1260</v>
      </c>
      <c r="AL194" s="1">
        <v>19</v>
      </c>
      <c r="AM194" s="1" t="s">
        <v>477</v>
      </c>
      <c r="AN194" s="1" t="s">
        <v>4905</v>
      </c>
      <c r="AO194" s="1" t="s">
        <v>339</v>
      </c>
      <c r="AP194" s="1">
        <v>0</v>
      </c>
      <c r="AQ194" s="1" t="s">
        <v>1175</v>
      </c>
      <c r="AR194" s="1" t="s">
        <v>1176</v>
      </c>
      <c r="AS194" s="1" t="s">
        <v>1177</v>
      </c>
      <c r="AT194" s="1" t="s">
        <v>329</v>
      </c>
      <c r="AU194" s="1">
        <v>198</v>
      </c>
      <c r="AV194" s="1">
        <v>0</v>
      </c>
      <c r="AW194" s="1" t="s">
        <v>5101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5203</v>
      </c>
      <c r="BC194" s="1" t="s">
        <v>4807</v>
      </c>
      <c r="BD194" s="1">
        <v>10203</v>
      </c>
      <c r="BE194" s="1"/>
    </row>
    <row r="195" spans="1:57" x14ac:dyDescent="0.25">
      <c r="A195" s="1">
        <v>199</v>
      </c>
      <c r="B195" s="1" t="s">
        <v>3537</v>
      </c>
      <c r="C195" s="9" t="s">
        <v>789</v>
      </c>
      <c r="D195" s="1" t="s">
        <v>3538</v>
      </c>
      <c r="E195" s="1"/>
      <c r="F195" s="1"/>
      <c r="G195" s="1" t="s">
        <v>3539</v>
      </c>
      <c r="H195" s="1" t="s">
        <v>3540</v>
      </c>
      <c r="I195" s="1" t="s">
        <v>3541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1201</v>
      </c>
      <c r="AK195" s="1" t="s">
        <v>1261</v>
      </c>
      <c r="AL195" s="1">
        <v>19</v>
      </c>
      <c r="AM195" s="1" t="s">
        <v>4926</v>
      </c>
      <c r="AN195" s="1" t="s">
        <v>5204</v>
      </c>
      <c r="AO195" s="1" t="s">
        <v>5010</v>
      </c>
      <c r="AP195" s="1">
        <v>0</v>
      </c>
      <c r="AQ195" s="1" t="s">
        <v>5080</v>
      </c>
      <c r="AR195" s="1" t="s">
        <v>1203</v>
      </c>
      <c r="AS195" s="1" t="s">
        <v>1204</v>
      </c>
      <c r="AT195" s="1" t="s">
        <v>329</v>
      </c>
      <c r="AU195" s="1">
        <v>199</v>
      </c>
      <c r="AV195" s="1">
        <v>0</v>
      </c>
      <c r="AW195" s="1" t="s">
        <v>5101</v>
      </c>
      <c r="AX195" s="1" t="s">
        <v>332</v>
      </c>
      <c r="AY195" s="1">
        <v>4</v>
      </c>
      <c r="AZ195" s="1">
        <v>0</v>
      </c>
      <c r="BA195" s="1" t="s">
        <v>4811</v>
      </c>
      <c r="BB195" s="1" t="s">
        <v>5205</v>
      </c>
      <c r="BC195" s="1" t="s">
        <v>4851</v>
      </c>
      <c r="BD195" s="1">
        <v>10704</v>
      </c>
      <c r="BE195" s="1"/>
    </row>
    <row r="196" spans="1:57" x14ac:dyDescent="0.25">
      <c r="A196" s="1">
        <v>200</v>
      </c>
      <c r="B196" s="1" t="s">
        <v>3542</v>
      </c>
      <c r="C196" s="9" t="s">
        <v>172</v>
      </c>
      <c r="D196" s="1" t="s">
        <v>3543</v>
      </c>
      <c r="E196" s="1"/>
      <c r="F196" s="1"/>
      <c r="G196" s="1" t="s">
        <v>3544</v>
      </c>
      <c r="H196" s="1" t="s">
        <v>3545</v>
      </c>
      <c r="I196" s="1" t="s">
        <v>3546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1262</v>
      </c>
      <c r="AK196" s="1" t="s">
        <v>329</v>
      </c>
      <c r="AL196" s="1">
        <v>13</v>
      </c>
      <c r="AM196" s="1" t="s">
        <v>4830</v>
      </c>
      <c r="AN196" s="1" t="s">
        <v>4897</v>
      </c>
      <c r="AO196" s="1" t="s">
        <v>4900</v>
      </c>
      <c r="AP196" s="1">
        <v>0</v>
      </c>
      <c r="AQ196" s="1" t="s">
        <v>1782</v>
      </c>
      <c r="AR196" s="1" t="s">
        <v>1176</v>
      </c>
      <c r="AS196" s="1" t="s">
        <v>1177</v>
      </c>
      <c r="AT196" s="1" t="s">
        <v>329</v>
      </c>
      <c r="AU196" s="1">
        <v>200</v>
      </c>
      <c r="AV196" s="1">
        <v>0</v>
      </c>
      <c r="AW196" s="1" t="s">
        <v>5199</v>
      </c>
      <c r="AX196" s="1" t="s">
        <v>5206</v>
      </c>
      <c r="AY196" s="1">
        <v>4</v>
      </c>
      <c r="AZ196" s="1">
        <v>0</v>
      </c>
      <c r="BA196" s="1" t="s">
        <v>4811</v>
      </c>
      <c r="BB196" s="1" t="s">
        <v>329</v>
      </c>
      <c r="BC196" s="1" t="s">
        <v>4788</v>
      </c>
      <c r="BD196" s="1">
        <v>10302</v>
      </c>
      <c r="BE196" s="1"/>
    </row>
    <row r="197" spans="1:57" x14ac:dyDescent="0.25">
      <c r="A197" s="1">
        <v>201</v>
      </c>
      <c r="B197" s="1" t="s">
        <v>3547</v>
      </c>
      <c r="C197" s="9" t="s">
        <v>173</v>
      </c>
      <c r="D197" s="1" t="s">
        <v>3548</v>
      </c>
      <c r="E197" s="1"/>
      <c r="F197" s="1"/>
      <c r="G197" s="1" t="s">
        <v>3549</v>
      </c>
      <c r="H197" s="1" t="s">
        <v>3550</v>
      </c>
      <c r="I197" s="1" t="s">
        <v>3551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1230</v>
      </c>
      <c r="AK197" s="1" t="s">
        <v>329</v>
      </c>
      <c r="AL197" s="1">
        <v>13</v>
      </c>
      <c r="AM197" s="1" t="s">
        <v>4830</v>
      </c>
      <c r="AN197" s="1" t="s">
        <v>4952</v>
      </c>
      <c r="AO197" s="1" t="s">
        <v>4894</v>
      </c>
      <c r="AP197" s="1">
        <v>0</v>
      </c>
      <c r="AQ197" s="1" t="s">
        <v>1782</v>
      </c>
      <c r="AR197" s="1" t="s">
        <v>1176</v>
      </c>
      <c r="AS197" s="1" t="s">
        <v>1177</v>
      </c>
      <c r="AT197" s="1" t="s">
        <v>329</v>
      </c>
      <c r="AU197" s="1">
        <v>201</v>
      </c>
      <c r="AV197" s="1">
        <v>0</v>
      </c>
      <c r="AW197" s="1" t="s">
        <v>5207</v>
      </c>
      <c r="AX197" s="1" t="s">
        <v>4821</v>
      </c>
      <c r="AY197" s="1">
        <v>3</v>
      </c>
      <c r="AZ197" s="1">
        <v>0</v>
      </c>
      <c r="BA197" s="1" t="s">
        <v>4833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3552</v>
      </c>
      <c r="C198" s="9" t="s">
        <v>5560</v>
      </c>
      <c r="D198" s="1" t="s">
        <v>3553</v>
      </c>
      <c r="E198" s="1"/>
      <c r="F198" s="1"/>
      <c r="G198" s="1" t="s">
        <v>3554</v>
      </c>
      <c r="H198" s="1" t="s">
        <v>3555</v>
      </c>
      <c r="I198" s="1" t="s">
        <v>3556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5208</v>
      </c>
      <c r="AK198" s="1" t="s">
        <v>329</v>
      </c>
      <c r="AL198" s="1">
        <v>13</v>
      </c>
      <c r="AM198" s="1" t="s">
        <v>1874</v>
      </c>
      <c r="AN198" s="1" t="s">
        <v>4844</v>
      </c>
      <c r="AO198" s="1" t="s">
        <v>4892</v>
      </c>
      <c r="AP198" s="1">
        <v>0</v>
      </c>
      <c r="AQ198" s="1" t="s">
        <v>1153</v>
      </c>
      <c r="AR198" s="1" t="s">
        <v>1154</v>
      </c>
      <c r="AS198" s="1" t="s">
        <v>1155</v>
      </c>
      <c r="AT198" s="1" t="s">
        <v>329</v>
      </c>
      <c r="AU198" s="1">
        <v>202</v>
      </c>
      <c r="AV198" s="1">
        <v>0</v>
      </c>
      <c r="AW198" s="1" t="s">
        <v>4886</v>
      </c>
      <c r="AX198" s="1" t="s">
        <v>5169</v>
      </c>
      <c r="AY198" s="1">
        <v>4</v>
      </c>
      <c r="AZ198" s="1">
        <v>0</v>
      </c>
      <c r="BA198" s="1" t="s">
        <v>329</v>
      </c>
      <c r="BB198" s="1" t="s">
        <v>5209</v>
      </c>
      <c r="BC198" s="1" t="s">
        <v>4788</v>
      </c>
      <c r="BD198" s="1">
        <v>10202</v>
      </c>
      <c r="BE198" s="1"/>
    </row>
    <row r="199" spans="1:57" x14ac:dyDescent="0.25">
      <c r="A199" s="1">
        <v>203</v>
      </c>
      <c r="B199" s="1" t="s">
        <v>3557</v>
      </c>
      <c r="C199" s="9" t="s">
        <v>1755</v>
      </c>
      <c r="D199" s="1" t="s">
        <v>3558</v>
      </c>
      <c r="E199" s="1"/>
      <c r="F199" s="1"/>
      <c r="G199" s="1" t="s">
        <v>3559</v>
      </c>
      <c r="H199" s="1" t="s">
        <v>3560</v>
      </c>
      <c r="I199" s="1" t="s">
        <v>3561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5210</v>
      </c>
      <c r="AK199" s="1" t="s">
        <v>5211</v>
      </c>
      <c r="AL199" s="1">
        <v>12</v>
      </c>
      <c r="AM199" s="1" t="s">
        <v>4858</v>
      </c>
      <c r="AN199" s="1" t="s">
        <v>359</v>
      </c>
      <c r="AO199" s="1" t="s">
        <v>5212</v>
      </c>
      <c r="AP199" s="1">
        <v>0</v>
      </c>
      <c r="AQ199" s="1" t="s">
        <v>1780</v>
      </c>
      <c r="AR199" s="1" t="s">
        <v>1154</v>
      </c>
      <c r="AS199" s="1" t="s">
        <v>1165</v>
      </c>
      <c r="AT199" s="1" t="s">
        <v>329</v>
      </c>
      <c r="AU199" s="1">
        <v>203</v>
      </c>
      <c r="AV199" s="1">
        <v>0</v>
      </c>
      <c r="AW199" s="1" t="s">
        <v>4886</v>
      </c>
      <c r="AX199" s="1" t="s">
        <v>5213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4788</v>
      </c>
      <c r="BD199" s="1">
        <v>10703</v>
      </c>
      <c r="BE199" s="1"/>
    </row>
    <row r="200" spans="1:57" x14ac:dyDescent="0.25">
      <c r="A200" s="1">
        <v>204</v>
      </c>
      <c r="B200" s="1" t="s">
        <v>3562</v>
      </c>
      <c r="C200" s="9" t="s">
        <v>174</v>
      </c>
      <c r="D200" s="1" t="s">
        <v>174</v>
      </c>
      <c r="E200" s="1"/>
      <c r="F200" s="1"/>
      <c r="G200" s="1" t="s">
        <v>3563</v>
      </c>
      <c r="H200" s="1" t="s">
        <v>3564</v>
      </c>
      <c r="I200" s="1" t="s">
        <v>3565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1263</v>
      </c>
      <c r="AK200" s="1" t="s">
        <v>1264</v>
      </c>
      <c r="AL200" s="1">
        <v>13</v>
      </c>
      <c r="AM200" s="1" t="s">
        <v>4830</v>
      </c>
      <c r="AN200" s="1" t="s">
        <v>4902</v>
      </c>
      <c r="AO200" s="1" t="s">
        <v>4913</v>
      </c>
      <c r="AP200" s="1">
        <v>0</v>
      </c>
      <c r="AQ200" s="1" t="s">
        <v>1175</v>
      </c>
      <c r="AR200" s="1" t="s">
        <v>1176</v>
      </c>
      <c r="AS200" s="1" t="s">
        <v>1177</v>
      </c>
      <c r="AT200" s="1" t="s">
        <v>329</v>
      </c>
      <c r="AU200" s="1">
        <v>204</v>
      </c>
      <c r="AV200" s="1">
        <v>0</v>
      </c>
      <c r="AW200" s="1" t="s">
        <v>4886</v>
      </c>
      <c r="AX200" s="1" t="s">
        <v>5214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4921</v>
      </c>
      <c r="BD200" s="1">
        <v>10202</v>
      </c>
      <c r="BE200" s="1"/>
    </row>
    <row r="201" spans="1:57" x14ac:dyDescent="0.25">
      <c r="A201" s="1">
        <v>205</v>
      </c>
      <c r="B201" s="1" t="s">
        <v>3566</v>
      </c>
      <c r="C201" s="9" t="s">
        <v>233</v>
      </c>
      <c r="D201" s="1" t="s">
        <v>233</v>
      </c>
      <c r="E201" s="1"/>
      <c r="F201" s="1"/>
      <c r="G201" s="1" t="s">
        <v>3567</v>
      </c>
      <c r="H201" s="1" t="s">
        <v>3568</v>
      </c>
      <c r="I201" s="1" t="s">
        <v>3569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1265</v>
      </c>
      <c r="AK201" s="1" t="s">
        <v>329</v>
      </c>
      <c r="AL201" s="1">
        <v>12</v>
      </c>
      <c r="AM201" s="1" t="s">
        <v>4787</v>
      </c>
      <c r="AN201" s="1" t="s">
        <v>5215</v>
      </c>
      <c r="AO201" s="1" t="s">
        <v>5216</v>
      </c>
      <c r="AP201" s="1">
        <v>0</v>
      </c>
      <c r="AQ201" s="1" t="s">
        <v>1165</v>
      </c>
      <c r="AR201" s="1" t="s">
        <v>1189</v>
      </c>
      <c r="AS201" s="1" t="s">
        <v>1164</v>
      </c>
      <c r="AT201" s="1" t="s">
        <v>329</v>
      </c>
      <c r="AU201" s="1">
        <v>205</v>
      </c>
      <c r="AV201" s="1">
        <v>0</v>
      </c>
      <c r="AW201" s="1" t="s">
        <v>4886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5217</v>
      </c>
      <c r="BD201" s="1">
        <v>10104</v>
      </c>
      <c r="BE201" s="1"/>
    </row>
    <row r="202" spans="1:57" x14ac:dyDescent="0.25">
      <c r="A202" s="1">
        <v>206</v>
      </c>
      <c r="B202" s="1" t="s">
        <v>3570</v>
      </c>
      <c r="C202" s="9" t="s">
        <v>234</v>
      </c>
      <c r="D202" s="1" t="s">
        <v>234</v>
      </c>
      <c r="E202" s="1"/>
      <c r="F202" s="1"/>
      <c r="G202" s="1" t="s">
        <v>3571</v>
      </c>
      <c r="H202" s="1" t="s">
        <v>3572</v>
      </c>
      <c r="I202" s="1" t="s">
        <v>3573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5218</v>
      </c>
      <c r="AK202" s="1" t="s">
        <v>329</v>
      </c>
      <c r="AL202" s="1">
        <v>14</v>
      </c>
      <c r="AM202" s="1" t="s">
        <v>4787</v>
      </c>
      <c r="AN202" s="1" t="s">
        <v>5219</v>
      </c>
      <c r="AO202" s="1" t="s">
        <v>5220</v>
      </c>
      <c r="AP202" s="1">
        <v>0</v>
      </c>
      <c r="AQ202" s="1" t="s">
        <v>1165</v>
      </c>
      <c r="AR202" s="1" t="s">
        <v>1189</v>
      </c>
      <c r="AS202" s="1" t="s">
        <v>1164</v>
      </c>
      <c r="AT202" s="1" t="s">
        <v>329</v>
      </c>
      <c r="AU202" s="1">
        <v>206</v>
      </c>
      <c r="AV202" s="1">
        <v>0</v>
      </c>
      <c r="AW202" s="1" t="s">
        <v>4886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5221</v>
      </c>
      <c r="BC202" s="1" t="s">
        <v>5217</v>
      </c>
      <c r="BD202" s="1">
        <v>10104</v>
      </c>
      <c r="BE202" s="1"/>
    </row>
    <row r="203" spans="1:57" x14ac:dyDescent="0.25">
      <c r="A203" s="1">
        <v>207</v>
      </c>
      <c r="B203" s="1" t="s">
        <v>3574</v>
      </c>
      <c r="C203" s="9" t="s">
        <v>175</v>
      </c>
      <c r="D203" s="1" t="s">
        <v>175</v>
      </c>
      <c r="E203" s="1"/>
      <c r="F203" s="1"/>
      <c r="G203" s="1" t="s">
        <v>3575</v>
      </c>
      <c r="H203" s="1" t="s">
        <v>3576</v>
      </c>
      <c r="I203" s="1" t="s">
        <v>3577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4787</v>
      </c>
      <c r="AN203" s="1" t="s">
        <v>476</v>
      </c>
      <c r="AO203" s="1" t="s">
        <v>5066</v>
      </c>
      <c r="AP203" s="1">
        <v>0</v>
      </c>
      <c r="AQ203" s="1" t="s">
        <v>1165</v>
      </c>
      <c r="AR203" s="1" t="s">
        <v>1189</v>
      </c>
      <c r="AS203" s="1" t="s">
        <v>1164</v>
      </c>
      <c r="AT203" s="1" t="s">
        <v>329</v>
      </c>
      <c r="AU203" s="1">
        <v>207</v>
      </c>
      <c r="AV203" s="1">
        <v>0</v>
      </c>
      <c r="AW203" s="1" t="s">
        <v>4886</v>
      </c>
      <c r="AX203" s="1" t="s">
        <v>5222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3578</v>
      </c>
      <c r="C204" s="9" t="s">
        <v>176</v>
      </c>
      <c r="D204" s="1" t="s">
        <v>176</v>
      </c>
      <c r="E204" s="1"/>
      <c r="F204" s="1"/>
      <c r="G204" s="1" t="s">
        <v>3579</v>
      </c>
      <c r="H204" s="1" t="s">
        <v>3580</v>
      </c>
      <c r="I204" s="1" t="s">
        <v>3581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1266</v>
      </c>
      <c r="AK204" s="1" t="s">
        <v>329</v>
      </c>
      <c r="AL204" s="1">
        <v>18</v>
      </c>
      <c r="AM204" s="1" t="s">
        <v>4926</v>
      </c>
      <c r="AN204" s="1" t="s">
        <v>4987</v>
      </c>
      <c r="AO204" s="1" t="s">
        <v>5223</v>
      </c>
      <c r="AP204" s="1">
        <v>0</v>
      </c>
      <c r="AQ204" s="1" t="s">
        <v>1202</v>
      </c>
      <c r="AR204" s="1" t="s">
        <v>1203</v>
      </c>
      <c r="AS204" s="1" t="s">
        <v>1204</v>
      </c>
      <c r="AT204" s="1" t="s">
        <v>329</v>
      </c>
      <c r="AU204" s="1">
        <v>208</v>
      </c>
      <c r="AV204" s="1">
        <v>0</v>
      </c>
      <c r="AW204" s="1" t="s">
        <v>4886</v>
      </c>
      <c r="AX204" s="1" t="s">
        <v>5222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4837</v>
      </c>
      <c r="BD204" s="1">
        <v>10501</v>
      </c>
      <c r="BE204" s="1"/>
    </row>
    <row r="205" spans="1:57" x14ac:dyDescent="0.25">
      <c r="A205" s="1">
        <v>209</v>
      </c>
      <c r="B205" s="1" t="s">
        <v>3582</v>
      </c>
      <c r="C205" s="9" t="s">
        <v>1676</v>
      </c>
      <c r="D205" s="1" t="s">
        <v>1676</v>
      </c>
      <c r="E205" s="1"/>
      <c r="F205" s="1"/>
      <c r="G205" s="1" t="s">
        <v>3583</v>
      </c>
      <c r="H205" s="1" t="s">
        <v>3584</v>
      </c>
      <c r="I205" s="1" t="s">
        <v>3585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5224</v>
      </c>
      <c r="AK205" s="1" t="s">
        <v>329</v>
      </c>
      <c r="AL205" s="1">
        <v>13</v>
      </c>
      <c r="AM205" s="1" t="s">
        <v>4858</v>
      </c>
      <c r="AN205" s="1" t="s">
        <v>4856</v>
      </c>
      <c r="AO205" s="1" t="s">
        <v>5148</v>
      </c>
      <c r="AP205" s="1">
        <v>0</v>
      </c>
      <c r="AQ205" s="1" t="s">
        <v>1164</v>
      </c>
      <c r="AR205" s="1" t="s">
        <v>1154</v>
      </c>
      <c r="AS205" s="1" t="s">
        <v>1165</v>
      </c>
      <c r="AT205" s="1" t="s">
        <v>329</v>
      </c>
      <c r="AU205" s="1">
        <v>209</v>
      </c>
      <c r="AV205" s="1">
        <v>0</v>
      </c>
      <c r="AW205" s="1" t="s">
        <v>5225</v>
      </c>
      <c r="AX205" s="1" t="s">
        <v>4821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4825</v>
      </c>
      <c r="BD205" s="1">
        <v>10704</v>
      </c>
      <c r="BE205" s="1"/>
    </row>
    <row r="206" spans="1:57" x14ac:dyDescent="0.25">
      <c r="A206" s="1">
        <v>210</v>
      </c>
      <c r="B206" s="1" t="s">
        <v>3586</v>
      </c>
      <c r="C206" s="9" t="s">
        <v>177</v>
      </c>
      <c r="D206" s="1" t="s">
        <v>177</v>
      </c>
      <c r="E206" s="1"/>
      <c r="F206" s="1"/>
      <c r="G206" s="1" t="s">
        <v>3587</v>
      </c>
      <c r="H206" s="1" t="s">
        <v>3588</v>
      </c>
      <c r="I206" s="1" t="s">
        <v>3589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1160</v>
      </c>
      <c r="AK206" s="1" t="s">
        <v>329</v>
      </c>
      <c r="AL206" s="1">
        <v>13</v>
      </c>
      <c r="AM206" s="1" t="s">
        <v>1874</v>
      </c>
      <c r="AN206" s="1" t="s">
        <v>4815</v>
      </c>
      <c r="AO206" s="1" t="s">
        <v>4816</v>
      </c>
      <c r="AP206" s="1">
        <v>0</v>
      </c>
      <c r="AQ206" s="1" t="s">
        <v>1153</v>
      </c>
      <c r="AR206" s="1" t="s">
        <v>1154</v>
      </c>
      <c r="AS206" s="1" t="s">
        <v>1155</v>
      </c>
      <c r="AT206" s="1" t="s">
        <v>329</v>
      </c>
      <c r="AU206" s="1">
        <v>210</v>
      </c>
      <c r="AV206" s="1">
        <v>0</v>
      </c>
      <c r="AW206" s="1" t="s">
        <v>5226</v>
      </c>
      <c r="AX206" s="1" t="s">
        <v>4821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3590</v>
      </c>
      <c r="C207" s="9" t="s">
        <v>235</v>
      </c>
      <c r="D207" s="1" t="s">
        <v>235</v>
      </c>
      <c r="E207" s="1"/>
      <c r="F207" s="1"/>
      <c r="G207" s="1" t="s">
        <v>3591</v>
      </c>
      <c r="H207" s="1" t="s">
        <v>3592</v>
      </c>
      <c r="I207" s="1" t="s">
        <v>3593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4830</v>
      </c>
      <c r="AN207" s="1" t="s">
        <v>4952</v>
      </c>
      <c r="AO207" s="1" t="s">
        <v>4913</v>
      </c>
      <c r="AP207" s="1">
        <v>0</v>
      </c>
      <c r="AQ207" s="1" t="s">
        <v>1175</v>
      </c>
      <c r="AR207" s="1" t="s">
        <v>1176</v>
      </c>
      <c r="AS207" s="1" t="s">
        <v>1177</v>
      </c>
      <c r="AT207" s="1" t="s">
        <v>329</v>
      </c>
      <c r="AU207" s="1">
        <v>211</v>
      </c>
      <c r="AV207" s="1">
        <v>0</v>
      </c>
      <c r="AW207" s="1" t="s">
        <v>5227</v>
      </c>
      <c r="AX207" s="1" t="s">
        <v>5228</v>
      </c>
      <c r="AY207" s="1">
        <v>5</v>
      </c>
      <c r="AZ207" s="1">
        <v>0</v>
      </c>
      <c r="BA207" s="1" t="s">
        <v>329</v>
      </c>
      <c r="BB207" s="1" t="s">
        <v>4912</v>
      </c>
      <c r="BC207" s="1" t="s">
        <v>4788</v>
      </c>
      <c r="BD207" s="1">
        <v>10303</v>
      </c>
      <c r="BE207" s="1"/>
    </row>
    <row r="208" spans="1:57" x14ac:dyDescent="0.25">
      <c r="A208" s="1">
        <v>212</v>
      </c>
      <c r="B208" s="1" t="s">
        <v>3594</v>
      </c>
      <c r="C208" s="9" t="s">
        <v>178</v>
      </c>
      <c r="D208" s="1" t="s">
        <v>178</v>
      </c>
      <c r="E208" s="1"/>
      <c r="F208" s="1"/>
      <c r="G208" s="1" t="s">
        <v>3595</v>
      </c>
      <c r="H208" s="1" t="s">
        <v>3596</v>
      </c>
      <c r="I208" s="1" t="s">
        <v>3597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1874</v>
      </c>
      <c r="AN208" s="1" t="s">
        <v>5229</v>
      </c>
      <c r="AO208" s="1" t="s">
        <v>5131</v>
      </c>
      <c r="AP208" s="1">
        <v>0</v>
      </c>
      <c r="AQ208" s="1" t="s">
        <v>1153</v>
      </c>
      <c r="AR208" s="1" t="s">
        <v>1154</v>
      </c>
      <c r="AS208" s="1" t="s">
        <v>1155</v>
      </c>
      <c r="AT208" s="1" t="s">
        <v>329</v>
      </c>
      <c r="AU208" s="1">
        <v>212</v>
      </c>
      <c r="AV208" s="1">
        <v>0</v>
      </c>
      <c r="AW208" s="1" t="s">
        <v>5230</v>
      </c>
      <c r="AX208" s="1" t="s">
        <v>4830</v>
      </c>
      <c r="AY208" s="1">
        <v>4</v>
      </c>
      <c r="AZ208" s="1">
        <v>0</v>
      </c>
      <c r="BA208" s="1" t="s">
        <v>329</v>
      </c>
      <c r="BB208" s="1" t="s">
        <v>5231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3598</v>
      </c>
      <c r="C209" s="9" t="s">
        <v>1677</v>
      </c>
      <c r="D209" s="1" t="s">
        <v>3599</v>
      </c>
      <c r="E209" s="1"/>
      <c r="F209" s="1"/>
      <c r="G209" s="1" t="s">
        <v>3600</v>
      </c>
      <c r="H209" s="1" t="s">
        <v>3601</v>
      </c>
      <c r="I209" s="1" t="s">
        <v>3602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1267</v>
      </c>
      <c r="AL209" s="1">
        <v>13</v>
      </c>
      <c r="AM209" s="1" t="s">
        <v>4858</v>
      </c>
      <c r="AN209" s="1" t="s">
        <v>4863</v>
      </c>
      <c r="AO209" s="1" t="s">
        <v>5232</v>
      </c>
      <c r="AP209" s="1">
        <v>0</v>
      </c>
      <c r="AQ209" s="1" t="s">
        <v>1164</v>
      </c>
      <c r="AR209" s="1" t="s">
        <v>1250</v>
      </c>
      <c r="AS209" s="1" t="s">
        <v>1165</v>
      </c>
      <c r="AT209" s="1" t="s">
        <v>329</v>
      </c>
      <c r="AU209" s="1">
        <v>213</v>
      </c>
      <c r="AV209" s="1">
        <v>0</v>
      </c>
      <c r="AW209" s="1" t="s">
        <v>5230</v>
      </c>
      <c r="AX209" s="1" t="s">
        <v>5233</v>
      </c>
      <c r="AY209" s="1">
        <v>5</v>
      </c>
      <c r="AZ209" s="1">
        <v>0</v>
      </c>
      <c r="BA209" s="1" t="s">
        <v>329</v>
      </c>
      <c r="BB209" s="1" t="s">
        <v>5234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3603</v>
      </c>
      <c r="C210" s="9" t="s">
        <v>210</v>
      </c>
      <c r="D210" s="1" t="s">
        <v>210</v>
      </c>
      <c r="E210" s="1"/>
      <c r="F210" s="1"/>
      <c r="G210" s="1" t="s">
        <v>3604</v>
      </c>
      <c r="H210" s="1" t="s">
        <v>3605</v>
      </c>
      <c r="I210" s="1" t="s">
        <v>3606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1268</v>
      </c>
      <c r="AK210" s="1" t="s">
        <v>1269</v>
      </c>
      <c r="AL210" s="1">
        <v>13</v>
      </c>
      <c r="AM210" s="1" t="s">
        <v>4787</v>
      </c>
      <c r="AN210" s="1" t="s">
        <v>4932</v>
      </c>
      <c r="AO210" s="1" t="s">
        <v>5158</v>
      </c>
      <c r="AP210" s="1">
        <v>0</v>
      </c>
      <c r="AQ210" s="1" t="s">
        <v>1165</v>
      </c>
      <c r="AR210" s="1" t="s">
        <v>1189</v>
      </c>
      <c r="AS210" s="1" t="s">
        <v>1164</v>
      </c>
      <c r="AT210" s="1" t="s">
        <v>329</v>
      </c>
      <c r="AU210" s="1">
        <v>215</v>
      </c>
      <c r="AV210" s="1">
        <v>0</v>
      </c>
      <c r="AW210" s="1" t="s">
        <v>5235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4825</v>
      </c>
      <c r="BD210" s="1">
        <v>10802</v>
      </c>
      <c r="BE210" s="1"/>
    </row>
    <row r="211" spans="1:57" x14ac:dyDescent="0.25">
      <c r="A211" s="1">
        <v>215</v>
      </c>
      <c r="B211" s="1" t="s">
        <v>3607</v>
      </c>
      <c r="C211" s="9" t="s">
        <v>179</v>
      </c>
      <c r="D211" s="1" t="s">
        <v>179</v>
      </c>
      <c r="E211" s="1"/>
      <c r="F211" s="1"/>
      <c r="G211" s="1" t="s">
        <v>3608</v>
      </c>
      <c r="H211" s="1" t="s">
        <v>3609</v>
      </c>
      <c r="I211" s="1" t="s">
        <v>3610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1270</v>
      </c>
      <c r="AL211" s="1">
        <v>13</v>
      </c>
      <c r="AM211" s="1" t="s">
        <v>4787</v>
      </c>
      <c r="AN211" s="1" t="s">
        <v>4952</v>
      </c>
      <c r="AO211" s="1" t="s">
        <v>5236</v>
      </c>
      <c r="AP211" s="1">
        <v>0</v>
      </c>
      <c r="AQ211" s="1" t="s">
        <v>1781</v>
      </c>
      <c r="AR211" s="1" t="s">
        <v>1189</v>
      </c>
      <c r="AS211" s="1" t="s">
        <v>1164</v>
      </c>
      <c r="AT211" s="1" t="s">
        <v>329</v>
      </c>
      <c r="AU211" s="1">
        <v>215</v>
      </c>
      <c r="AV211" s="1">
        <v>0</v>
      </c>
      <c r="AW211" s="1" t="s">
        <v>5230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4983</v>
      </c>
      <c r="BC211" s="1" t="s">
        <v>4788</v>
      </c>
      <c r="BD211" s="1">
        <v>10802</v>
      </c>
      <c r="BE211" s="1"/>
    </row>
    <row r="212" spans="1:57" x14ac:dyDescent="0.25">
      <c r="A212" s="1">
        <v>216</v>
      </c>
      <c r="B212" s="1" t="s">
        <v>3611</v>
      </c>
      <c r="C212" s="9" t="s">
        <v>180</v>
      </c>
      <c r="D212" s="1" t="s">
        <v>180</v>
      </c>
      <c r="E212" s="1"/>
      <c r="F212" s="1"/>
      <c r="G212" s="1" t="s">
        <v>3612</v>
      </c>
      <c r="H212" s="1" t="s">
        <v>3613</v>
      </c>
      <c r="I212" s="1" t="s">
        <v>3614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1199</v>
      </c>
      <c r="AK212" s="1" t="s">
        <v>329</v>
      </c>
      <c r="AL212" s="1">
        <v>13</v>
      </c>
      <c r="AM212" s="1" t="s">
        <v>4787</v>
      </c>
      <c r="AN212" s="1" t="s">
        <v>4899</v>
      </c>
      <c r="AO212" s="1" t="s">
        <v>5237</v>
      </c>
      <c r="AP212" s="1">
        <v>0</v>
      </c>
      <c r="AQ212" s="1" t="s">
        <v>1165</v>
      </c>
      <c r="AR212" s="1" t="s">
        <v>1189</v>
      </c>
      <c r="AS212" s="1" t="s">
        <v>1164</v>
      </c>
      <c r="AT212" s="1" t="s">
        <v>329</v>
      </c>
      <c r="AU212" s="1">
        <v>216</v>
      </c>
      <c r="AV212" s="1">
        <v>0</v>
      </c>
      <c r="AW212" s="1" t="s">
        <v>5230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5238</v>
      </c>
      <c r="BC212" s="1" t="s">
        <v>4837</v>
      </c>
      <c r="BD212" s="1">
        <v>10802</v>
      </c>
      <c r="BE212" s="1"/>
    </row>
    <row r="213" spans="1:57" x14ac:dyDescent="0.25">
      <c r="A213" s="1">
        <v>217</v>
      </c>
      <c r="B213" s="1" t="s">
        <v>3615</v>
      </c>
      <c r="C213" s="9" t="s">
        <v>1678</v>
      </c>
      <c r="D213" s="1" t="s">
        <v>3616</v>
      </c>
      <c r="E213" s="1"/>
      <c r="F213" s="1"/>
      <c r="G213" s="1" t="s">
        <v>3617</v>
      </c>
      <c r="H213" s="1" t="s">
        <v>3618</v>
      </c>
      <c r="I213" s="1" t="s">
        <v>3619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1160</v>
      </c>
      <c r="AK213" s="1" t="s">
        <v>329</v>
      </c>
      <c r="AL213" s="1">
        <v>13</v>
      </c>
      <c r="AM213" s="1" t="s">
        <v>4830</v>
      </c>
      <c r="AN213" s="1" t="s">
        <v>465</v>
      </c>
      <c r="AO213" s="1" t="s">
        <v>4894</v>
      </c>
      <c r="AP213" s="1">
        <v>0</v>
      </c>
      <c r="AQ213" s="1" t="s">
        <v>1175</v>
      </c>
      <c r="AR213" s="1" t="s">
        <v>1176</v>
      </c>
      <c r="AS213" s="1" t="s">
        <v>1177</v>
      </c>
      <c r="AT213" s="1" t="s">
        <v>329</v>
      </c>
      <c r="AU213" s="1">
        <v>217</v>
      </c>
      <c r="AV213" s="1">
        <v>0</v>
      </c>
      <c r="AW213" s="1" t="s">
        <v>5230</v>
      </c>
      <c r="AX213" s="1" t="s">
        <v>4821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3620</v>
      </c>
      <c r="C214" s="9" t="s">
        <v>181</v>
      </c>
      <c r="D214" s="1" t="s">
        <v>181</v>
      </c>
      <c r="E214" s="1"/>
      <c r="F214" s="1"/>
      <c r="G214" s="1" t="s">
        <v>3621</v>
      </c>
      <c r="H214" s="1" t="s">
        <v>3622</v>
      </c>
      <c r="I214" s="1" t="s">
        <v>3623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1160</v>
      </c>
      <c r="AK214" s="1" t="s">
        <v>329</v>
      </c>
      <c r="AL214" s="1">
        <v>13</v>
      </c>
      <c r="AM214" s="1" t="s">
        <v>4858</v>
      </c>
      <c r="AN214" s="1" t="s">
        <v>4863</v>
      </c>
      <c r="AO214" s="1" t="s">
        <v>5239</v>
      </c>
      <c r="AP214" s="1">
        <v>0</v>
      </c>
      <c r="AQ214" s="1" t="s">
        <v>1164</v>
      </c>
      <c r="AR214" s="1" t="s">
        <v>1154</v>
      </c>
      <c r="AS214" s="1" t="s">
        <v>1165</v>
      </c>
      <c r="AT214" s="1" t="s">
        <v>329</v>
      </c>
      <c r="AU214" s="1">
        <v>218</v>
      </c>
      <c r="AV214" s="1">
        <v>0</v>
      </c>
      <c r="AW214" s="1" t="s">
        <v>5240</v>
      </c>
      <c r="AX214" s="1" t="s">
        <v>4821</v>
      </c>
      <c r="AY214" s="1">
        <v>3</v>
      </c>
      <c r="AZ214" s="1">
        <v>0</v>
      </c>
      <c r="BA214" s="1" t="s">
        <v>329</v>
      </c>
      <c r="BB214" s="1" t="s">
        <v>5241</v>
      </c>
      <c r="BC214" s="1" t="s">
        <v>4851</v>
      </c>
      <c r="BD214" s="1">
        <v>10703</v>
      </c>
      <c r="BE214" s="1"/>
    </row>
    <row r="215" spans="1:57" x14ac:dyDescent="0.25">
      <c r="A215" s="1">
        <v>220</v>
      </c>
      <c r="B215" s="1" t="s">
        <v>3624</v>
      </c>
      <c r="C215" s="9" t="s">
        <v>1679</v>
      </c>
      <c r="D215" s="1" t="s">
        <v>1679</v>
      </c>
      <c r="E215" s="1"/>
      <c r="F215" s="1"/>
      <c r="G215" s="1" t="s">
        <v>3625</v>
      </c>
      <c r="H215" s="1" t="s">
        <v>3626</v>
      </c>
      <c r="I215" s="1" t="s">
        <v>3627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1160</v>
      </c>
      <c r="AK215" s="1" t="s">
        <v>329</v>
      </c>
      <c r="AL215" s="1">
        <v>13</v>
      </c>
      <c r="AM215" s="1" t="s">
        <v>1874</v>
      </c>
      <c r="AN215" s="1" t="s">
        <v>4929</v>
      </c>
      <c r="AO215" s="1" t="s">
        <v>4816</v>
      </c>
      <c r="AP215" s="1">
        <v>0</v>
      </c>
      <c r="AQ215" s="1" t="s">
        <v>1153</v>
      </c>
      <c r="AR215" s="1" t="s">
        <v>1779</v>
      </c>
      <c r="AS215" s="1" t="s">
        <v>1155</v>
      </c>
      <c r="AT215" s="1" t="s">
        <v>329</v>
      </c>
      <c r="AU215" s="1">
        <v>220</v>
      </c>
      <c r="AV215" s="1">
        <v>0</v>
      </c>
      <c r="AW215" s="1" t="s">
        <v>5242</v>
      </c>
      <c r="AX215" s="1" t="s">
        <v>4821</v>
      </c>
      <c r="AY215" s="1">
        <v>3</v>
      </c>
      <c r="AZ215" s="1">
        <v>0</v>
      </c>
      <c r="BA215" s="1" t="s">
        <v>4833</v>
      </c>
      <c r="BB215" s="1" t="s">
        <v>468</v>
      </c>
      <c r="BC215" s="1" t="s">
        <v>4825</v>
      </c>
      <c r="BD215" s="1">
        <v>10802</v>
      </c>
      <c r="BE215" s="1"/>
    </row>
    <row r="216" spans="1:57" x14ac:dyDescent="0.25">
      <c r="A216" s="1">
        <v>221</v>
      </c>
      <c r="B216" s="1" t="s">
        <v>3628</v>
      </c>
      <c r="C216" s="9" t="s">
        <v>1680</v>
      </c>
      <c r="D216" s="1" t="s">
        <v>3629</v>
      </c>
      <c r="E216" s="1"/>
      <c r="F216" s="1"/>
      <c r="G216" s="1" t="s">
        <v>3630</v>
      </c>
      <c r="H216" s="1" t="s">
        <v>3631</v>
      </c>
      <c r="I216" s="1" t="s">
        <v>3632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1271</v>
      </c>
      <c r="AK216" s="1" t="s">
        <v>329</v>
      </c>
      <c r="AL216" s="1">
        <v>13</v>
      </c>
      <c r="AM216" s="1" t="s">
        <v>1874</v>
      </c>
      <c r="AN216" s="1" t="s">
        <v>5243</v>
      </c>
      <c r="AO216" s="1" t="s">
        <v>4971</v>
      </c>
      <c r="AP216" s="1">
        <v>0</v>
      </c>
      <c r="AQ216" s="1" t="s">
        <v>1153</v>
      </c>
      <c r="AR216" s="1" t="s">
        <v>1779</v>
      </c>
      <c r="AS216" s="1" t="s">
        <v>1155</v>
      </c>
      <c r="AT216" s="1" t="s">
        <v>329</v>
      </c>
      <c r="AU216" s="1">
        <v>221</v>
      </c>
      <c r="AV216" s="1">
        <v>0</v>
      </c>
      <c r="AW216" s="1" t="s">
        <v>5244</v>
      </c>
      <c r="AX216" s="1" t="s">
        <v>2305</v>
      </c>
      <c r="AY216" s="1">
        <v>3</v>
      </c>
      <c r="AZ216" s="1">
        <v>0</v>
      </c>
      <c r="BA216" s="1" t="s">
        <v>4833</v>
      </c>
      <c r="BB216" s="1" t="s">
        <v>5245</v>
      </c>
      <c r="BC216" s="1" t="s">
        <v>4825</v>
      </c>
      <c r="BD216" s="1">
        <v>10802</v>
      </c>
      <c r="BE216" s="1"/>
    </row>
    <row r="217" spans="1:57" x14ac:dyDescent="0.25">
      <c r="A217" s="1">
        <v>222</v>
      </c>
      <c r="B217" s="1" t="s">
        <v>3633</v>
      </c>
      <c r="C217" s="9" t="s">
        <v>1272</v>
      </c>
      <c r="D217" s="1" t="s">
        <v>1272</v>
      </c>
      <c r="E217" s="1"/>
      <c r="F217" s="1"/>
      <c r="G217" s="1" t="s">
        <v>3634</v>
      </c>
      <c r="H217" s="1" t="s">
        <v>3635</v>
      </c>
      <c r="I217" s="1" t="s">
        <v>3636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1273</v>
      </c>
      <c r="AK217" s="1" t="s">
        <v>329</v>
      </c>
      <c r="AL217" s="1">
        <v>13</v>
      </c>
      <c r="AM217" s="1" t="s">
        <v>4830</v>
      </c>
      <c r="AN217" s="1" t="s">
        <v>4952</v>
      </c>
      <c r="AO217" s="1" t="s">
        <v>4913</v>
      </c>
      <c r="AP217" s="1">
        <v>0</v>
      </c>
      <c r="AQ217" s="1" t="s">
        <v>1175</v>
      </c>
      <c r="AR217" s="1" t="s">
        <v>4903</v>
      </c>
      <c r="AS217" s="1" t="s">
        <v>1177</v>
      </c>
      <c r="AT217" s="1" t="s">
        <v>329</v>
      </c>
      <c r="AU217" s="1">
        <v>222</v>
      </c>
      <c r="AV217" s="1">
        <v>0</v>
      </c>
      <c r="AW217" s="1" t="s">
        <v>5246</v>
      </c>
      <c r="AX217" s="1" t="s">
        <v>5247</v>
      </c>
      <c r="AY217" s="1">
        <v>5</v>
      </c>
      <c r="AZ217" s="1">
        <v>0</v>
      </c>
      <c r="BA217" s="1" t="s">
        <v>329</v>
      </c>
      <c r="BB217" s="1" t="s">
        <v>5248</v>
      </c>
      <c r="BC217" s="1" t="s">
        <v>4788</v>
      </c>
      <c r="BD217" s="1">
        <v>10802</v>
      </c>
      <c r="BE217" s="1"/>
    </row>
    <row r="218" spans="1:57" x14ac:dyDescent="0.25">
      <c r="A218" s="1">
        <v>223</v>
      </c>
      <c r="B218" s="1" t="s">
        <v>3637</v>
      </c>
      <c r="C218" s="9" t="s">
        <v>182</v>
      </c>
      <c r="D218" s="1" t="s">
        <v>3638</v>
      </c>
      <c r="E218" s="1"/>
      <c r="F218" s="1"/>
      <c r="G218" s="1" t="s">
        <v>3639</v>
      </c>
      <c r="H218" s="1" t="s">
        <v>3640</v>
      </c>
      <c r="I218" s="1" t="s">
        <v>3641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5249</v>
      </c>
      <c r="AK218" s="1" t="s">
        <v>329</v>
      </c>
      <c r="AL218" s="1">
        <v>13</v>
      </c>
      <c r="AM218" s="1" t="s">
        <v>4787</v>
      </c>
      <c r="AN218" s="1" t="s">
        <v>4952</v>
      </c>
      <c r="AO218" s="1" t="s">
        <v>4943</v>
      </c>
      <c r="AP218" s="1">
        <v>0</v>
      </c>
      <c r="AQ218" s="1" t="s">
        <v>1165</v>
      </c>
      <c r="AR218" s="1" t="s">
        <v>1189</v>
      </c>
      <c r="AS218" s="1" t="s">
        <v>1164</v>
      </c>
      <c r="AT218" s="1" t="s">
        <v>329</v>
      </c>
      <c r="AU218" s="1">
        <v>223</v>
      </c>
      <c r="AV218" s="1">
        <v>0</v>
      </c>
      <c r="AW218" s="1" t="s">
        <v>5250</v>
      </c>
      <c r="AX218" s="1" t="s">
        <v>5251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3642</v>
      </c>
      <c r="C219" s="9" t="s">
        <v>1681</v>
      </c>
      <c r="D219" s="1" t="s">
        <v>1681</v>
      </c>
      <c r="E219" s="1"/>
      <c r="F219" s="1"/>
      <c r="G219" s="1" t="s">
        <v>3643</v>
      </c>
      <c r="H219" s="1" t="s">
        <v>3644</v>
      </c>
      <c r="I219" s="1" t="s">
        <v>3645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4858</v>
      </c>
      <c r="AN219" s="1" t="s">
        <v>389</v>
      </c>
      <c r="AO219" s="1" t="s">
        <v>5252</v>
      </c>
      <c r="AP219" s="1">
        <v>0</v>
      </c>
      <c r="AQ219" s="1" t="s">
        <v>1164</v>
      </c>
      <c r="AR219" s="1" t="s">
        <v>1154</v>
      </c>
      <c r="AS219" s="1" t="s">
        <v>1165</v>
      </c>
      <c r="AT219" s="1" t="s">
        <v>329</v>
      </c>
      <c r="AU219" s="1">
        <v>224</v>
      </c>
      <c r="AV219" s="1">
        <v>0</v>
      </c>
      <c r="AW219" s="1" t="s">
        <v>5253</v>
      </c>
      <c r="AX219" s="1" t="s">
        <v>5254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3646</v>
      </c>
      <c r="C220" s="9" t="s">
        <v>183</v>
      </c>
      <c r="D220" s="1" t="s">
        <v>3647</v>
      </c>
      <c r="E220" s="1"/>
      <c r="F220" s="1"/>
      <c r="G220" s="1" t="s">
        <v>3648</v>
      </c>
      <c r="H220" s="1" t="s">
        <v>3649</v>
      </c>
      <c r="I220" s="1" t="s">
        <v>3650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1274</v>
      </c>
      <c r="AK220" s="1" t="s">
        <v>329</v>
      </c>
      <c r="AL220" s="1">
        <v>13</v>
      </c>
      <c r="AM220" s="1" t="s">
        <v>4858</v>
      </c>
      <c r="AN220" s="1" t="s">
        <v>389</v>
      </c>
      <c r="AO220" s="1" t="s">
        <v>5124</v>
      </c>
      <c r="AP220" s="1">
        <v>0</v>
      </c>
      <c r="AQ220" s="1" t="s">
        <v>1164</v>
      </c>
      <c r="AR220" s="1" t="s">
        <v>1154</v>
      </c>
      <c r="AS220" s="1" t="s">
        <v>1165</v>
      </c>
      <c r="AT220" s="1" t="s">
        <v>329</v>
      </c>
      <c r="AU220" s="1">
        <v>225</v>
      </c>
      <c r="AV220" s="1">
        <v>0</v>
      </c>
      <c r="AW220" s="1" t="s">
        <v>5101</v>
      </c>
      <c r="AX220" s="1" t="s">
        <v>5255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4807</v>
      </c>
      <c r="BD220" s="1">
        <v>10301</v>
      </c>
      <c r="BE220" s="1"/>
    </row>
    <row r="221" spans="1:57" x14ac:dyDescent="0.25">
      <c r="A221" s="1">
        <v>226</v>
      </c>
      <c r="B221" s="1" t="s">
        <v>3651</v>
      </c>
      <c r="C221" s="9" t="s">
        <v>790</v>
      </c>
      <c r="D221" s="1" t="s">
        <v>790</v>
      </c>
      <c r="E221" s="1"/>
      <c r="F221" s="1"/>
      <c r="G221" s="1" t="s">
        <v>3652</v>
      </c>
      <c r="H221" s="1" t="s">
        <v>3653</v>
      </c>
      <c r="I221" s="1" t="s">
        <v>3654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1275</v>
      </c>
      <c r="AK221" s="1" t="s">
        <v>329</v>
      </c>
      <c r="AL221" s="1">
        <v>13</v>
      </c>
      <c r="AM221" s="1" t="s">
        <v>4830</v>
      </c>
      <c r="AN221" s="1" t="s">
        <v>4952</v>
      </c>
      <c r="AO221" s="1" t="s">
        <v>4900</v>
      </c>
      <c r="AP221" s="1">
        <v>0</v>
      </c>
      <c r="AQ221" s="1" t="s">
        <v>1175</v>
      </c>
      <c r="AR221" s="1" t="s">
        <v>1176</v>
      </c>
      <c r="AS221" s="1" t="s">
        <v>1177</v>
      </c>
      <c r="AT221" s="1" t="s">
        <v>329</v>
      </c>
      <c r="AU221" s="1">
        <v>226</v>
      </c>
      <c r="AV221" s="1">
        <v>0</v>
      </c>
      <c r="AW221" s="1" t="s">
        <v>5199</v>
      </c>
      <c r="AX221" s="1" t="s">
        <v>4821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4788</v>
      </c>
      <c r="BD221" s="1">
        <v>10301</v>
      </c>
      <c r="BE221" s="1"/>
    </row>
    <row r="222" spans="1:57" x14ac:dyDescent="0.25">
      <c r="A222" s="1">
        <v>227</v>
      </c>
      <c r="B222" s="1" t="s">
        <v>3655</v>
      </c>
      <c r="C222" s="9" t="s">
        <v>1682</v>
      </c>
      <c r="D222" s="1" t="s">
        <v>1682</v>
      </c>
      <c r="E222" s="1"/>
      <c r="F222" s="1"/>
      <c r="G222" s="1" t="s">
        <v>3656</v>
      </c>
      <c r="H222" s="1" t="s">
        <v>3657</v>
      </c>
      <c r="I222" s="1" t="s">
        <v>3658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1275</v>
      </c>
      <c r="AK222" s="1" t="s">
        <v>329</v>
      </c>
      <c r="AL222" s="1">
        <v>12</v>
      </c>
      <c r="AM222" s="1" t="s">
        <v>4787</v>
      </c>
      <c r="AN222" s="1" t="s">
        <v>5256</v>
      </c>
      <c r="AO222" s="1" t="s">
        <v>5082</v>
      </c>
      <c r="AP222" s="1">
        <v>0</v>
      </c>
      <c r="AQ222" s="1" t="s">
        <v>1165</v>
      </c>
      <c r="AR222" s="1" t="s">
        <v>1189</v>
      </c>
      <c r="AS222" s="1" t="s">
        <v>1164</v>
      </c>
      <c r="AT222" s="1" t="s">
        <v>329</v>
      </c>
      <c r="AU222" s="1">
        <v>227</v>
      </c>
      <c r="AV222" s="1">
        <v>0</v>
      </c>
      <c r="AW222" s="1" t="s">
        <v>5230</v>
      </c>
      <c r="AX222" s="1" t="s">
        <v>4821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4825</v>
      </c>
      <c r="BD222" s="1">
        <v>10802</v>
      </c>
      <c r="BE222" s="1"/>
    </row>
    <row r="223" spans="1:57" x14ac:dyDescent="0.25">
      <c r="A223" s="1">
        <v>228</v>
      </c>
      <c r="B223" s="1" t="s">
        <v>3659</v>
      </c>
      <c r="C223" s="9" t="s">
        <v>752</v>
      </c>
      <c r="D223" s="1" t="s">
        <v>3660</v>
      </c>
      <c r="E223" s="1"/>
      <c r="F223" s="1"/>
      <c r="G223" s="1" t="s">
        <v>3661</v>
      </c>
      <c r="H223" s="1" t="s">
        <v>3662</v>
      </c>
      <c r="I223" s="1" t="s">
        <v>3663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1276</v>
      </c>
      <c r="AK223" s="1" t="s">
        <v>1277</v>
      </c>
      <c r="AL223" s="1">
        <v>13</v>
      </c>
      <c r="AM223" s="1" t="s">
        <v>4858</v>
      </c>
      <c r="AN223" s="1" t="s">
        <v>389</v>
      </c>
      <c r="AO223" s="1" t="s">
        <v>5252</v>
      </c>
      <c r="AP223" s="1">
        <v>0</v>
      </c>
      <c r="AQ223" s="1" t="s">
        <v>1164</v>
      </c>
      <c r="AR223" s="1" t="s">
        <v>1154</v>
      </c>
      <c r="AS223" s="1" t="s">
        <v>1781</v>
      </c>
      <c r="AT223" s="1" t="s">
        <v>329</v>
      </c>
      <c r="AU223" s="1">
        <v>228</v>
      </c>
      <c r="AV223" s="1">
        <v>0</v>
      </c>
      <c r="AW223" s="1" t="s">
        <v>5257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3664</v>
      </c>
      <c r="C224" s="9" t="s">
        <v>5700</v>
      </c>
      <c r="D224" s="1" t="s">
        <v>237</v>
      </c>
      <c r="E224" s="1"/>
      <c r="F224" s="1"/>
      <c r="G224" s="1" t="s">
        <v>3665</v>
      </c>
      <c r="H224" s="1" t="s">
        <v>3666</v>
      </c>
      <c r="I224" s="1" t="s">
        <v>3667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1278</v>
      </c>
      <c r="AK224" s="1" t="s">
        <v>1279</v>
      </c>
      <c r="AL224" s="1">
        <v>9</v>
      </c>
      <c r="AM224" s="1" t="s">
        <v>4784</v>
      </c>
      <c r="AN224" s="1" t="s">
        <v>355</v>
      </c>
      <c r="AO224" s="1" t="s">
        <v>5258</v>
      </c>
      <c r="AP224" s="1">
        <v>0</v>
      </c>
      <c r="AQ224" s="1" t="s">
        <v>1235</v>
      </c>
      <c r="AR224" s="1" t="s">
        <v>1236</v>
      </c>
      <c r="AS224" s="1" t="s">
        <v>1237</v>
      </c>
      <c r="AT224" s="1" t="s">
        <v>329</v>
      </c>
      <c r="AU224" s="1">
        <v>229</v>
      </c>
      <c r="AV224" s="1">
        <v>0</v>
      </c>
      <c r="AW224" s="1" t="s">
        <v>5139</v>
      </c>
      <c r="AX224" s="1" t="s">
        <v>4821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4788</v>
      </c>
      <c r="BD224" s="1">
        <v>10402</v>
      </c>
      <c r="BE224" s="1"/>
    </row>
    <row r="225" spans="1:57" x14ac:dyDescent="0.25">
      <c r="A225" s="1">
        <v>230</v>
      </c>
      <c r="B225" s="1" t="s">
        <v>3668</v>
      </c>
      <c r="C225" s="9" t="s">
        <v>184</v>
      </c>
      <c r="D225" s="1" t="s">
        <v>184</v>
      </c>
      <c r="E225" s="1"/>
      <c r="F225" s="1"/>
      <c r="G225" s="1" t="s">
        <v>3669</v>
      </c>
      <c r="H225" s="1" t="s">
        <v>3670</v>
      </c>
      <c r="I225" s="1" t="s">
        <v>3671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1160</v>
      </c>
      <c r="AK225" s="1" t="s">
        <v>329</v>
      </c>
      <c r="AL225" s="1">
        <v>13</v>
      </c>
      <c r="AM225" s="1" t="s">
        <v>4830</v>
      </c>
      <c r="AN225" s="1" t="s">
        <v>4902</v>
      </c>
      <c r="AO225" s="1" t="s">
        <v>4894</v>
      </c>
      <c r="AP225" s="1">
        <v>0</v>
      </c>
      <c r="AQ225" s="1" t="s">
        <v>1175</v>
      </c>
      <c r="AR225" s="1" t="s">
        <v>1176</v>
      </c>
      <c r="AS225" s="1" t="s">
        <v>1177</v>
      </c>
      <c r="AT225" s="1" t="s">
        <v>329</v>
      </c>
      <c r="AU225" s="1">
        <v>230</v>
      </c>
      <c r="AV225" s="1">
        <v>0</v>
      </c>
      <c r="AW225" s="1" t="s">
        <v>5259</v>
      </c>
      <c r="AX225" s="1" t="s">
        <v>5251</v>
      </c>
      <c r="AY225" s="1">
        <v>3</v>
      </c>
      <c r="AZ225" s="1">
        <v>0</v>
      </c>
      <c r="BA225" s="1" t="s">
        <v>329</v>
      </c>
      <c r="BB225" s="1" t="s">
        <v>5260</v>
      </c>
      <c r="BC225" s="1" t="s">
        <v>4788</v>
      </c>
      <c r="BD225" s="1">
        <v>10704</v>
      </c>
      <c r="BE225" s="1"/>
    </row>
    <row r="226" spans="1:57" x14ac:dyDescent="0.25">
      <c r="A226" s="1">
        <v>231</v>
      </c>
      <c r="B226" s="1" t="s">
        <v>3672</v>
      </c>
      <c r="C226" s="9" t="s">
        <v>185</v>
      </c>
      <c r="D226" s="1" t="s">
        <v>185</v>
      </c>
      <c r="E226" s="1"/>
      <c r="F226" s="1"/>
      <c r="G226" s="1" t="s">
        <v>3673</v>
      </c>
      <c r="H226" s="1" t="s">
        <v>3674</v>
      </c>
      <c r="I226" s="1" t="s">
        <v>3675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1280</v>
      </c>
      <c r="AK226" s="1" t="s">
        <v>1281</v>
      </c>
      <c r="AL226" s="1">
        <v>13</v>
      </c>
      <c r="AM226" s="1" t="s">
        <v>4830</v>
      </c>
      <c r="AN226" s="1" t="s">
        <v>4952</v>
      </c>
      <c r="AO226" s="1" t="s">
        <v>4913</v>
      </c>
      <c r="AP226" s="1">
        <v>0</v>
      </c>
      <c r="AQ226" s="1" t="s">
        <v>1175</v>
      </c>
      <c r="AR226" s="1" t="s">
        <v>1176</v>
      </c>
      <c r="AS226" s="1" t="s">
        <v>1177</v>
      </c>
      <c r="AT226" s="1" t="s">
        <v>329</v>
      </c>
      <c r="AU226" s="1">
        <v>231</v>
      </c>
      <c r="AV226" s="1">
        <v>0</v>
      </c>
      <c r="AW226" s="1" t="s">
        <v>5246</v>
      </c>
      <c r="AX226" s="1" t="s">
        <v>5261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4788</v>
      </c>
      <c r="BD226" s="1">
        <v>10402</v>
      </c>
      <c r="BE226" s="1"/>
    </row>
    <row r="227" spans="1:57" x14ac:dyDescent="0.25">
      <c r="A227" s="1">
        <v>232</v>
      </c>
      <c r="B227" s="1" t="s">
        <v>3676</v>
      </c>
      <c r="C227" s="9" t="s">
        <v>1683</v>
      </c>
      <c r="D227" s="1" t="s">
        <v>1683</v>
      </c>
      <c r="E227" s="1"/>
      <c r="F227" s="1"/>
      <c r="G227" s="1" t="s">
        <v>3677</v>
      </c>
      <c r="H227" s="1" t="s">
        <v>3678</v>
      </c>
      <c r="I227" s="1" t="s">
        <v>3679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5262</v>
      </c>
      <c r="AK227" s="1" t="s">
        <v>329</v>
      </c>
      <c r="AL227" s="1">
        <v>13</v>
      </c>
      <c r="AM227" s="1" t="s">
        <v>1874</v>
      </c>
      <c r="AN227" s="1" t="s">
        <v>5243</v>
      </c>
      <c r="AO227" s="1" t="s">
        <v>5154</v>
      </c>
      <c r="AP227" s="1">
        <v>0</v>
      </c>
      <c r="AQ227" s="1" t="s">
        <v>1153</v>
      </c>
      <c r="AR227" s="1" t="s">
        <v>1154</v>
      </c>
      <c r="AS227" s="1" t="s">
        <v>1155</v>
      </c>
      <c r="AT227" s="1" t="s">
        <v>329</v>
      </c>
      <c r="AU227" s="1">
        <v>232</v>
      </c>
      <c r="AV227" s="1">
        <v>0</v>
      </c>
      <c r="AW227" s="1" t="s">
        <v>5263</v>
      </c>
      <c r="AX227" s="1" t="s">
        <v>5251</v>
      </c>
      <c r="AY227" s="1">
        <v>3</v>
      </c>
      <c r="AZ227" s="1">
        <v>0</v>
      </c>
      <c r="BA227" s="1" t="s">
        <v>329</v>
      </c>
      <c r="BB227" s="1" t="s">
        <v>4912</v>
      </c>
      <c r="BC227" s="1" t="s">
        <v>4825</v>
      </c>
      <c r="BD227" s="1">
        <v>10301</v>
      </c>
      <c r="BE227" s="1"/>
    </row>
    <row r="228" spans="1:57" x14ac:dyDescent="0.25">
      <c r="A228" s="1">
        <v>233</v>
      </c>
      <c r="B228" s="1" t="s">
        <v>3680</v>
      </c>
      <c r="C228" s="9" t="s">
        <v>186</v>
      </c>
      <c r="D228" s="1" t="s">
        <v>3681</v>
      </c>
      <c r="E228" s="1"/>
      <c r="F228" s="1"/>
      <c r="G228" s="1" t="s">
        <v>3682</v>
      </c>
      <c r="H228" s="1" t="s">
        <v>3683</v>
      </c>
      <c r="I228" s="1" t="s">
        <v>3684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1874</v>
      </c>
      <c r="AN228" s="1" t="s">
        <v>5264</v>
      </c>
      <c r="AO228" s="1" t="s">
        <v>5134</v>
      </c>
      <c r="AP228" s="1">
        <v>0</v>
      </c>
      <c r="AQ228" s="1" t="s">
        <v>1153</v>
      </c>
      <c r="AR228" s="1" t="s">
        <v>1154</v>
      </c>
      <c r="AS228" s="1" t="s">
        <v>1155</v>
      </c>
      <c r="AT228" s="1" t="s">
        <v>329</v>
      </c>
      <c r="AU228" s="1">
        <v>233</v>
      </c>
      <c r="AV228" s="1">
        <v>0</v>
      </c>
      <c r="AW228" s="1" t="s">
        <v>5265</v>
      </c>
      <c r="AX228" s="1" t="s">
        <v>4830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4807</v>
      </c>
      <c r="BD228" s="1">
        <v>10203</v>
      </c>
      <c r="BE228" s="1"/>
    </row>
    <row r="229" spans="1:57" x14ac:dyDescent="0.25">
      <c r="A229" s="1">
        <v>234</v>
      </c>
      <c r="B229" s="1" t="s">
        <v>3685</v>
      </c>
      <c r="C229" s="9" t="s">
        <v>238</v>
      </c>
      <c r="D229" s="1" t="s">
        <v>3686</v>
      </c>
      <c r="E229" s="1"/>
      <c r="F229" s="1"/>
      <c r="G229" s="1" t="s">
        <v>3687</v>
      </c>
      <c r="H229" s="1" t="s">
        <v>3688</v>
      </c>
      <c r="I229" s="1" t="s">
        <v>3689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1282</v>
      </c>
      <c r="AK229" s="1" t="s">
        <v>1283</v>
      </c>
      <c r="AL229" s="1">
        <v>12</v>
      </c>
      <c r="AM229" s="1" t="s">
        <v>4858</v>
      </c>
      <c r="AN229" s="1" t="s">
        <v>5266</v>
      </c>
      <c r="AO229" s="1" t="s">
        <v>5098</v>
      </c>
      <c r="AP229" s="1">
        <v>0</v>
      </c>
      <c r="AQ229" s="1" t="s">
        <v>1164</v>
      </c>
      <c r="AR229" s="1" t="s">
        <v>1154</v>
      </c>
      <c r="AS229" s="1" t="s">
        <v>1165</v>
      </c>
      <c r="AT229" s="1" t="s">
        <v>329</v>
      </c>
      <c r="AU229" s="1">
        <v>234</v>
      </c>
      <c r="AV229" s="1">
        <v>0</v>
      </c>
      <c r="AW229" s="1" t="s">
        <v>5267</v>
      </c>
      <c r="AX229" s="1" t="s">
        <v>5268</v>
      </c>
      <c r="AY229" s="1">
        <v>5</v>
      </c>
      <c r="AZ229" s="1">
        <v>0</v>
      </c>
      <c r="BA229" s="1" t="s">
        <v>329</v>
      </c>
      <c r="BB229" s="1" t="s">
        <v>5269</v>
      </c>
      <c r="BC229" s="1" t="s">
        <v>4851</v>
      </c>
      <c r="BD229" s="1">
        <v>10203</v>
      </c>
      <c r="BE229" s="1"/>
    </row>
    <row r="230" spans="1:57" x14ac:dyDescent="0.25">
      <c r="A230" s="1">
        <v>235</v>
      </c>
      <c r="B230" s="1" t="s">
        <v>3690</v>
      </c>
      <c r="C230" s="9" t="s">
        <v>187</v>
      </c>
      <c r="D230" s="1" t="s">
        <v>3691</v>
      </c>
      <c r="E230" s="1"/>
      <c r="F230" s="1"/>
      <c r="G230" s="1" t="s">
        <v>3692</v>
      </c>
      <c r="H230" s="1" t="s">
        <v>3693</v>
      </c>
      <c r="I230" s="1" t="s">
        <v>3694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1284</v>
      </c>
      <c r="AK230" s="1" t="s">
        <v>1285</v>
      </c>
      <c r="AL230" s="1">
        <v>13</v>
      </c>
      <c r="AM230" s="1" t="s">
        <v>4830</v>
      </c>
      <c r="AN230" s="1" t="s">
        <v>4902</v>
      </c>
      <c r="AO230" s="1" t="s">
        <v>4900</v>
      </c>
      <c r="AP230" s="1">
        <v>0</v>
      </c>
      <c r="AQ230" s="1" t="s">
        <v>1175</v>
      </c>
      <c r="AR230" s="1" t="s">
        <v>1176</v>
      </c>
      <c r="AS230" s="1" t="s">
        <v>1177</v>
      </c>
      <c r="AT230" s="1" t="s">
        <v>329</v>
      </c>
      <c r="AU230" s="1">
        <v>235</v>
      </c>
      <c r="AV230" s="1">
        <v>0</v>
      </c>
      <c r="AW230" s="1" t="s">
        <v>5265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4921</v>
      </c>
      <c r="BD230" s="1">
        <v>10704</v>
      </c>
      <c r="BE230" s="1"/>
    </row>
    <row r="231" spans="1:57" x14ac:dyDescent="0.25">
      <c r="A231" s="1">
        <v>236</v>
      </c>
      <c r="B231" s="1" t="s">
        <v>3695</v>
      </c>
      <c r="C231" s="9" t="s">
        <v>188</v>
      </c>
      <c r="D231" s="1" t="s">
        <v>188</v>
      </c>
      <c r="E231" s="1"/>
      <c r="F231" s="1"/>
      <c r="G231" s="1" t="s">
        <v>3696</v>
      </c>
      <c r="H231" s="1" t="s">
        <v>3697</v>
      </c>
      <c r="I231" s="1" t="s">
        <v>3698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1286</v>
      </c>
      <c r="AK231" s="1" t="s">
        <v>1287</v>
      </c>
      <c r="AL231" s="1">
        <v>13</v>
      </c>
      <c r="AM231" s="1" t="s">
        <v>4787</v>
      </c>
      <c r="AN231" s="1" t="s">
        <v>4932</v>
      </c>
      <c r="AO231" s="1" t="s">
        <v>5237</v>
      </c>
      <c r="AP231" s="1">
        <v>0</v>
      </c>
      <c r="AQ231" s="1" t="s">
        <v>1165</v>
      </c>
      <c r="AR231" s="1" t="s">
        <v>1189</v>
      </c>
      <c r="AS231" s="1" t="s">
        <v>1164</v>
      </c>
      <c r="AT231" s="1" t="s">
        <v>329</v>
      </c>
      <c r="AU231" s="1">
        <v>236</v>
      </c>
      <c r="AV231" s="1">
        <v>0</v>
      </c>
      <c r="AW231" s="1" t="s">
        <v>5265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3699</v>
      </c>
      <c r="C232" s="9" t="s">
        <v>1684</v>
      </c>
      <c r="D232" s="1" t="s">
        <v>1684</v>
      </c>
      <c r="E232" s="1"/>
      <c r="F232" s="1"/>
      <c r="G232" s="1" t="s">
        <v>3700</v>
      </c>
      <c r="H232" s="1" t="s">
        <v>3701</v>
      </c>
      <c r="I232" s="1" t="s">
        <v>3702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1288</v>
      </c>
      <c r="AK232" s="1" t="s">
        <v>329</v>
      </c>
      <c r="AL232" s="1">
        <v>13</v>
      </c>
      <c r="AM232" s="1" t="s">
        <v>4787</v>
      </c>
      <c r="AN232" s="1" t="s">
        <v>4932</v>
      </c>
      <c r="AO232" s="1" t="s">
        <v>5270</v>
      </c>
      <c r="AP232" s="1">
        <v>0</v>
      </c>
      <c r="AQ232" s="1" t="s">
        <v>1165</v>
      </c>
      <c r="AR232" s="1" t="s">
        <v>1189</v>
      </c>
      <c r="AS232" s="1" t="s">
        <v>1164</v>
      </c>
      <c r="AT232" s="1" t="s">
        <v>329</v>
      </c>
      <c r="AU232" s="1">
        <v>237</v>
      </c>
      <c r="AV232" s="1">
        <v>0</v>
      </c>
      <c r="AW232" s="1" t="s">
        <v>5265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3703</v>
      </c>
      <c r="C233" s="9" t="s">
        <v>788</v>
      </c>
      <c r="D233" s="1" t="s">
        <v>119</v>
      </c>
      <c r="E233" s="1"/>
      <c r="F233" s="1"/>
      <c r="G233" s="1" t="s">
        <v>3704</v>
      </c>
      <c r="H233" s="1" t="s">
        <v>3705</v>
      </c>
      <c r="I233" s="1" t="s">
        <v>3706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5271</v>
      </c>
      <c r="AK233" s="1" t="s">
        <v>1289</v>
      </c>
      <c r="AL233" s="1">
        <v>19</v>
      </c>
      <c r="AM233" s="1" t="s">
        <v>4926</v>
      </c>
      <c r="AN233" s="1" t="s">
        <v>5272</v>
      </c>
      <c r="AO233" s="1" t="s">
        <v>5273</v>
      </c>
      <c r="AP233" s="1">
        <v>0</v>
      </c>
      <c r="AQ233" s="1" t="s">
        <v>1202</v>
      </c>
      <c r="AR233" s="1" t="s">
        <v>1203</v>
      </c>
      <c r="AS233" s="1" t="s">
        <v>1204</v>
      </c>
      <c r="AT233" s="1" t="s">
        <v>329</v>
      </c>
      <c r="AU233" s="1">
        <v>238</v>
      </c>
      <c r="AV233" s="1">
        <v>0</v>
      </c>
      <c r="AW233" s="1" t="s">
        <v>5265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5274</v>
      </c>
      <c r="BC233" s="1" t="s">
        <v>4851</v>
      </c>
      <c r="BD233" s="1">
        <v>10802</v>
      </c>
      <c r="BE233" s="1"/>
    </row>
    <row r="234" spans="1:57" x14ac:dyDescent="0.25">
      <c r="A234" s="1">
        <v>239</v>
      </c>
      <c r="B234" s="1" t="s">
        <v>3707</v>
      </c>
      <c r="C234" s="9" t="s">
        <v>239</v>
      </c>
      <c r="D234" s="1" t="s">
        <v>239</v>
      </c>
      <c r="E234" s="1"/>
      <c r="F234" s="1"/>
      <c r="G234" s="1" t="s">
        <v>3708</v>
      </c>
      <c r="H234" s="1" t="s">
        <v>3709</v>
      </c>
      <c r="I234" s="1" t="s">
        <v>3710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1160</v>
      </c>
      <c r="AK234" s="1" t="s">
        <v>329</v>
      </c>
      <c r="AL234" s="1">
        <v>13</v>
      </c>
      <c r="AM234" s="1" t="s">
        <v>4787</v>
      </c>
      <c r="AN234" s="1" t="s">
        <v>476</v>
      </c>
      <c r="AO234" s="1" t="s">
        <v>5275</v>
      </c>
      <c r="AP234" s="1">
        <v>0</v>
      </c>
      <c r="AQ234" s="1" t="s">
        <v>1165</v>
      </c>
      <c r="AR234" s="1" t="s">
        <v>1189</v>
      </c>
      <c r="AS234" s="1" t="s">
        <v>1164</v>
      </c>
      <c r="AT234" s="1" t="s">
        <v>329</v>
      </c>
      <c r="AU234" s="1">
        <v>239</v>
      </c>
      <c r="AV234" s="1">
        <v>0</v>
      </c>
      <c r="AW234" s="1" t="s">
        <v>5276</v>
      </c>
      <c r="AX234" s="1" t="s">
        <v>5251</v>
      </c>
      <c r="AY234" s="1">
        <v>3</v>
      </c>
      <c r="AZ234" s="1">
        <v>0</v>
      </c>
      <c r="BA234" s="1" t="s">
        <v>329</v>
      </c>
      <c r="BB234" s="1" t="s">
        <v>5020</v>
      </c>
      <c r="BC234" s="1" t="s">
        <v>4851</v>
      </c>
      <c r="BD234" s="1">
        <v>10704</v>
      </c>
      <c r="BE234" s="1"/>
    </row>
    <row r="235" spans="1:57" x14ac:dyDescent="0.25">
      <c r="A235" s="1">
        <v>240</v>
      </c>
      <c r="B235" s="1" t="s">
        <v>3711</v>
      </c>
      <c r="C235" s="9" t="s">
        <v>189</v>
      </c>
      <c r="D235" s="1" t="s">
        <v>189</v>
      </c>
      <c r="E235" s="1"/>
      <c r="F235" s="1"/>
      <c r="G235" s="1" t="s">
        <v>3712</v>
      </c>
      <c r="H235" s="1" t="s">
        <v>3713</v>
      </c>
      <c r="I235" s="1" t="s">
        <v>3714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1201</v>
      </c>
      <c r="AK235" s="1" t="s">
        <v>329</v>
      </c>
      <c r="AL235" s="1">
        <v>17</v>
      </c>
      <c r="AM235" s="1" t="s">
        <v>4926</v>
      </c>
      <c r="AN235" s="1" t="s">
        <v>4984</v>
      </c>
      <c r="AO235" s="1" t="s">
        <v>5277</v>
      </c>
      <c r="AP235" s="1">
        <v>0</v>
      </c>
      <c r="AQ235" s="1" t="s">
        <v>1202</v>
      </c>
      <c r="AR235" s="1" t="s">
        <v>1203</v>
      </c>
      <c r="AS235" s="1" t="s">
        <v>1204</v>
      </c>
      <c r="AT235" s="1" t="s">
        <v>329</v>
      </c>
      <c r="AU235" s="1">
        <v>240</v>
      </c>
      <c r="AV235" s="1">
        <v>0</v>
      </c>
      <c r="AW235" s="1" t="s">
        <v>5037</v>
      </c>
      <c r="AX235" s="1" t="s">
        <v>5278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4788</v>
      </c>
      <c r="BD235" s="1">
        <v>10402</v>
      </c>
      <c r="BE235" s="1"/>
    </row>
    <row r="236" spans="1:57" x14ac:dyDescent="0.25">
      <c r="A236" s="1">
        <v>241</v>
      </c>
      <c r="B236" s="1" t="s">
        <v>3715</v>
      </c>
      <c r="C236" s="9" t="s">
        <v>1685</v>
      </c>
      <c r="D236" s="1" t="s">
        <v>1685</v>
      </c>
      <c r="E236" s="1"/>
      <c r="F236" s="1"/>
      <c r="G236" s="1" t="s">
        <v>3716</v>
      </c>
      <c r="H236" s="1" t="s">
        <v>3717</v>
      </c>
      <c r="I236" s="1" t="s">
        <v>3718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1230</v>
      </c>
      <c r="AK236" s="1" t="s">
        <v>329</v>
      </c>
      <c r="AL236" s="1">
        <v>13</v>
      </c>
      <c r="AM236" s="1" t="s">
        <v>4830</v>
      </c>
      <c r="AN236" s="1" t="s">
        <v>4897</v>
      </c>
      <c r="AO236" s="1" t="s">
        <v>4894</v>
      </c>
      <c r="AP236" s="1">
        <v>0</v>
      </c>
      <c r="AQ236" s="1" t="s">
        <v>1175</v>
      </c>
      <c r="AR236" s="1" t="s">
        <v>1176</v>
      </c>
      <c r="AS236" s="1" t="s">
        <v>1177</v>
      </c>
      <c r="AT236" s="1" t="s">
        <v>329</v>
      </c>
      <c r="AU236" s="1">
        <v>241</v>
      </c>
      <c r="AV236" s="1">
        <v>0</v>
      </c>
      <c r="AW236" s="1" t="s">
        <v>5279</v>
      </c>
      <c r="AX236" s="1" t="s">
        <v>5251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3719</v>
      </c>
      <c r="C237" s="9" t="s">
        <v>197</v>
      </c>
      <c r="D237" s="1" t="s">
        <v>197</v>
      </c>
      <c r="E237" s="1"/>
      <c r="F237" s="1"/>
      <c r="G237" s="1" t="s">
        <v>3720</v>
      </c>
      <c r="H237" s="1" t="s">
        <v>3721</v>
      </c>
      <c r="I237" s="1" t="s">
        <v>3722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1874</v>
      </c>
      <c r="AN237" s="1" t="s">
        <v>5280</v>
      </c>
      <c r="AO237" s="1" t="s">
        <v>4943</v>
      </c>
      <c r="AP237" s="1">
        <v>0</v>
      </c>
      <c r="AQ237" s="1" t="s">
        <v>1153</v>
      </c>
      <c r="AR237" s="1" t="s">
        <v>1154</v>
      </c>
      <c r="AS237" s="1" t="s">
        <v>1155</v>
      </c>
      <c r="AT237" s="1" t="s">
        <v>329</v>
      </c>
      <c r="AU237" s="1">
        <v>96</v>
      </c>
      <c r="AV237" s="1">
        <v>0</v>
      </c>
      <c r="AW237" s="1" t="s">
        <v>5257</v>
      </c>
      <c r="AX237" s="1" t="s">
        <v>5251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4837</v>
      </c>
      <c r="BD237" s="1">
        <v>10203</v>
      </c>
      <c r="BE237" s="1"/>
    </row>
    <row r="238" spans="1:57" x14ac:dyDescent="0.25">
      <c r="A238" s="1">
        <v>243</v>
      </c>
      <c r="B238" s="1" t="s">
        <v>3723</v>
      </c>
      <c r="C238" s="9" t="s">
        <v>840</v>
      </c>
      <c r="D238" s="1" t="s">
        <v>3724</v>
      </c>
      <c r="E238" s="1"/>
      <c r="F238" s="1"/>
      <c r="G238" s="1" t="s">
        <v>3725</v>
      </c>
      <c r="H238" s="1" t="s">
        <v>3726</v>
      </c>
      <c r="I238" s="1" t="s">
        <v>3727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1290</v>
      </c>
      <c r="AK238" s="1" t="s">
        <v>1291</v>
      </c>
      <c r="AL238" s="1">
        <v>13</v>
      </c>
      <c r="AM238" s="1" t="s">
        <v>4787</v>
      </c>
      <c r="AN238" s="1" t="s">
        <v>4952</v>
      </c>
      <c r="AO238" s="1" t="s">
        <v>5281</v>
      </c>
      <c r="AP238" s="1">
        <v>0</v>
      </c>
      <c r="AQ238" s="1" t="s">
        <v>1165</v>
      </c>
      <c r="AR238" s="1" t="s">
        <v>1189</v>
      </c>
      <c r="AS238" s="1" t="s">
        <v>1164</v>
      </c>
      <c r="AT238" s="1" t="s">
        <v>329</v>
      </c>
      <c r="AU238" s="1">
        <v>215</v>
      </c>
      <c r="AV238" s="1">
        <v>0</v>
      </c>
      <c r="AW238" s="1" t="s">
        <v>5257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3728</v>
      </c>
      <c r="C239" s="9" t="s">
        <v>1686</v>
      </c>
      <c r="D239" s="1" t="s">
        <v>1686</v>
      </c>
      <c r="E239" s="1"/>
      <c r="F239" s="1"/>
      <c r="G239" s="1" t="s">
        <v>3729</v>
      </c>
      <c r="H239" s="1" t="s">
        <v>3730</v>
      </c>
      <c r="I239" s="1" t="s">
        <v>3731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1160</v>
      </c>
      <c r="AK239" s="1" t="s">
        <v>329</v>
      </c>
      <c r="AL239" s="1">
        <v>13</v>
      </c>
      <c r="AM239" s="1" t="s">
        <v>1874</v>
      </c>
      <c r="AN239" s="1" t="s">
        <v>5282</v>
      </c>
      <c r="AO239" s="1" t="s">
        <v>5000</v>
      </c>
      <c r="AP239" s="1">
        <v>0</v>
      </c>
      <c r="AQ239" s="1" t="s">
        <v>1153</v>
      </c>
      <c r="AR239" s="1" t="s">
        <v>1154</v>
      </c>
      <c r="AS239" s="1" t="s">
        <v>1155</v>
      </c>
      <c r="AT239" s="1" t="s">
        <v>329</v>
      </c>
      <c r="AU239" s="1">
        <v>220</v>
      </c>
      <c r="AV239" s="1">
        <v>0</v>
      </c>
      <c r="AW239" s="1" t="s">
        <v>5283</v>
      </c>
      <c r="AX239" s="1" t="s">
        <v>5284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4788</v>
      </c>
      <c r="BD239" s="1">
        <v>10704</v>
      </c>
      <c r="BE239" s="1"/>
    </row>
    <row r="240" spans="1:57" x14ac:dyDescent="0.25">
      <c r="A240" s="1">
        <v>245</v>
      </c>
      <c r="B240" s="1" t="s">
        <v>3732</v>
      </c>
      <c r="C240" s="9" t="s">
        <v>190</v>
      </c>
      <c r="D240" s="1" t="s">
        <v>190</v>
      </c>
      <c r="E240" s="1"/>
      <c r="F240" s="1"/>
      <c r="G240" s="1" t="s">
        <v>3733</v>
      </c>
      <c r="H240" s="1" t="s">
        <v>3734</v>
      </c>
      <c r="I240" s="1" t="s">
        <v>3735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1292</v>
      </c>
      <c r="AK240" s="1" t="s">
        <v>1293</v>
      </c>
      <c r="AL240" s="1">
        <v>13</v>
      </c>
      <c r="AM240" s="1" t="s">
        <v>4858</v>
      </c>
      <c r="AN240" s="1" t="s">
        <v>4863</v>
      </c>
      <c r="AO240" s="1" t="s">
        <v>5134</v>
      </c>
      <c r="AP240" s="1">
        <v>0</v>
      </c>
      <c r="AQ240" s="1" t="s">
        <v>1164</v>
      </c>
      <c r="AR240" s="1" t="s">
        <v>1154</v>
      </c>
      <c r="AS240" s="1" t="s">
        <v>1165</v>
      </c>
      <c r="AT240" s="1" t="s">
        <v>329</v>
      </c>
      <c r="AU240" s="1">
        <v>28</v>
      </c>
      <c r="AV240" s="1">
        <v>0</v>
      </c>
      <c r="AW240" s="1" t="s">
        <v>5257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5285</v>
      </c>
      <c r="BC240" s="1" t="s">
        <v>4921</v>
      </c>
      <c r="BD240" s="1">
        <v>10802</v>
      </c>
      <c r="BE240" s="1"/>
    </row>
    <row r="241" spans="1:57" x14ac:dyDescent="0.25">
      <c r="A241" s="1">
        <v>247</v>
      </c>
      <c r="B241" s="1" t="s">
        <v>3736</v>
      </c>
      <c r="C241" s="9" t="s">
        <v>191</v>
      </c>
      <c r="D241" s="1" t="s">
        <v>191</v>
      </c>
      <c r="E241" s="1"/>
      <c r="F241" s="1"/>
      <c r="G241" s="1" t="s">
        <v>3737</v>
      </c>
      <c r="H241" s="1" t="s">
        <v>3738</v>
      </c>
      <c r="I241" s="1" t="s">
        <v>3739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1294</v>
      </c>
      <c r="AK241" s="1" t="s">
        <v>329</v>
      </c>
      <c r="AL241" s="1">
        <v>13</v>
      </c>
      <c r="AM241" s="1" t="s">
        <v>4830</v>
      </c>
      <c r="AN241" s="1" t="s">
        <v>4897</v>
      </c>
      <c r="AO241" s="1" t="s">
        <v>4900</v>
      </c>
      <c r="AP241" s="1">
        <v>0</v>
      </c>
      <c r="AQ241" s="1" t="s">
        <v>1175</v>
      </c>
      <c r="AR241" s="1" t="s">
        <v>1176</v>
      </c>
      <c r="AS241" s="1" t="s">
        <v>1177</v>
      </c>
      <c r="AT241" s="1" t="s">
        <v>329</v>
      </c>
      <c r="AU241" s="1">
        <v>200</v>
      </c>
      <c r="AV241" s="1">
        <v>0</v>
      </c>
      <c r="AW241" s="1" t="s">
        <v>5257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3740</v>
      </c>
      <c r="C242" s="9" t="s">
        <v>192</v>
      </c>
      <c r="D242" s="1" t="s">
        <v>192</v>
      </c>
      <c r="E242" s="1"/>
      <c r="F242" s="1"/>
      <c r="G242" s="1" t="s">
        <v>3741</v>
      </c>
      <c r="H242" s="1" t="s">
        <v>3742</v>
      </c>
      <c r="I242" s="1" t="s">
        <v>3743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1295</v>
      </c>
      <c r="AK242" s="1" t="s">
        <v>329</v>
      </c>
      <c r="AL242" s="1">
        <v>13</v>
      </c>
      <c r="AM242" s="1" t="s">
        <v>1874</v>
      </c>
      <c r="AN242" s="1" t="s">
        <v>5286</v>
      </c>
      <c r="AO242" s="1" t="s">
        <v>4809</v>
      </c>
      <c r="AP242" s="1">
        <v>0</v>
      </c>
      <c r="AQ242" s="1" t="s">
        <v>4810</v>
      </c>
      <c r="AR242" s="1" t="s">
        <v>1154</v>
      </c>
      <c r="AS242" s="1" t="s">
        <v>1155</v>
      </c>
      <c r="AT242" s="1" t="s">
        <v>329</v>
      </c>
      <c r="AU242" s="1">
        <v>212</v>
      </c>
      <c r="AV242" s="1">
        <v>0</v>
      </c>
      <c r="AW242" s="1" t="s">
        <v>5257</v>
      </c>
      <c r="AX242" s="1" t="s">
        <v>4830</v>
      </c>
      <c r="AY242" s="1">
        <v>4</v>
      </c>
      <c r="AZ242" s="1">
        <v>0</v>
      </c>
      <c r="BA242" s="1" t="s">
        <v>329</v>
      </c>
      <c r="BB242" s="1" t="s">
        <v>5054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3744</v>
      </c>
      <c r="C243" s="9" t="s">
        <v>240</v>
      </c>
      <c r="D243" s="1" t="s">
        <v>240</v>
      </c>
      <c r="E243" s="1"/>
      <c r="F243" s="1"/>
      <c r="G243" s="1" t="s">
        <v>3745</v>
      </c>
      <c r="H243" s="1" t="s">
        <v>3746</v>
      </c>
      <c r="I243" s="1" t="s">
        <v>3747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1205</v>
      </c>
      <c r="AK243" s="1" t="s">
        <v>329</v>
      </c>
      <c r="AL243" s="1">
        <v>19</v>
      </c>
      <c r="AM243" s="1" t="s">
        <v>4926</v>
      </c>
      <c r="AN243" s="1" t="s">
        <v>5204</v>
      </c>
      <c r="AO243" s="1" t="s">
        <v>5287</v>
      </c>
      <c r="AP243" s="1">
        <v>0</v>
      </c>
      <c r="AQ243" s="1" t="s">
        <v>1202</v>
      </c>
      <c r="AR243" s="1" t="s">
        <v>1203</v>
      </c>
      <c r="AS243" s="1" t="s">
        <v>1204</v>
      </c>
      <c r="AT243" s="1" t="s">
        <v>329</v>
      </c>
      <c r="AU243" s="1">
        <v>195</v>
      </c>
      <c r="AV243" s="1">
        <v>0</v>
      </c>
      <c r="AW243" s="1" t="s">
        <v>5288</v>
      </c>
      <c r="AX243" s="1" t="s">
        <v>5251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3748</v>
      </c>
      <c r="C244" s="9" t="s">
        <v>200</v>
      </c>
      <c r="D244" s="1" t="s">
        <v>200</v>
      </c>
      <c r="E244" s="1"/>
      <c r="F244" s="1"/>
      <c r="G244" s="1" t="s">
        <v>3749</v>
      </c>
      <c r="H244" s="1" t="s">
        <v>3750</v>
      </c>
      <c r="I244" s="1" t="s">
        <v>3751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1874</v>
      </c>
      <c r="AN244" s="1" t="s">
        <v>5289</v>
      </c>
      <c r="AO244" s="1" t="s">
        <v>5124</v>
      </c>
      <c r="AP244" s="1">
        <v>0</v>
      </c>
      <c r="AQ244" s="1" t="s">
        <v>1153</v>
      </c>
      <c r="AR244" s="1" t="s">
        <v>1154</v>
      </c>
      <c r="AS244" s="1" t="s">
        <v>1155</v>
      </c>
      <c r="AT244" s="1" t="s">
        <v>329</v>
      </c>
      <c r="AU244" s="1">
        <v>96</v>
      </c>
      <c r="AV244" s="1">
        <v>0</v>
      </c>
      <c r="AW244" s="1" t="s">
        <v>5257</v>
      </c>
      <c r="AX244" s="1" t="s">
        <v>5290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3752</v>
      </c>
      <c r="C245" s="9" t="s">
        <v>198</v>
      </c>
      <c r="D245" s="1" t="s">
        <v>198</v>
      </c>
      <c r="E245" s="1"/>
      <c r="F245" s="1"/>
      <c r="G245" s="1" t="s">
        <v>3753</v>
      </c>
      <c r="H245" s="1" t="s">
        <v>3754</v>
      </c>
      <c r="I245" s="1" t="s">
        <v>3755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1296</v>
      </c>
      <c r="AL245" s="1">
        <v>12</v>
      </c>
      <c r="AM245" s="1" t="s">
        <v>4858</v>
      </c>
      <c r="AN245" s="1" t="s">
        <v>5266</v>
      </c>
      <c r="AO245" s="1" t="s">
        <v>4885</v>
      </c>
      <c r="AP245" s="1">
        <v>0</v>
      </c>
      <c r="AQ245" s="1" t="s">
        <v>1164</v>
      </c>
      <c r="AR245" s="1" t="s">
        <v>1154</v>
      </c>
      <c r="AS245" s="1" t="s">
        <v>1165</v>
      </c>
      <c r="AT245" s="1" t="s">
        <v>329</v>
      </c>
      <c r="AU245" s="1">
        <v>28</v>
      </c>
      <c r="AV245" s="1">
        <v>0</v>
      </c>
      <c r="AW245" s="1" t="s">
        <v>5257</v>
      </c>
      <c r="AX245" s="1" t="s">
        <v>5251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3756</v>
      </c>
      <c r="C246" s="9" t="s">
        <v>199</v>
      </c>
      <c r="D246" s="1" t="s">
        <v>199</v>
      </c>
      <c r="E246" s="1"/>
      <c r="F246" s="1"/>
      <c r="G246" s="1" t="s">
        <v>3757</v>
      </c>
      <c r="H246" s="1" t="s">
        <v>3758</v>
      </c>
      <c r="I246" s="1" t="s">
        <v>3759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1297</v>
      </c>
      <c r="AK246" s="1" t="s">
        <v>329</v>
      </c>
      <c r="AL246" s="1">
        <v>13</v>
      </c>
      <c r="AM246" s="1" t="s">
        <v>4830</v>
      </c>
      <c r="AN246" s="1" t="s">
        <v>4952</v>
      </c>
      <c r="AO246" s="1" t="s">
        <v>4900</v>
      </c>
      <c r="AP246" s="1">
        <v>0</v>
      </c>
      <c r="AQ246" s="1" t="s">
        <v>1782</v>
      </c>
      <c r="AR246" s="1" t="s">
        <v>1176</v>
      </c>
      <c r="AS246" s="1" t="s">
        <v>1177</v>
      </c>
      <c r="AT246" s="1" t="s">
        <v>329</v>
      </c>
      <c r="AU246" s="1">
        <v>184</v>
      </c>
      <c r="AV246" s="1">
        <v>0</v>
      </c>
      <c r="AW246" s="1" t="s">
        <v>5257</v>
      </c>
      <c r="AX246" s="1" t="s">
        <v>5291</v>
      </c>
      <c r="AY246" s="1">
        <v>4</v>
      </c>
      <c r="AZ246" s="1">
        <v>0</v>
      </c>
      <c r="BA246" s="1" t="s">
        <v>4811</v>
      </c>
      <c r="BB246" s="1" t="s">
        <v>329</v>
      </c>
      <c r="BC246" s="1" t="s">
        <v>4825</v>
      </c>
      <c r="BD246" s="1">
        <v>10802</v>
      </c>
      <c r="BE246" s="1"/>
    </row>
    <row r="247" spans="1:57" x14ac:dyDescent="0.25">
      <c r="A247" s="1">
        <v>253</v>
      </c>
      <c r="B247" s="1" t="s">
        <v>3760</v>
      </c>
      <c r="C247" s="9" t="s">
        <v>241</v>
      </c>
      <c r="D247" s="1" t="s">
        <v>241</v>
      </c>
      <c r="E247" s="1"/>
      <c r="F247" s="1"/>
      <c r="G247" s="1" t="s">
        <v>3761</v>
      </c>
      <c r="H247" s="1" t="s">
        <v>3762</v>
      </c>
      <c r="I247" s="1" t="s">
        <v>3763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1298</v>
      </c>
      <c r="AK247" s="1" t="s">
        <v>329</v>
      </c>
      <c r="AL247" s="1">
        <v>18</v>
      </c>
      <c r="AM247" s="1" t="s">
        <v>4926</v>
      </c>
      <c r="AN247" s="1" t="s">
        <v>5052</v>
      </c>
      <c r="AO247" s="1" t="s">
        <v>5273</v>
      </c>
      <c r="AP247" s="1">
        <v>0</v>
      </c>
      <c r="AQ247" s="1" t="s">
        <v>1202</v>
      </c>
      <c r="AR247" s="1" t="s">
        <v>1203</v>
      </c>
      <c r="AS247" s="1" t="s">
        <v>1204</v>
      </c>
      <c r="AT247" s="1" t="s">
        <v>329</v>
      </c>
      <c r="AU247" s="1">
        <v>238</v>
      </c>
      <c r="AV247" s="1">
        <v>0</v>
      </c>
      <c r="AW247" s="1" t="s">
        <v>5257</v>
      </c>
      <c r="AX247" s="1" t="s">
        <v>5291</v>
      </c>
      <c r="AY247" s="1">
        <v>5</v>
      </c>
      <c r="AZ247" s="1">
        <v>0</v>
      </c>
      <c r="BA247" s="1" t="s">
        <v>329</v>
      </c>
      <c r="BB247" s="1" t="s">
        <v>4949</v>
      </c>
      <c r="BC247" s="1" t="s">
        <v>4788</v>
      </c>
      <c r="BD247" s="1">
        <v>10801</v>
      </c>
      <c r="BE247" s="1"/>
    </row>
    <row r="248" spans="1:57" x14ac:dyDescent="0.25">
      <c r="A248" s="1">
        <v>254</v>
      </c>
      <c r="B248" s="1" t="s">
        <v>3764</v>
      </c>
      <c r="C248" s="9" t="s">
        <v>1687</v>
      </c>
      <c r="D248" s="1" t="s">
        <v>1687</v>
      </c>
      <c r="E248" s="1"/>
      <c r="F248" s="1"/>
      <c r="G248" s="1" t="s">
        <v>3765</v>
      </c>
      <c r="H248" s="1" t="s">
        <v>3766</v>
      </c>
      <c r="I248" s="1" t="s">
        <v>3767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1299</v>
      </c>
      <c r="AK248" s="1" t="s">
        <v>1300</v>
      </c>
      <c r="AL248" s="1">
        <v>17</v>
      </c>
      <c r="AM248" s="1" t="s">
        <v>4926</v>
      </c>
      <c r="AN248" s="1" t="s">
        <v>4984</v>
      </c>
      <c r="AO248" s="1" t="s">
        <v>5010</v>
      </c>
      <c r="AP248" s="1">
        <v>0</v>
      </c>
      <c r="AQ248" s="1" t="s">
        <v>1202</v>
      </c>
      <c r="AR248" s="1" t="s">
        <v>1203</v>
      </c>
      <c r="AS248" s="1" t="s">
        <v>1204</v>
      </c>
      <c r="AT248" s="1" t="s">
        <v>329</v>
      </c>
      <c r="AU248" s="1">
        <v>199</v>
      </c>
      <c r="AV248" s="1">
        <v>0</v>
      </c>
      <c r="AW248" s="1" t="s">
        <v>5257</v>
      </c>
      <c r="AX248" s="1" t="s">
        <v>5251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3768</v>
      </c>
      <c r="C249" s="9" t="s">
        <v>242</v>
      </c>
      <c r="D249" s="1" t="s">
        <v>3769</v>
      </c>
      <c r="E249" s="1"/>
      <c r="F249" s="1"/>
      <c r="G249" s="1" t="s">
        <v>3770</v>
      </c>
      <c r="H249" s="1" t="s">
        <v>3771</v>
      </c>
      <c r="I249" s="1" t="s">
        <v>3772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1160</v>
      </c>
      <c r="AK249" s="1" t="s">
        <v>329</v>
      </c>
      <c r="AL249" s="1">
        <v>13</v>
      </c>
      <c r="AM249" s="1" t="s">
        <v>4830</v>
      </c>
      <c r="AN249" s="1" t="s">
        <v>4897</v>
      </c>
      <c r="AO249" s="1" t="s">
        <v>4894</v>
      </c>
      <c r="AP249" s="1">
        <v>0</v>
      </c>
      <c r="AQ249" s="1" t="s">
        <v>1175</v>
      </c>
      <c r="AR249" s="1" t="s">
        <v>1176</v>
      </c>
      <c r="AS249" s="1" t="s">
        <v>1177</v>
      </c>
      <c r="AT249" s="1" t="s">
        <v>329</v>
      </c>
      <c r="AU249" s="1">
        <v>241</v>
      </c>
      <c r="AV249" s="1">
        <v>0</v>
      </c>
      <c r="AW249" s="1" t="s">
        <v>5292</v>
      </c>
      <c r="AX249" s="1" t="s">
        <v>5284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3773</v>
      </c>
      <c r="C250" s="9" t="s">
        <v>202</v>
      </c>
      <c r="D250" s="1" t="s">
        <v>202</v>
      </c>
      <c r="E250" s="1"/>
      <c r="F250" s="1"/>
      <c r="G250" s="1" t="s">
        <v>3774</v>
      </c>
      <c r="H250" s="1" t="s">
        <v>3775</v>
      </c>
      <c r="I250" s="1" t="s">
        <v>3776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1301</v>
      </c>
      <c r="AK250" s="1" t="s">
        <v>1302</v>
      </c>
      <c r="AL250" s="1">
        <v>13</v>
      </c>
      <c r="AM250" s="1" t="s">
        <v>4830</v>
      </c>
      <c r="AN250" s="1" t="s">
        <v>4952</v>
      </c>
      <c r="AO250" s="1" t="s">
        <v>4894</v>
      </c>
      <c r="AP250" s="1">
        <v>0</v>
      </c>
      <c r="AQ250" s="1" t="s">
        <v>1175</v>
      </c>
      <c r="AR250" s="1" t="s">
        <v>1176</v>
      </c>
      <c r="AS250" s="1" t="s">
        <v>1177</v>
      </c>
      <c r="AT250" s="1" t="s">
        <v>329</v>
      </c>
      <c r="AU250" s="1">
        <v>241</v>
      </c>
      <c r="AV250" s="1">
        <v>0</v>
      </c>
      <c r="AW250" s="1" t="s">
        <v>5293</v>
      </c>
      <c r="AX250" s="1" t="s">
        <v>5284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3777</v>
      </c>
      <c r="C251" s="9" t="s">
        <v>201</v>
      </c>
      <c r="D251" s="1" t="s">
        <v>201</v>
      </c>
      <c r="E251" s="1"/>
      <c r="F251" s="1"/>
      <c r="G251" s="1" t="s">
        <v>3778</v>
      </c>
      <c r="H251" s="1" t="s">
        <v>3779</v>
      </c>
      <c r="I251" s="1" t="s">
        <v>3780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1303</v>
      </c>
      <c r="AK251" s="1" t="s">
        <v>1304</v>
      </c>
      <c r="AL251" s="1">
        <v>13</v>
      </c>
      <c r="AM251" s="1" t="s">
        <v>4830</v>
      </c>
      <c r="AN251" s="1" t="s">
        <v>4952</v>
      </c>
      <c r="AO251" s="1" t="s">
        <v>4913</v>
      </c>
      <c r="AP251" s="1">
        <v>0</v>
      </c>
      <c r="AQ251" s="1" t="s">
        <v>1175</v>
      </c>
      <c r="AR251" s="1" t="s">
        <v>1176</v>
      </c>
      <c r="AS251" s="1" t="s">
        <v>1177</v>
      </c>
      <c r="AT251" s="1" t="s">
        <v>329</v>
      </c>
      <c r="AU251" s="1">
        <v>222</v>
      </c>
      <c r="AV251" s="1">
        <v>0</v>
      </c>
      <c r="AW251" s="1" t="s">
        <v>5294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4788</v>
      </c>
      <c r="BD251" s="1">
        <v>10203</v>
      </c>
      <c r="BE251" s="1"/>
    </row>
    <row r="252" spans="1:57" x14ac:dyDescent="0.25">
      <c r="A252" s="1">
        <v>258</v>
      </c>
      <c r="B252" s="1" t="s">
        <v>3781</v>
      </c>
      <c r="C252" s="9" t="s">
        <v>203</v>
      </c>
      <c r="D252" s="1" t="s">
        <v>203</v>
      </c>
      <c r="E252" s="1"/>
      <c r="F252" s="1"/>
      <c r="G252" s="1" t="s">
        <v>3782</v>
      </c>
      <c r="H252" s="1" t="s">
        <v>3783</v>
      </c>
      <c r="I252" s="1" t="s">
        <v>3784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1160</v>
      </c>
      <c r="AK252" s="1" t="s">
        <v>329</v>
      </c>
      <c r="AL252" s="1">
        <v>13</v>
      </c>
      <c r="AM252" s="1" t="s">
        <v>4787</v>
      </c>
      <c r="AN252" s="1" t="s">
        <v>466</v>
      </c>
      <c r="AO252" s="1" t="s">
        <v>4933</v>
      </c>
      <c r="AP252" s="1">
        <v>0</v>
      </c>
      <c r="AQ252" s="1" t="s">
        <v>1165</v>
      </c>
      <c r="AR252" s="1" t="s">
        <v>1189</v>
      </c>
      <c r="AS252" s="1" t="s">
        <v>1164</v>
      </c>
      <c r="AT252" s="1" t="s">
        <v>329</v>
      </c>
      <c r="AU252" s="1">
        <v>239</v>
      </c>
      <c r="AV252" s="1">
        <v>0</v>
      </c>
      <c r="AW252" s="1" t="s">
        <v>5295</v>
      </c>
      <c r="AX252" s="1" t="s">
        <v>5284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3785</v>
      </c>
      <c r="C253" s="9" t="s">
        <v>1688</v>
      </c>
      <c r="D253" s="1" t="s">
        <v>1688</v>
      </c>
      <c r="E253" s="1"/>
      <c r="F253" s="1"/>
      <c r="G253" s="1" t="s">
        <v>3786</v>
      </c>
      <c r="H253" s="1" t="s">
        <v>3787</v>
      </c>
      <c r="I253" s="1" t="s">
        <v>3788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1305</v>
      </c>
      <c r="AK253" s="1" t="s">
        <v>329</v>
      </c>
      <c r="AL253" s="1">
        <v>12</v>
      </c>
      <c r="AM253" s="1" t="s">
        <v>4858</v>
      </c>
      <c r="AN253" s="1" t="s">
        <v>359</v>
      </c>
      <c r="AO253" s="1" t="s">
        <v>5059</v>
      </c>
      <c r="AP253" s="1">
        <v>0</v>
      </c>
      <c r="AQ253" s="1" t="s">
        <v>1164</v>
      </c>
      <c r="AR253" s="1" t="s">
        <v>1154</v>
      </c>
      <c r="AS253" s="1" t="s">
        <v>1165</v>
      </c>
      <c r="AT253" s="1" t="s">
        <v>329</v>
      </c>
      <c r="AU253" s="1">
        <v>224</v>
      </c>
      <c r="AV253" s="1">
        <v>0</v>
      </c>
      <c r="AW253" s="1" t="s">
        <v>5296</v>
      </c>
      <c r="AX253" s="1" t="s">
        <v>5297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3789</v>
      </c>
      <c r="C254" s="9" t="s">
        <v>1689</v>
      </c>
      <c r="D254" s="1" t="s">
        <v>1689</v>
      </c>
      <c r="E254" s="1"/>
      <c r="F254" s="1"/>
      <c r="G254" s="1" t="s">
        <v>3790</v>
      </c>
      <c r="H254" s="1" t="s">
        <v>3791</v>
      </c>
      <c r="I254" s="1" t="s">
        <v>3792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5298</v>
      </c>
      <c r="AK254" s="1" t="s">
        <v>329</v>
      </c>
      <c r="AL254" s="1">
        <v>12</v>
      </c>
      <c r="AM254" s="1" t="s">
        <v>1874</v>
      </c>
      <c r="AN254" s="1" t="s">
        <v>5299</v>
      </c>
      <c r="AO254" s="1" t="s">
        <v>4885</v>
      </c>
      <c r="AP254" s="1">
        <v>0</v>
      </c>
      <c r="AQ254" s="1" t="s">
        <v>1153</v>
      </c>
      <c r="AR254" s="1" t="s">
        <v>1154</v>
      </c>
      <c r="AS254" s="1" t="s">
        <v>1155</v>
      </c>
      <c r="AT254" s="1" t="s">
        <v>329</v>
      </c>
      <c r="AU254" s="1">
        <v>96</v>
      </c>
      <c r="AV254" s="1">
        <v>0</v>
      </c>
      <c r="AW254" s="1" t="s">
        <v>5294</v>
      </c>
      <c r="AX254" s="1" t="s">
        <v>4830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3793</v>
      </c>
      <c r="C255" s="9" t="s">
        <v>1690</v>
      </c>
      <c r="D255" s="1" t="s">
        <v>1690</v>
      </c>
      <c r="E255" s="1"/>
      <c r="F255" s="1"/>
      <c r="G255" s="1" t="s">
        <v>3794</v>
      </c>
      <c r="H255" s="1" t="s">
        <v>3795</v>
      </c>
      <c r="I255" s="1" t="s">
        <v>3796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1306</v>
      </c>
      <c r="AK255" s="1" t="s">
        <v>1307</v>
      </c>
      <c r="AL255" s="1">
        <v>19</v>
      </c>
      <c r="AM255" s="1" t="s">
        <v>4830</v>
      </c>
      <c r="AN255" s="1" t="s">
        <v>5300</v>
      </c>
      <c r="AO255" s="1" t="s">
        <v>4913</v>
      </c>
      <c r="AP255" s="1">
        <v>0</v>
      </c>
      <c r="AQ255" s="1" t="s">
        <v>1175</v>
      </c>
      <c r="AR255" s="1" t="s">
        <v>1176</v>
      </c>
      <c r="AS255" s="1" t="s">
        <v>1177</v>
      </c>
      <c r="AT255" s="1" t="s">
        <v>329</v>
      </c>
      <c r="AU255" s="1">
        <v>222</v>
      </c>
      <c r="AV255" s="1">
        <v>0</v>
      </c>
      <c r="AW255" s="1" t="s">
        <v>5294</v>
      </c>
      <c r="AX255" s="1" t="s">
        <v>5233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4851</v>
      </c>
      <c r="BD255" s="1">
        <v>10203</v>
      </c>
      <c r="BE255" s="1"/>
    </row>
    <row r="256" spans="1:57" x14ac:dyDescent="0.25">
      <c r="A256" s="1">
        <v>262</v>
      </c>
      <c r="B256" s="1" t="s">
        <v>3797</v>
      </c>
      <c r="C256" s="9" t="s">
        <v>1691</v>
      </c>
      <c r="D256" s="1" t="s">
        <v>1691</v>
      </c>
      <c r="E256" s="1"/>
      <c r="F256" s="1"/>
      <c r="G256" s="1" t="s">
        <v>3798</v>
      </c>
      <c r="H256" s="1" t="s">
        <v>3799</v>
      </c>
      <c r="I256" s="1" t="s">
        <v>3800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1308</v>
      </c>
      <c r="AL256" s="1">
        <v>13</v>
      </c>
      <c r="AM256" s="1" t="s">
        <v>4787</v>
      </c>
      <c r="AN256" s="1" t="s">
        <v>4902</v>
      </c>
      <c r="AO256" s="1" t="s">
        <v>5270</v>
      </c>
      <c r="AP256" s="1">
        <v>0</v>
      </c>
      <c r="AQ256" s="1" t="s">
        <v>1165</v>
      </c>
      <c r="AR256" s="1" t="s">
        <v>1189</v>
      </c>
      <c r="AS256" s="1" t="s">
        <v>1164</v>
      </c>
      <c r="AT256" s="1" t="s">
        <v>329</v>
      </c>
      <c r="AU256" s="1">
        <v>216</v>
      </c>
      <c r="AV256" s="1">
        <v>0</v>
      </c>
      <c r="AW256" s="1" t="s">
        <v>5294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3801</v>
      </c>
      <c r="C257" s="9" t="s">
        <v>205</v>
      </c>
      <c r="D257" s="1" t="s">
        <v>205</v>
      </c>
      <c r="E257" s="1"/>
      <c r="F257" s="1"/>
      <c r="G257" s="1" t="s">
        <v>3802</v>
      </c>
      <c r="H257" s="1" t="s">
        <v>3803</v>
      </c>
      <c r="I257" s="1" t="s">
        <v>3804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5301</v>
      </c>
      <c r="AK257" s="1" t="s">
        <v>1309</v>
      </c>
      <c r="AL257" s="1">
        <v>18</v>
      </c>
      <c r="AM257" s="1" t="s">
        <v>995</v>
      </c>
      <c r="AN257" s="1" t="s">
        <v>5302</v>
      </c>
      <c r="AO257" s="1" t="s">
        <v>5010</v>
      </c>
      <c r="AP257" s="1">
        <v>0</v>
      </c>
      <c r="AQ257" s="1" t="s">
        <v>1202</v>
      </c>
      <c r="AR257" s="1" t="s">
        <v>1203</v>
      </c>
      <c r="AS257" s="1" t="s">
        <v>1204</v>
      </c>
      <c r="AT257" s="1" t="s">
        <v>329</v>
      </c>
      <c r="AU257" s="1">
        <v>238</v>
      </c>
      <c r="AV257" s="1">
        <v>0</v>
      </c>
      <c r="AW257" s="1" t="s">
        <v>5294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5040</v>
      </c>
      <c r="BC257" s="1" t="s">
        <v>4837</v>
      </c>
      <c r="BD257" s="1">
        <v>10802</v>
      </c>
      <c r="BE257" s="1"/>
    </row>
    <row r="258" spans="1:57" x14ac:dyDescent="0.25">
      <c r="A258" s="1">
        <v>264</v>
      </c>
      <c r="B258" s="1" t="s">
        <v>3805</v>
      </c>
      <c r="C258" s="9" t="s">
        <v>204</v>
      </c>
      <c r="D258" s="1" t="s">
        <v>3806</v>
      </c>
      <c r="E258" s="1"/>
      <c r="F258" s="1"/>
      <c r="G258" s="1" t="s">
        <v>3807</v>
      </c>
      <c r="H258" s="1" t="s">
        <v>3808</v>
      </c>
      <c r="I258" s="1" t="s">
        <v>3809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5303</v>
      </c>
      <c r="AK258" s="1" t="s">
        <v>1310</v>
      </c>
      <c r="AL258" s="1">
        <v>17</v>
      </c>
      <c r="AM258" s="1" t="s">
        <v>4926</v>
      </c>
      <c r="AN258" s="1" t="s">
        <v>4987</v>
      </c>
      <c r="AO258" s="1" t="s">
        <v>5304</v>
      </c>
      <c r="AP258" s="1">
        <v>0</v>
      </c>
      <c r="AQ258" s="1" t="s">
        <v>1202</v>
      </c>
      <c r="AR258" s="1" t="s">
        <v>1203</v>
      </c>
      <c r="AS258" s="1" t="s">
        <v>1204</v>
      </c>
      <c r="AT258" s="1" t="s">
        <v>329</v>
      </c>
      <c r="AU258" s="1">
        <v>199</v>
      </c>
      <c r="AV258" s="1">
        <v>0</v>
      </c>
      <c r="AW258" s="1" t="s">
        <v>5294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5157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3810</v>
      </c>
      <c r="C259" s="9" t="s">
        <v>206</v>
      </c>
      <c r="D259" s="1" t="s">
        <v>206</v>
      </c>
      <c r="E259" s="1"/>
      <c r="F259" s="1"/>
      <c r="G259" s="1" t="s">
        <v>3811</v>
      </c>
      <c r="H259" s="1" t="s">
        <v>3812</v>
      </c>
      <c r="I259" s="1" t="s">
        <v>3813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1160</v>
      </c>
      <c r="AK259" s="1" t="s">
        <v>329</v>
      </c>
      <c r="AL259" s="1">
        <v>13</v>
      </c>
      <c r="AM259" s="1" t="s">
        <v>4787</v>
      </c>
      <c r="AN259" s="1" t="s">
        <v>4902</v>
      </c>
      <c r="AO259" s="1" t="s">
        <v>4816</v>
      </c>
      <c r="AP259" s="1">
        <v>0</v>
      </c>
      <c r="AQ259" s="1" t="s">
        <v>1165</v>
      </c>
      <c r="AR259" s="1" t="s">
        <v>1189</v>
      </c>
      <c r="AS259" s="1" t="s">
        <v>1164</v>
      </c>
      <c r="AT259" s="1" t="s">
        <v>329</v>
      </c>
      <c r="AU259" s="1">
        <v>105</v>
      </c>
      <c r="AV259" s="1">
        <v>0</v>
      </c>
      <c r="AW259" s="1" t="s">
        <v>5305</v>
      </c>
      <c r="AX259" s="1" t="s">
        <v>5284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4837</v>
      </c>
      <c r="BD259" s="1">
        <v>10403</v>
      </c>
      <c r="BE259" s="1"/>
    </row>
    <row r="260" spans="1:57" x14ac:dyDescent="0.25">
      <c r="A260" s="1">
        <v>266</v>
      </c>
      <c r="B260" s="1" t="s">
        <v>3814</v>
      </c>
      <c r="C260" s="9" t="s">
        <v>207</v>
      </c>
      <c r="D260" s="1" t="s">
        <v>207</v>
      </c>
      <c r="E260" s="1"/>
      <c r="F260" s="1"/>
      <c r="G260" s="1" t="s">
        <v>3815</v>
      </c>
      <c r="H260" s="1" t="s">
        <v>3816</v>
      </c>
      <c r="I260" s="1" t="s">
        <v>3817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1311</v>
      </c>
      <c r="AK260" s="1" t="s">
        <v>1312</v>
      </c>
      <c r="AL260" s="1">
        <v>13</v>
      </c>
      <c r="AM260" s="1" t="s">
        <v>4830</v>
      </c>
      <c r="AN260" s="1" t="s">
        <v>4932</v>
      </c>
      <c r="AO260" s="1" t="s">
        <v>4913</v>
      </c>
      <c r="AP260" s="1">
        <v>0</v>
      </c>
      <c r="AQ260" s="1" t="s">
        <v>1175</v>
      </c>
      <c r="AR260" s="1" t="s">
        <v>1176</v>
      </c>
      <c r="AS260" s="1" t="s">
        <v>1177</v>
      </c>
      <c r="AT260" s="1" t="s">
        <v>329</v>
      </c>
      <c r="AU260" s="1">
        <v>48</v>
      </c>
      <c r="AV260" s="1">
        <v>0</v>
      </c>
      <c r="AW260" s="1" t="s">
        <v>5306</v>
      </c>
      <c r="AX260" s="1" t="s">
        <v>5307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4837</v>
      </c>
      <c r="BD260" s="1">
        <v>10201</v>
      </c>
      <c r="BE260" s="1"/>
    </row>
    <row r="261" spans="1:57" x14ac:dyDescent="0.25">
      <c r="A261" s="1">
        <v>267</v>
      </c>
      <c r="B261" s="1" t="s">
        <v>3818</v>
      </c>
      <c r="C261" s="9" t="s">
        <v>208</v>
      </c>
      <c r="D261" s="1" t="s">
        <v>208</v>
      </c>
      <c r="E261" s="1"/>
      <c r="F261" s="1"/>
      <c r="G261" s="1" t="s">
        <v>3819</v>
      </c>
      <c r="H261" s="1" t="s">
        <v>3820</v>
      </c>
      <c r="I261" s="1" t="s">
        <v>3821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1160</v>
      </c>
      <c r="AK261" s="1" t="s">
        <v>329</v>
      </c>
      <c r="AL261" s="1">
        <v>13</v>
      </c>
      <c r="AM261" s="1" t="s">
        <v>4858</v>
      </c>
      <c r="AN261" s="1" t="s">
        <v>5061</v>
      </c>
      <c r="AO261" s="1" t="s">
        <v>5062</v>
      </c>
      <c r="AP261" s="1">
        <v>0</v>
      </c>
      <c r="AQ261" s="1" t="s">
        <v>1164</v>
      </c>
      <c r="AR261" s="1" t="s">
        <v>1154</v>
      </c>
      <c r="AS261" s="1" t="s">
        <v>1165</v>
      </c>
      <c r="AT261" s="1" t="s">
        <v>329</v>
      </c>
      <c r="AU261" s="1">
        <v>116</v>
      </c>
      <c r="AV261" s="1">
        <v>0</v>
      </c>
      <c r="AW261" s="1" t="s">
        <v>5308</v>
      </c>
      <c r="AX261" s="1" t="s">
        <v>5284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4837</v>
      </c>
      <c r="BD261" s="1">
        <v>10704</v>
      </c>
      <c r="BE261" s="1"/>
    </row>
    <row r="262" spans="1:57" x14ac:dyDescent="0.25">
      <c r="A262" s="1">
        <v>268</v>
      </c>
      <c r="B262" s="1" t="s">
        <v>3822</v>
      </c>
      <c r="C262" s="9" t="s">
        <v>1692</v>
      </c>
      <c r="D262" s="1" t="s">
        <v>1692</v>
      </c>
      <c r="E262" s="1"/>
      <c r="F262" s="1"/>
      <c r="G262" s="1" t="s">
        <v>3823</v>
      </c>
      <c r="H262" s="1" t="s">
        <v>3824</v>
      </c>
      <c r="I262" s="1" t="s">
        <v>3825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1160</v>
      </c>
      <c r="AK262" s="1" t="s">
        <v>329</v>
      </c>
      <c r="AL262" s="1">
        <v>13</v>
      </c>
      <c r="AM262" s="1" t="s">
        <v>4830</v>
      </c>
      <c r="AN262" s="1" t="s">
        <v>4902</v>
      </c>
      <c r="AO262" s="1" t="s">
        <v>4894</v>
      </c>
      <c r="AP262" s="1">
        <v>0</v>
      </c>
      <c r="AQ262" s="1" t="s">
        <v>1175</v>
      </c>
      <c r="AR262" s="1" t="s">
        <v>1176</v>
      </c>
      <c r="AS262" s="1" t="s">
        <v>1177</v>
      </c>
      <c r="AT262" s="1" t="s">
        <v>329</v>
      </c>
      <c r="AU262" s="1">
        <v>241</v>
      </c>
      <c r="AV262" s="1">
        <v>0</v>
      </c>
      <c r="AW262" s="1" t="s">
        <v>5309</v>
      </c>
      <c r="AX262" s="1" t="s">
        <v>5310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3826</v>
      </c>
      <c r="C263" s="9" t="s">
        <v>209</v>
      </c>
      <c r="D263" s="1" t="s">
        <v>209</v>
      </c>
      <c r="E263" s="1"/>
      <c r="F263" s="1"/>
      <c r="G263" s="1" t="s">
        <v>3827</v>
      </c>
      <c r="H263" s="1" t="s">
        <v>3828</v>
      </c>
      <c r="I263" s="1" t="s">
        <v>3829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1313</v>
      </c>
      <c r="AK263" s="1" t="s">
        <v>1314</v>
      </c>
      <c r="AL263" s="1">
        <v>12</v>
      </c>
      <c r="AM263" s="1" t="s">
        <v>1874</v>
      </c>
      <c r="AN263" s="1" t="s">
        <v>5311</v>
      </c>
      <c r="AO263" s="1" t="s">
        <v>5312</v>
      </c>
      <c r="AP263" s="1">
        <v>0</v>
      </c>
      <c r="AQ263" s="1" t="s">
        <v>1153</v>
      </c>
      <c r="AR263" s="1" t="s">
        <v>1154</v>
      </c>
      <c r="AS263" s="1" t="s">
        <v>1155</v>
      </c>
      <c r="AT263" s="1" t="s">
        <v>329</v>
      </c>
      <c r="AU263" s="1">
        <v>212</v>
      </c>
      <c r="AV263" s="1">
        <v>0</v>
      </c>
      <c r="AW263" s="1" t="s">
        <v>5235</v>
      </c>
      <c r="AX263" s="1" t="s">
        <v>4830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4837</v>
      </c>
      <c r="BD263" s="1">
        <v>10403</v>
      </c>
      <c r="BE263" s="1"/>
    </row>
    <row r="264" spans="1:57" x14ac:dyDescent="0.25">
      <c r="A264" s="1">
        <v>270</v>
      </c>
      <c r="B264" s="1" t="s">
        <v>3830</v>
      </c>
      <c r="C264" s="9" t="s">
        <v>243</v>
      </c>
      <c r="D264" s="1" t="s">
        <v>3831</v>
      </c>
      <c r="E264" s="1"/>
      <c r="F264" s="1"/>
      <c r="G264" s="1" t="s">
        <v>3832</v>
      </c>
      <c r="H264" s="1" t="s">
        <v>3833</v>
      </c>
      <c r="I264" s="1" t="s">
        <v>3834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1315</v>
      </c>
      <c r="AK264" s="1" t="s">
        <v>1316</v>
      </c>
      <c r="AL264" s="1">
        <v>13</v>
      </c>
      <c r="AM264" s="1" t="s">
        <v>4830</v>
      </c>
      <c r="AN264" s="1" t="s">
        <v>5313</v>
      </c>
      <c r="AO264" s="1" t="s">
        <v>4900</v>
      </c>
      <c r="AP264" s="1">
        <v>0</v>
      </c>
      <c r="AQ264" s="1" t="s">
        <v>1782</v>
      </c>
      <c r="AR264" s="1" t="s">
        <v>1176</v>
      </c>
      <c r="AS264" s="1" t="s">
        <v>1177</v>
      </c>
      <c r="AT264" s="1" t="s">
        <v>329</v>
      </c>
      <c r="AU264" s="1">
        <v>200</v>
      </c>
      <c r="AV264" s="1">
        <v>0</v>
      </c>
      <c r="AW264" s="1" t="s">
        <v>5235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3835</v>
      </c>
      <c r="C265" s="9" t="s">
        <v>211</v>
      </c>
      <c r="D265" s="1" t="s">
        <v>211</v>
      </c>
      <c r="E265" s="1"/>
      <c r="F265" s="1"/>
      <c r="G265" s="1" t="s">
        <v>3836</v>
      </c>
      <c r="H265" s="1" t="s">
        <v>3837</v>
      </c>
      <c r="I265" s="1" t="s">
        <v>3838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1205</v>
      </c>
      <c r="AK265" s="1" t="s">
        <v>329</v>
      </c>
      <c r="AL265" s="1">
        <v>18</v>
      </c>
      <c r="AM265" s="1" t="s">
        <v>4926</v>
      </c>
      <c r="AN265" s="1" t="s">
        <v>4987</v>
      </c>
      <c r="AO265" s="1" t="s">
        <v>5314</v>
      </c>
      <c r="AP265" s="1">
        <v>0</v>
      </c>
      <c r="AQ265" s="1" t="s">
        <v>1202</v>
      </c>
      <c r="AR265" s="1" t="s">
        <v>1203</v>
      </c>
      <c r="AS265" s="1" t="s">
        <v>1204</v>
      </c>
      <c r="AT265" s="1" t="s">
        <v>329</v>
      </c>
      <c r="AU265" s="1">
        <v>208</v>
      </c>
      <c r="AV265" s="1">
        <v>0</v>
      </c>
      <c r="AW265" s="1" t="s">
        <v>5315</v>
      </c>
      <c r="AX265" s="1" t="s">
        <v>5316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3839</v>
      </c>
      <c r="C266" s="9" t="s">
        <v>1722</v>
      </c>
      <c r="D266" s="1" t="s">
        <v>3840</v>
      </c>
      <c r="E266" s="1"/>
      <c r="F266" s="1"/>
      <c r="G266" s="1" t="s">
        <v>3841</v>
      </c>
      <c r="H266" s="1" t="s">
        <v>3842</v>
      </c>
      <c r="I266" s="1" t="s">
        <v>3843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1317</v>
      </c>
      <c r="AK266" s="1" t="s">
        <v>1318</v>
      </c>
      <c r="AL266" s="1">
        <v>17</v>
      </c>
      <c r="AM266" s="1" t="s">
        <v>1874</v>
      </c>
      <c r="AN266" s="1" t="s">
        <v>5317</v>
      </c>
      <c r="AO266" s="1" t="s">
        <v>4819</v>
      </c>
      <c r="AP266" s="1">
        <v>0</v>
      </c>
      <c r="AQ266" s="1" t="s">
        <v>1153</v>
      </c>
      <c r="AR266" s="1" t="s">
        <v>1154</v>
      </c>
      <c r="AS266" s="1" t="s">
        <v>1155</v>
      </c>
      <c r="AT266" s="1" t="s">
        <v>329</v>
      </c>
      <c r="AU266" s="1">
        <v>4</v>
      </c>
      <c r="AV266" s="1">
        <v>0</v>
      </c>
      <c r="AW266" s="1" t="s">
        <v>5318</v>
      </c>
      <c r="AX266" s="1" t="s">
        <v>5319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3844</v>
      </c>
      <c r="C267" s="9" t="s">
        <v>244</v>
      </c>
      <c r="D267" s="1" t="s">
        <v>244</v>
      </c>
      <c r="E267" s="1"/>
      <c r="F267" s="1"/>
      <c r="G267" s="1" t="s">
        <v>3845</v>
      </c>
      <c r="H267" s="1" t="s">
        <v>3846</v>
      </c>
      <c r="I267" s="1" t="s">
        <v>3847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1319</v>
      </c>
      <c r="AK267" s="1" t="s">
        <v>1320</v>
      </c>
      <c r="AL267" s="1">
        <v>13</v>
      </c>
      <c r="AM267" s="1" t="s">
        <v>4830</v>
      </c>
      <c r="AN267" s="1" t="s">
        <v>4897</v>
      </c>
      <c r="AO267" s="1" t="s">
        <v>4900</v>
      </c>
      <c r="AP267" s="1">
        <v>0</v>
      </c>
      <c r="AQ267" s="1" t="s">
        <v>1175</v>
      </c>
      <c r="AR267" s="1" t="s">
        <v>1176</v>
      </c>
      <c r="AS267" s="1" t="s">
        <v>1177</v>
      </c>
      <c r="AT267" s="1" t="s">
        <v>329</v>
      </c>
      <c r="AU267" s="1">
        <v>48</v>
      </c>
      <c r="AV267" s="1">
        <v>0</v>
      </c>
      <c r="AW267" s="1" t="s">
        <v>5318</v>
      </c>
      <c r="AX267" s="1" t="s">
        <v>5284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4837</v>
      </c>
      <c r="BD267" s="1">
        <v>10402</v>
      </c>
      <c r="BE267" s="1"/>
    </row>
    <row r="268" spans="1:57" x14ac:dyDescent="0.25">
      <c r="A268" s="1">
        <v>274</v>
      </c>
      <c r="B268" s="1" t="s">
        <v>3848</v>
      </c>
      <c r="C268" s="9" t="s">
        <v>213</v>
      </c>
      <c r="D268" s="1" t="s">
        <v>213</v>
      </c>
      <c r="E268" s="1"/>
      <c r="F268" s="1"/>
      <c r="G268" s="1" t="s">
        <v>3849</v>
      </c>
      <c r="H268" s="1" t="s">
        <v>3850</v>
      </c>
      <c r="I268" s="1" t="s">
        <v>3851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1321</v>
      </c>
      <c r="AK268" s="1" t="s">
        <v>1322</v>
      </c>
      <c r="AL268" s="1">
        <v>14</v>
      </c>
      <c r="AM268" s="1" t="s">
        <v>4787</v>
      </c>
      <c r="AN268" s="1" t="s">
        <v>5320</v>
      </c>
      <c r="AO268" s="1" t="s">
        <v>5068</v>
      </c>
      <c r="AP268" s="1">
        <v>0</v>
      </c>
      <c r="AQ268" s="1" t="s">
        <v>1165</v>
      </c>
      <c r="AR268" s="1" t="s">
        <v>1189</v>
      </c>
      <c r="AS268" s="1" t="s">
        <v>1164</v>
      </c>
      <c r="AT268" s="1" t="s">
        <v>329</v>
      </c>
      <c r="AU268" s="1">
        <v>73</v>
      </c>
      <c r="AV268" s="1">
        <v>0</v>
      </c>
      <c r="AW268" s="1" t="s">
        <v>5318</v>
      </c>
      <c r="AX268" s="1" t="s">
        <v>5321</v>
      </c>
      <c r="AY268" s="1">
        <v>5</v>
      </c>
      <c r="AZ268" s="1">
        <v>0</v>
      </c>
      <c r="BA268" s="1" t="s">
        <v>329</v>
      </c>
      <c r="BB268" s="1" t="s">
        <v>4974</v>
      </c>
      <c r="BC268" s="1" t="s">
        <v>4788</v>
      </c>
      <c r="BD268" s="1">
        <v>10402</v>
      </c>
      <c r="BE268" s="1"/>
    </row>
    <row r="269" spans="1:57" x14ac:dyDescent="0.25">
      <c r="A269" s="1">
        <v>275</v>
      </c>
      <c r="B269" s="1" t="s">
        <v>3852</v>
      </c>
      <c r="C269" s="9" t="s">
        <v>839</v>
      </c>
      <c r="D269" s="1" t="s">
        <v>3853</v>
      </c>
      <c r="E269" s="1"/>
      <c r="F269" s="1"/>
      <c r="G269" s="1" t="s">
        <v>3854</v>
      </c>
      <c r="H269" s="1" t="s">
        <v>3855</v>
      </c>
      <c r="I269" s="1" t="s">
        <v>3856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1323</v>
      </c>
      <c r="AK269" s="1" t="s">
        <v>1324</v>
      </c>
      <c r="AL269" s="1">
        <v>18</v>
      </c>
      <c r="AM269" s="1" t="s">
        <v>4926</v>
      </c>
      <c r="AN269" s="1" t="s">
        <v>4987</v>
      </c>
      <c r="AO269" s="1" t="s">
        <v>5322</v>
      </c>
      <c r="AP269" s="1">
        <v>0</v>
      </c>
      <c r="AQ269" s="1" t="s">
        <v>1202</v>
      </c>
      <c r="AR269" s="1" t="s">
        <v>1203</v>
      </c>
      <c r="AS269" s="1" t="s">
        <v>1204</v>
      </c>
      <c r="AT269" s="1" t="s">
        <v>329</v>
      </c>
      <c r="AU269" s="1">
        <v>238</v>
      </c>
      <c r="AV269" s="1">
        <v>0</v>
      </c>
      <c r="AW269" s="1" t="s">
        <v>5318</v>
      </c>
      <c r="AX269" s="1" t="s">
        <v>5323</v>
      </c>
      <c r="AY269" s="1">
        <v>4</v>
      </c>
      <c r="AZ269" s="1">
        <v>0</v>
      </c>
      <c r="BA269" s="1" t="s">
        <v>329</v>
      </c>
      <c r="BB269" s="1" t="s">
        <v>4949</v>
      </c>
      <c r="BC269" s="1" t="s">
        <v>4788</v>
      </c>
      <c r="BD269" s="1">
        <v>10403</v>
      </c>
      <c r="BE269" s="1"/>
    </row>
    <row r="270" spans="1:57" x14ac:dyDescent="0.25">
      <c r="A270" s="1">
        <v>276</v>
      </c>
      <c r="B270" s="1" t="s">
        <v>3857</v>
      </c>
      <c r="C270" s="9" t="s">
        <v>212</v>
      </c>
      <c r="D270" s="1" t="s">
        <v>212</v>
      </c>
      <c r="E270" s="1"/>
      <c r="F270" s="1"/>
      <c r="G270" s="1" t="s">
        <v>3858</v>
      </c>
      <c r="H270" s="1" t="s">
        <v>3859</v>
      </c>
      <c r="I270" s="1" t="s">
        <v>3860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1325</v>
      </c>
      <c r="AK270" s="1" t="s">
        <v>1326</v>
      </c>
      <c r="AL270" s="1">
        <v>18</v>
      </c>
      <c r="AM270" s="1" t="s">
        <v>4926</v>
      </c>
      <c r="AN270" s="1" t="s">
        <v>5005</v>
      </c>
      <c r="AO270" s="1" t="s">
        <v>5223</v>
      </c>
      <c r="AP270" s="1">
        <v>0</v>
      </c>
      <c r="AQ270" s="1" t="s">
        <v>1202</v>
      </c>
      <c r="AR270" s="1" t="s">
        <v>1203</v>
      </c>
      <c r="AS270" s="1" t="s">
        <v>1204</v>
      </c>
      <c r="AT270" s="1" t="s">
        <v>329</v>
      </c>
      <c r="AU270" s="1">
        <v>199</v>
      </c>
      <c r="AV270" s="1">
        <v>0</v>
      </c>
      <c r="AW270" s="1" t="s">
        <v>5318</v>
      </c>
      <c r="AX270" s="1" t="s">
        <v>5284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4825</v>
      </c>
      <c r="BD270" s="1">
        <v>10402</v>
      </c>
      <c r="BE270" s="1"/>
    </row>
    <row r="271" spans="1:57" x14ac:dyDescent="0.25">
      <c r="A271" s="1">
        <v>277</v>
      </c>
      <c r="B271" s="1" t="s">
        <v>3861</v>
      </c>
      <c r="C271" s="9" t="s">
        <v>214</v>
      </c>
      <c r="D271" s="1" t="s">
        <v>214</v>
      </c>
      <c r="E271" s="1"/>
      <c r="F271" s="1"/>
      <c r="G271" s="1" t="s">
        <v>3862</v>
      </c>
      <c r="H271" s="1" t="s">
        <v>3863</v>
      </c>
      <c r="I271" s="1" t="s">
        <v>3864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1160</v>
      </c>
      <c r="AK271" s="1" t="s">
        <v>329</v>
      </c>
      <c r="AL271" s="1">
        <v>13</v>
      </c>
      <c r="AM271" s="1" t="s">
        <v>1874</v>
      </c>
      <c r="AN271" s="1" t="s">
        <v>5026</v>
      </c>
      <c r="AO271" s="1" t="s">
        <v>4812</v>
      </c>
      <c r="AP271" s="1">
        <v>0</v>
      </c>
      <c r="AQ271" s="1" t="s">
        <v>1153</v>
      </c>
      <c r="AR271" s="1" t="s">
        <v>1154</v>
      </c>
      <c r="AS271" s="1" t="s">
        <v>1155</v>
      </c>
      <c r="AT271" s="1" t="s">
        <v>329</v>
      </c>
      <c r="AU271" s="1">
        <v>15</v>
      </c>
      <c r="AV271" s="1">
        <v>0</v>
      </c>
      <c r="AW271" s="1" t="s">
        <v>5324</v>
      </c>
      <c r="AX271" s="1" t="s">
        <v>5325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4837</v>
      </c>
      <c r="BD271" s="1">
        <v>10702</v>
      </c>
      <c r="BE271" s="1"/>
    </row>
    <row r="272" spans="1:57" x14ac:dyDescent="0.25">
      <c r="A272" s="1">
        <v>278</v>
      </c>
      <c r="B272" s="1" t="s">
        <v>3865</v>
      </c>
      <c r="C272" s="9" t="s">
        <v>215</v>
      </c>
      <c r="D272" s="1" t="s">
        <v>215</v>
      </c>
      <c r="E272" s="1"/>
      <c r="F272" s="1"/>
      <c r="G272" s="1" t="s">
        <v>3866</v>
      </c>
      <c r="H272" s="1" t="s">
        <v>3867</v>
      </c>
      <c r="I272" s="1" t="s">
        <v>3868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5189</v>
      </c>
      <c r="AK272" s="1" t="s">
        <v>329</v>
      </c>
      <c r="AL272" s="1">
        <v>8</v>
      </c>
      <c r="AM272" s="1" t="s">
        <v>4784</v>
      </c>
      <c r="AN272" s="1" t="s">
        <v>335</v>
      </c>
      <c r="AO272" s="1" t="s">
        <v>5326</v>
      </c>
      <c r="AP272" s="1">
        <v>0</v>
      </c>
      <c r="AQ272" s="1" t="s">
        <v>1235</v>
      </c>
      <c r="AR272" s="1" t="s">
        <v>1236</v>
      </c>
      <c r="AS272" s="1" t="s">
        <v>1237</v>
      </c>
      <c r="AT272" s="1" t="s">
        <v>329</v>
      </c>
      <c r="AU272" s="1">
        <v>190</v>
      </c>
      <c r="AV272" s="1">
        <v>0</v>
      </c>
      <c r="AW272" s="1" t="s">
        <v>5327</v>
      </c>
      <c r="AX272" s="1" t="s">
        <v>5328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4788</v>
      </c>
      <c r="BD272" s="1">
        <v>10802</v>
      </c>
      <c r="BE272" s="1"/>
    </row>
    <row r="273" spans="1:57" x14ac:dyDescent="0.25">
      <c r="A273" s="1">
        <v>279</v>
      </c>
      <c r="B273" s="1" t="s">
        <v>3869</v>
      </c>
      <c r="C273" s="9" t="s">
        <v>216</v>
      </c>
      <c r="D273" s="1" t="s">
        <v>216</v>
      </c>
      <c r="E273" s="1"/>
      <c r="F273" s="1"/>
      <c r="G273" s="1" t="s">
        <v>3870</v>
      </c>
      <c r="H273" s="1" t="s">
        <v>3871</v>
      </c>
      <c r="I273" s="1" t="s">
        <v>3872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1160</v>
      </c>
      <c r="AK273" s="1" t="s">
        <v>329</v>
      </c>
      <c r="AL273" s="1">
        <v>13</v>
      </c>
      <c r="AM273" s="1" t="s">
        <v>4787</v>
      </c>
      <c r="AN273" s="1" t="s">
        <v>4897</v>
      </c>
      <c r="AO273" s="1" t="s">
        <v>4816</v>
      </c>
      <c r="AP273" s="1">
        <v>0</v>
      </c>
      <c r="AQ273" s="1" t="s">
        <v>1165</v>
      </c>
      <c r="AR273" s="1" t="s">
        <v>1189</v>
      </c>
      <c r="AS273" s="1" t="s">
        <v>1164</v>
      </c>
      <c r="AT273" s="1" t="s">
        <v>329</v>
      </c>
      <c r="AU273" s="1">
        <v>105</v>
      </c>
      <c r="AV273" s="1">
        <v>0</v>
      </c>
      <c r="AW273" s="1" t="s">
        <v>5329</v>
      </c>
      <c r="AX273" s="1" t="s">
        <v>5330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3873</v>
      </c>
      <c r="C274" s="9" t="s">
        <v>1693</v>
      </c>
      <c r="D274" s="1" t="s">
        <v>1693</v>
      </c>
      <c r="E274" s="1"/>
      <c r="F274" s="1"/>
      <c r="G274" s="1" t="s">
        <v>3874</v>
      </c>
      <c r="H274" s="1" t="s">
        <v>3875</v>
      </c>
      <c r="I274" s="1" t="s">
        <v>3876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1327</v>
      </c>
      <c r="AK274" s="1" t="s">
        <v>1328</v>
      </c>
      <c r="AL274" s="1">
        <v>14</v>
      </c>
      <c r="AM274" s="1" t="s">
        <v>4858</v>
      </c>
      <c r="AN274" s="1" t="s">
        <v>403</v>
      </c>
      <c r="AO274" s="1" t="s">
        <v>5212</v>
      </c>
      <c r="AP274" s="1">
        <v>0</v>
      </c>
      <c r="AQ274" s="1" t="s">
        <v>1164</v>
      </c>
      <c r="AR274" s="1" t="s">
        <v>1154</v>
      </c>
      <c r="AS274" s="1" t="s">
        <v>1165</v>
      </c>
      <c r="AT274" s="1" t="s">
        <v>329</v>
      </c>
      <c r="AU274" s="1">
        <v>225</v>
      </c>
      <c r="AV274" s="1">
        <v>0</v>
      </c>
      <c r="AW274" s="1" t="s">
        <v>5331</v>
      </c>
      <c r="AX274" s="1" t="s">
        <v>5332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3877</v>
      </c>
      <c r="C275" s="9" t="s">
        <v>245</v>
      </c>
      <c r="D275" s="1" t="s">
        <v>3878</v>
      </c>
      <c r="E275" s="1"/>
      <c r="F275" s="1"/>
      <c r="G275" s="1" t="s">
        <v>3879</v>
      </c>
      <c r="H275" s="1" t="s">
        <v>3880</v>
      </c>
      <c r="I275" s="1" t="s">
        <v>3881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1329</v>
      </c>
      <c r="AK275" s="1" t="s">
        <v>1330</v>
      </c>
      <c r="AL275" s="1">
        <v>8</v>
      </c>
      <c r="AM275" s="1" t="s">
        <v>4784</v>
      </c>
      <c r="AN275" s="1" t="s">
        <v>335</v>
      </c>
      <c r="AO275" s="1" t="s">
        <v>5258</v>
      </c>
      <c r="AP275" s="1">
        <v>0</v>
      </c>
      <c r="AQ275" s="1" t="s">
        <v>1235</v>
      </c>
      <c r="AR275" s="1" t="s">
        <v>1236</v>
      </c>
      <c r="AS275" s="1" t="s">
        <v>1237</v>
      </c>
      <c r="AT275" s="1" t="s">
        <v>329</v>
      </c>
      <c r="AU275" s="1">
        <v>163</v>
      </c>
      <c r="AV275" s="1">
        <v>0</v>
      </c>
      <c r="AW275" s="1" t="s">
        <v>5333</v>
      </c>
      <c r="AX275" s="1" t="s">
        <v>5334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4837</v>
      </c>
      <c r="BD275" s="1">
        <v>10203</v>
      </c>
      <c r="BE275" s="1"/>
    </row>
    <row r="276" spans="1:57" x14ac:dyDescent="0.25">
      <c r="A276" s="1">
        <v>282</v>
      </c>
      <c r="B276" s="1" t="s">
        <v>3882</v>
      </c>
      <c r="C276" s="9" t="s">
        <v>1694</v>
      </c>
      <c r="D276" s="1" t="s">
        <v>1694</v>
      </c>
      <c r="E276" s="1"/>
      <c r="F276" s="1"/>
      <c r="G276" s="1" t="s">
        <v>3883</v>
      </c>
      <c r="H276" s="1" t="s">
        <v>3884</v>
      </c>
      <c r="I276" s="1" t="s">
        <v>3885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1331</v>
      </c>
      <c r="AK276" s="1" t="s">
        <v>1332</v>
      </c>
      <c r="AL276" s="1">
        <v>8</v>
      </c>
      <c r="AM276" s="1" t="s">
        <v>336</v>
      </c>
      <c r="AN276" s="1" t="s">
        <v>355</v>
      </c>
      <c r="AO276" s="1" t="s">
        <v>5335</v>
      </c>
      <c r="AP276" s="1">
        <v>0</v>
      </c>
      <c r="AQ276" s="1" t="s">
        <v>1235</v>
      </c>
      <c r="AR276" s="1" t="s">
        <v>1236</v>
      </c>
      <c r="AS276" s="1" t="s">
        <v>1237</v>
      </c>
      <c r="AT276" s="1" t="s">
        <v>329</v>
      </c>
      <c r="AU276" s="1">
        <v>164</v>
      </c>
      <c r="AV276" s="1">
        <v>0</v>
      </c>
      <c r="AW276" s="1" t="s">
        <v>5333</v>
      </c>
      <c r="AX276" s="1" t="s">
        <v>5336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4788</v>
      </c>
      <c r="BD276" s="1">
        <v>10802</v>
      </c>
      <c r="BE276" s="1"/>
    </row>
    <row r="277" spans="1:57" x14ac:dyDescent="0.25">
      <c r="A277" s="1">
        <v>283</v>
      </c>
      <c r="B277" s="1" t="s">
        <v>3886</v>
      </c>
      <c r="C277" s="9" t="s">
        <v>217</v>
      </c>
      <c r="D277" s="1" t="s">
        <v>217</v>
      </c>
      <c r="E277" s="1"/>
      <c r="F277" s="1"/>
      <c r="G277" s="1" t="s">
        <v>3887</v>
      </c>
      <c r="H277" s="1" t="s">
        <v>3888</v>
      </c>
      <c r="I277" s="1" t="s">
        <v>3889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1234</v>
      </c>
      <c r="AK277" s="1" t="s">
        <v>1333</v>
      </c>
      <c r="AL277" s="1">
        <v>7</v>
      </c>
      <c r="AM277" s="1" t="s">
        <v>4784</v>
      </c>
      <c r="AN277" s="1" t="s">
        <v>471</v>
      </c>
      <c r="AO277" s="1" t="s">
        <v>4877</v>
      </c>
      <c r="AP277" s="1">
        <v>0</v>
      </c>
      <c r="AQ277" s="1" t="s">
        <v>1235</v>
      </c>
      <c r="AR277" s="1" t="s">
        <v>1236</v>
      </c>
      <c r="AS277" s="1" t="s">
        <v>1237</v>
      </c>
      <c r="AT277" s="1" t="s">
        <v>329</v>
      </c>
      <c r="AU277" s="1">
        <v>165</v>
      </c>
      <c r="AV277" s="1">
        <v>0</v>
      </c>
      <c r="AW277" s="1" t="s">
        <v>5333</v>
      </c>
      <c r="AX277" s="1" t="s">
        <v>4787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4788</v>
      </c>
      <c r="BD277" s="1">
        <v>10403</v>
      </c>
      <c r="BE277" s="1"/>
    </row>
    <row r="278" spans="1:57" x14ac:dyDescent="0.25">
      <c r="A278" s="1">
        <v>284</v>
      </c>
      <c r="B278" s="1" t="s">
        <v>3890</v>
      </c>
      <c r="C278" s="9" t="s">
        <v>218</v>
      </c>
      <c r="D278" s="1" t="s">
        <v>3891</v>
      </c>
      <c r="E278" s="1"/>
      <c r="F278" s="1"/>
      <c r="G278" s="1" t="s">
        <v>3892</v>
      </c>
      <c r="H278" s="1" t="s">
        <v>3893</v>
      </c>
      <c r="I278" s="1" t="s">
        <v>3894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5337</v>
      </c>
      <c r="AK278" s="1" t="s">
        <v>329</v>
      </c>
      <c r="AL278" s="1">
        <v>13</v>
      </c>
      <c r="AM278" s="1" t="s">
        <v>4830</v>
      </c>
      <c r="AN278" s="1" t="s">
        <v>4952</v>
      </c>
      <c r="AO278" s="1" t="s">
        <v>4894</v>
      </c>
      <c r="AP278" s="1">
        <v>0</v>
      </c>
      <c r="AQ278" s="1" t="s">
        <v>1175</v>
      </c>
      <c r="AR278" s="1" t="s">
        <v>1176</v>
      </c>
      <c r="AS278" s="1" t="s">
        <v>1177</v>
      </c>
      <c r="AT278" s="1" t="s">
        <v>329</v>
      </c>
      <c r="AU278" s="1">
        <v>241</v>
      </c>
      <c r="AV278" s="1">
        <v>0</v>
      </c>
      <c r="AW278" s="1" t="s">
        <v>5338</v>
      </c>
      <c r="AX278" s="1" t="s">
        <v>5339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3895</v>
      </c>
      <c r="C279" s="9" t="s">
        <v>1695</v>
      </c>
      <c r="D279" s="1" t="s">
        <v>1695</v>
      </c>
      <c r="E279" s="1"/>
      <c r="F279" s="1"/>
      <c r="G279" s="1" t="s">
        <v>3896</v>
      </c>
      <c r="H279" s="1" t="s">
        <v>3897</v>
      </c>
      <c r="I279" s="1" t="s">
        <v>3898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1334</v>
      </c>
      <c r="AK279" s="1" t="s">
        <v>1335</v>
      </c>
      <c r="AL279" s="1">
        <v>19</v>
      </c>
      <c r="AM279" s="1" t="s">
        <v>1874</v>
      </c>
      <c r="AN279" s="1" t="s">
        <v>5340</v>
      </c>
      <c r="AO279" s="1" t="s">
        <v>5134</v>
      </c>
      <c r="AP279" s="1">
        <v>0</v>
      </c>
      <c r="AQ279" s="1" t="s">
        <v>1153</v>
      </c>
      <c r="AR279" s="1" t="s">
        <v>1154</v>
      </c>
      <c r="AS279" s="1" t="s">
        <v>1155</v>
      </c>
      <c r="AT279" s="1" t="s">
        <v>329</v>
      </c>
      <c r="AU279" s="1">
        <v>96</v>
      </c>
      <c r="AV279" s="1">
        <v>0</v>
      </c>
      <c r="AW279" s="1" t="s">
        <v>5341</v>
      </c>
      <c r="AX279" s="1" t="s">
        <v>4830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4837</v>
      </c>
      <c r="BD279" s="1">
        <v>10802</v>
      </c>
      <c r="BE279" s="1"/>
    </row>
    <row r="280" spans="1:57" x14ac:dyDescent="0.25">
      <c r="A280" s="1">
        <v>286</v>
      </c>
      <c r="B280" s="1" t="s">
        <v>3899</v>
      </c>
      <c r="C280" s="9" t="s">
        <v>1696</v>
      </c>
      <c r="D280" s="1" t="s">
        <v>3900</v>
      </c>
      <c r="E280" s="1"/>
      <c r="F280" s="1"/>
      <c r="G280" s="1" t="s">
        <v>3901</v>
      </c>
      <c r="H280" s="1" t="s">
        <v>3902</v>
      </c>
      <c r="I280" s="1" t="s">
        <v>3903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5342</v>
      </c>
      <c r="AK280" s="1" t="s">
        <v>329</v>
      </c>
      <c r="AL280" s="1">
        <v>13</v>
      </c>
      <c r="AM280" s="1" t="s">
        <v>4858</v>
      </c>
      <c r="AN280" s="1" t="s">
        <v>4856</v>
      </c>
      <c r="AO280" s="1" t="s">
        <v>5186</v>
      </c>
      <c r="AP280" s="1">
        <v>0</v>
      </c>
      <c r="AQ280" s="1" t="s">
        <v>1164</v>
      </c>
      <c r="AR280" s="1" t="s">
        <v>1154</v>
      </c>
      <c r="AS280" s="1" t="s">
        <v>1165</v>
      </c>
      <c r="AT280" s="1" t="s">
        <v>329</v>
      </c>
      <c r="AU280" s="1">
        <v>150</v>
      </c>
      <c r="AV280" s="1">
        <v>0</v>
      </c>
      <c r="AW280" s="1" t="s">
        <v>5341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4788</v>
      </c>
      <c r="BD280" s="1">
        <v>10302</v>
      </c>
      <c r="BE280" s="1"/>
    </row>
    <row r="281" spans="1:57" x14ac:dyDescent="0.25">
      <c r="A281" s="1">
        <v>287</v>
      </c>
      <c r="B281" s="1" t="s">
        <v>3904</v>
      </c>
      <c r="C281" s="9" t="s">
        <v>246</v>
      </c>
      <c r="D281" s="1" t="s">
        <v>246</v>
      </c>
      <c r="E281" s="1"/>
      <c r="F281" s="1"/>
      <c r="G281" s="1" t="s">
        <v>3905</v>
      </c>
      <c r="H281" s="1" t="s">
        <v>3906</v>
      </c>
      <c r="I281" s="1" t="s">
        <v>3907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1336</v>
      </c>
      <c r="AK281" s="1" t="s">
        <v>1337</v>
      </c>
      <c r="AL281" s="1">
        <v>13</v>
      </c>
      <c r="AM281" s="1" t="s">
        <v>4787</v>
      </c>
      <c r="AN281" s="1" t="s">
        <v>4897</v>
      </c>
      <c r="AO281" s="1" t="s">
        <v>5201</v>
      </c>
      <c r="AP281" s="1">
        <v>0</v>
      </c>
      <c r="AQ281" s="1" t="s">
        <v>1165</v>
      </c>
      <c r="AR281" s="1" t="s">
        <v>1189</v>
      </c>
      <c r="AS281" s="1" t="s">
        <v>1164</v>
      </c>
      <c r="AT281" s="1" t="s">
        <v>329</v>
      </c>
      <c r="AU281" s="1">
        <v>73</v>
      </c>
      <c r="AV281" s="1">
        <v>0</v>
      </c>
      <c r="AW281" s="1" t="s">
        <v>5341</v>
      </c>
      <c r="AX281" s="1" t="s">
        <v>5085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3908</v>
      </c>
      <c r="C282" s="9" t="s">
        <v>1697</v>
      </c>
      <c r="D282" s="1" t="s">
        <v>1697</v>
      </c>
      <c r="E282" s="1"/>
      <c r="F282" s="1"/>
      <c r="G282" s="1" t="s">
        <v>3909</v>
      </c>
      <c r="H282" s="1" t="s">
        <v>3910</v>
      </c>
      <c r="I282" s="1" t="s">
        <v>3911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1338</v>
      </c>
      <c r="AK282" s="1" t="s">
        <v>329</v>
      </c>
      <c r="AL282" s="1">
        <v>13</v>
      </c>
      <c r="AM282" s="1" t="s">
        <v>4787</v>
      </c>
      <c r="AN282" s="1" t="s">
        <v>4897</v>
      </c>
      <c r="AO282" s="1" t="s">
        <v>4933</v>
      </c>
      <c r="AP282" s="1">
        <v>0</v>
      </c>
      <c r="AQ282" s="1" t="s">
        <v>1165</v>
      </c>
      <c r="AR282" s="1" t="s">
        <v>1189</v>
      </c>
      <c r="AS282" s="1" t="s">
        <v>1164</v>
      </c>
      <c r="AT282" s="1" t="s">
        <v>329</v>
      </c>
      <c r="AU282" s="1">
        <v>48</v>
      </c>
      <c r="AV282" s="1">
        <v>0</v>
      </c>
      <c r="AW282" s="1" t="s">
        <v>5341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3912</v>
      </c>
      <c r="C283" s="9" t="s">
        <v>793</v>
      </c>
      <c r="D283" s="1" t="s">
        <v>3913</v>
      </c>
      <c r="E283" s="1"/>
      <c r="F283" s="1"/>
      <c r="G283" s="1" t="s">
        <v>3914</v>
      </c>
      <c r="H283" s="1" t="s">
        <v>3915</v>
      </c>
      <c r="I283" s="1" t="s">
        <v>3916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1270</v>
      </c>
      <c r="AL283" s="1">
        <v>13</v>
      </c>
      <c r="AM283" s="1" t="s">
        <v>4787</v>
      </c>
      <c r="AN283" s="1" t="s">
        <v>4902</v>
      </c>
      <c r="AO283" s="1" t="s">
        <v>5201</v>
      </c>
      <c r="AP283" s="1">
        <v>0</v>
      </c>
      <c r="AQ283" s="1" t="s">
        <v>1165</v>
      </c>
      <c r="AR283" s="1" t="s">
        <v>1189</v>
      </c>
      <c r="AS283" s="1" t="s">
        <v>1164</v>
      </c>
      <c r="AT283" s="1" t="s">
        <v>329</v>
      </c>
      <c r="AU283" s="1">
        <v>215</v>
      </c>
      <c r="AV283" s="1">
        <v>0</v>
      </c>
      <c r="AW283" s="1" t="s">
        <v>5343</v>
      </c>
      <c r="AX283" s="1" t="s">
        <v>5344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4788</v>
      </c>
      <c r="BD283" s="1">
        <v>10803</v>
      </c>
      <c r="BE283" s="1"/>
    </row>
    <row r="284" spans="1:57" x14ac:dyDescent="0.25">
      <c r="A284" s="1">
        <v>290</v>
      </c>
      <c r="B284" s="1" t="s">
        <v>3917</v>
      </c>
      <c r="C284" s="9" t="s">
        <v>794</v>
      </c>
      <c r="D284" s="1" t="s">
        <v>3918</v>
      </c>
      <c r="E284" s="1"/>
      <c r="F284" s="1"/>
      <c r="G284" s="1" t="s">
        <v>3919</v>
      </c>
      <c r="H284" s="1" t="s">
        <v>3920</v>
      </c>
      <c r="I284" s="1" t="s">
        <v>3921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1339</v>
      </c>
      <c r="AK284" s="1" t="s">
        <v>1340</v>
      </c>
      <c r="AL284" s="1">
        <v>13</v>
      </c>
      <c r="AM284" s="1" t="s">
        <v>4787</v>
      </c>
      <c r="AN284" s="1" t="s">
        <v>4932</v>
      </c>
      <c r="AO284" s="1" t="s">
        <v>5237</v>
      </c>
      <c r="AP284" s="1">
        <v>0</v>
      </c>
      <c r="AQ284" s="1" t="s">
        <v>1165</v>
      </c>
      <c r="AR284" s="1" t="s">
        <v>1189</v>
      </c>
      <c r="AS284" s="1" t="s">
        <v>1164</v>
      </c>
      <c r="AT284" s="1" t="s">
        <v>329</v>
      </c>
      <c r="AU284" s="1">
        <v>215</v>
      </c>
      <c r="AV284" s="1">
        <v>0</v>
      </c>
      <c r="AW284" s="1" t="s">
        <v>5345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3922</v>
      </c>
      <c r="C285" s="9" t="s">
        <v>1723</v>
      </c>
      <c r="D285" s="1" t="s">
        <v>3923</v>
      </c>
      <c r="E285" s="1"/>
      <c r="F285" s="1"/>
      <c r="G285" s="1" t="s">
        <v>3924</v>
      </c>
      <c r="H285" s="1" t="s">
        <v>3925</v>
      </c>
      <c r="I285" s="1" t="s">
        <v>3926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1160</v>
      </c>
      <c r="AK285" s="1" t="s">
        <v>329</v>
      </c>
      <c r="AL285" s="1">
        <v>13</v>
      </c>
      <c r="AM285" s="1" t="s">
        <v>4858</v>
      </c>
      <c r="AN285" s="1" t="s">
        <v>389</v>
      </c>
      <c r="AO285" s="1" t="s">
        <v>5062</v>
      </c>
      <c r="AP285" s="1">
        <v>0</v>
      </c>
      <c r="AQ285" s="1" t="s">
        <v>1164</v>
      </c>
      <c r="AR285" s="1" t="s">
        <v>1154</v>
      </c>
      <c r="AS285" s="1" t="s">
        <v>1165</v>
      </c>
      <c r="AT285" s="1" t="s">
        <v>329</v>
      </c>
      <c r="AU285" s="1">
        <v>116</v>
      </c>
      <c r="AV285" s="1">
        <v>0</v>
      </c>
      <c r="AW285" s="1" t="s">
        <v>5346</v>
      </c>
      <c r="AX285" s="1" t="s">
        <v>5347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3927</v>
      </c>
      <c r="C286" s="9" t="s">
        <v>1698</v>
      </c>
      <c r="D286" s="1" t="s">
        <v>1698</v>
      </c>
      <c r="E286" s="1"/>
      <c r="F286" s="1"/>
      <c r="G286" s="1" t="s">
        <v>3928</v>
      </c>
      <c r="H286" s="1" t="s">
        <v>3929</v>
      </c>
      <c r="I286" s="1" t="s">
        <v>3930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1341</v>
      </c>
      <c r="AK286" s="1" t="s">
        <v>1342</v>
      </c>
      <c r="AL286" s="1">
        <v>17</v>
      </c>
      <c r="AM286" s="1" t="s">
        <v>995</v>
      </c>
      <c r="AN286" s="1" t="s">
        <v>5348</v>
      </c>
      <c r="AO286" s="1" t="s">
        <v>5349</v>
      </c>
      <c r="AP286" s="1">
        <v>0</v>
      </c>
      <c r="AQ286" s="1" t="s">
        <v>1202</v>
      </c>
      <c r="AR286" s="1" t="s">
        <v>1203</v>
      </c>
      <c r="AS286" s="1" t="s">
        <v>1204</v>
      </c>
      <c r="AT286" s="1" t="s">
        <v>329</v>
      </c>
      <c r="AU286" s="1">
        <v>238</v>
      </c>
      <c r="AV286" s="1">
        <v>0</v>
      </c>
      <c r="AW286" s="1" t="s">
        <v>5350</v>
      </c>
      <c r="AX286" s="1" t="s">
        <v>5233</v>
      </c>
      <c r="AY286" s="1">
        <v>5</v>
      </c>
      <c r="AZ286" s="1">
        <v>0</v>
      </c>
      <c r="BA286" s="1" t="s">
        <v>329</v>
      </c>
      <c r="BB286" s="1" t="s">
        <v>5040</v>
      </c>
      <c r="BC286" s="1" t="s">
        <v>5217</v>
      </c>
      <c r="BD286" s="1">
        <v>10104</v>
      </c>
      <c r="BE286" s="1"/>
    </row>
    <row r="287" spans="1:57" x14ac:dyDescent="0.25">
      <c r="A287" s="1">
        <v>293</v>
      </c>
      <c r="B287" s="1" t="s">
        <v>3931</v>
      </c>
      <c r="C287" s="9" t="s">
        <v>1699</v>
      </c>
      <c r="D287" s="1" t="s">
        <v>1699</v>
      </c>
      <c r="E287" s="1"/>
      <c r="F287" s="1"/>
      <c r="G287" s="1" t="s">
        <v>3932</v>
      </c>
      <c r="H287" s="1" t="s">
        <v>3933</v>
      </c>
      <c r="I287" s="1" t="s">
        <v>3934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5351</v>
      </c>
      <c r="AK287" s="1" t="s">
        <v>1343</v>
      </c>
      <c r="AL287" s="1">
        <v>13</v>
      </c>
      <c r="AM287" s="1" t="s">
        <v>4787</v>
      </c>
      <c r="AN287" s="1" t="s">
        <v>4932</v>
      </c>
      <c r="AO287" s="1" t="s">
        <v>5236</v>
      </c>
      <c r="AP287" s="1">
        <v>0</v>
      </c>
      <c r="AQ287" s="1" t="s">
        <v>1165</v>
      </c>
      <c r="AR287" s="1" t="s">
        <v>1189</v>
      </c>
      <c r="AS287" s="1" t="s">
        <v>1164</v>
      </c>
      <c r="AT287" s="1" t="s">
        <v>329</v>
      </c>
      <c r="AU287" s="1">
        <v>215</v>
      </c>
      <c r="AV287" s="1">
        <v>0</v>
      </c>
      <c r="AW287" s="1" t="s">
        <v>5350</v>
      </c>
      <c r="AX287" s="1" t="s">
        <v>5233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5217</v>
      </c>
      <c r="BD287" s="1">
        <v>10104</v>
      </c>
      <c r="BE287" s="1"/>
    </row>
    <row r="288" spans="1:57" x14ac:dyDescent="0.25">
      <c r="A288" s="1">
        <v>294</v>
      </c>
      <c r="B288" s="1" t="s">
        <v>3935</v>
      </c>
      <c r="C288" s="9" t="s">
        <v>795</v>
      </c>
      <c r="D288" s="1" t="s">
        <v>795</v>
      </c>
      <c r="E288" s="1"/>
      <c r="F288" s="1"/>
      <c r="G288" s="1" t="s">
        <v>3936</v>
      </c>
      <c r="H288" s="1" t="s">
        <v>3937</v>
      </c>
      <c r="I288" s="1" t="s">
        <v>3938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1344</v>
      </c>
      <c r="AK288" s="1" t="s">
        <v>1345</v>
      </c>
      <c r="AL288" s="1">
        <v>14</v>
      </c>
      <c r="AM288" s="1" t="s">
        <v>1874</v>
      </c>
      <c r="AN288" s="1" t="s">
        <v>5352</v>
      </c>
      <c r="AO288" s="1" t="s">
        <v>5145</v>
      </c>
      <c r="AP288" s="1">
        <v>0</v>
      </c>
      <c r="AQ288" s="1" t="s">
        <v>1153</v>
      </c>
      <c r="AR288" s="1" t="s">
        <v>1154</v>
      </c>
      <c r="AS288" s="1" t="s">
        <v>1155</v>
      </c>
      <c r="AT288" s="1" t="s">
        <v>329</v>
      </c>
      <c r="AU288" s="1">
        <v>96</v>
      </c>
      <c r="AV288" s="1">
        <v>0</v>
      </c>
      <c r="AW288" s="1" t="s">
        <v>5350</v>
      </c>
      <c r="AX288" s="1" t="s">
        <v>5353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3939</v>
      </c>
      <c r="C289" s="9" t="s">
        <v>796</v>
      </c>
      <c r="D289" s="1" t="s">
        <v>3940</v>
      </c>
      <c r="E289" s="1"/>
      <c r="F289" s="1"/>
      <c r="G289" s="1" t="s">
        <v>3941</v>
      </c>
      <c r="H289" s="1" t="s">
        <v>3942</v>
      </c>
      <c r="I289" s="1" t="s">
        <v>3943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1346</v>
      </c>
      <c r="AK289" s="1" t="s">
        <v>329</v>
      </c>
      <c r="AL289" s="1">
        <v>12</v>
      </c>
      <c r="AM289" s="1" t="s">
        <v>4858</v>
      </c>
      <c r="AN289" s="1" t="s">
        <v>5266</v>
      </c>
      <c r="AO289" s="1" t="s">
        <v>5354</v>
      </c>
      <c r="AP289" s="1">
        <v>0</v>
      </c>
      <c r="AQ289" s="1" t="s">
        <v>1164</v>
      </c>
      <c r="AR289" s="1" t="s">
        <v>1154</v>
      </c>
      <c r="AS289" s="1" t="s">
        <v>1165</v>
      </c>
      <c r="AT289" s="1" t="s">
        <v>329</v>
      </c>
      <c r="AU289" s="1">
        <v>150</v>
      </c>
      <c r="AV289" s="1">
        <v>0</v>
      </c>
      <c r="AW289" s="1" t="s">
        <v>5350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4851</v>
      </c>
      <c r="BD289" s="1">
        <v>10802</v>
      </c>
      <c r="BE289" s="1"/>
    </row>
    <row r="290" spans="1:57" x14ac:dyDescent="0.25">
      <c r="A290" s="1">
        <v>296</v>
      </c>
      <c r="B290" s="1" t="s">
        <v>3944</v>
      </c>
      <c r="C290" s="9" t="s">
        <v>797</v>
      </c>
      <c r="D290" s="1" t="s">
        <v>797</v>
      </c>
      <c r="E290" s="1"/>
      <c r="F290" s="1"/>
      <c r="G290" s="1" t="s">
        <v>3945</v>
      </c>
      <c r="H290" s="1" t="s">
        <v>3946</v>
      </c>
      <c r="I290" s="1" t="s">
        <v>3947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1347</v>
      </c>
      <c r="AK290" s="1" t="s">
        <v>1348</v>
      </c>
      <c r="AL290" s="1">
        <v>19</v>
      </c>
      <c r="AM290" s="1" t="s">
        <v>1874</v>
      </c>
      <c r="AN290" s="1" t="s">
        <v>5355</v>
      </c>
      <c r="AO290" s="1" t="s">
        <v>5087</v>
      </c>
      <c r="AP290" s="1">
        <v>0</v>
      </c>
      <c r="AQ290" s="1" t="s">
        <v>1175</v>
      </c>
      <c r="AR290" s="1" t="s">
        <v>1176</v>
      </c>
      <c r="AS290" s="1" t="s">
        <v>1177</v>
      </c>
      <c r="AT290" s="1" t="s">
        <v>329</v>
      </c>
      <c r="AU290" s="1">
        <v>222</v>
      </c>
      <c r="AV290" s="1">
        <v>0</v>
      </c>
      <c r="AW290" s="1" t="s">
        <v>5350</v>
      </c>
      <c r="AX290" s="1" t="s">
        <v>5356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4837</v>
      </c>
      <c r="BD290" s="1">
        <v>10401</v>
      </c>
      <c r="BE290" s="1"/>
    </row>
    <row r="291" spans="1:57" x14ac:dyDescent="0.25">
      <c r="A291" s="1">
        <v>297</v>
      </c>
      <c r="B291" s="1" t="s">
        <v>3948</v>
      </c>
      <c r="C291" s="9" t="s">
        <v>798</v>
      </c>
      <c r="D291" s="1" t="s">
        <v>798</v>
      </c>
      <c r="E291" s="1"/>
      <c r="F291" s="1"/>
      <c r="G291" s="1" t="s">
        <v>3949</v>
      </c>
      <c r="H291" s="1" t="s">
        <v>3950</v>
      </c>
      <c r="I291" s="1" t="s">
        <v>3951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1195</v>
      </c>
      <c r="AK291" s="1" t="s">
        <v>329</v>
      </c>
      <c r="AL291" s="1">
        <v>13</v>
      </c>
      <c r="AM291" s="1" t="s">
        <v>4787</v>
      </c>
      <c r="AN291" s="1" t="s">
        <v>4897</v>
      </c>
      <c r="AO291" s="1" t="s">
        <v>4933</v>
      </c>
      <c r="AP291" s="1">
        <v>0</v>
      </c>
      <c r="AQ291" s="1" t="s">
        <v>1165</v>
      </c>
      <c r="AR291" s="1" t="s">
        <v>1189</v>
      </c>
      <c r="AS291" s="1" t="s">
        <v>1164</v>
      </c>
      <c r="AT291" s="1" t="s">
        <v>329</v>
      </c>
      <c r="AU291" s="1">
        <v>48</v>
      </c>
      <c r="AV291" s="1">
        <v>0</v>
      </c>
      <c r="AW291" s="1" t="s">
        <v>5350</v>
      </c>
      <c r="AX291" s="1" t="s">
        <v>5357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3952</v>
      </c>
      <c r="C292" s="9" t="s">
        <v>799</v>
      </c>
      <c r="D292" s="1" t="s">
        <v>3953</v>
      </c>
      <c r="E292" s="1"/>
      <c r="F292" s="1"/>
      <c r="G292" s="1" t="s">
        <v>3954</v>
      </c>
      <c r="H292" s="1" t="s">
        <v>3955</v>
      </c>
      <c r="I292" s="1" t="s">
        <v>3956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4964</v>
      </c>
      <c r="AK292" s="1" t="s">
        <v>329</v>
      </c>
      <c r="AL292" s="1">
        <v>13</v>
      </c>
      <c r="AM292" s="1" t="s">
        <v>4858</v>
      </c>
      <c r="AN292" s="1" t="s">
        <v>465</v>
      </c>
      <c r="AO292" s="1" t="s">
        <v>5148</v>
      </c>
      <c r="AP292" s="1">
        <v>0</v>
      </c>
      <c r="AQ292" s="1" t="s">
        <v>1165</v>
      </c>
      <c r="AR292" s="1" t="s">
        <v>1189</v>
      </c>
      <c r="AS292" s="1" t="s">
        <v>1164</v>
      </c>
      <c r="AT292" s="1" t="s">
        <v>329</v>
      </c>
      <c r="AU292" s="1">
        <v>171</v>
      </c>
      <c r="AV292" s="1">
        <v>0</v>
      </c>
      <c r="AW292" s="1" t="s">
        <v>5358</v>
      </c>
      <c r="AX292" s="1" t="s">
        <v>5359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3957</v>
      </c>
      <c r="C293" s="9" t="s">
        <v>247</v>
      </c>
      <c r="D293" s="1" t="s">
        <v>247</v>
      </c>
      <c r="E293" s="1"/>
      <c r="F293" s="1"/>
      <c r="G293" s="1" t="s">
        <v>3958</v>
      </c>
      <c r="H293" s="1" t="s">
        <v>3959</v>
      </c>
      <c r="I293" s="1" t="s">
        <v>3960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5360</v>
      </c>
      <c r="AK293" s="1" t="s">
        <v>329</v>
      </c>
      <c r="AL293" s="1">
        <v>8</v>
      </c>
      <c r="AM293" s="1" t="s">
        <v>4784</v>
      </c>
      <c r="AN293" s="1" t="s">
        <v>399</v>
      </c>
      <c r="AO293" s="1" t="s">
        <v>5136</v>
      </c>
      <c r="AP293" s="1">
        <v>0</v>
      </c>
      <c r="AQ293" s="1" t="s">
        <v>1235</v>
      </c>
      <c r="AR293" s="1" t="s">
        <v>1236</v>
      </c>
      <c r="AS293" s="1" t="s">
        <v>1237</v>
      </c>
      <c r="AT293" s="1" t="s">
        <v>329</v>
      </c>
      <c r="AU293" s="1">
        <v>190</v>
      </c>
      <c r="AV293" s="1">
        <v>0</v>
      </c>
      <c r="AW293" s="1" t="s">
        <v>5361</v>
      </c>
      <c r="AX293" s="1" t="s">
        <v>5362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4788</v>
      </c>
      <c r="BD293" s="1">
        <v>10402</v>
      </c>
      <c r="BE293" s="1"/>
    </row>
    <row r="294" spans="1:57" x14ac:dyDescent="0.25">
      <c r="A294" s="1">
        <v>300</v>
      </c>
      <c r="B294" s="1" t="s">
        <v>3961</v>
      </c>
      <c r="C294" s="9" t="s">
        <v>800</v>
      </c>
      <c r="D294" s="1" t="s">
        <v>800</v>
      </c>
      <c r="E294" s="1"/>
      <c r="F294" s="1"/>
      <c r="G294" s="1" t="s">
        <v>3962</v>
      </c>
      <c r="H294" s="1" t="s">
        <v>3963</v>
      </c>
      <c r="I294" s="1" t="s">
        <v>3964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4990</v>
      </c>
      <c r="AK294" s="1" t="s">
        <v>329</v>
      </c>
      <c r="AL294" s="1">
        <v>18</v>
      </c>
      <c r="AM294" s="1" t="s">
        <v>4926</v>
      </c>
      <c r="AN294" s="1" t="s">
        <v>4999</v>
      </c>
      <c r="AO294" s="1" t="s">
        <v>5012</v>
      </c>
      <c r="AP294" s="1">
        <v>0</v>
      </c>
      <c r="AQ294" s="1" t="s">
        <v>1202</v>
      </c>
      <c r="AR294" s="1" t="s">
        <v>1203</v>
      </c>
      <c r="AS294" s="1" t="s">
        <v>1204</v>
      </c>
      <c r="AT294" s="1" t="s">
        <v>329</v>
      </c>
      <c r="AU294" s="1">
        <v>208</v>
      </c>
      <c r="AV294" s="1">
        <v>0</v>
      </c>
      <c r="AW294" s="1" t="s">
        <v>5363</v>
      </c>
      <c r="AX294" s="1" t="s">
        <v>5364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3965</v>
      </c>
      <c r="C295" s="9" t="s">
        <v>1700</v>
      </c>
      <c r="D295" s="1" t="s">
        <v>1700</v>
      </c>
      <c r="E295" s="1"/>
      <c r="F295" s="1"/>
      <c r="G295" s="1" t="s">
        <v>3966</v>
      </c>
      <c r="H295" s="1" t="s">
        <v>3967</v>
      </c>
      <c r="I295" s="1" t="s">
        <v>3968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1160</v>
      </c>
      <c r="AK295" s="1" t="s">
        <v>329</v>
      </c>
      <c r="AL295" s="1">
        <v>14</v>
      </c>
      <c r="AM295" s="1" t="s">
        <v>4858</v>
      </c>
      <c r="AN295" s="1" t="s">
        <v>403</v>
      </c>
      <c r="AO295" s="1" t="s">
        <v>5365</v>
      </c>
      <c r="AP295" s="1">
        <v>0</v>
      </c>
      <c r="AQ295" s="1" t="s">
        <v>1164</v>
      </c>
      <c r="AR295" s="1" t="s">
        <v>1154</v>
      </c>
      <c r="AS295" s="1" t="s">
        <v>1165</v>
      </c>
      <c r="AT295" s="1" t="s">
        <v>329</v>
      </c>
      <c r="AU295" s="1">
        <v>116</v>
      </c>
      <c r="AV295" s="1">
        <v>0</v>
      </c>
      <c r="AW295" s="1" t="s">
        <v>5366</v>
      </c>
      <c r="AX295" s="1" t="s">
        <v>5367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3969</v>
      </c>
      <c r="C296" s="9" t="s">
        <v>1639</v>
      </c>
      <c r="D296" s="1" t="s">
        <v>3970</v>
      </c>
      <c r="E296" s="1"/>
      <c r="F296" s="1"/>
      <c r="G296" s="1" t="s">
        <v>3971</v>
      </c>
      <c r="H296" s="1" t="s">
        <v>3972</v>
      </c>
      <c r="I296" s="1" t="s">
        <v>3973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1349</v>
      </c>
      <c r="AK296" s="1" t="s">
        <v>1350</v>
      </c>
      <c r="AL296" s="1">
        <v>8</v>
      </c>
      <c r="AM296" s="1" t="s">
        <v>388</v>
      </c>
      <c r="AN296" s="1" t="s">
        <v>5368</v>
      </c>
      <c r="AO296" s="1" t="s">
        <v>4806</v>
      </c>
      <c r="AP296" s="1">
        <v>0</v>
      </c>
      <c r="AQ296" s="1" t="s">
        <v>1235</v>
      </c>
      <c r="AR296" s="1" t="s">
        <v>5128</v>
      </c>
      <c r="AS296" s="1" t="s">
        <v>1237</v>
      </c>
      <c r="AT296" s="1" t="s">
        <v>329</v>
      </c>
      <c r="AU296" s="1">
        <v>165</v>
      </c>
      <c r="AV296" s="1">
        <v>0</v>
      </c>
      <c r="AW296" s="1" t="s">
        <v>5369</v>
      </c>
      <c r="AX296" s="1" t="s">
        <v>5370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4788</v>
      </c>
      <c r="BD296" s="1">
        <v>10403</v>
      </c>
      <c r="BE296" s="1"/>
    </row>
    <row r="297" spans="1:57" x14ac:dyDescent="0.25">
      <c r="A297" s="1">
        <v>303</v>
      </c>
      <c r="B297" s="1" t="s">
        <v>3974</v>
      </c>
      <c r="C297" s="9" t="s">
        <v>1701</v>
      </c>
      <c r="D297" s="1" t="s">
        <v>3975</v>
      </c>
      <c r="E297" s="1"/>
      <c r="F297" s="1"/>
      <c r="G297" s="1" t="s">
        <v>3976</v>
      </c>
      <c r="H297" s="1" t="s">
        <v>3977</v>
      </c>
      <c r="I297" s="1" t="s">
        <v>3978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1351</v>
      </c>
      <c r="AL297" s="1">
        <v>14</v>
      </c>
      <c r="AM297" s="1" t="s">
        <v>1874</v>
      </c>
      <c r="AN297" s="1" t="s">
        <v>5371</v>
      </c>
      <c r="AO297" s="1" t="s">
        <v>5022</v>
      </c>
      <c r="AP297" s="1">
        <v>0</v>
      </c>
      <c r="AQ297" s="1" t="s">
        <v>1153</v>
      </c>
      <c r="AR297" s="1" t="s">
        <v>1154</v>
      </c>
      <c r="AS297" s="1" t="s">
        <v>1155</v>
      </c>
      <c r="AT297" s="1" t="s">
        <v>329</v>
      </c>
      <c r="AU297" s="1">
        <v>96</v>
      </c>
      <c r="AV297" s="1">
        <v>0</v>
      </c>
      <c r="AW297" s="1" t="s">
        <v>5372</v>
      </c>
      <c r="AX297" s="1" t="s">
        <v>4830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4788</v>
      </c>
      <c r="BD297" s="1">
        <v>10402</v>
      </c>
      <c r="BE297" s="1"/>
    </row>
    <row r="298" spans="1:57" x14ac:dyDescent="0.25">
      <c r="A298" s="1">
        <v>304</v>
      </c>
      <c r="B298" s="1" t="s">
        <v>3979</v>
      </c>
      <c r="C298" s="9" t="s">
        <v>801</v>
      </c>
      <c r="D298" s="1" t="s">
        <v>801</v>
      </c>
      <c r="E298" s="1"/>
      <c r="F298" s="1"/>
      <c r="G298" s="1" t="s">
        <v>3980</v>
      </c>
      <c r="H298" s="1" t="s">
        <v>3981</v>
      </c>
      <c r="I298" s="1" t="s">
        <v>3982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1352</v>
      </c>
      <c r="AK298" s="1" t="s">
        <v>1353</v>
      </c>
      <c r="AL298" s="1">
        <v>12</v>
      </c>
      <c r="AM298" s="1" t="s">
        <v>4858</v>
      </c>
      <c r="AN298" s="1" t="s">
        <v>5373</v>
      </c>
      <c r="AO298" s="1" t="s">
        <v>4982</v>
      </c>
      <c r="AP298" s="1">
        <v>0</v>
      </c>
      <c r="AQ298" s="1" t="s">
        <v>1164</v>
      </c>
      <c r="AR298" s="1" t="s">
        <v>1154</v>
      </c>
      <c r="AS298" s="1" t="s">
        <v>1165</v>
      </c>
      <c r="AT298" s="1" t="s">
        <v>329</v>
      </c>
      <c r="AU298" s="1">
        <v>150</v>
      </c>
      <c r="AV298" s="1">
        <v>0</v>
      </c>
      <c r="AW298" s="1" t="s">
        <v>5372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3983</v>
      </c>
      <c r="C299" s="9" t="s">
        <v>802</v>
      </c>
      <c r="D299" s="1" t="s">
        <v>802</v>
      </c>
      <c r="E299" s="1"/>
      <c r="F299" s="1"/>
      <c r="G299" s="1" t="s">
        <v>3984</v>
      </c>
      <c r="H299" s="1" t="s">
        <v>3985</v>
      </c>
      <c r="I299" s="1" t="s">
        <v>3986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4830</v>
      </c>
      <c r="AN299" s="1" t="s">
        <v>465</v>
      </c>
      <c r="AO299" s="1" t="s">
        <v>4900</v>
      </c>
      <c r="AP299" s="1">
        <v>0</v>
      </c>
      <c r="AQ299" s="1" t="s">
        <v>1175</v>
      </c>
      <c r="AR299" s="1" t="s">
        <v>1176</v>
      </c>
      <c r="AS299" s="1" t="s">
        <v>1177</v>
      </c>
      <c r="AT299" s="1" t="s">
        <v>329</v>
      </c>
      <c r="AU299" s="1">
        <v>200</v>
      </c>
      <c r="AV299" s="1">
        <v>0</v>
      </c>
      <c r="AW299" s="1" t="s">
        <v>5372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3987</v>
      </c>
      <c r="C300" s="9" t="s">
        <v>1702</v>
      </c>
      <c r="D300" s="1" t="s">
        <v>1702</v>
      </c>
      <c r="E300" s="1"/>
      <c r="F300" s="1"/>
      <c r="G300" s="1" t="s">
        <v>3988</v>
      </c>
      <c r="H300" s="1" t="s">
        <v>3989</v>
      </c>
      <c r="I300" s="1" t="s">
        <v>3990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5374</v>
      </c>
      <c r="AK300" s="1" t="s">
        <v>1354</v>
      </c>
      <c r="AL300" s="1">
        <v>18</v>
      </c>
      <c r="AM300" s="1" t="s">
        <v>399</v>
      </c>
      <c r="AN300" s="1" t="s">
        <v>5375</v>
      </c>
      <c r="AO300" s="1" t="s">
        <v>5237</v>
      </c>
      <c r="AP300" s="1">
        <v>0</v>
      </c>
      <c r="AQ300" s="1" t="s">
        <v>1165</v>
      </c>
      <c r="AR300" s="1" t="s">
        <v>1189</v>
      </c>
      <c r="AS300" s="1" t="s">
        <v>1164</v>
      </c>
      <c r="AT300" s="1" t="s">
        <v>329</v>
      </c>
      <c r="AU300" s="1">
        <v>215</v>
      </c>
      <c r="AV300" s="1">
        <v>0</v>
      </c>
      <c r="AW300" s="1" t="s">
        <v>5372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4788</v>
      </c>
      <c r="BD300" s="1">
        <v>10402</v>
      </c>
      <c r="BE300" s="1"/>
    </row>
    <row r="301" spans="1:57" x14ac:dyDescent="0.25">
      <c r="A301" s="1">
        <v>307</v>
      </c>
      <c r="B301" s="1" t="s">
        <v>3991</v>
      </c>
      <c r="C301" s="9" t="s">
        <v>1703</v>
      </c>
      <c r="D301" s="1" t="s">
        <v>1703</v>
      </c>
      <c r="E301" s="1"/>
      <c r="F301" s="1"/>
      <c r="G301" s="1" t="s">
        <v>3992</v>
      </c>
      <c r="H301" s="1" t="s">
        <v>3993</v>
      </c>
      <c r="I301" s="1" t="s">
        <v>3994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1355</v>
      </c>
      <c r="AK301" s="1" t="s">
        <v>1356</v>
      </c>
      <c r="AL301" s="1">
        <v>18</v>
      </c>
      <c r="AM301" s="1" t="s">
        <v>4926</v>
      </c>
      <c r="AN301" s="1" t="s">
        <v>5302</v>
      </c>
      <c r="AO301" s="1" t="s">
        <v>5376</v>
      </c>
      <c r="AP301" s="1">
        <v>0</v>
      </c>
      <c r="AQ301" s="1" t="s">
        <v>1202</v>
      </c>
      <c r="AR301" s="1" t="s">
        <v>1203</v>
      </c>
      <c r="AS301" s="1" t="s">
        <v>1204</v>
      </c>
      <c r="AT301" s="1" t="s">
        <v>329</v>
      </c>
      <c r="AU301" s="1">
        <v>238</v>
      </c>
      <c r="AV301" s="1">
        <v>0</v>
      </c>
      <c r="AW301" s="1" t="s">
        <v>5372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3995</v>
      </c>
      <c r="C302" s="9" t="s">
        <v>803</v>
      </c>
      <c r="D302" s="1" t="s">
        <v>803</v>
      </c>
      <c r="E302" s="1"/>
      <c r="F302" s="1"/>
      <c r="G302" s="1" t="s">
        <v>3996</v>
      </c>
      <c r="H302" s="1" t="s">
        <v>3997</v>
      </c>
      <c r="I302" s="1" t="s">
        <v>3998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1160</v>
      </c>
      <c r="AK302" s="1" t="s">
        <v>329</v>
      </c>
      <c r="AL302" s="1">
        <v>13</v>
      </c>
      <c r="AM302" s="1" t="s">
        <v>4830</v>
      </c>
      <c r="AN302" s="1" t="s">
        <v>4952</v>
      </c>
      <c r="AO302" s="1" t="s">
        <v>4894</v>
      </c>
      <c r="AP302" s="1">
        <v>0</v>
      </c>
      <c r="AQ302" s="1" t="s">
        <v>1175</v>
      </c>
      <c r="AR302" s="1" t="s">
        <v>1176</v>
      </c>
      <c r="AS302" s="1" t="s">
        <v>1177</v>
      </c>
      <c r="AT302" s="1" t="s">
        <v>329</v>
      </c>
      <c r="AU302" s="1">
        <v>241</v>
      </c>
      <c r="AV302" s="1">
        <v>0</v>
      </c>
      <c r="AW302" s="1" t="s">
        <v>5377</v>
      </c>
      <c r="AX302" s="1" t="s">
        <v>5378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3999</v>
      </c>
      <c r="C303" s="9" t="s">
        <v>804</v>
      </c>
      <c r="D303" s="1" t="s">
        <v>4000</v>
      </c>
      <c r="E303" s="1"/>
      <c r="F303" s="1"/>
      <c r="G303" s="1" t="s">
        <v>4001</v>
      </c>
      <c r="H303" s="1" t="s">
        <v>4002</v>
      </c>
      <c r="I303" s="1" t="s">
        <v>4003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1357</v>
      </c>
      <c r="AK303" s="1" t="s">
        <v>1358</v>
      </c>
      <c r="AL303" s="1">
        <v>14</v>
      </c>
      <c r="AM303" s="1" t="s">
        <v>1874</v>
      </c>
      <c r="AN303" s="1" t="s">
        <v>5379</v>
      </c>
      <c r="AO303" s="1" t="s">
        <v>4877</v>
      </c>
      <c r="AP303" s="1">
        <v>0</v>
      </c>
      <c r="AQ303" s="1" t="s">
        <v>1153</v>
      </c>
      <c r="AR303" s="1" t="s">
        <v>1154</v>
      </c>
      <c r="AS303" s="1" t="s">
        <v>1155</v>
      </c>
      <c r="AT303" s="1" t="s">
        <v>329</v>
      </c>
      <c r="AU303" s="1">
        <v>15</v>
      </c>
      <c r="AV303" s="1">
        <v>0</v>
      </c>
      <c r="AW303" s="1" t="s">
        <v>5380</v>
      </c>
      <c r="AX303" s="1" t="s">
        <v>5381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4837</v>
      </c>
      <c r="BD303" s="1">
        <v>10303</v>
      </c>
      <c r="BE303" s="1"/>
    </row>
    <row r="304" spans="1:57" x14ac:dyDescent="0.25">
      <c r="A304" s="1">
        <v>310</v>
      </c>
      <c r="B304" s="1" t="s">
        <v>4004</v>
      </c>
      <c r="C304" s="9" t="s">
        <v>805</v>
      </c>
      <c r="D304" s="1" t="s">
        <v>4005</v>
      </c>
      <c r="E304" s="1"/>
      <c r="F304" s="1"/>
      <c r="G304" s="1" t="s">
        <v>4006</v>
      </c>
      <c r="H304" s="1" t="s">
        <v>4007</v>
      </c>
      <c r="I304" s="1" t="s">
        <v>4008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1874</v>
      </c>
      <c r="AN304" s="1" t="s">
        <v>5382</v>
      </c>
      <c r="AO304" s="1" t="s">
        <v>4809</v>
      </c>
      <c r="AP304" s="1">
        <v>0</v>
      </c>
      <c r="AQ304" s="1" t="s">
        <v>1153</v>
      </c>
      <c r="AR304" s="1" t="s">
        <v>1154</v>
      </c>
      <c r="AS304" s="1" t="s">
        <v>1155</v>
      </c>
      <c r="AT304" s="1" t="s">
        <v>329</v>
      </c>
      <c r="AU304" s="1">
        <v>212</v>
      </c>
      <c r="AV304" s="1">
        <v>0</v>
      </c>
      <c r="AW304" s="1" t="s">
        <v>5383</v>
      </c>
      <c r="AX304" s="1" t="s">
        <v>4830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4009</v>
      </c>
      <c r="C305" s="9" t="s">
        <v>806</v>
      </c>
      <c r="D305" s="1" t="s">
        <v>806</v>
      </c>
      <c r="E305" s="1"/>
      <c r="F305" s="1"/>
      <c r="G305" s="1" t="s">
        <v>4010</v>
      </c>
      <c r="H305" s="1" t="s">
        <v>4011</v>
      </c>
      <c r="I305" s="1" t="s">
        <v>4012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1359</v>
      </c>
      <c r="AK305" s="1" t="s">
        <v>1360</v>
      </c>
      <c r="AL305" s="1">
        <v>12</v>
      </c>
      <c r="AM305" s="1" t="s">
        <v>355</v>
      </c>
      <c r="AN305" s="1" t="s">
        <v>5266</v>
      </c>
      <c r="AO305" s="1" t="s">
        <v>5384</v>
      </c>
      <c r="AP305" s="1">
        <v>0</v>
      </c>
      <c r="AQ305" s="1" t="s">
        <v>1164</v>
      </c>
      <c r="AR305" s="1" t="s">
        <v>1154</v>
      </c>
      <c r="AS305" s="1" t="s">
        <v>1165</v>
      </c>
      <c r="AT305" s="1" t="s">
        <v>329</v>
      </c>
      <c r="AU305" s="1">
        <v>224</v>
      </c>
      <c r="AV305" s="1">
        <v>0</v>
      </c>
      <c r="AW305" s="1" t="s">
        <v>5385</v>
      </c>
      <c r="AX305" s="1" t="s">
        <v>5386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4013</v>
      </c>
      <c r="C306" s="9" t="s">
        <v>1704</v>
      </c>
      <c r="D306" s="1" t="s">
        <v>4014</v>
      </c>
      <c r="E306" s="1"/>
      <c r="F306" s="1"/>
      <c r="G306" s="1" t="s">
        <v>4015</v>
      </c>
      <c r="H306" s="1" t="s">
        <v>4016</v>
      </c>
      <c r="I306" s="1" t="s">
        <v>4017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1361</v>
      </c>
      <c r="AK306" s="1" t="s">
        <v>329</v>
      </c>
      <c r="AL306" s="1">
        <v>13</v>
      </c>
      <c r="AM306" s="1" t="s">
        <v>4830</v>
      </c>
      <c r="AN306" s="1" t="s">
        <v>5181</v>
      </c>
      <c r="AO306" s="1" t="s">
        <v>4913</v>
      </c>
      <c r="AP306" s="1">
        <v>0</v>
      </c>
      <c r="AQ306" s="1" t="s">
        <v>1175</v>
      </c>
      <c r="AR306" s="1" t="s">
        <v>1176</v>
      </c>
      <c r="AS306" s="1" t="s">
        <v>1177</v>
      </c>
      <c r="AT306" s="1" t="s">
        <v>329</v>
      </c>
      <c r="AU306" s="1">
        <v>222</v>
      </c>
      <c r="AV306" s="1">
        <v>0</v>
      </c>
      <c r="AW306" s="1" t="s">
        <v>5383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4825</v>
      </c>
      <c r="BD306" s="1">
        <v>10402</v>
      </c>
      <c r="BE306" s="1"/>
    </row>
    <row r="307" spans="1:57" x14ac:dyDescent="0.25">
      <c r="A307" s="1">
        <v>313</v>
      </c>
      <c r="B307" s="1" t="s">
        <v>4018</v>
      </c>
      <c r="C307" s="9" t="s">
        <v>1705</v>
      </c>
      <c r="D307" s="1" t="s">
        <v>1705</v>
      </c>
      <c r="E307" s="1"/>
      <c r="F307" s="1"/>
      <c r="G307" s="1" t="s">
        <v>4019</v>
      </c>
      <c r="H307" s="1" t="s">
        <v>4020</v>
      </c>
      <c r="I307" s="1" t="s">
        <v>4021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1362</v>
      </c>
      <c r="AK307" s="1" t="s">
        <v>1363</v>
      </c>
      <c r="AL307" s="1">
        <v>14</v>
      </c>
      <c r="AM307" s="1" t="s">
        <v>4787</v>
      </c>
      <c r="AN307" s="1" t="s">
        <v>5320</v>
      </c>
      <c r="AO307" s="1" t="s">
        <v>5237</v>
      </c>
      <c r="AP307" s="1">
        <v>0</v>
      </c>
      <c r="AQ307" s="1" t="s">
        <v>1165</v>
      </c>
      <c r="AR307" s="1" t="s">
        <v>1189</v>
      </c>
      <c r="AS307" s="1" t="s">
        <v>1164</v>
      </c>
      <c r="AT307" s="1" t="s">
        <v>329</v>
      </c>
      <c r="AU307" s="1">
        <v>73</v>
      </c>
      <c r="AV307" s="1">
        <v>0</v>
      </c>
      <c r="AW307" s="1" t="s">
        <v>5383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4022</v>
      </c>
      <c r="C308" s="9" t="s">
        <v>1706</v>
      </c>
      <c r="D308" s="1" t="s">
        <v>4023</v>
      </c>
      <c r="E308" s="1"/>
      <c r="F308" s="1"/>
      <c r="G308" s="1" t="s">
        <v>4024</v>
      </c>
      <c r="H308" s="1" t="s">
        <v>4025</v>
      </c>
      <c r="I308" s="1" t="s">
        <v>4026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1160</v>
      </c>
      <c r="AK308" s="1" t="s">
        <v>329</v>
      </c>
      <c r="AL308" s="1">
        <v>13</v>
      </c>
      <c r="AM308" s="1" t="s">
        <v>4787</v>
      </c>
      <c r="AN308" s="1" t="s">
        <v>4902</v>
      </c>
      <c r="AO308" s="1" t="s">
        <v>5387</v>
      </c>
      <c r="AP308" s="1">
        <v>0</v>
      </c>
      <c r="AQ308" s="1" t="s">
        <v>1165</v>
      </c>
      <c r="AR308" s="1" t="s">
        <v>1189</v>
      </c>
      <c r="AS308" s="1" t="s">
        <v>1164</v>
      </c>
      <c r="AT308" s="1" t="s">
        <v>329</v>
      </c>
      <c r="AU308" s="1">
        <v>171</v>
      </c>
      <c r="AV308" s="1">
        <v>0</v>
      </c>
      <c r="AW308" s="1" t="s">
        <v>5388</v>
      </c>
      <c r="AX308" s="1" t="s">
        <v>5389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4837</v>
      </c>
      <c r="BD308" s="1">
        <v>10702</v>
      </c>
      <c r="BE308" s="1"/>
    </row>
    <row r="309" spans="1:57" x14ac:dyDescent="0.25">
      <c r="A309" s="1">
        <v>315</v>
      </c>
      <c r="B309" s="1" t="s">
        <v>4027</v>
      </c>
      <c r="C309" s="9" t="s">
        <v>843</v>
      </c>
      <c r="D309" s="1" t="s">
        <v>4028</v>
      </c>
      <c r="E309" s="1"/>
      <c r="F309" s="1"/>
      <c r="G309" s="1" t="s">
        <v>4029</v>
      </c>
      <c r="H309" s="1" t="s">
        <v>4030</v>
      </c>
      <c r="I309" s="1" t="s">
        <v>4031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5390</v>
      </c>
      <c r="AK309" s="1" t="s">
        <v>1364</v>
      </c>
      <c r="AL309" s="1">
        <v>13</v>
      </c>
      <c r="AM309" s="1" t="s">
        <v>4858</v>
      </c>
      <c r="AN309" s="1" t="s">
        <v>4863</v>
      </c>
      <c r="AO309" s="1" t="s">
        <v>4943</v>
      </c>
      <c r="AP309" s="1">
        <v>0</v>
      </c>
      <c r="AQ309" s="1" t="s">
        <v>1164</v>
      </c>
      <c r="AR309" s="1" t="s">
        <v>1154</v>
      </c>
      <c r="AS309" s="1" t="s">
        <v>1165</v>
      </c>
      <c r="AT309" s="1" t="s">
        <v>329</v>
      </c>
      <c r="AU309" s="1">
        <v>224</v>
      </c>
      <c r="AV309" s="1">
        <v>0</v>
      </c>
      <c r="AW309" s="1" t="s">
        <v>5391</v>
      </c>
      <c r="AX309" s="1" t="s">
        <v>5392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4032</v>
      </c>
      <c r="C310" s="9" t="s">
        <v>807</v>
      </c>
      <c r="D310" s="1" t="s">
        <v>807</v>
      </c>
      <c r="E310" s="1"/>
      <c r="F310" s="1"/>
      <c r="G310" s="1" t="s">
        <v>4033</v>
      </c>
      <c r="H310" s="1" t="s">
        <v>4034</v>
      </c>
      <c r="I310" s="1" t="s">
        <v>4035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1365</v>
      </c>
      <c r="AK310" s="1" t="s">
        <v>1366</v>
      </c>
      <c r="AL310" s="1">
        <v>13</v>
      </c>
      <c r="AM310" s="1" t="s">
        <v>4830</v>
      </c>
      <c r="AN310" s="1" t="s">
        <v>4841</v>
      </c>
      <c r="AO310" s="1" t="s">
        <v>4913</v>
      </c>
      <c r="AP310" s="1">
        <v>0</v>
      </c>
      <c r="AQ310" s="1" t="s">
        <v>1175</v>
      </c>
      <c r="AR310" s="1" t="s">
        <v>1176</v>
      </c>
      <c r="AS310" s="1" t="s">
        <v>1177</v>
      </c>
      <c r="AT310" s="1" t="s">
        <v>329</v>
      </c>
      <c r="AU310" s="1">
        <v>222</v>
      </c>
      <c r="AV310" s="1">
        <v>0</v>
      </c>
      <c r="AW310" s="1" t="s">
        <v>5391</v>
      </c>
      <c r="AX310" s="1" t="s">
        <v>5112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4851</v>
      </c>
      <c r="BD310" s="1">
        <v>10203</v>
      </c>
      <c r="BE310" s="1"/>
    </row>
    <row r="311" spans="1:57" x14ac:dyDescent="0.25">
      <c r="A311" s="1">
        <v>317</v>
      </c>
      <c r="B311" s="1" t="s">
        <v>4036</v>
      </c>
      <c r="C311" s="9" t="s">
        <v>808</v>
      </c>
      <c r="D311" s="1" t="s">
        <v>808</v>
      </c>
      <c r="E311" s="1"/>
      <c r="F311" s="1"/>
      <c r="G311" s="1" t="s">
        <v>4037</v>
      </c>
      <c r="H311" s="1" t="s">
        <v>4038</v>
      </c>
      <c r="I311" s="1" t="s">
        <v>4039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5393</v>
      </c>
      <c r="AK311" s="1" t="s">
        <v>1367</v>
      </c>
      <c r="AL311" s="1">
        <v>13</v>
      </c>
      <c r="AM311" s="1" t="s">
        <v>477</v>
      </c>
      <c r="AN311" s="1" t="s">
        <v>465</v>
      </c>
      <c r="AO311" s="1" t="s">
        <v>4892</v>
      </c>
      <c r="AP311" s="1">
        <v>0</v>
      </c>
      <c r="AQ311" s="1" t="s">
        <v>1175</v>
      </c>
      <c r="AR311" s="1" t="s">
        <v>1176</v>
      </c>
      <c r="AS311" s="1" t="s">
        <v>4907</v>
      </c>
      <c r="AT311" s="1" t="s">
        <v>329</v>
      </c>
      <c r="AU311" s="1">
        <v>200</v>
      </c>
      <c r="AV311" s="1">
        <v>0</v>
      </c>
      <c r="AW311" s="1" t="s">
        <v>5391</v>
      </c>
      <c r="AX311" s="1" t="s">
        <v>5112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4040</v>
      </c>
      <c r="C312" s="9" t="s">
        <v>809</v>
      </c>
      <c r="D312" s="1" t="s">
        <v>809</v>
      </c>
      <c r="E312" s="1"/>
      <c r="F312" s="1"/>
      <c r="G312" s="1" t="s">
        <v>4041</v>
      </c>
      <c r="H312" s="1" t="s">
        <v>4042</v>
      </c>
      <c r="I312" s="1" t="s">
        <v>4043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1368</v>
      </c>
      <c r="AK312" s="1" t="s">
        <v>1369</v>
      </c>
      <c r="AL312" s="1">
        <v>13</v>
      </c>
      <c r="AM312" s="1" t="s">
        <v>4787</v>
      </c>
      <c r="AN312" s="1" t="s">
        <v>4932</v>
      </c>
      <c r="AO312" s="1" t="s">
        <v>5158</v>
      </c>
      <c r="AP312" s="1">
        <v>0</v>
      </c>
      <c r="AQ312" s="1" t="s">
        <v>1165</v>
      </c>
      <c r="AR312" s="1" t="s">
        <v>1189</v>
      </c>
      <c r="AS312" s="1" t="s">
        <v>1164</v>
      </c>
      <c r="AT312" s="1" t="s">
        <v>329</v>
      </c>
      <c r="AU312" s="1">
        <v>73</v>
      </c>
      <c r="AV312" s="1">
        <v>0</v>
      </c>
      <c r="AW312" s="1" t="s">
        <v>5391</v>
      </c>
      <c r="AX312" s="1" t="s">
        <v>5394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4044</v>
      </c>
      <c r="C313" s="9" t="s">
        <v>810</v>
      </c>
      <c r="D313" s="1" t="s">
        <v>810</v>
      </c>
      <c r="E313" s="1"/>
      <c r="F313" s="1"/>
      <c r="G313" s="1" t="s">
        <v>4045</v>
      </c>
      <c r="H313" s="1" t="s">
        <v>4046</v>
      </c>
      <c r="I313" s="1" t="s">
        <v>4047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5395</v>
      </c>
      <c r="AK313" s="1" t="s">
        <v>1370</v>
      </c>
      <c r="AL313" s="1">
        <v>17</v>
      </c>
      <c r="AM313" s="1" t="s">
        <v>4926</v>
      </c>
      <c r="AN313" s="1" t="s">
        <v>5396</v>
      </c>
      <c r="AO313" s="1" t="s">
        <v>5182</v>
      </c>
      <c r="AP313" s="1">
        <v>0</v>
      </c>
      <c r="AQ313" s="1" t="s">
        <v>1202</v>
      </c>
      <c r="AR313" s="1" t="s">
        <v>1203</v>
      </c>
      <c r="AS313" s="1" t="s">
        <v>1204</v>
      </c>
      <c r="AT313" s="1" t="s">
        <v>329</v>
      </c>
      <c r="AU313" s="1">
        <v>238</v>
      </c>
      <c r="AV313" s="1">
        <v>0</v>
      </c>
      <c r="AW313" s="1" t="s">
        <v>5391</v>
      </c>
      <c r="AX313" s="1" t="s">
        <v>5394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4825</v>
      </c>
      <c r="BD313" s="1">
        <v>10402</v>
      </c>
      <c r="BE313" s="1"/>
    </row>
    <row r="314" spans="1:57" x14ac:dyDescent="0.25">
      <c r="A314" s="1">
        <v>320</v>
      </c>
      <c r="B314" s="1" t="s">
        <v>4048</v>
      </c>
      <c r="C314" s="9" t="s">
        <v>811</v>
      </c>
      <c r="D314" s="1" t="s">
        <v>4049</v>
      </c>
      <c r="E314" s="1"/>
      <c r="F314" s="1"/>
      <c r="G314" s="1" t="s">
        <v>4050</v>
      </c>
      <c r="H314" s="1" t="s">
        <v>4051</v>
      </c>
      <c r="I314" s="1" t="s">
        <v>4052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1371</v>
      </c>
      <c r="AK314" s="1" t="s">
        <v>329</v>
      </c>
      <c r="AL314" s="1">
        <v>13</v>
      </c>
      <c r="AM314" s="1" t="s">
        <v>4830</v>
      </c>
      <c r="AN314" s="1" t="s">
        <v>4897</v>
      </c>
      <c r="AO314" s="1" t="s">
        <v>4894</v>
      </c>
      <c r="AP314" s="1">
        <v>0</v>
      </c>
      <c r="AQ314" s="1" t="s">
        <v>1175</v>
      </c>
      <c r="AR314" s="1" t="s">
        <v>1176</v>
      </c>
      <c r="AS314" s="1" t="s">
        <v>1177</v>
      </c>
      <c r="AT314" s="1" t="s">
        <v>329</v>
      </c>
      <c r="AU314" s="1">
        <v>241</v>
      </c>
      <c r="AV314" s="1">
        <v>0</v>
      </c>
      <c r="AW314" s="1" t="s">
        <v>5397</v>
      </c>
      <c r="AX314" s="1" t="s">
        <v>5398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4053</v>
      </c>
      <c r="C315" s="9" t="s">
        <v>812</v>
      </c>
      <c r="D315" s="1" t="s">
        <v>4054</v>
      </c>
      <c r="E315" s="1"/>
      <c r="F315" s="1"/>
      <c r="G315" s="1" t="s">
        <v>4055</v>
      </c>
      <c r="H315" s="1" t="s">
        <v>4056</v>
      </c>
      <c r="I315" s="1" t="s">
        <v>4057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1372</v>
      </c>
      <c r="AK315" s="1" t="s">
        <v>1373</v>
      </c>
      <c r="AL315" s="1">
        <v>8</v>
      </c>
      <c r="AM315" s="1" t="s">
        <v>4784</v>
      </c>
      <c r="AN315" s="1" t="s">
        <v>335</v>
      </c>
      <c r="AO315" s="1" t="s">
        <v>5136</v>
      </c>
      <c r="AP315" s="1">
        <v>0</v>
      </c>
      <c r="AQ315" s="1" t="s">
        <v>1235</v>
      </c>
      <c r="AR315" s="1" t="s">
        <v>1236</v>
      </c>
      <c r="AS315" s="1" t="s">
        <v>1237</v>
      </c>
      <c r="AT315" s="1" t="s">
        <v>329</v>
      </c>
      <c r="AU315" s="1">
        <v>190</v>
      </c>
      <c r="AV315" s="1">
        <v>0</v>
      </c>
      <c r="AW315" s="1" t="s">
        <v>5399</v>
      </c>
      <c r="AX315" s="1" t="s">
        <v>5400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4058</v>
      </c>
      <c r="C316" s="9" t="s">
        <v>1707</v>
      </c>
      <c r="D316" s="1" t="s">
        <v>1707</v>
      </c>
      <c r="E316" s="1"/>
      <c r="F316" s="1"/>
      <c r="G316" s="1" t="s">
        <v>4059</v>
      </c>
      <c r="H316" s="1" t="s">
        <v>4060</v>
      </c>
      <c r="I316" s="1" t="s">
        <v>4061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1374</v>
      </c>
      <c r="AK316" s="1" t="s">
        <v>1375</v>
      </c>
      <c r="AL316" s="1">
        <v>13</v>
      </c>
      <c r="AM316" s="1" t="s">
        <v>1874</v>
      </c>
      <c r="AN316" s="1" t="s">
        <v>5015</v>
      </c>
      <c r="AO316" s="1" t="s">
        <v>5148</v>
      </c>
      <c r="AP316" s="1">
        <v>0</v>
      </c>
      <c r="AQ316" s="1" t="s">
        <v>1153</v>
      </c>
      <c r="AR316" s="1" t="s">
        <v>1154</v>
      </c>
      <c r="AS316" s="1" t="s">
        <v>1155</v>
      </c>
      <c r="AT316" s="1" t="s">
        <v>329</v>
      </c>
      <c r="AU316" s="1">
        <v>220</v>
      </c>
      <c r="AV316" s="1">
        <v>0</v>
      </c>
      <c r="AW316" s="1" t="s">
        <v>5401</v>
      </c>
      <c r="AX316" s="1" t="s">
        <v>5402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4851</v>
      </c>
      <c r="BD316" s="1">
        <v>10705</v>
      </c>
      <c r="BE316" s="1"/>
    </row>
    <row r="317" spans="1:57" x14ac:dyDescent="0.25">
      <c r="A317" s="1">
        <v>323</v>
      </c>
      <c r="B317" s="1" t="s">
        <v>4062</v>
      </c>
      <c r="C317" s="9" t="s">
        <v>813</v>
      </c>
      <c r="D317" s="1" t="s">
        <v>813</v>
      </c>
      <c r="E317" s="1"/>
      <c r="F317" s="1"/>
      <c r="G317" s="1" t="s">
        <v>4063</v>
      </c>
      <c r="H317" s="1" t="s">
        <v>4064</v>
      </c>
      <c r="I317" s="1" t="s">
        <v>4065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1234</v>
      </c>
      <c r="AK317" s="1" t="s">
        <v>1376</v>
      </c>
      <c r="AL317" s="1">
        <v>8</v>
      </c>
      <c r="AM317" s="1" t="s">
        <v>4784</v>
      </c>
      <c r="AN317" s="1" t="s">
        <v>5403</v>
      </c>
      <c r="AO317" s="1" t="s">
        <v>5010</v>
      </c>
      <c r="AP317" s="1">
        <v>0</v>
      </c>
      <c r="AQ317" s="1" t="s">
        <v>1235</v>
      </c>
      <c r="AR317" s="1" t="s">
        <v>1236</v>
      </c>
      <c r="AS317" s="1" t="s">
        <v>1237</v>
      </c>
      <c r="AT317" s="1" t="s">
        <v>329</v>
      </c>
      <c r="AU317" s="1">
        <v>164</v>
      </c>
      <c r="AV317" s="1">
        <v>0</v>
      </c>
      <c r="AW317" s="1" t="s">
        <v>5404</v>
      </c>
      <c r="AX317" s="1" t="s">
        <v>4787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4807</v>
      </c>
      <c r="BD317" s="1">
        <v>10302</v>
      </c>
      <c r="BE317" s="1"/>
    </row>
    <row r="318" spans="1:57" x14ac:dyDescent="0.25">
      <c r="A318" s="1">
        <v>324</v>
      </c>
      <c r="B318" s="1" t="s">
        <v>4066</v>
      </c>
      <c r="C318" s="9" t="s">
        <v>814</v>
      </c>
      <c r="D318" s="1" t="s">
        <v>4067</v>
      </c>
      <c r="E318" s="1"/>
      <c r="F318" s="1"/>
      <c r="G318" s="1" t="s">
        <v>4068</v>
      </c>
      <c r="H318" s="1" t="s">
        <v>4069</v>
      </c>
      <c r="I318" s="1" t="s">
        <v>4070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5405</v>
      </c>
      <c r="AK318" s="1" t="s">
        <v>1377</v>
      </c>
      <c r="AL318" s="1">
        <v>9</v>
      </c>
      <c r="AM318" s="1" t="s">
        <v>4784</v>
      </c>
      <c r="AN318" s="1" t="s">
        <v>5406</v>
      </c>
      <c r="AO318" s="1" t="s">
        <v>5258</v>
      </c>
      <c r="AP318" s="1">
        <v>0</v>
      </c>
      <c r="AQ318" s="1" t="s">
        <v>1235</v>
      </c>
      <c r="AR318" s="1" t="s">
        <v>1236</v>
      </c>
      <c r="AS318" s="1" t="s">
        <v>1237</v>
      </c>
      <c r="AT318" s="1" t="s">
        <v>329</v>
      </c>
      <c r="AU318" s="1">
        <v>164</v>
      </c>
      <c r="AV318" s="1">
        <v>0</v>
      </c>
      <c r="AW318" s="1" t="s">
        <v>5404</v>
      </c>
      <c r="AX318" s="1" t="s">
        <v>4787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4788</v>
      </c>
      <c r="BD318" s="1">
        <v>10202</v>
      </c>
      <c r="BE318" s="1"/>
    </row>
    <row r="319" spans="1:57" x14ac:dyDescent="0.25">
      <c r="A319" s="1">
        <v>325</v>
      </c>
      <c r="B319" s="1" t="s">
        <v>4071</v>
      </c>
      <c r="C319" s="9" t="s">
        <v>1708</v>
      </c>
      <c r="D319" s="1" t="s">
        <v>1708</v>
      </c>
      <c r="E319" s="1"/>
      <c r="F319" s="1"/>
      <c r="G319" s="1" t="s">
        <v>4072</v>
      </c>
      <c r="H319" s="1" t="s">
        <v>4073</v>
      </c>
      <c r="I319" s="1" t="s">
        <v>4074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5407</v>
      </c>
      <c r="AK319" s="1" t="s">
        <v>329</v>
      </c>
      <c r="AL319" s="1">
        <v>8</v>
      </c>
      <c r="AM319" s="1" t="s">
        <v>4784</v>
      </c>
      <c r="AN319" s="1" t="s">
        <v>5408</v>
      </c>
      <c r="AO319" s="1" t="s">
        <v>4892</v>
      </c>
      <c r="AP319" s="1">
        <v>0</v>
      </c>
      <c r="AQ319" s="1" t="s">
        <v>1235</v>
      </c>
      <c r="AR319" s="1" t="s">
        <v>1236</v>
      </c>
      <c r="AS319" s="1" t="s">
        <v>1237</v>
      </c>
      <c r="AT319" s="1" t="s">
        <v>329</v>
      </c>
      <c r="AU319" s="1">
        <v>165</v>
      </c>
      <c r="AV319" s="1">
        <v>0</v>
      </c>
      <c r="AW319" s="1" t="s">
        <v>5404</v>
      </c>
      <c r="AX319" s="1" t="s">
        <v>4787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4807</v>
      </c>
      <c r="BD319" s="1">
        <v>10701</v>
      </c>
      <c r="BE319" s="1"/>
    </row>
    <row r="320" spans="1:57" x14ac:dyDescent="0.25">
      <c r="A320" s="1">
        <v>326</v>
      </c>
      <c r="B320" s="1" t="s">
        <v>4075</v>
      </c>
      <c r="C320" s="9" t="s">
        <v>815</v>
      </c>
      <c r="D320" s="1" t="s">
        <v>815</v>
      </c>
      <c r="E320" s="1"/>
      <c r="F320" s="1"/>
      <c r="G320" s="1" t="s">
        <v>4076</v>
      </c>
      <c r="H320" s="1" t="s">
        <v>4077</v>
      </c>
      <c r="I320" s="1" t="s">
        <v>4078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5409</v>
      </c>
      <c r="AK320" s="1" t="s">
        <v>1378</v>
      </c>
      <c r="AL320" s="1">
        <v>8</v>
      </c>
      <c r="AM320" s="1" t="s">
        <v>388</v>
      </c>
      <c r="AN320" s="1" t="s">
        <v>5410</v>
      </c>
      <c r="AO320" s="1" t="s">
        <v>4806</v>
      </c>
      <c r="AP320" s="1">
        <v>0</v>
      </c>
      <c r="AQ320" s="1" t="s">
        <v>1235</v>
      </c>
      <c r="AR320" s="1" t="s">
        <v>1236</v>
      </c>
      <c r="AS320" s="1" t="s">
        <v>1237</v>
      </c>
      <c r="AT320" s="1" t="s">
        <v>329</v>
      </c>
      <c r="AU320" s="1">
        <v>165</v>
      </c>
      <c r="AV320" s="1">
        <v>0</v>
      </c>
      <c r="AW320" s="1" t="s">
        <v>5404</v>
      </c>
      <c r="AX320" s="1" t="s">
        <v>4787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4837</v>
      </c>
      <c r="BD320" s="1">
        <v>10403</v>
      </c>
      <c r="BE320" s="1"/>
    </row>
    <row r="321" spans="1:57" x14ac:dyDescent="0.25">
      <c r="A321" s="1">
        <v>327</v>
      </c>
      <c r="B321" s="1" t="s">
        <v>4079</v>
      </c>
      <c r="C321" s="9" t="s">
        <v>1709</v>
      </c>
      <c r="D321" s="1" t="s">
        <v>1709</v>
      </c>
      <c r="E321" s="1"/>
      <c r="F321" s="1"/>
      <c r="G321" s="1" t="s">
        <v>4080</v>
      </c>
      <c r="H321" s="1" t="s">
        <v>4081</v>
      </c>
      <c r="I321" s="1" t="s">
        <v>4082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5411</v>
      </c>
      <c r="AK321" s="1" t="s">
        <v>329</v>
      </c>
      <c r="AL321" s="1">
        <v>12</v>
      </c>
      <c r="AM321" s="1" t="s">
        <v>1874</v>
      </c>
      <c r="AN321" s="1" t="s">
        <v>5412</v>
      </c>
      <c r="AO321" s="1" t="s">
        <v>5413</v>
      </c>
      <c r="AP321" s="1">
        <v>0</v>
      </c>
      <c r="AQ321" s="1" t="s">
        <v>1164</v>
      </c>
      <c r="AR321" s="1" t="s">
        <v>1154</v>
      </c>
      <c r="AS321" s="1" t="s">
        <v>1165</v>
      </c>
      <c r="AT321" s="1" t="s">
        <v>329</v>
      </c>
      <c r="AU321" s="1">
        <v>116</v>
      </c>
      <c r="AV321" s="1">
        <v>0</v>
      </c>
      <c r="AW321" s="1" t="s">
        <v>5414</v>
      </c>
      <c r="AX321" s="1" t="s">
        <v>5415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4788</v>
      </c>
      <c r="BD321" s="1">
        <v>10802</v>
      </c>
      <c r="BE321" s="1"/>
    </row>
    <row r="322" spans="1:57" x14ac:dyDescent="0.25">
      <c r="A322" s="1">
        <v>328</v>
      </c>
      <c r="B322" s="1" t="s">
        <v>4083</v>
      </c>
      <c r="C322" s="9" t="s">
        <v>1710</v>
      </c>
      <c r="D322" s="1" t="s">
        <v>1710</v>
      </c>
      <c r="E322" s="1"/>
      <c r="F322" s="1"/>
      <c r="G322" s="1" t="s">
        <v>4084</v>
      </c>
      <c r="H322" s="1" t="s">
        <v>4085</v>
      </c>
      <c r="I322" s="1" t="s">
        <v>4086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5416</v>
      </c>
      <c r="AK322" s="1" t="s">
        <v>1379</v>
      </c>
      <c r="AL322" s="1">
        <v>13</v>
      </c>
      <c r="AM322" s="1" t="s">
        <v>399</v>
      </c>
      <c r="AN322" s="1" t="s">
        <v>5417</v>
      </c>
      <c r="AO322" s="1" t="s">
        <v>5237</v>
      </c>
      <c r="AP322" s="1">
        <v>0</v>
      </c>
      <c r="AQ322" s="1" t="s">
        <v>1164</v>
      </c>
      <c r="AR322" s="1" t="s">
        <v>1154</v>
      </c>
      <c r="AS322" s="1" t="s">
        <v>1165</v>
      </c>
      <c r="AT322" s="1" t="s">
        <v>329</v>
      </c>
      <c r="AU322" s="1">
        <v>150</v>
      </c>
      <c r="AV322" s="1">
        <v>0</v>
      </c>
      <c r="AW322" s="1" t="s">
        <v>5418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4788</v>
      </c>
      <c r="BD322" s="1">
        <v>10202</v>
      </c>
      <c r="BE322" s="1"/>
    </row>
    <row r="323" spans="1:57" x14ac:dyDescent="0.25">
      <c r="A323" s="1">
        <v>329</v>
      </c>
      <c r="B323" s="1" t="s">
        <v>4087</v>
      </c>
      <c r="C323" s="9" t="s">
        <v>816</v>
      </c>
      <c r="D323" s="1" t="s">
        <v>816</v>
      </c>
      <c r="E323" s="1"/>
      <c r="F323" s="1"/>
      <c r="G323" s="1" t="s">
        <v>4088</v>
      </c>
      <c r="H323" s="1" t="s">
        <v>4089</v>
      </c>
      <c r="I323" s="1" t="s">
        <v>4090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5419</v>
      </c>
      <c r="AK323" s="1" t="s">
        <v>1380</v>
      </c>
      <c r="AL323" s="1">
        <v>14</v>
      </c>
      <c r="AM323" s="1" t="s">
        <v>4830</v>
      </c>
      <c r="AN323" s="1" t="s">
        <v>5320</v>
      </c>
      <c r="AO323" s="1" t="s">
        <v>4913</v>
      </c>
      <c r="AP323" s="1">
        <v>0</v>
      </c>
      <c r="AQ323" s="1" t="s">
        <v>1175</v>
      </c>
      <c r="AR323" s="1" t="s">
        <v>1176</v>
      </c>
      <c r="AS323" s="1" t="s">
        <v>1177</v>
      </c>
      <c r="AT323" s="1" t="s">
        <v>329</v>
      </c>
      <c r="AU323" s="1">
        <v>241</v>
      </c>
      <c r="AV323" s="1">
        <v>0</v>
      </c>
      <c r="AW323" s="1" t="s">
        <v>5418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4825</v>
      </c>
      <c r="BD323" s="1">
        <v>10203</v>
      </c>
      <c r="BE323" s="1"/>
    </row>
    <row r="324" spans="1:57" x14ac:dyDescent="0.25">
      <c r="A324" s="1">
        <v>330</v>
      </c>
      <c r="B324" s="1" t="s">
        <v>4091</v>
      </c>
      <c r="C324" s="9" t="s">
        <v>1711</v>
      </c>
      <c r="D324" s="1" t="s">
        <v>1711</v>
      </c>
      <c r="E324" s="1"/>
      <c r="F324" s="1"/>
      <c r="G324" s="1" t="s">
        <v>4092</v>
      </c>
      <c r="H324" s="1" t="s">
        <v>4093</v>
      </c>
      <c r="I324" s="1" t="s">
        <v>4094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5420</v>
      </c>
      <c r="AK324" s="1" t="s">
        <v>1381</v>
      </c>
      <c r="AL324" s="1">
        <v>13</v>
      </c>
      <c r="AM324" s="1" t="s">
        <v>4787</v>
      </c>
      <c r="AN324" s="1" t="s">
        <v>4952</v>
      </c>
      <c r="AO324" s="1" t="s">
        <v>4953</v>
      </c>
      <c r="AP324" s="1">
        <v>0</v>
      </c>
      <c r="AQ324" s="1" t="s">
        <v>1165</v>
      </c>
      <c r="AR324" s="1" t="s">
        <v>1189</v>
      </c>
      <c r="AS324" s="1" t="s">
        <v>1164</v>
      </c>
      <c r="AT324" s="1" t="s">
        <v>329</v>
      </c>
      <c r="AU324" s="1">
        <v>48</v>
      </c>
      <c r="AV324" s="1">
        <v>0</v>
      </c>
      <c r="AW324" s="1" t="s">
        <v>5418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4095</v>
      </c>
      <c r="C325" s="9" t="s">
        <v>817</v>
      </c>
      <c r="D325" s="1" t="s">
        <v>817</v>
      </c>
      <c r="E325" s="1"/>
      <c r="F325" s="1"/>
      <c r="G325" s="1" t="s">
        <v>4096</v>
      </c>
      <c r="H325" s="1" t="s">
        <v>4097</v>
      </c>
      <c r="I325" s="1" t="s">
        <v>4098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1382</v>
      </c>
      <c r="AK325" s="1" t="s">
        <v>329</v>
      </c>
      <c r="AL325" s="1">
        <v>14</v>
      </c>
      <c r="AM325" s="1" t="s">
        <v>1874</v>
      </c>
      <c r="AN325" s="1" t="s">
        <v>5421</v>
      </c>
      <c r="AO325" s="1" t="s">
        <v>5422</v>
      </c>
      <c r="AP325" s="1">
        <v>0</v>
      </c>
      <c r="AQ325" s="1" t="s">
        <v>1153</v>
      </c>
      <c r="AR325" s="1" t="s">
        <v>1154</v>
      </c>
      <c r="AS325" s="1" t="s">
        <v>1155</v>
      </c>
      <c r="AT325" s="1" t="s">
        <v>329</v>
      </c>
      <c r="AU325" s="1">
        <v>96</v>
      </c>
      <c r="AV325" s="1">
        <v>0</v>
      </c>
      <c r="AW325" s="1" t="s">
        <v>5423</v>
      </c>
      <c r="AX325" s="1" t="s">
        <v>5424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4099</v>
      </c>
      <c r="C326" s="9" t="s">
        <v>818</v>
      </c>
      <c r="D326" s="1" t="s">
        <v>818</v>
      </c>
      <c r="E326" s="1"/>
      <c r="F326" s="1"/>
      <c r="G326" s="1" t="s">
        <v>4100</v>
      </c>
      <c r="H326" s="1" t="s">
        <v>4101</v>
      </c>
      <c r="I326" s="1" t="s">
        <v>4102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1383</v>
      </c>
      <c r="AL326" s="1">
        <v>17</v>
      </c>
      <c r="AM326" s="1" t="s">
        <v>1874</v>
      </c>
      <c r="AN326" s="1" t="s">
        <v>5425</v>
      </c>
      <c r="AO326" s="1" t="s">
        <v>5062</v>
      </c>
      <c r="AP326" s="1">
        <v>0</v>
      </c>
      <c r="AQ326" s="1" t="s">
        <v>1153</v>
      </c>
      <c r="AR326" s="1" t="s">
        <v>1154</v>
      </c>
      <c r="AS326" s="1" t="s">
        <v>1155</v>
      </c>
      <c r="AT326" s="1" t="s">
        <v>329</v>
      </c>
      <c r="AU326" s="1">
        <v>212</v>
      </c>
      <c r="AV326" s="1">
        <v>0</v>
      </c>
      <c r="AW326" s="1" t="s">
        <v>5423</v>
      </c>
      <c r="AX326" s="1" t="s">
        <v>5126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4788</v>
      </c>
      <c r="BD326" s="1">
        <v>10704</v>
      </c>
      <c r="BE326" s="1"/>
    </row>
    <row r="327" spans="1:57" x14ac:dyDescent="0.25">
      <c r="A327" s="1">
        <v>333</v>
      </c>
      <c r="B327" s="1" t="s">
        <v>4103</v>
      </c>
      <c r="C327" s="9" t="s">
        <v>819</v>
      </c>
      <c r="D327" s="1" t="s">
        <v>819</v>
      </c>
      <c r="E327" s="1"/>
      <c r="F327" s="1"/>
      <c r="G327" s="1" t="s">
        <v>4104</v>
      </c>
      <c r="H327" s="1" t="s">
        <v>4105</v>
      </c>
      <c r="I327" s="1" t="s">
        <v>4106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1384</v>
      </c>
      <c r="AK327" s="1" t="s">
        <v>1385</v>
      </c>
      <c r="AL327" s="1">
        <v>13</v>
      </c>
      <c r="AM327" s="1" t="s">
        <v>4858</v>
      </c>
      <c r="AN327" s="1" t="s">
        <v>4861</v>
      </c>
      <c r="AO327" s="1" t="s">
        <v>5426</v>
      </c>
      <c r="AP327" s="1">
        <v>0</v>
      </c>
      <c r="AQ327" s="1" t="s">
        <v>1164</v>
      </c>
      <c r="AR327" s="1" t="s">
        <v>1154</v>
      </c>
      <c r="AS327" s="1" t="s">
        <v>1165</v>
      </c>
      <c r="AT327" s="1" t="s">
        <v>329</v>
      </c>
      <c r="AU327" s="1">
        <v>224</v>
      </c>
      <c r="AV327" s="1">
        <v>0</v>
      </c>
      <c r="AW327" s="1" t="s">
        <v>5423</v>
      </c>
      <c r="AX327" s="1" t="s">
        <v>5427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4807</v>
      </c>
      <c r="BD327" s="1">
        <v>10201</v>
      </c>
      <c r="BE327" s="1"/>
    </row>
    <row r="328" spans="1:57" x14ac:dyDescent="0.25">
      <c r="A328" s="1">
        <v>334</v>
      </c>
      <c r="B328" s="1" t="s">
        <v>4107</v>
      </c>
      <c r="C328" s="9" t="s">
        <v>820</v>
      </c>
      <c r="D328" s="1" t="s">
        <v>4108</v>
      </c>
      <c r="E328" s="1"/>
      <c r="F328" s="1"/>
      <c r="G328" s="1" t="s">
        <v>4109</v>
      </c>
      <c r="H328" s="1" t="s">
        <v>4110</v>
      </c>
      <c r="I328" s="1" t="s">
        <v>4111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1386</v>
      </c>
      <c r="AK328" s="1" t="s">
        <v>1387</v>
      </c>
      <c r="AL328" s="1">
        <v>19</v>
      </c>
      <c r="AM328" s="1" t="s">
        <v>4830</v>
      </c>
      <c r="AN328" s="1" t="s">
        <v>5428</v>
      </c>
      <c r="AO328" s="1" t="s">
        <v>4913</v>
      </c>
      <c r="AP328" s="1">
        <v>0</v>
      </c>
      <c r="AQ328" s="1" t="s">
        <v>1175</v>
      </c>
      <c r="AR328" s="1" t="s">
        <v>1176</v>
      </c>
      <c r="AS328" s="1" t="s">
        <v>1177</v>
      </c>
      <c r="AT328" s="1" t="s">
        <v>329</v>
      </c>
      <c r="AU328" s="1">
        <v>222</v>
      </c>
      <c r="AV328" s="1">
        <v>0</v>
      </c>
      <c r="AW328" s="1" t="s">
        <v>5423</v>
      </c>
      <c r="AX328" s="1" t="s">
        <v>5126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4788</v>
      </c>
      <c r="BD328" s="1">
        <v>10302</v>
      </c>
      <c r="BE328" s="1"/>
    </row>
    <row r="329" spans="1:57" x14ac:dyDescent="0.25">
      <c r="A329" s="1">
        <v>335</v>
      </c>
      <c r="B329" s="1" t="s">
        <v>4112</v>
      </c>
      <c r="C329" s="9" t="s">
        <v>821</v>
      </c>
      <c r="D329" s="1" t="s">
        <v>821</v>
      </c>
      <c r="E329" s="1"/>
      <c r="F329" s="1"/>
      <c r="G329" s="1" t="s">
        <v>4113</v>
      </c>
      <c r="H329" s="1" t="s">
        <v>4114</v>
      </c>
      <c r="I329" s="1" t="s">
        <v>4115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5429</v>
      </c>
      <c r="AK329" s="1" t="s">
        <v>1388</v>
      </c>
      <c r="AL329" s="1">
        <v>13</v>
      </c>
      <c r="AM329" s="1" t="s">
        <v>332</v>
      </c>
      <c r="AN329" s="1" t="s">
        <v>4932</v>
      </c>
      <c r="AO329" s="1" t="s">
        <v>5170</v>
      </c>
      <c r="AP329" s="1">
        <v>0</v>
      </c>
      <c r="AQ329" s="1" t="s">
        <v>1165</v>
      </c>
      <c r="AR329" s="1" t="s">
        <v>1189</v>
      </c>
      <c r="AS329" s="1" t="s">
        <v>1164</v>
      </c>
      <c r="AT329" s="1" t="s">
        <v>329</v>
      </c>
      <c r="AU329" s="1">
        <v>48</v>
      </c>
      <c r="AV329" s="1">
        <v>0</v>
      </c>
      <c r="AW329" s="1" t="s">
        <v>5423</v>
      </c>
      <c r="AX329" s="1" t="s">
        <v>5424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4825</v>
      </c>
      <c r="BD329" s="1">
        <v>10202</v>
      </c>
      <c r="BE329" s="1"/>
    </row>
    <row r="330" spans="1:57" x14ac:dyDescent="0.25">
      <c r="A330" s="1">
        <v>336</v>
      </c>
      <c r="B330" s="1" t="s">
        <v>4116</v>
      </c>
      <c r="C330" s="9" t="s">
        <v>1712</v>
      </c>
      <c r="D330" s="1" t="s">
        <v>1712</v>
      </c>
      <c r="E330" s="1"/>
      <c r="F330" s="1"/>
      <c r="G330" s="1" t="s">
        <v>4117</v>
      </c>
      <c r="H330" s="1" t="s">
        <v>4118</v>
      </c>
      <c r="I330" s="1" t="s">
        <v>4119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5430</v>
      </c>
      <c r="AK330" s="1" t="s">
        <v>1389</v>
      </c>
      <c r="AL330" s="1">
        <v>12</v>
      </c>
      <c r="AM330" s="1" t="s">
        <v>4858</v>
      </c>
      <c r="AN330" s="1" t="s">
        <v>5266</v>
      </c>
      <c r="AO330" s="1" t="s">
        <v>4971</v>
      </c>
      <c r="AP330" s="1">
        <v>0</v>
      </c>
      <c r="AQ330" s="1" t="s">
        <v>1164</v>
      </c>
      <c r="AR330" s="1" t="s">
        <v>1154</v>
      </c>
      <c r="AS330" s="1" t="s">
        <v>1165</v>
      </c>
      <c r="AT330" s="1" t="s">
        <v>329</v>
      </c>
      <c r="AU330" s="1">
        <v>150</v>
      </c>
      <c r="AV330" s="1">
        <v>0</v>
      </c>
      <c r="AW330" s="1" t="s">
        <v>5431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4825</v>
      </c>
      <c r="BD330" s="1">
        <v>10301</v>
      </c>
      <c r="BE330" s="1"/>
    </row>
    <row r="331" spans="1:57" x14ac:dyDescent="0.25">
      <c r="A331" s="1">
        <v>337</v>
      </c>
      <c r="B331" s="1" t="s">
        <v>4120</v>
      </c>
      <c r="C331" s="9" t="s">
        <v>901</v>
      </c>
      <c r="D331" s="1" t="s">
        <v>4121</v>
      </c>
      <c r="E331" s="1"/>
      <c r="F331" s="1"/>
      <c r="G331" s="1" t="s">
        <v>4122</v>
      </c>
      <c r="H331" s="1" t="s">
        <v>4123</v>
      </c>
      <c r="I331" s="1" t="s">
        <v>4124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1390</v>
      </c>
      <c r="AL331" s="1">
        <v>14</v>
      </c>
      <c r="AM331" s="1" t="s">
        <v>471</v>
      </c>
      <c r="AN331" s="1" t="s">
        <v>5432</v>
      </c>
      <c r="AO331" s="1" t="s">
        <v>4900</v>
      </c>
      <c r="AP331" s="1">
        <v>0</v>
      </c>
      <c r="AQ331" s="1" t="s">
        <v>1175</v>
      </c>
      <c r="AR331" s="1" t="s">
        <v>1176</v>
      </c>
      <c r="AS331" s="1" t="s">
        <v>1177</v>
      </c>
      <c r="AT331" s="1" t="s">
        <v>329</v>
      </c>
      <c r="AU331" s="1">
        <v>241</v>
      </c>
      <c r="AV331" s="1">
        <v>0</v>
      </c>
      <c r="AW331" s="1" t="s">
        <v>5431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4125</v>
      </c>
      <c r="C332" s="9" t="s">
        <v>900</v>
      </c>
      <c r="D332" s="1" t="s">
        <v>4126</v>
      </c>
      <c r="E332" s="1"/>
      <c r="F332" s="1"/>
      <c r="G332" s="1" t="s">
        <v>4127</v>
      </c>
      <c r="H332" s="1" t="s">
        <v>4128</v>
      </c>
      <c r="I332" s="1" t="s">
        <v>4129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5433</v>
      </c>
      <c r="AK332" s="1" t="s">
        <v>1391</v>
      </c>
      <c r="AL332" s="1">
        <v>13</v>
      </c>
      <c r="AM332" s="1" t="s">
        <v>4787</v>
      </c>
      <c r="AN332" s="1" t="s">
        <v>5434</v>
      </c>
      <c r="AO332" s="1" t="s">
        <v>5281</v>
      </c>
      <c r="AP332" s="1">
        <v>0</v>
      </c>
      <c r="AQ332" s="1" t="s">
        <v>1165</v>
      </c>
      <c r="AR332" s="1" t="s">
        <v>1189</v>
      </c>
      <c r="AS332" s="1" t="s">
        <v>1164</v>
      </c>
      <c r="AT332" s="1" t="s">
        <v>329</v>
      </c>
      <c r="AU332" s="1">
        <v>48</v>
      </c>
      <c r="AV332" s="1">
        <v>0</v>
      </c>
      <c r="AW332" s="1" t="s">
        <v>5431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4130</v>
      </c>
      <c r="C333" s="9" t="s">
        <v>1713</v>
      </c>
      <c r="D333" s="1" t="s">
        <v>1713</v>
      </c>
      <c r="E333" s="1"/>
      <c r="F333" s="1"/>
      <c r="G333" s="1" t="s">
        <v>4131</v>
      </c>
      <c r="H333" s="1" t="s">
        <v>4132</v>
      </c>
      <c r="I333" s="1" t="s">
        <v>4133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1392</v>
      </c>
      <c r="AK333" s="1" t="s">
        <v>1393</v>
      </c>
      <c r="AL333" s="1">
        <v>18</v>
      </c>
      <c r="AM333" s="1" t="s">
        <v>4926</v>
      </c>
      <c r="AN333" s="1" t="s">
        <v>5435</v>
      </c>
      <c r="AO333" s="1" t="s">
        <v>5436</v>
      </c>
      <c r="AP333" s="1">
        <v>0</v>
      </c>
      <c r="AQ333" s="1" t="s">
        <v>1202</v>
      </c>
      <c r="AR333" s="1" t="s">
        <v>1203</v>
      </c>
      <c r="AS333" s="1" t="s">
        <v>1204</v>
      </c>
      <c r="AT333" s="1" t="s">
        <v>329</v>
      </c>
      <c r="AU333" s="1">
        <v>238</v>
      </c>
      <c r="AV333" s="1">
        <v>0</v>
      </c>
      <c r="AW333" s="1" t="s">
        <v>5431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4825</v>
      </c>
      <c r="BD333" s="1">
        <v>10203</v>
      </c>
      <c r="BE333" s="1"/>
    </row>
    <row r="334" spans="1:57" x14ac:dyDescent="0.25">
      <c r="A334" s="1">
        <v>340</v>
      </c>
      <c r="B334" s="1" t="s">
        <v>4134</v>
      </c>
      <c r="C334" s="9" t="s">
        <v>1714</v>
      </c>
      <c r="D334" s="1" t="s">
        <v>1714</v>
      </c>
      <c r="E334" s="1"/>
      <c r="F334" s="1"/>
      <c r="G334" s="1" t="s">
        <v>4135</v>
      </c>
      <c r="H334" s="1" t="s">
        <v>4136</v>
      </c>
      <c r="I334" s="1" t="s">
        <v>4137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1394</v>
      </c>
      <c r="AK334" s="1" t="s">
        <v>1395</v>
      </c>
      <c r="AL334" s="1">
        <v>13</v>
      </c>
      <c r="AM334" s="1" t="s">
        <v>4787</v>
      </c>
      <c r="AN334" s="1" t="s">
        <v>4902</v>
      </c>
      <c r="AO334" s="1" t="s">
        <v>5070</v>
      </c>
      <c r="AP334" s="1">
        <v>0</v>
      </c>
      <c r="AQ334" s="1" t="s">
        <v>1165</v>
      </c>
      <c r="AR334" s="1" t="s">
        <v>1189</v>
      </c>
      <c r="AS334" s="1" t="s">
        <v>1164</v>
      </c>
      <c r="AT334" s="1" t="s">
        <v>329</v>
      </c>
      <c r="AU334" s="1">
        <v>48</v>
      </c>
      <c r="AV334" s="1">
        <v>0</v>
      </c>
      <c r="AW334" s="1" t="s">
        <v>5437</v>
      </c>
      <c r="AX334" s="1" t="s">
        <v>5438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4825</v>
      </c>
      <c r="BD334" s="1">
        <v>10402</v>
      </c>
      <c r="BE334" s="1"/>
    </row>
    <row r="335" spans="1:57" x14ac:dyDescent="0.25">
      <c r="A335" s="1">
        <v>341</v>
      </c>
      <c r="B335" s="1" t="s">
        <v>4138</v>
      </c>
      <c r="C335" s="9" t="s">
        <v>1738</v>
      </c>
      <c r="D335" s="1" t="s">
        <v>1738</v>
      </c>
      <c r="E335" s="1"/>
      <c r="F335" s="1"/>
      <c r="G335" s="1" t="s">
        <v>4139</v>
      </c>
      <c r="H335" s="1" t="s">
        <v>4140</v>
      </c>
      <c r="I335" s="1" t="s">
        <v>4141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1739</v>
      </c>
      <c r="AK335" s="1" t="s">
        <v>1740</v>
      </c>
      <c r="AL335" s="1">
        <v>14</v>
      </c>
      <c r="AM335" s="1" t="s">
        <v>399</v>
      </c>
      <c r="AN335" s="1" t="s">
        <v>5439</v>
      </c>
      <c r="AO335" s="1" t="s">
        <v>5440</v>
      </c>
      <c r="AP335" s="1">
        <v>0</v>
      </c>
      <c r="AQ335" s="1" t="s">
        <v>1164</v>
      </c>
      <c r="AR335" s="1" t="s">
        <v>1154</v>
      </c>
      <c r="AS335" s="1" t="s">
        <v>1165</v>
      </c>
      <c r="AT335" s="1" t="s">
        <v>329</v>
      </c>
      <c r="AU335" s="1">
        <v>150</v>
      </c>
      <c r="AV335" s="1">
        <v>0</v>
      </c>
      <c r="AW335" s="1" t="s">
        <v>5441</v>
      </c>
      <c r="AX335" s="1" t="s">
        <v>5442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4142</v>
      </c>
      <c r="C336" s="9" t="s">
        <v>1741</v>
      </c>
      <c r="D336" s="1" t="s">
        <v>1741</v>
      </c>
      <c r="E336" s="1"/>
      <c r="F336" s="1"/>
      <c r="G336" s="1" t="s">
        <v>4143</v>
      </c>
      <c r="H336" s="1" t="s">
        <v>4144</v>
      </c>
      <c r="I336" s="1" t="s">
        <v>4145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1742</v>
      </c>
      <c r="AK336" s="1" t="s">
        <v>1743</v>
      </c>
      <c r="AL336" s="1">
        <v>13</v>
      </c>
      <c r="AM336" s="1" t="s">
        <v>4787</v>
      </c>
      <c r="AN336" s="1" t="s">
        <v>4932</v>
      </c>
      <c r="AO336" s="1" t="s">
        <v>5443</v>
      </c>
      <c r="AP336" s="1">
        <v>0</v>
      </c>
      <c r="AQ336" s="1" t="s">
        <v>1165</v>
      </c>
      <c r="AR336" s="1" t="s">
        <v>1189</v>
      </c>
      <c r="AS336" s="1" t="s">
        <v>1164</v>
      </c>
      <c r="AT336" s="1" t="s">
        <v>329</v>
      </c>
      <c r="AU336" s="1">
        <v>48</v>
      </c>
      <c r="AV336" s="1">
        <v>0</v>
      </c>
      <c r="AW336" s="1" t="s">
        <v>5441</v>
      </c>
      <c r="AX336" s="1" t="s">
        <v>5444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4146</v>
      </c>
      <c r="C337" s="9" t="s">
        <v>1744</v>
      </c>
      <c r="D337" s="1" t="s">
        <v>1744</v>
      </c>
      <c r="E337" s="1"/>
      <c r="F337" s="1"/>
      <c r="G337" s="1" t="s">
        <v>4147</v>
      </c>
      <c r="H337" s="1" t="s">
        <v>4148</v>
      </c>
      <c r="I337" s="1" t="s">
        <v>4149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1745</v>
      </c>
      <c r="AK337" s="1" t="s">
        <v>1746</v>
      </c>
      <c r="AL337" s="1">
        <v>14</v>
      </c>
      <c r="AM337" s="1" t="s">
        <v>4787</v>
      </c>
      <c r="AN337" s="1" t="s">
        <v>5320</v>
      </c>
      <c r="AO337" s="1" t="s">
        <v>5082</v>
      </c>
      <c r="AP337" s="1">
        <v>0</v>
      </c>
      <c r="AQ337" s="1" t="s">
        <v>1165</v>
      </c>
      <c r="AR337" s="1" t="s">
        <v>1189</v>
      </c>
      <c r="AS337" s="1" t="s">
        <v>1164</v>
      </c>
      <c r="AT337" s="1" t="s">
        <v>329</v>
      </c>
      <c r="AU337" s="1">
        <v>48</v>
      </c>
      <c r="AV337" s="1">
        <v>0</v>
      </c>
      <c r="AW337" s="1" t="s">
        <v>5441</v>
      </c>
      <c r="AX337" s="1" t="s">
        <v>5445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4150</v>
      </c>
      <c r="C338" s="9" t="s">
        <v>1747</v>
      </c>
      <c r="D338" s="1" t="s">
        <v>1752</v>
      </c>
      <c r="E338" s="1"/>
      <c r="F338" s="1"/>
      <c r="G338" s="1" t="s">
        <v>4151</v>
      </c>
      <c r="H338" s="1" t="s">
        <v>4152</v>
      </c>
      <c r="I338" s="1" t="s">
        <v>4153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1748</v>
      </c>
      <c r="AK338" s="1" t="s">
        <v>1749</v>
      </c>
      <c r="AL338" s="1">
        <v>12</v>
      </c>
      <c r="AM338" s="1" t="s">
        <v>4787</v>
      </c>
      <c r="AN338" s="1" t="s">
        <v>5256</v>
      </c>
      <c r="AO338" s="1" t="s">
        <v>5082</v>
      </c>
      <c r="AP338" s="1">
        <v>0</v>
      </c>
      <c r="AQ338" s="1" t="s">
        <v>1165</v>
      </c>
      <c r="AR338" s="1" t="s">
        <v>1189</v>
      </c>
      <c r="AS338" s="1" t="s">
        <v>1164</v>
      </c>
      <c r="AT338" s="1" t="s">
        <v>329</v>
      </c>
      <c r="AU338" s="1">
        <v>48</v>
      </c>
      <c r="AV338" s="1">
        <v>0</v>
      </c>
      <c r="AW338" s="1" t="s">
        <v>5441</v>
      </c>
      <c r="AX338" s="1" t="s">
        <v>5444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4154</v>
      </c>
      <c r="C339" s="9" t="s">
        <v>1750</v>
      </c>
      <c r="D339" s="1" t="s">
        <v>1750</v>
      </c>
      <c r="E339" s="1"/>
      <c r="F339" s="1"/>
      <c r="G339" s="1" t="s">
        <v>4155</v>
      </c>
      <c r="H339" s="1" t="s">
        <v>4156</v>
      </c>
      <c r="I339" s="1" t="s">
        <v>4157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1751</v>
      </c>
      <c r="AK339" s="1" t="s">
        <v>329</v>
      </c>
      <c r="AL339" s="1">
        <v>18</v>
      </c>
      <c r="AM339" s="1" t="s">
        <v>4926</v>
      </c>
      <c r="AN339" s="1" t="s">
        <v>5446</v>
      </c>
      <c r="AO339" s="1" t="s">
        <v>5223</v>
      </c>
      <c r="AP339" s="1">
        <v>0</v>
      </c>
      <c r="AQ339" s="1" t="s">
        <v>1202</v>
      </c>
      <c r="AR339" s="1" t="s">
        <v>1203</v>
      </c>
      <c r="AS339" s="1" t="s">
        <v>1204</v>
      </c>
      <c r="AT339" s="1" t="s">
        <v>329</v>
      </c>
      <c r="AU339" s="1">
        <v>238</v>
      </c>
      <c r="AV339" s="1">
        <v>0</v>
      </c>
      <c r="AW339" s="1" t="s">
        <v>5441</v>
      </c>
      <c r="AX339" s="1" t="s">
        <v>5445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4158</v>
      </c>
      <c r="C340" s="9" t="s">
        <v>1762</v>
      </c>
      <c r="D340" s="1" t="s">
        <v>1762</v>
      </c>
      <c r="E340" s="1"/>
      <c r="F340" s="1"/>
      <c r="G340" s="1" t="s">
        <v>4159</v>
      </c>
      <c r="H340" s="1" t="s">
        <v>4160</v>
      </c>
      <c r="I340" s="1" t="s">
        <v>4161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1763</v>
      </c>
      <c r="AL340" s="1">
        <v>13</v>
      </c>
      <c r="AM340" s="1" t="s">
        <v>1874</v>
      </c>
      <c r="AN340" s="1" t="s">
        <v>5447</v>
      </c>
      <c r="AO340" s="1" t="s">
        <v>4809</v>
      </c>
      <c r="AP340" s="1">
        <v>0</v>
      </c>
      <c r="AQ340" s="1" t="s">
        <v>1153</v>
      </c>
      <c r="AR340" s="1" t="s">
        <v>1154</v>
      </c>
      <c r="AS340" s="1" t="s">
        <v>1155</v>
      </c>
      <c r="AT340" s="1" t="s">
        <v>329</v>
      </c>
      <c r="AU340" s="1">
        <v>212</v>
      </c>
      <c r="AV340" s="1">
        <v>0</v>
      </c>
      <c r="AW340" s="1" t="s">
        <v>5448</v>
      </c>
      <c r="AX340" s="1" t="s">
        <v>4830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4162</v>
      </c>
      <c r="C341" s="9" t="s">
        <v>1764</v>
      </c>
      <c r="D341" s="1" t="s">
        <v>1764</v>
      </c>
      <c r="E341" s="1"/>
      <c r="F341" s="1"/>
      <c r="G341" s="1" t="s">
        <v>4163</v>
      </c>
      <c r="H341" s="1" t="s">
        <v>4164</v>
      </c>
      <c r="I341" s="1" t="s">
        <v>4165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1765</v>
      </c>
      <c r="AK341" s="1" t="s">
        <v>1766</v>
      </c>
      <c r="AL341" s="1">
        <v>12</v>
      </c>
      <c r="AM341" s="1" t="s">
        <v>399</v>
      </c>
      <c r="AN341" s="1" t="s">
        <v>5449</v>
      </c>
      <c r="AO341" s="1" t="s">
        <v>5450</v>
      </c>
      <c r="AP341" s="1">
        <v>0</v>
      </c>
      <c r="AQ341" s="1" t="s">
        <v>1164</v>
      </c>
      <c r="AR341" s="1" t="s">
        <v>1250</v>
      </c>
      <c r="AS341" s="1" t="s">
        <v>1165</v>
      </c>
      <c r="AT341" s="1" t="s">
        <v>329</v>
      </c>
      <c r="AU341" s="1">
        <v>150</v>
      </c>
      <c r="AV341" s="1">
        <v>0</v>
      </c>
      <c r="AW341" s="1" t="s">
        <v>5448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4825</v>
      </c>
      <c r="BD341" s="1">
        <v>10202</v>
      </c>
      <c r="BE341" s="1"/>
    </row>
    <row r="342" spans="1:57" x14ac:dyDescent="0.25">
      <c r="A342" s="1">
        <v>348</v>
      </c>
      <c r="B342" s="1" t="s">
        <v>4166</v>
      </c>
      <c r="C342" s="9" t="s">
        <v>1767</v>
      </c>
      <c r="D342" s="1" t="s">
        <v>1767</v>
      </c>
      <c r="E342" s="1"/>
      <c r="F342" s="1"/>
      <c r="G342" s="1" t="s">
        <v>4167</v>
      </c>
      <c r="H342" s="1" t="s">
        <v>4168</v>
      </c>
      <c r="I342" s="1" t="s">
        <v>4169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1768</v>
      </c>
      <c r="AK342" s="1" t="s">
        <v>1769</v>
      </c>
      <c r="AL342" s="1">
        <v>12</v>
      </c>
      <c r="AM342" s="1" t="s">
        <v>4830</v>
      </c>
      <c r="AN342" s="1" t="s">
        <v>5451</v>
      </c>
      <c r="AO342" s="1" t="s">
        <v>4913</v>
      </c>
      <c r="AP342" s="1">
        <v>0</v>
      </c>
      <c r="AQ342" s="1" t="s">
        <v>1175</v>
      </c>
      <c r="AR342" s="1" t="s">
        <v>1176</v>
      </c>
      <c r="AS342" s="1" t="s">
        <v>1177</v>
      </c>
      <c r="AT342" s="1" t="s">
        <v>329</v>
      </c>
      <c r="AU342" s="1">
        <v>241</v>
      </c>
      <c r="AV342" s="1">
        <v>0</v>
      </c>
      <c r="AW342" s="1" t="s">
        <v>5448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4170</v>
      </c>
      <c r="C343" s="9" t="s">
        <v>1770</v>
      </c>
      <c r="D343" s="1" t="s">
        <v>1770</v>
      </c>
      <c r="E343" s="1"/>
      <c r="F343" s="1"/>
      <c r="G343" s="1" t="s">
        <v>4171</v>
      </c>
      <c r="H343" s="1" t="s">
        <v>4172</v>
      </c>
      <c r="I343" s="1" t="s">
        <v>4173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1771</v>
      </c>
      <c r="AK343" s="1" t="s">
        <v>329</v>
      </c>
      <c r="AL343" s="1">
        <v>13</v>
      </c>
      <c r="AM343" s="1" t="s">
        <v>399</v>
      </c>
      <c r="AN343" s="1" t="s">
        <v>5452</v>
      </c>
      <c r="AO343" s="1" t="s">
        <v>5212</v>
      </c>
      <c r="AP343" s="1">
        <v>0</v>
      </c>
      <c r="AQ343" s="1" t="s">
        <v>1165</v>
      </c>
      <c r="AR343" s="1" t="s">
        <v>1189</v>
      </c>
      <c r="AS343" s="1" t="s">
        <v>1164</v>
      </c>
      <c r="AT343" s="1" t="s">
        <v>329</v>
      </c>
      <c r="AU343" s="1">
        <v>48</v>
      </c>
      <c r="AV343" s="1">
        <v>0</v>
      </c>
      <c r="AW343" s="1" t="s">
        <v>5448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4825</v>
      </c>
      <c r="BD343" s="1">
        <v>10402</v>
      </c>
      <c r="BE343" s="1"/>
    </row>
    <row r="344" spans="1:57" x14ac:dyDescent="0.25">
      <c r="A344" s="1">
        <v>350</v>
      </c>
      <c r="B344" s="1" t="s">
        <v>4777</v>
      </c>
      <c r="C344" s="9" t="s">
        <v>4778</v>
      </c>
      <c r="D344" s="1" t="s">
        <v>4778</v>
      </c>
      <c r="E344" s="1"/>
      <c r="F344" s="1"/>
      <c r="G344" s="1" t="s">
        <v>4779</v>
      </c>
      <c r="H344" s="1" t="s">
        <v>4780</v>
      </c>
      <c r="I344" s="1" t="s">
        <v>4781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4782</v>
      </c>
      <c r="AK344" s="1" t="s">
        <v>4783</v>
      </c>
      <c r="AL344" s="1">
        <v>7</v>
      </c>
      <c r="AM344" s="1" t="s">
        <v>4784</v>
      </c>
      <c r="AN344" s="1" t="s">
        <v>4559</v>
      </c>
      <c r="AO344" s="1" t="s">
        <v>4785</v>
      </c>
      <c r="AP344" s="1">
        <v>0</v>
      </c>
      <c r="AQ344" s="1" t="s">
        <v>1235</v>
      </c>
      <c r="AR344" s="1" t="s">
        <v>1236</v>
      </c>
      <c r="AS344" s="1" t="s">
        <v>1237</v>
      </c>
      <c r="AT344" s="1" t="s">
        <v>329</v>
      </c>
      <c r="AU344" s="1">
        <v>164</v>
      </c>
      <c r="AV344" s="1">
        <v>0</v>
      </c>
      <c r="AW344" s="1" t="s">
        <v>4786</v>
      </c>
      <c r="AX344" s="1" t="s">
        <v>4787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4788</v>
      </c>
      <c r="BD344" s="1">
        <v>10402</v>
      </c>
      <c r="BE344" s="1"/>
    </row>
    <row r="345" spans="1:57" x14ac:dyDescent="0.25">
      <c r="A345" s="1">
        <v>351</v>
      </c>
      <c r="B345" s="1" t="s">
        <v>4789</v>
      </c>
      <c r="C345" s="9" t="s">
        <v>4790</v>
      </c>
      <c r="D345" s="1" t="s">
        <v>4791</v>
      </c>
      <c r="E345" s="1"/>
      <c r="F345" s="1"/>
      <c r="G345" s="1" t="s">
        <v>4792</v>
      </c>
      <c r="H345" s="1" t="s">
        <v>4793</v>
      </c>
      <c r="I345" s="1" t="s">
        <v>4794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4795</v>
      </c>
      <c r="AK345" s="1" t="s">
        <v>329</v>
      </c>
      <c r="AL345" s="1">
        <v>8</v>
      </c>
      <c r="AM345" s="1" t="s">
        <v>4784</v>
      </c>
      <c r="AN345" s="1" t="s">
        <v>4796</v>
      </c>
      <c r="AO345" s="1" t="s">
        <v>4797</v>
      </c>
      <c r="AP345" s="1">
        <v>0</v>
      </c>
      <c r="AQ345" s="1" t="s">
        <v>1235</v>
      </c>
      <c r="AR345" s="1" t="s">
        <v>1236</v>
      </c>
      <c r="AS345" s="1" t="s">
        <v>1237</v>
      </c>
      <c r="AT345" s="1" t="s">
        <v>329</v>
      </c>
      <c r="AU345" s="1">
        <v>164</v>
      </c>
      <c r="AV345" s="1">
        <v>0</v>
      </c>
      <c r="AW345" s="1" t="s">
        <v>4786</v>
      </c>
      <c r="AX345" s="1" t="s">
        <v>4787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4788</v>
      </c>
      <c r="BD345" s="1">
        <v>10705</v>
      </c>
      <c r="BE345" s="1"/>
    </row>
    <row r="346" spans="1:57" x14ac:dyDescent="0.25">
      <c r="A346" s="1">
        <v>352</v>
      </c>
      <c r="B346" s="1" t="s">
        <v>4798</v>
      </c>
      <c r="C346" s="9" t="s">
        <v>4799</v>
      </c>
      <c r="D346" s="1" t="s">
        <v>4799</v>
      </c>
      <c r="E346" s="1"/>
      <c r="F346" s="1"/>
      <c r="G346" s="1" t="s">
        <v>4800</v>
      </c>
      <c r="H346" s="1" t="s">
        <v>4801</v>
      </c>
      <c r="I346" s="1" t="s">
        <v>4802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4803</v>
      </c>
      <c r="AK346" s="1" t="s">
        <v>4804</v>
      </c>
      <c r="AL346" s="1">
        <v>13</v>
      </c>
      <c r="AM346" s="1" t="s">
        <v>388</v>
      </c>
      <c r="AN346" s="1" t="s">
        <v>4805</v>
      </c>
      <c r="AO346" s="1" t="s">
        <v>4806</v>
      </c>
      <c r="AP346" s="1">
        <v>0</v>
      </c>
      <c r="AQ346" s="1" t="s">
        <v>1235</v>
      </c>
      <c r="AR346" s="1" t="s">
        <v>1236</v>
      </c>
      <c r="AS346" s="1" t="s">
        <v>1237</v>
      </c>
      <c r="AT346" s="1" t="s">
        <v>329</v>
      </c>
      <c r="AU346" s="1">
        <v>165</v>
      </c>
      <c r="AV346" s="1">
        <v>0</v>
      </c>
      <c r="AW346" s="1" t="s">
        <v>4786</v>
      </c>
      <c r="AX346" s="1" t="s">
        <v>4787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4807</v>
      </c>
      <c r="BD346" s="1">
        <v>10403</v>
      </c>
      <c r="BE346" s="1"/>
    </row>
    <row r="347" spans="1:57" x14ac:dyDescent="0.25">
      <c r="A347" s="1">
        <v>353</v>
      </c>
      <c r="B347" s="1" t="s">
        <v>5528</v>
      </c>
      <c r="C347" s="9" t="s">
        <v>5529</v>
      </c>
      <c r="D347" s="1" t="s">
        <v>5529</v>
      </c>
      <c r="E347" s="1" t="s">
        <v>329</v>
      </c>
      <c r="F347" s="1" t="s">
        <v>329</v>
      </c>
      <c r="G347" s="1" t="s">
        <v>5530</v>
      </c>
      <c r="H347" s="1" t="s">
        <v>5531</v>
      </c>
      <c r="I347" s="1" t="s">
        <v>5532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5533</v>
      </c>
      <c r="AK347" s="1" t="s">
        <v>5534</v>
      </c>
      <c r="AL347" s="1">
        <v>9</v>
      </c>
      <c r="AM347" s="1" t="s">
        <v>4784</v>
      </c>
      <c r="AN347" s="1" t="s">
        <v>5535</v>
      </c>
      <c r="AO347" s="1" t="s">
        <v>5277</v>
      </c>
      <c r="AP347" s="1">
        <v>0</v>
      </c>
      <c r="AQ347" s="1" t="s">
        <v>1235</v>
      </c>
      <c r="AR347" s="1" t="s">
        <v>1236</v>
      </c>
      <c r="AS347" s="1" t="s">
        <v>1237</v>
      </c>
      <c r="AT347" s="1" t="s">
        <v>329</v>
      </c>
      <c r="AU347" s="1">
        <v>165</v>
      </c>
      <c r="AV347" s="1">
        <v>0</v>
      </c>
      <c r="AW347" s="1" t="s">
        <v>4786</v>
      </c>
      <c r="AX347" s="1" t="s">
        <v>4787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5536</v>
      </c>
      <c r="C348" s="9" t="s">
        <v>5559</v>
      </c>
      <c r="D348" s="1" t="s">
        <v>5537</v>
      </c>
      <c r="E348" s="1" t="s">
        <v>329</v>
      </c>
      <c r="F348" s="1" t="s">
        <v>329</v>
      </c>
      <c r="G348" s="1" t="s">
        <v>5538</v>
      </c>
      <c r="H348" s="1" t="s">
        <v>5539</v>
      </c>
      <c r="I348" s="1" t="s">
        <v>5540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5541</v>
      </c>
      <c r="AK348" s="1" t="s">
        <v>5542</v>
      </c>
      <c r="AL348" s="1">
        <v>12</v>
      </c>
      <c r="AM348" s="1" t="s">
        <v>1874</v>
      </c>
      <c r="AN348" s="1" t="s">
        <v>5543</v>
      </c>
      <c r="AO348" s="1" t="s">
        <v>4877</v>
      </c>
      <c r="AP348" s="1">
        <v>0</v>
      </c>
      <c r="AQ348" s="1" t="s">
        <v>1153</v>
      </c>
      <c r="AR348" s="1" t="s">
        <v>1154</v>
      </c>
      <c r="AS348" s="1" t="s">
        <v>1155</v>
      </c>
      <c r="AT348" s="1" t="s">
        <v>329</v>
      </c>
      <c r="AU348" s="1">
        <v>212</v>
      </c>
      <c r="AV348" s="1">
        <v>0</v>
      </c>
      <c r="AW348" s="1" t="s">
        <v>5544</v>
      </c>
      <c r="AX348" s="1" t="s">
        <v>4830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4788</v>
      </c>
      <c r="BD348" s="1">
        <v>10302</v>
      </c>
      <c r="BE348" s="1"/>
    </row>
    <row r="349" spans="1:57" x14ac:dyDescent="0.25">
      <c r="A349" s="1">
        <v>355</v>
      </c>
      <c r="B349" s="1" t="s">
        <v>5545</v>
      </c>
      <c r="C349" s="9" t="s">
        <v>5546</v>
      </c>
      <c r="D349" s="1" t="s">
        <v>5546</v>
      </c>
      <c r="E349" s="1" t="s">
        <v>329</v>
      </c>
      <c r="F349" s="1" t="s">
        <v>329</v>
      </c>
      <c r="G349" s="1" t="s">
        <v>5547</v>
      </c>
      <c r="H349" s="1" t="s">
        <v>5548</v>
      </c>
      <c r="I349" s="1" t="s">
        <v>5549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5550</v>
      </c>
      <c r="AK349" s="1" t="s">
        <v>329</v>
      </c>
      <c r="AL349" s="1">
        <v>12</v>
      </c>
      <c r="AM349" s="1" t="s">
        <v>4858</v>
      </c>
      <c r="AN349" s="1" t="s">
        <v>359</v>
      </c>
      <c r="AO349" s="1" t="s">
        <v>5212</v>
      </c>
      <c r="AP349" s="1">
        <v>0</v>
      </c>
      <c r="AQ349" s="1" t="s">
        <v>1164</v>
      </c>
      <c r="AR349" s="1" t="s">
        <v>1154</v>
      </c>
      <c r="AS349" s="1" t="s">
        <v>1165</v>
      </c>
      <c r="AT349" s="1" t="s">
        <v>329</v>
      </c>
      <c r="AU349" s="1">
        <v>150</v>
      </c>
      <c r="AV349" s="1">
        <v>0</v>
      </c>
      <c r="AW349" s="1" t="s">
        <v>5544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4921</v>
      </c>
      <c r="BD349" s="1">
        <v>10704</v>
      </c>
      <c r="BE349" s="1"/>
    </row>
    <row r="350" spans="1:57" x14ac:dyDescent="0.25">
      <c r="A350" s="1">
        <v>356</v>
      </c>
      <c r="B350" s="1" t="s">
        <v>5551</v>
      </c>
      <c r="C350" s="9" t="s">
        <v>5552</v>
      </c>
      <c r="D350" s="1" t="s">
        <v>5552</v>
      </c>
      <c r="E350" s="1" t="s">
        <v>329</v>
      </c>
      <c r="F350" s="1" t="s">
        <v>329</v>
      </c>
      <c r="G350" s="1" t="s">
        <v>5553</v>
      </c>
      <c r="H350" s="1" t="s">
        <v>5554</v>
      </c>
      <c r="I350" s="1" t="s">
        <v>5555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5556</v>
      </c>
      <c r="AK350" s="1" t="s">
        <v>5557</v>
      </c>
      <c r="AL350" s="1">
        <v>14</v>
      </c>
      <c r="AM350" s="1" t="s">
        <v>4787</v>
      </c>
      <c r="AN350" s="1" t="s">
        <v>5219</v>
      </c>
      <c r="AO350" s="1" t="s">
        <v>5220</v>
      </c>
      <c r="AP350" s="1">
        <v>0</v>
      </c>
      <c r="AQ350" s="1" t="s">
        <v>1165</v>
      </c>
      <c r="AR350" s="1" t="s">
        <v>1189</v>
      </c>
      <c r="AS350" s="1" t="s">
        <v>1164</v>
      </c>
      <c r="AT350" s="1" t="s">
        <v>329</v>
      </c>
      <c r="AU350" s="1">
        <v>48</v>
      </c>
      <c r="AV350" s="1">
        <v>0</v>
      </c>
      <c r="AW350" s="1" t="s">
        <v>5544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4825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5742</v>
      </c>
      <c r="C351" s="9" t="s">
        <v>5743</v>
      </c>
      <c r="D351" s="1" t="s">
        <v>5743</v>
      </c>
      <c r="E351" s="1" t="s">
        <v>329</v>
      </c>
      <c r="F351" s="1" t="s">
        <v>329</v>
      </c>
      <c r="G351" s="1" t="s">
        <v>5744</v>
      </c>
      <c r="H351" s="1" t="s">
        <v>5745</v>
      </c>
      <c r="I351" s="1" t="s">
        <v>5746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5747</v>
      </c>
      <c r="AK351" s="1" t="s">
        <v>5748</v>
      </c>
      <c r="AL351" s="1">
        <v>13</v>
      </c>
      <c r="AM351" s="1" t="s">
        <v>1874</v>
      </c>
      <c r="AN351" s="1" t="s">
        <v>5749</v>
      </c>
      <c r="AO351" s="1" t="s">
        <v>4819</v>
      </c>
      <c r="AP351" s="1">
        <v>0</v>
      </c>
      <c r="AQ351" s="1" t="s">
        <v>1153</v>
      </c>
      <c r="AR351" s="1" t="s">
        <v>1154</v>
      </c>
      <c r="AS351" s="1" t="s">
        <v>1155</v>
      </c>
      <c r="AT351" s="1" t="s">
        <v>329</v>
      </c>
      <c r="AU351" s="1">
        <v>4</v>
      </c>
      <c r="AV351" s="1">
        <v>0</v>
      </c>
      <c r="AW351" s="1" t="s">
        <v>5750</v>
      </c>
      <c r="AX351" s="1" t="s">
        <v>5751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4807</v>
      </c>
      <c r="BD351" s="1">
        <v>10203</v>
      </c>
      <c r="BE351" s="1"/>
    </row>
    <row r="352" spans="1:57" x14ac:dyDescent="0.25">
      <c r="A352" s="1">
        <v>358</v>
      </c>
      <c r="B352" s="1" t="s">
        <v>5752</v>
      </c>
      <c r="C352" s="9" t="s">
        <v>5753</v>
      </c>
      <c r="D352" s="1" t="s">
        <v>5753</v>
      </c>
      <c r="E352" s="1" t="s">
        <v>329</v>
      </c>
      <c r="F352" s="1" t="s">
        <v>329</v>
      </c>
      <c r="G352" s="1" t="s">
        <v>5754</v>
      </c>
      <c r="H352" s="1" t="s">
        <v>5755</v>
      </c>
      <c r="I352" s="1" t="s">
        <v>5756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5757</v>
      </c>
      <c r="AL352" s="1">
        <v>13</v>
      </c>
      <c r="AM352" s="1" t="s">
        <v>1874</v>
      </c>
      <c r="AN352" s="1" t="s">
        <v>5758</v>
      </c>
      <c r="AO352" s="1" t="s">
        <v>5131</v>
      </c>
      <c r="AP352" s="1">
        <v>0</v>
      </c>
      <c r="AQ352" s="1" t="s">
        <v>1153</v>
      </c>
      <c r="AR352" s="1" t="s">
        <v>1154</v>
      </c>
      <c r="AS352" s="1" t="s">
        <v>1155</v>
      </c>
      <c r="AT352" s="1" t="s">
        <v>329</v>
      </c>
      <c r="AU352" s="1">
        <v>212</v>
      </c>
      <c r="AV352" s="1">
        <v>0</v>
      </c>
      <c r="AW352" s="1" t="s">
        <v>5750</v>
      </c>
      <c r="AX352" s="1" t="s">
        <v>1628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4837</v>
      </c>
      <c r="BD352" s="1">
        <v>10202</v>
      </c>
      <c r="BE352" s="1"/>
    </row>
    <row r="353" spans="1:57" x14ac:dyDescent="0.25">
      <c r="A353" s="1">
        <v>359</v>
      </c>
      <c r="B353" s="1" t="s">
        <v>5759</v>
      </c>
      <c r="C353" s="9" t="s">
        <v>5760</v>
      </c>
      <c r="D353" s="1" t="s">
        <v>5760</v>
      </c>
      <c r="E353" s="1" t="s">
        <v>329</v>
      </c>
      <c r="F353" s="1" t="s">
        <v>329</v>
      </c>
      <c r="G353" s="1" t="s">
        <v>5761</v>
      </c>
      <c r="H353" s="1" t="s">
        <v>5762</v>
      </c>
      <c r="I353" s="1" t="s">
        <v>5763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5764</v>
      </c>
      <c r="AK353" s="1" t="s">
        <v>5765</v>
      </c>
      <c r="AL353" s="1">
        <v>13</v>
      </c>
      <c r="AM353" s="1" t="s">
        <v>399</v>
      </c>
      <c r="AN353" s="1" t="s">
        <v>5766</v>
      </c>
      <c r="AO353" s="1" t="s">
        <v>5073</v>
      </c>
      <c r="AP353" s="1">
        <v>0</v>
      </c>
      <c r="AQ353" s="1" t="s">
        <v>1164</v>
      </c>
      <c r="AR353" s="1" t="s">
        <v>1154</v>
      </c>
      <c r="AS353" s="1" t="s">
        <v>1165</v>
      </c>
      <c r="AT353" s="1" t="s">
        <v>329</v>
      </c>
      <c r="AU353" s="1">
        <v>150</v>
      </c>
      <c r="AV353" s="1">
        <v>0</v>
      </c>
      <c r="AW353" s="1" t="s">
        <v>5750</v>
      </c>
      <c r="AX353" s="1" t="s">
        <v>1628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5767</v>
      </c>
      <c r="C354" s="9" t="s">
        <v>5768</v>
      </c>
      <c r="D354" s="1" t="s">
        <v>5768</v>
      </c>
      <c r="E354" s="1" t="s">
        <v>329</v>
      </c>
      <c r="F354" s="1" t="s">
        <v>329</v>
      </c>
      <c r="G354" s="1" t="s">
        <v>5769</v>
      </c>
      <c r="H354" s="1" t="s">
        <v>5770</v>
      </c>
      <c r="I354" s="1" t="s">
        <v>5771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5772</v>
      </c>
      <c r="AK354" s="1" t="s">
        <v>5773</v>
      </c>
      <c r="AL354" s="1">
        <v>13</v>
      </c>
      <c r="AM354" s="1" t="s">
        <v>4830</v>
      </c>
      <c r="AN354" s="1" t="s">
        <v>5774</v>
      </c>
      <c r="AO354" s="1" t="s">
        <v>4900</v>
      </c>
      <c r="AP354" s="1">
        <v>0</v>
      </c>
      <c r="AQ354" s="1" t="s">
        <v>1175</v>
      </c>
      <c r="AR354" s="1" t="s">
        <v>1176</v>
      </c>
      <c r="AS354" s="1" t="s">
        <v>1177</v>
      </c>
      <c r="AT354" s="1" t="s">
        <v>329</v>
      </c>
      <c r="AU354" s="1">
        <v>241</v>
      </c>
      <c r="AV354" s="1">
        <v>0</v>
      </c>
      <c r="AW354" s="1" t="s">
        <v>5750</v>
      </c>
      <c r="AX354" s="1" t="s">
        <v>5775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4788</v>
      </c>
      <c r="BD354" s="1">
        <v>10802</v>
      </c>
      <c r="BE354" s="1"/>
    </row>
    <row r="355" spans="1:57" x14ac:dyDescent="0.25">
      <c r="A355" s="1">
        <v>361</v>
      </c>
      <c r="B355" s="1" t="s">
        <v>5776</v>
      </c>
      <c r="C355" s="9" t="s">
        <v>5777</v>
      </c>
      <c r="D355" s="1" t="s">
        <v>5777</v>
      </c>
      <c r="E355" s="1" t="s">
        <v>329</v>
      </c>
      <c r="F355" s="1" t="s">
        <v>329</v>
      </c>
      <c r="G355" s="1" t="s">
        <v>5778</v>
      </c>
      <c r="H355" s="1" t="s">
        <v>5779</v>
      </c>
      <c r="I355" s="1" t="s">
        <v>5780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5781</v>
      </c>
      <c r="AL355" s="1">
        <v>13</v>
      </c>
      <c r="AM355" s="1" t="s">
        <v>4787</v>
      </c>
      <c r="AN355" s="1" t="s">
        <v>4932</v>
      </c>
      <c r="AO355" s="1" t="s">
        <v>5782</v>
      </c>
      <c r="AP355" s="1">
        <v>0</v>
      </c>
      <c r="AQ355" s="1" t="s">
        <v>1165</v>
      </c>
      <c r="AR355" s="1" t="s">
        <v>1189</v>
      </c>
      <c r="AS355" s="1" t="s">
        <v>1164</v>
      </c>
      <c r="AT355" s="1" t="s">
        <v>329</v>
      </c>
      <c r="AU355" s="1">
        <v>48</v>
      </c>
      <c r="AV355" s="1">
        <v>0</v>
      </c>
      <c r="AW355" s="1" t="s">
        <v>5750</v>
      </c>
      <c r="AX355" s="1" t="s">
        <v>5775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4851</v>
      </c>
      <c r="BD355" s="1">
        <v>10402</v>
      </c>
      <c r="BE355" s="1"/>
    </row>
    <row r="356" spans="1:57" x14ac:dyDescent="0.25">
      <c r="A356" s="1">
        <v>362</v>
      </c>
      <c r="B356" s="1" t="s">
        <v>5783</v>
      </c>
      <c r="C356" s="9" t="s">
        <v>5784</v>
      </c>
      <c r="D356" s="1" t="s">
        <v>5784</v>
      </c>
      <c r="E356" s="1" t="s">
        <v>329</v>
      </c>
      <c r="F356" s="1" t="s">
        <v>329</v>
      </c>
      <c r="G356" s="1" t="s">
        <v>5785</v>
      </c>
      <c r="H356" s="1" t="s">
        <v>5786</v>
      </c>
      <c r="I356" s="1" t="s">
        <v>5787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5788</v>
      </c>
      <c r="AK356" s="1" t="s">
        <v>5789</v>
      </c>
      <c r="AL356" s="1">
        <v>18</v>
      </c>
      <c r="AM356" s="1" t="s">
        <v>4926</v>
      </c>
      <c r="AN356" s="1" t="s">
        <v>5005</v>
      </c>
      <c r="AO356" s="1" t="s">
        <v>5079</v>
      </c>
      <c r="AP356" s="1">
        <v>0</v>
      </c>
      <c r="AQ356" s="1" t="s">
        <v>1202</v>
      </c>
      <c r="AR356" s="1" t="s">
        <v>1203</v>
      </c>
      <c r="AS356" s="1" t="s">
        <v>1204</v>
      </c>
      <c r="AT356" s="1" t="s">
        <v>329</v>
      </c>
      <c r="AU356" s="1">
        <v>238</v>
      </c>
      <c r="AV356" s="1">
        <v>0</v>
      </c>
      <c r="AW356" s="1" t="s">
        <v>5750</v>
      </c>
      <c r="AX356" s="1" t="s">
        <v>1628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4174</v>
      </c>
      <c r="C357" s="9" t="s">
        <v>193</v>
      </c>
      <c r="D357" s="1" t="s">
        <v>4175</v>
      </c>
      <c r="E357" s="1"/>
      <c r="F357" s="1"/>
      <c r="G357" s="1" t="s">
        <v>4176</v>
      </c>
      <c r="H357" s="1" t="s">
        <v>4177</v>
      </c>
      <c r="I357" s="1" t="s">
        <v>4178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1874</v>
      </c>
      <c r="AN357" s="1" t="s">
        <v>5030</v>
      </c>
      <c r="AO357" s="1" t="s">
        <v>5124</v>
      </c>
      <c r="AP357" s="1">
        <v>0</v>
      </c>
      <c r="AQ357" s="1" t="s">
        <v>1153</v>
      </c>
      <c r="AR357" s="1" t="s">
        <v>1154</v>
      </c>
      <c r="AS357" s="1" t="s">
        <v>1155</v>
      </c>
      <c r="AT357" s="1" t="s">
        <v>329</v>
      </c>
      <c r="AU357" s="1">
        <v>1001</v>
      </c>
      <c r="AV357" s="1">
        <v>1</v>
      </c>
      <c r="AW357" s="1" t="s">
        <v>5453</v>
      </c>
      <c r="AX357" s="1" t="s">
        <v>1874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5454</v>
      </c>
      <c r="BD357" s="1">
        <v>0</v>
      </c>
      <c r="BE357" s="1"/>
    </row>
    <row r="358" spans="1:57" x14ac:dyDescent="0.25">
      <c r="A358" s="1">
        <v>1002</v>
      </c>
      <c r="B358" s="1" t="s">
        <v>4179</v>
      </c>
      <c r="C358" s="9" t="s">
        <v>194</v>
      </c>
      <c r="D358" s="1" t="s">
        <v>4180</v>
      </c>
      <c r="E358" s="1"/>
      <c r="F358" s="1"/>
      <c r="G358" s="1" t="s">
        <v>4181</v>
      </c>
      <c r="H358" s="1" t="s">
        <v>4182</v>
      </c>
      <c r="I358" s="1" t="s">
        <v>4183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1234</v>
      </c>
      <c r="AK358" s="1" t="s">
        <v>329</v>
      </c>
      <c r="AL358" s="1">
        <v>8</v>
      </c>
      <c r="AM358" s="1" t="s">
        <v>4784</v>
      </c>
      <c r="AN358" s="1" t="s">
        <v>399</v>
      </c>
      <c r="AO358" s="1" t="s">
        <v>5335</v>
      </c>
      <c r="AP358" s="1">
        <v>0</v>
      </c>
      <c r="AQ358" s="1" t="s">
        <v>1235</v>
      </c>
      <c r="AR358" s="1" t="s">
        <v>1236</v>
      </c>
      <c r="AS358" s="1" t="s">
        <v>1237</v>
      </c>
      <c r="AT358" s="1" t="s">
        <v>329</v>
      </c>
      <c r="AU358" s="1">
        <v>1002</v>
      </c>
      <c r="AV358" s="1">
        <v>1</v>
      </c>
      <c r="AW358" s="1" t="s">
        <v>5453</v>
      </c>
      <c r="AX358" s="1" t="s">
        <v>1874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5454</v>
      </c>
      <c r="BD358" s="1">
        <v>0</v>
      </c>
      <c r="BE358" s="1"/>
    </row>
    <row r="359" spans="1:57" x14ac:dyDescent="0.25">
      <c r="A359" s="1">
        <v>1003</v>
      </c>
      <c r="B359" s="1" t="s">
        <v>4184</v>
      </c>
      <c r="C359" s="9" t="s">
        <v>822</v>
      </c>
      <c r="D359" s="1" t="s">
        <v>822</v>
      </c>
      <c r="E359" s="1"/>
      <c r="F359" s="1"/>
      <c r="G359" s="1" t="s">
        <v>4185</v>
      </c>
      <c r="H359" s="1" t="s">
        <v>4186</v>
      </c>
      <c r="I359" s="1" t="s">
        <v>4187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1396</v>
      </c>
      <c r="AK359" s="1" t="s">
        <v>329</v>
      </c>
      <c r="AL359" s="1">
        <v>13</v>
      </c>
      <c r="AM359" s="1" t="s">
        <v>1874</v>
      </c>
      <c r="AN359" s="1" t="s">
        <v>4815</v>
      </c>
      <c r="AO359" s="1" t="s">
        <v>5082</v>
      </c>
      <c r="AP359" s="1">
        <v>0</v>
      </c>
      <c r="AQ359" s="1" t="s">
        <v>1153</v>
      </c>
      <c r="AR359" s="1" t="s">
        <v>1154</v>
      </c>
      <c r="AS359" s="1" t="s">
        <v>1155</v>
      </c>
      <c r="AT359" s="1" t="s">
        <v>329</v>
      </c>
      <c r="AU359" s="1">
        <v>1003</v>
      </c>
      <c r="AV359" s="1">
        <v>1</v>
      </c>
      <c r="AW359" s="1" t="s">
        <v>5455</v>
      </c>
      <c r="AX359" s="1" t="s">
        <v>5456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5454</v>
      </c>
      <c r="BD359" s="1">
        <v>0</v>
      </c>
      <c r="BE359" s="1"/>
    </row>
    <row r="360" spans="1:57" x14ac:dyDescent="0.25">
      <c r="A360" s="1">
        <v>1004</v>
      </c>
      <c r="B360" s="1" t="s">
        <v>4188</v>
      </c>
      <c r="C360" s="9" t="s">
        <v>823</v>
      </c>
      <c r="D360" s="1" t="s">
        <v>4189</v>
      </c>
      <c r="E360" s="1"/>
      <c r="F360" s="1"/>
      <c r="G360" s="1" t="s">
        <v>4190</v>
      </c>
      <c r="H360" s="1" t="s">
        <v>4191</v>
      </c>
      <c r="I360" s="1" t="s">
        <v>4192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1396</v>
      </c>
      <c r="AK360" s="1" t="s">
        <v>329</v>
      </c>
      <c r="AL360" s="1">
        <v>13</v>
      </c>
      <c r="AM360" s="1" t="s">
        <v>4830</v>
      </c>
      <c r="AN360" s="1" t="s">
        <v>5457</v>
      </c>
      <c r="AO360" s="1" t="s">
        <v>4913</v>
      </c>
      <c r="AP360" s="1">
        <v>0</v>
      </c>
      <c r="AQ360" s="1" t="s">
        <v>1175</v>
      </c>
      <c r="AR360" s="1" t="s">
        <v>1176</v>
      </c>
      <c r="AS360" s="1" t="s">
        <v>1177</v>
      </c>
      <c r="AT360" s="1" t="s">
        <v>329</v>
      </c>
      <c r="AU360" s="1">
        <v>1004</v>
      </c>
      <c r="AV360" s="1">
        <v>1</v>
      </c>
      <c r="AW360" s="1" t="s">
        <v>5455</v>
      </c>
      <c r="AX360" s="1" t="s">
        <v>5458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5454</v>
      </c>
      <c r="BD360" s="1">
        <v>0</v>
      </c>
      <c r="BE360" s="1"/>
    </row>
    <row r="361" spans="1:57" x14ac:dyDescent="0.25">
      <c r="A361" s="1">
        <v>1005</v>
      </c>
      <c r="B361" s="1" t="s">
        <v>4193</v>
      </c>
      <c r="C361" s="9" t="s">
        <v>824</v>
      </c>
      <c r="D361" s="1" t="s">
        <v>824</v>
      </c>
      <c r="E361" s="1"/>
      <c r="F361" s="1"/>
      <c r="G361" s="1" t="s">
        <v>4194</v>
      </c>
      <c r="H361" s="1" t="s">
        <v>4195</v>
      </c>
      <c r="I361" s="1" t="s">
        <v>4196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1396</v>
      </c>
      <c r="AK361" s="1" t="s">
        <v>329</v>
      </c>
      <c r="AL361" s="1">
        <v>13</v>
      </c>
      <c r="AM361" s="1" t="s">
        <v>4830</v>
      </c>
      <c r="AN361" s="1" t="s">
        <v>5181</v>
      </c>
      <c r="AO361" s="1" t="s">
        <v>4913</v>
      </c>
      <c r="AP361" s="1">
        <v>0</v>
      </c>
      <c r="AQ361" s="1" t="s">
        <v>1175</v>
      </c>
      <c r="AR361" s="1" t="s">
        <v>1176</v>
      </c>
      <c r="AS361" s="1" t="s">
        <v>1177</v>
      </c>
      <c r="AT361" s="1" t="s">
        <v>329</v>
      </c>
      <c r="AU361" s="1">
        <v>1005</v>
      </c>
      <c r="AV361" s="1">
        <v>1</v>
      </c>
      <c r="AW361" s="1" t="s">
        <v>5455</v>
      </c>
      <c r="AX361" s="1" t="s">
        <v>5458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5454</v>
      </c>
      <c r="BD361" s="1">
        <v>0</v>
      </c>
      <c r="BE361" s="1"/>
    </row>
    <row r="362" spans="1:57" x14ac:dyDescent="0.25">
      <c r="A362" s="1">
        <v>1006</v>
      </c>
      <c r="B362" s="1" t="s">
        <v>4197</v>
      </c>
      <c r="C362" s="9" t="s">
        <v>825</v>
      </c>
      <c r="D362" s="1" t="s">
        <v>825</v>
      </c>
      <c r="E362" s="1"/>
      <c r="F362" s="1"/>
      <c r="G362" s="1" t="s">
        <v>4198</v>
      </c>
      <c r="H362" s="1" t="s">
        <v>4199</v>
      </c>
      <c r="I362" s="1" t="s">
        <v>4200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1167</v>
      </c>
      <c r="AK362" s="1" t="s">
        <v>1397</v>
      </c>
      <c r="AL362" s="1">
        <v>13</v>
      </c>
      <c r="AM362" s="1" t="s">
        <v>1874</v>
      </c>
      <c r="AN362" s="1" t="s">
        <v>5026</v>
      </c>
      <c r="AO362" s="1" t="s">
        <v>4885</v>
      </c>
      <c r="AP362" s="1">
        <v>0</v>
      </c>
      <c r="AQ362" s="1" t="s">
        <v>1153</v>
      </c>
      <c r="AR362" s="1" t="s">
        <v>1154</v>
      </c>
      <c r="AS362" s="1" t="s">
        <v>1155</v>
      </c>
      <c r="AT362" s="1" t="s">
        <v>329</v>
      </c>
      <c r="AU362" s="1">
        <v>1006</v>
      </c>
      <c r="AV362" s="1">
        <v>1</v>
      </c>
      <c r="AW362" s="1" t="s">
        <v>5455</v>
      </c>
      <c r="AX362" s="1" t="s">
        <v>5459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5454</v>
      </c>
      <c r="BD362" s="1">
        <v>0</v>
      </c>
      <c r="BE362" s="1"/>
    </row>
    <row r="363" spans="1:57" x14ac:dyDescent="0.25">
      <c r="A363" s="1">
        <v>1007</v>
      </c>
      <c r="B363" s="1" t="s">
        <v>4201</v>
      </c>
      <c r="C363" s="9" t="s">
        <v>826</v>
      </c>
      <c r="D363" s="1" t="s">
        <v>826</v>
      </c>
      <c r="E363" s="1"/>
      <c r="F363" s="1"/>
      <c r="G363" s="1" t="s">
        <v>4202</v>
      </c>
      <c r="H363" s="1" t="s">
        <v>4203</v>
      </c>
      <c r="I363" s="1" t="s">
        <v>4204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1396</v>
      </c>
      <c r="AK363" s="1" t="s">
        <v>1398</v>
      </c>
      <c r="AL363" s="1">
        <v>13</v>
      </c>
      <c r="AM363" s="1" t="s">
        <v>4787</v>
      </c>
      <c r="AN363" s="1" t="s">
        <v>476</v>
      </c>
      <c r="AO363" s="1" t="s">
        <v>5460</v>
      </c>
      <c r="AP363" s="1">
        <v>0</v>
      </c>
      <c r="AQ363" s="1" t="s">
        <v>1165</v>
      </c>
      <c r="AR363" s="1" t="s">
        <v>1189</v>
      </c>
      <c r="AS363" s="1" t="s">
        <v>1164</v>
      </c>
      <c r="AT363" s="1" t="s">
        <v>329</v>
      </c>
      <c r="AU363" s="1">
        <v>1007</v>
      </c>
      <c r="AV363" s="1">
        <v>1</v>
      </c>
      <c r="AW363" s="1" t="s">
        <v>5455</v>
      </c>
      <c r="AX363" s="1" t="s">
        <v>5461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5454</v>
      </c>
      <c r="BD363" s="1">
        <v>0</v>
      </c>
      <c r="BE363" s="1"/>
    </row>
    <row r="364" spans="1:57" x14ac:dyDescent="0.25">
      <c r="A364" s="1">
        <v>1008</v>
      </c>
      <c r="B364" s="1" t="s">
        <v>4205</v>
      </c>
      <c r="C364" s="9" t="s">
        <v>827</v>
      </c>
      <c r="D364" s="1" t="s">
        <v>827</v>
      </c>
      <c r="E364" s="1"/>
      <c r="F364" s="1"/>
      <c r="G364" s="1" t="s">
        <v>4206</v>
      </c>
      <c r="H364" s="1" t="s">
        <v>4207</v>
      </c>
      <c r="I364" s="1" t="s">
        <v>4208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1399</v>
      </c>
      <c r="AK364" s="1" t="s">
        <v>329</v>
      </c>
      <c r="AL364" s="1">
        <v>8</v>
      </c>
      <c r="AM364" s="1" t="s">
        <v>4784</v>
      </c>
      <c r="AN364" s="1" t="s">
        <v>399</v>
      </c>
      <c r="AO364" s="1" t="s">
        <v>5462</v>
      </c>
      <c r="AP364" s="1">
        <v>0</v>
      </c>
      <c r="AQ364" s="1" t="s">
        <v>1235</v>
      </c>
      <c r="AR364" s="1" t="s">
        <v>1236</v>
      </c>
      <c r="AS364" s="1" t="s">
        <v>1237</v>
      </c>
      <c r="AT364" s="1" t="s">
        <v>329</v>
      </c>
      <c r="AU364" s="1">
        <v>1008</v>
      </c>
      <c r="AV364" s="1">
        <v>1</v>
      </c>
      <c r="AW364" s="1" t="s">
        <v>5455</v>
      </c>
      <c r="AX364" s="1" t="s">
        <v>5459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5454</v>
      </c>
      <c r="BD364" s="1">
        <v>0</v>
      </c>
      <c r="BE364" s="1"/>
    </row>
    <row r="365" spans="1:57" x14ac:dyDescent="0.25">
      <c r="A365" s="1">
        <v>1009</v>
      </c>
      <c r="B365" s="1" t="s">
        <v>4209</v>
      </c>
      <c r="C365" s="9" t="s">
        <v>195</v>
      </c>
      <c r="D365" s="1" t="s">
        <v>195</v>
      </c>
      <c r="E365" s="1"/>
      <c r="F365" s="1"/>
      <c r="G365" s="1" t="s">
        <v>4210</v>
      </c>
      <c r="H365" s="1" t="s">
        <v>4211</v>
      </c>
      <c r="I365" s="1" t="s">
        <v>4212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1400</v>
      </c>
      <c r="AK365" s="1" t="s">
        <v>1401</v>
      </c>
      <c r="AL365" s="1">
        <v>13</v>
      </c>
      <c r="AM365" s="1" t="s">
        <v>1874</v>
      </c>
      <c r="AN365" s="1" t="s">
        <v>5015</v>
      </c>
      <c r="AO365" s="1" t="s">
        <v>4885</v>
      </c>
      <c r="AP365" s="1">
        <v>0</v>
      </c>
      <c r="AQ365" s="1" t="s">
        <v>4810</v>
      </c>
      <c r="AR365" s="1" t="s">
        <v>1154</v>
      </c>
      <c r="AS365" s="1" t="s">
        <v>1155</v>
      </c>
      <c r="AT365" s="1" t="s">
        <v>329</v>
      </c>
      <c r="AU365" s="1">
        <v>1009</v>
      </c>
      <c r="AV365" s="1">
        <v>1</v>
      </c>
      <c r="AW365" s="1" t="s">
        <v>5230</v>
      </c>
      <c r="AX365" s="1" t="s">
        <v>5463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5454</v>
      </c>
      <c r="BD365" s="1">
        <v>0</v>
      </c>
      <c r="BE365" s="1"/>
    </row>
    <row r="366" spans="1:57" x14ac:dyDescent="0.25">
      <c r="A366" s="1">
        <v>1010</v>
      </c>
      <c r="B366" s="1" t="s">
        <v>4213</v>
      </c>
      <c r="C366" s="9" t="s">
        <v>196</v>
      </c>
      <c r="D366" s="1" t="s">
        <v>196</v>
      </c>
      <c r="E366" s="1"/>
      <c r="F366" s="1"/>
      <c r="G366" s="1" t="s">
        <v>4214</v>
      </c>
      <c r="H366" s="1" t="s">
        <v>4215</v>
      </c>
      <c r="I366" s="1" t="s">
        <v>4216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1402</v>
      </c>
      <c r="AL366" s="1">
        <v>13</v>
      </c>
      <c r="AM366" s="1" t="s">
        <v>1874</v>
      </c>
      <c r="AN366" s="1" t="s">
        <v>4929</v>
      </c>
      <c r="AO366" s="1" t="s">
        <v>4943</v>
      </c>
      <c r="AP366" s="1">
        <v>0</v>
      </c>
      <c r="AQ366" s="1" t="s">
        <v>4810</v>
      </c>
      <c r="AR366" s="1" t="s">
        <v>1154</v>
      </c>
      <c r="AS366" s="1" t="s">
        <v>1155</v>
      </c>
      <c r="AT366" s="1" t="s">
        <v>329</v>
      </c>
      <c r="AU366" s="1">
        <v>1010</v>
      </c>
      <c r="AV366" s="1">
        <v>1</v>
      </c>
      <c r="AW366" s="1" t="s">
        <v>5230</v>
      </c>
      <c r="AX366" s="1" t="s">
        <v>5459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5454</v>
      </c>
      <c r="BD366" s="1">
        <v>0</v>
      </c>
      <c r="BE366" s="1"/>
    </row>
    <row r="367" spans="1:57" x14ac:dyDescent="0.25">
      <c r="A367" s="1">
        <v>1017</v>
      </c>
      <c r="B367" s="1" t="s">
        <v>4217</v>
      </c>
      <c r="C367" s="9" t="s">
        <v>1728</v>
      </c>
      <c r="D367" s="1" t="s">
        <v>1728</v>
      </c>
      <c r="E367" s="1"/>
      <c r="F367" s="1"/>
      <c r="G367" s="1" t="s">
        <v>4218</v>
      </c>
      <c r="H367" s="1" t="s">
        <v>4219</v>
      </c>
      <c r="I367" s="1" t="s">
        <v>4220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1403</v>
      </c>
      <c r="AK367" s="1" t="s">
        <v>1404</v>
      </c>
      <c r="AL367" s="1">
        <v>13</v>
      </c>
      <c r="AM367" s="1" t="s">
        <v>1874</v>
      </c>
      <c r="AN367" s="1" t="s">
        <v>4805</v>
      </c>
      <c r="AO367" s="1" t="s">
        <v>5125</v>
      </c>
      <c r="AP367" s="1">
        <v>0</v>
      </c>
      <c r="AQ367" s="1" t="s">
        <v>4810</v>
      </c>
      <c r="AR367" s="1" t="s">
        <v>1779</v>
      </c>
      <c r="AS367" s="1" t="s">
        <v>4829</v>
      </c>
      <c r="AT367" s="1" t="s">
        <v>329</v>
      </c>
      <c r="AU367" s="1">
        <v>1003</v>
      </c>
      <c r="AV367" s="1">
        <v>1</v>
      </c>
      <c r="AW367" s="1" t="s">
        <v>5464</v>
      </c>
      <c r="AX367" s="1" t="s">
        <v>5465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5454</v>
      </c>
      <c r="BD367" s="1">
        <v>0</v>
      </c>
      <c r="BE367" s="1"/>
    </row>
    <row r="368" spans="1:57" x14ac:dyDescent="0.25">
      <c r="A368" s="1">
        <v>1018</v>
      </c>
      <c r="B368" s="1" t="s">
        <v>4221</v>
      </c>
      <c r="C368" s="9" t="s">
        <v>732</v>
      </c>
      <c r="D368" s="1" t="s">
        <v>4222</v>
      </c>
      <c r="E368" s="1"/>
      <c r="F368" s="1"/>
      <c r="G368" s="1" t="s">
        <v>4223</v>
      </c>
      <c r="H368" s="1" t="s">
        <v>4224</v>
      </c>
      <c r="I368" s="1" t="s">
        <v>4225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1405</v>
      </c>
      <c r="AK368" s="1" t="s">
        <v>1406</v>
      </c>
      <c r="AL368" s="1">
        <v>13</v>
      </c>
      <c r="AM368" s="1" t="s">
        <v>1874</v>
      </c>
      <c r="AN368" s="1" t="s">
        <v>5466</v>
      </c>
      <c r="AO368" s="1" t="s">
        <v>5022</v>
      </c>
      <c r="AP368" s="1">
        <v>0</v>
      </c>
      <c r="AQ368" s="1" t="s">
        <v>1153</v>
      </c>
      <c r="AR368" s="1" t="s">
        <v>1154</v>
      </c>
      <c r="AS368" s="1" t="s">
        <v>4829</v>
      </c>
      <c r="AT368" s="1" t="s">
        <v>329</v>
      </c>
      <c r="AU368" s="1">
        <v>1006</v>
      </c>
      <c r="AV368" s="1">
        <v>1</v>
      </c>
      <c r="AW368" s="1" t="s">
        <v>5464</v>
      </c>
      <c r="AX368" s="1" t="s">
        <v>1407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5454</v>
      </c>
      <c r="BD368" s="1">
        <v>0</v>
      </c>
      <c r="BE368" s="1"/>
    </row>
    <row r="369" spans="1:57" x14ac:dyDescent="0.25">
      <c r="A369" s="1">
        <v>1019</v>
      </c>
      <c r="B369" s="1" t="s">
        <v>4226</v>
      </c>
      <c r="C369" s="9" t="s">
        <v>722</v>
      </c>
      <c r="D369" s="1" t="s">
        <v>722</v>
      </c>
      <c r="E369" s="1"/>
      <c r="F369" s="1"/>
      <c r="G369" s="1" t="s">
        <v>4227</v>
      </c>
      <c r="H369" s="1" t="s">
        <v>4228</v>
      </c>
      <c r="I369" s="1" t="s">
        <v>4229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1408</v>
      </c>
      <c r="AK369" s="1" t="s">
        <v>1409</v>
      </c>
      <c r="AL369" s="1">
        <v>13</v>
      </c>
      <c r="AM369" s="1" t="s">
        <v>355</v>
      </c>
      <c r="AN369" s="1" t="s">
        <v>389</v>
      </c>
      <c r="AO369" s="1" t="s">
        <v>4943</v>
      </c>
      <c r="AP369" s="1">
        <v>0</v>
      </c>
      <c r="AQ369" s="1" t="s">
        <v>1164</v>
      </c>
      <c r="AR369" s="1" t="s">
        <v>1779</v>
      </c>
      <c r="AS369" s="1" t="s">
        <v>1165</v>
      </c>
      <c r="AT369" s="1" t="s">
        <v>329</v>
      </c>
      <c r="AU369" s="1">
        <v>224</v>
      </c>
      <c r="AV369" s="1">
        <v>1</v>
      </c>
      <c r="AW369" s="1" t="s">
        <v>5464</v>
      </c>
      <c r="AX369" s="1" t="s">
        <v>5467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5454</v>
      </c>
      <c r="BD369" s="1">
        <v>0</v>
      </c>
      <c r="BE369" s="1"/>
    </row>
    <row r="370" spans="1:57" x14ac:dyDescent="0.25">
      <c r="A370" s="1">
        <v>1020</v>
      </c>
      <c r="B370" s="1" t="s">
        <v>4230</v>
      </c>
      <c r="C370" s="9" t="s">
        <v>737</v>
      </c>
      <c r="D370" s="1" t="s">
        <v>737</v>
      </c>
      <c r="E370" s="1"/>
      <c r="F370" s="1"/>
      <c r="G370" s="1" t="s">
        <v>4231</v>
      </c>
      <c r="H370" s="1" t="s">
        <v>4232</v>
      </c>
      <c r="I370" s="1" t="s">
        <v>4233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1410</v>
      </c>
      <c r="AK370" s="1" t="s">
        <v>1411</v>
      </c>
      <c r="AL370" s="1">
        <v>13</v>
      </c>
      <c r="AM370" s="1" t="s">
        <v>4830</v>
      </c>
      <c r="AN370" s="1" t="s">
        <v>4902</v>
      </c>
      <c r="AO370" s="1" t="s">
        <v>4913</v>
      </c>
      <c r="AP370" s="1">
        <v>0</v>
      </c>
      <c r="AQ370" s="1" t="s">
        <v>1175</v>
      </c>
      <c r="AR370" s="1" t="s">
        <v>1176</v>
      </c>
      <c r="AS370" s="1" t="s">
        <v>4907</v>
      </c>
      <c r="AT370" s="1" t="s">
        <v>329</v>
      </c>
      <c r="AU370" s="1">
        <v>1005</v>
      </c>
      <c r="AV370" s="1">
        <v>1</v>
      </c>
      <c r="AW370" s="1" t="s">
        <v>5464</v>
      </c>
      <c r="AX370" s="1" t="s">
        <v>1407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5454</v>
      </c>
      <c r="BD370" s="1">
        <v>0</v>
      </c>
      <c r="BE370" s="1"/>
    </row>
    <row r="371" spans="1:57" x14ac:dyDescent="0.25">
      <c r="A371" s="1">
        <v>1021</v>
      </c>
      <c r="B371" s="1" t="s">
        <v>4234</v>
      </c>
      <c r="C371" s="9" t="s">
        <v>738</v>
      </c>
      <c r="D371" s="1" t="s">
        <v>738</v>
      </c>
      <c r="E371" s="1"/>
      <c r="F371" s="1"/>
      <c r="G371" s="1" t="s">
        <v>4235</v>
      </c>
      <c r="H371" s="1" t="s">
        <v>4236</v>
      </c>
      <c r="I371" s="1" t="s">
        <v>4237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1412</v>
      </c>
      <c r="AK371" s="1" t="s">
        <v>1413</v>
      </c>
      <c r="AL371" s="1">
        <v>18</v>
      </c>
      <c r="AM371" s="1" t="s">
        <v>4926</v>
      </c>
      <c r="AN371" s="1" t="s">
        <v>5005</v>
      </c>
      <c r="AO371" s="1" t="s">
        <v>5223</v>
      </c>
      <c r="AP371" s="1">
        <v>0</v>
      </c>
      <c r="AQ371" s="1" t="s">
        <v>1202</v>
      </c>
      <c r="AR371" s="1" t="s">
        <v>1203</v>
      </c>
      <c r="AS371" s="1" t="s">
        <v>4980</v>
      </c>
      <c r="AT371" s="1" t="s">
        <v>329</v>
      </c>
      <c r="AU371" s="1">
        <v>238</v>
      </c>
      <c r="AV371" s="1">
        <v>1</v>
      </c>
      <c r="AW371" s="1" t="s">
        <v>5464</v>
      </c>
      <c r="AX371" s="1" t="s">
        <v>5467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5454</v>
      </c>
      <c r="BD371" s="1">
        <v>0</v>
      </c>
      <c r="BE371" s="1"/>
    </row>
    <row r="372" spans="1:57" x14ac:dyDescent="0.25">
      <c r="A372" s="1">
        <v>1022</v>
      </c>
      <c r="B372" s="1" t="s">
        <v>4238</v>
      </c>
      <c r="C372" s="9" t="s">
        <v>736</v>
      </c>
      <c r="D372" s="1" t="s">
        <v>736</v>
      </c>
      <c r="E372" s="1"/>
      <c r="F372" s="1"/>
      <c r="G372" s="1" t="s">
        <v>4239</v>
      </c>
      <c r="H372" s="1" t="s">
        <v>4240</v>
      </c>
      <c r="I372" s="1" t="s">
        <v>4241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1414</v>
      </c>
      <c r="AK372" s="1" t="s">
        <v>1415</v>
      </c>
      <c r="AL372" s="1">
        <v>8</v>
      </c>
      <c r="AM372" s="1" t="s">
        <v>4784</v>
      </c>
      <c r="AN372" s="1" t="s">
        <v>4796</v>
      </c>
      <c r="AO372" s="1" t="s">
        <v>5335</v>
      </c>
      <c r="AP372" s="1">
        <v>0</v>
      </c>
      <c r="AQ372" s="1" t="s">
        <v>5135</v>
      </c>
      <c r="AR372" s="1" t="s">
        <v>1236</v>
      </c>
      <c r="AS372" s="1" t="s">
        <v>1237</v>
      </c>
      <c r="AT372" s="1" t="s">
        <v>329</v>
      </c>
      <c r="AU372" s="1">
        <v>1008</v>
      </c>
      <c r="AV372" s="1">
        <v>1</v>
      </c>
      <c r="AW372" s="1" t="s">
        <v>5464</v>
      </c>
      <c r="AX372" s="1" t="s">
        <v>5468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5454</v>
      </c>
      <c r="BD372" s="1">
        <v>0</v>
      </c>
      <c r="BE372" s="1"/>
    </row>
    <row r="373" spans="1:57" x14ac:dyDescent="0.25">
      <c r="A373" s="1">
        <v>1023</v>
      </c>
      <c r="B373" s="1" t="s">
        <v>4242</v>
      </c>
      <c r="C373" s="9" t="s">
        <v>248</v>
      </c>
      <c r="D373" s="1" t="s">
        <v>248</v>
      </c>
      <c r="E373" s="1"/>
      <c r="F373" s="1"/>
      <c r="G373" s="1" t="s">
        <v>4243</v>
      </c>
      <c r="H373" s="1" t="s">
        <v>4244</v>
      </c>
      <c r="I373" s="1" t="s">
        <v>4245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1416</v>
      </c>
      <c r="AK373" s="1" t="s">
        <v>1417</v>
      </c>
      <c r="AL373" s="1">
        <v>14</v>
      </c>
      <c r="AM373" s="1" t="s">
        <v>399</v>
      </c>
      <c r="AN373" s="1" t="s">
        <v>5469</v>
      </c>
      <c r="AO373" s="1" t="s">
        <v>4971</v>
      </c>
      <c r="AP373" s="1">
        <v>0</v>
      </c>
      <c r="AQ373" s="1" t="s">
        <v>1164</v>
      </c>
      <c r="AR373" s="1" t="s">
        <v>1154</v>
      </c>
      <c r="AS373" s="1" t="s">
        <v>1781</v>
      </c>
      <c r="AT373" s="1" t="s">
        <v>329</v>
      </c>
      <c r="AU373" s="1">
        <v>1027</v>
      </c>
      <c r="AV373" s="1">
        <v>1</v>
      </c>
      <c r="AW373" s="1" t="s">
        <v>5470</v>
      </c>
      <c r="AX373" s="1" t="s">
        <v>5471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5454</v>
      </c>
      <c r="BD373" s="1">
        <v>0</v>
      </c>
      <c r="BE373" s="1"/>
    </row>
    <row r="374" spans="1:57" x14ac:dyDescent="0.25">
      <c r="A374" s="1">
        <v>1024</v>
      </c>
      <c r="B374" s="1" t="s">
        <v>4246</v>
      </c>
      <c r="C374" s="9" t="s">
        <v>249</v>
      </c>
      <c r="D374" s="1" t="s">
        <v>249</v>
      </c>
      <c r="E374" s="1"/>
      <c r="F374" s="1"/>
      <c r="G374" s="1" t="s">
        <v>4247</v>
      </c>
      <c r="H374" s="1" t="s">
        <v>4248</v>
      </c>
      <c r="I374" s="1" t="s">
        <v>4249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1418</v>
      </c>
      <c r="AL374" s="1">
        <v>17</v>
      </c>
      <c r="AM374" s="1" t="s">
        <v>4830</v>
      </c>
      <c r="AN374" s="1" t="s">
        <v>5472</v>
      </c>
      <c r="AO374" s="1" t="s">
        <v>4913</v>
      </c>
      <c r="AP374" s="1">
        <v>0</v>
      </c>
      <c r="AQ374" s="1" t="s">
        <v>1175</v>
      </c>
      <c r="AR374" s="1" t="s">
        <v>1176</v>
      </c>
      <c r="AS374" s="1" t="s">
        <v>4907</v>
      </c>
      <c r="AT374" s="1" t="s">
        <v>329</v>
      </c>
      <c r="AU374" s="1">
        <v>1005</v>
      </c>
      <c r="AV374" s="1">
        <v>1</v>
      </c>
      <c r="AW374" s="1" t="s">
        <v>5470</v>
      </c>
      <c r="AX374" s="1" t="s">
        <v>5473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5454</v>
      </c>
      <c r="BD374" s="1">
        <v>0</v>
      </c>
      <c r="BE374" s="1"/>
    </row>
    <row r="375" spans="1:57" x14ac:dyDescent="0.25">
      <c r="A375" s="1">
        <v>1025</v>
      </c>
      <c r="B375" s="1" t="s">
        <v>4250</v>
      </c>
      <c r="C375" s="9" t="s">
        <v>250</v>
      </c>
      <c r="D375" s="1" t="s">
        <v>250</v>
      </c>
      <c r="E375" s="1"/>
      <c r="F375" s="1"/>
      <c r="G375" s="1" t="s">
        <v>4251</v>
      </c>
      <c r="H375" s="1" t="s">
        <v>4252</v>
      </c>
      <c r="I375" s="1" t="s">
        <v>4253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1419</v>
      </c>
      <c r="AK375" s="1" t="s">
        <v>1420</v>
      </c>
      <c r="AL375" s="1">
        <v>8</v>
      </c>
      <c r="AM375" s="1" t="s">
        <v>4784</v>
      </c>
      <c r="AN375" s="1" t="s">
        <v>5474</v>
      </c>
      <c r="AO375" s="1" t="s">
        <v>5010</v>
      </c>
      <c r="AP375" s="1">
        <v>0</v>
      </c>
      <c r="AQ375" s="1" t="s">
        <v>1235</v>
      </c>
      <c r="AR375" s="1" t="s">
        <v>5128</v>
      </c>
      <c r="AS375" s="1" t="s">
        <v>1237</v>
      </c>
      <c r="AT375" s="1" t="s">
        <v>329</v>
      </c>
      <c r="AU375" s="1">
        <v>1008</v>
      </c>
      <c r="AV375" s="1">
        <v>1</v>
      </c>
      <c r="AW375" s="1" t="s">
        <v>5470</v>
      </c>
      <c r="AX375" s="1" t="s">
        <v>5473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5454</v>
      </c>
      <c r="BD375" s="1">
        <v>0</v>
      </c>
      <c r="BE375" s="1"/>
    </row>
    <row r="376" spans="1:57" x14ac:dyDescent="0.25">
      <c r="A376" s="1">
        <v>1026</v>
      </c>
      <c r="B376" s="1" t="s">
        <v>4254</v>
      </c>
      <c r="C376" s="9" t="s">
        <v>251</v>
      </c>
      <c r="D376" s="1" t="s">
        <v>251</v>
      </c>
      <c r="E376" s="1"/>
      <c r="F376" s="1"/>
      <c r="G376" s="1" t="s">
        <v>4255</v>
      </c>
      <c r="H376" s="1" t="s">
        <v>4256</v>
      </c>
      <c r="I376" s="1" t="s">
        <v>4257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1421</v>
      </c>
      <c r="AK376" s="1" t="s">
        <v>1422</v>
      </c>
      <c r="AL376" s="1">
        <v>18</v>
      </c>
      <c r="AM376" s="1" t="s">
        <v>4926</v>
      </c>
      <c r="AN376" s="1" t="s">
        <v>5005</v>
      </c>
      <c r="AO376" s="1" t="s">
        <v>5223</v>
      </c>
      <c r="AP376" s="1">
        <v>0</v>
      </c>
      <c r="AQ376" s="1" t="s">
        <v>1202</v>
      </c>
      <c r="AR376" s="1" t="s">
        <v>4979</v>
      </c>
      <c r="AS376" s="1" t="s">
        <v>1204</v>
      </c>
      <c r="AT376" s="1" t="s">
        <v>329</v>
      </c>
      <c r="AU376" s="1">
        <v>1026</v>
      </c>
      <c r="AV376" s="1">
        <v>1</v>
      </c>
      <c r="AW376" s="1" t="s">
        <v>5470</v>
      </c>
      <c r="AX376" s="1" t="s">
        <v>5475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5454</v>
      </c>
      <c r="BD376" s="1">
        <v>0</v>
      </c>
      <c r="BE376" s="1"/>
    </row>
    <row r="377" spans="1:57" x14ac:dyDescent="0.25">
      <c r="A377" s="1">
        <v>1027</v>
      </c>
      <c r="B377" s="1" t="s">
        <v>4258</v>
      </c>
      <c r="C377" s="9" t="s">
        <v>252</v>
      </c>
      <c r="D377" s="1" t="s">
        <v>252</v>
      </c>
      <c r="E377" s="1"/>
      <c r="F377" s="1"/>
      <c r="G377" s="1" t="s">
        <v>4259</v>
      </c>
      <c r="H377" s="1" t="s">
        <v>4260</v>
      </c>
      <c r="I377" s="1" t="s">
        <v>4261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1423</v>
      </c>
      <c r="AK377" s="1" t="s">
        <v>1424</v>
      </c>
      <c r="AL377" s="1">
        <v>13</v>
      </c>
      <c r="AM377" s="1" t="s">
        <v>399</v>
      </c>
      <c r="AN377" s="1" t="s">
        <v>5452</v>
      </c>
      <c r="AO377" s="1" t="s">
        <v>5326</v>
      </c>
      <c r="AP377" s="1">
        <v>0</v>
      </c>
      <c r="AQ377" s="1" t="s">
        <v>1165</v>
      </c>
      <c r="AR377" s="1" t="s">
        <v>1189</v>
      </c>
      <c r="AS377" s="1" t="s">
        <v>1780</v>
      </c>
      <c r="AT377" s="1" t="s">
        <v>329</v>
      </c>
      <c r="AU377" s="1">
        <v>1007</v>
      </c>
      <c r="AV377" s="1">
        <v>1</v>
      </c>
      <c r="AW377" s="1" t="s">
        <v>5470</v>
      </c>
      <c r="AX377" s="1" t="s">
        <v>5475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5454</v>
      </c>
      <c r="BD377" s="1">
        <v>0</v>
      </c>
      <c r="BE377" s="1"/>
    </row>
    <row r="378" spans="1:57" x14ac:dyDescent="0.25">
      <c r="A378" s="1">
        <v>1028</v>
      </c>
      <c r="B378" s="1" t="s">
        <v>4262</v>
      </c>
      <c r="C378" s="9" t="s">
        <v>1724</v>
      </c>
      <c r="D378" s="1" t="s">
        <v>4263</v>
      </c>
      <c r="E378" s="1"/>
      <c r="F378" s="1"/>
      <c r="G378" s="1" t="s">
        <v>4264</v>
      </c>
      <c r="H378" s="1" t="s">
        <v>4265</v>
      </c>
      <c r="I378" s="1" t="s">
        <v>4266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1425</v>
      </c>
      <c r="AL378" s="1">
        <v>13</v>
      </c>
      <c r="AM378" s="1" t="s">
        <v>4858</v>
      </c>
      <c r="AN378" s="1" t="s">
        <v>5061</v>
      </c>
      <c r="AO378" s="1" t="s">
        <v>5252</v>
      </c>
      <c r="AP378" s="1">
        <v>0</v>
      </c>
      <c r="AQ378" s="1" t="s">
        <v>1780</v>
      </c>
      <c r="AR378" s="1" t="s">
        <v>1779</v>
      </c>
      <c r="AS378" s="1" t="s">
        <v>1781</v>
      </c>
      <c r="AT378" s="1" t="s">
        <v>329</v>
      </c>
      <c r="AU378" s="1">
        <v>1028</v>
      </c>
      <c r="AV378" s="1">
        <v>1</v>
      </c>
      <c r="AW378" s="1" t="s">
        <v>5476</v>
      </c>
      <c r="AX378" s="1" t="s">
        <v>5477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5454</v>
      </c>
      <c r="BD378" s="1">
        <v>0</v>
      </c>
      <c r="BE378" s="1"/>
    </row>
    <row r="379" spans="1:57" x14ac:dyDescent="0.25">
      <c r="A379" s="1">
        <v>1029</v>
      </c>
      <c r="B379" s="1" t="s">
        <v>4267</v>
      </c>
      <c r="C379" s="9" t="s">
        <v>1725</v>
      </c>
      <c r="D379" s="1" t="s">
        <v>4268</v>
      </c>
      <c r="E379" s="1"/>
      <c r="F379" s="1"/>
      <c r="G379" s="1" t="s">
        <v>4269</v>
      </c>
      <c r="H379" s="1" t="s">
        <v>4270</v>
      </c>
      <c r="I379" s="1" t="s">
        <v>4271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1426</v>
      </c>
      <c r="AL379" s="1">
        <v>13</v>
      </c>
      <c r="AM379" s="1" t="s">
        <v>4787</v>
      </c>
      <c r="AN379" s="1" t="s">
        <v>4897</v>
      </c>
      <c r="AO379" s="1" t="s">
        <v>5237</v>
      </c>
      <c r="AP379" s="1">
        <v>0</v>
      </c>
      <c r="AQ379" s="1" t="s">
        <v>1781</v>
      </c>
      <c r="AR379" s="1" t="s">
        <v>4936</v>
      </c>
      <c r="AS379" s="1" t="s">
        <v>1780</v>
      </c>
      <c r="AT379" s="1" t="s">
        <v>329</v>
      </c>
      <c r="AU379" s="1">
        <v>1029</v>
      </c>
      <c r="AV379" s="1">
        <v>1</v>
      </c>
      <c r="AW379" s="1" t="s">
        <v>5476</v>
      </c>
      <c r="AX379" s="1" t="s">
        <v>5478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5454</v>
      </c>
      <c r="BD379" s="1">
        <v>0</v>
      </c>
      <c r="BE379" s="1"/>
    </row>
    <row r="380" spans="1:57" x14ac:dyDescent="0.25">
      <c r="A380" s="1">
        <v>1030</v>
      </c>
      <c r="B380" s="1" t="s">
        <v>4272</v>
      </c>
      <c r="C380" s="9" t="s">
        <v>1727</v>
      </c>
      <c r="D380" s="1" t="s">
        <v>4273</v>
      </c>
      <c r="E380" s="1"/>
      <c r="F380" s="1"/>
      <c r="G380" s="1" t="s">
        <v>4274</v>
      </c>
      <c r="H380" s="1" t="s">
        <v>4275</v>
      </c>
      <c r="I380" s="1" t="s">
        <v>4276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1427</v>
      </c>
      <c r="AK380" s="1" t="s">
        <v>329</v>
      </c>
      <c r="AL380" s="1">
        <v>13</v>
      </c>
      <c r="AM380" s="1" t="s">
        <v>399</v>
      </c>
      <c r="AN380" s="1" t="s">
        <v>4863</v>
      </c>
      <c r="AO380" s="1" t="s">
        <v>5479</v>
      </c>
      <c r="AP380" s="1">
        <v>0</v>
      </c>
      <c r="AQ380" s="1" t="s">
        <v>1780</v>
      </c>
      <c r="AR380" s="1" t="s">
        <v>1154</v>
      </c>
      <c r="AS380" s="1" t="s">
        <v>1165</v>
      </c>
      <c r="AT380" s="1" t="s">
        <v>329</v>
      </c>
      <c r="AU380" s="1">
        <v>48</v>
      </c>
      <c r="AV380" s="1">
        <v>1</v>
      </c>
      <c r="AW380" s="1" t="s">
        <v>5480</v>
      </c>
      <c r="AX380" s="1" t="s">
        <v>5481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5454</v>
      </c>
      <c r="BD380" s="1">
        <v>0</v>
      </c>
      <c r="BE380" s="1"/>
    </row>
    <row r="381" spans="1:57" x14ac:dyDescent="0.25">
      <c r="A381" s="1">
        <v>1031</v>
      </c>
      <c r="B381" s="1" t="s">
        <v>4277</v>
      </c>
      <c r="C381" s="9" t="s">
        <v>1428</v>
      </c>
      <c r="D381" s="1" t="s">
        <v>4278</v>
      </c>
      <c r="E381" s="1"/>
      <c r="F381" s="1"/>
      <c r="G381" s="1" t="s">
        <v>4279</v>
      </c>
      <c r="H381" s="1" t="s">
        <v>4280</v>
      </c>
      <c r="I381" s="1" t="s">
        <v>4281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1429</v>
      </c>
      <c r="AK381" s="1" t="s">
        <v>1430</v>
      </c>
      <c r="AL381" s="1">
        <v>13</v>
      </c>
      <c r="AM381" s="1" t="s">
        <v>4830</v>
      </c>
      <c r="AN381" s="1" t="s">
        <v>4902</v>
      </c>
      <c r="AO381" s="1" t="s">
        <v>4913</v>
      </c>
      <c r="AP381" s="1">
        <v>0</v>
      </c>
      <c r="AQ381" s="1" t="s">
        <v>1175</v>
      </c>
      <c r="AR381" s="1" t="s">
        <v>1176</v>
      </c>
      <c r="AS381" s="1" t="s">
        <v>4907</v>
      </c>
      <c r="AT381" s="1" t="s">
        <v>329</v>
      </c>
      <c r="AU381" s="1">
        <v>150</v>
      </c>
      <c r="AV381" s="1">
        <v>1</v>
      </c>
      <c r="AW381" s="1" t="s">
        <v>5480</v>
      </c>
      <c r="AX381" s="1" t="s">
        <v>5482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5454</v>
      </c>
      <c r="BD381" s="1">
        <v>0</v>
      </c>
      <c r="BE381" s="1"/>
    </row>
    <row r="382" spans="1:57" x14ac:dyDescent="0.25">
      <c r="A382" s="1">
        <v>1032</v>
      </c>
      <c r="B382" s="1" t="s">
        <v>4282</v>
      </c>
      <c r="C382" s="9" t="s">
        <v>1431</v>
      </c>
      <c r="D382" s="1" t="s">
        <v>1431</v>
      </c>
      <c r="E382" s="1"/>
      <c r="F382" s="1"/>
      <c r="G382" s="1" t="s">
        <v>4283</v>
      </c>
      <c r="H382" s="1" t="s">
        <v>4284</v>
      </c>
      <c r="I382" s="1" t="s">
        <v>4285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1432</v>
      </c>
      <c r="AL382" s="1">
        <v>13</v>
      </c>
      <c r="AM382" s="1" t="s">
        <v>399</v>
      </c>
      <c r="AN382" s="1" t="s">
        <v>5452</v>
      </c>
      <c r="AO382" s="1" t="s">
        <v>5326</v>
      </c>
      <c r="AP382" s="1">
        <v>0</v>
      </c>
      <c r="AQ382" s="1" t="s">
        <v>1165</v>
      </c>
      <c r="AR382" s="1" t="s">
        <v>1189</v>
      </c>
      <c r="AS382" s="1" t="s">
        <v>1780</v>
      </c>
      <c r="AT382" s="1" t="s">
        <v>329</v>
      </c>
      <c r="AU382" s="1">
        <v>241</v>
      </c>
      <c r="AV382" s="1">
        <v>1</v>
      </c>
      <c r="AW382" s="1" t="s">
        <v>5480</v>
      </c>
      <c r="AX382" s="1" t="s">
        <v>5483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5454</v>
      </c>
      <c r="BD382" s="1">
        <v>0</v>
      </c>
      <c r="BE382" s="1"/>
    </row>
    <row r="383" spans="1:57" x14ac:dyDescent="0.25">
      <c r="A383" s="1">
        <v>1033</v>
      </c>
      <c r="B383" s="1" t="s">
        <v>4286</v>
      </c>
      <c r="C383" s="9" t="s">
        <v>1726</v>
      </c>
      <c r="D383" s="1" t="s">
        <v>1726</v>
      </c>
      <c r="E383" s="1"/>
      <c r="F383" s="1"/>
      <c r="G383" s="1" t="s">
        <v>4287</v>
      </c>
      <c r="H383" s="1" t="s">
        <v>4288</v>
      </c>
      <c r="I383" s="1" t="s">
        <v>4289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1433</v>
      </c>
      <c r="AK383" s="1" t="s">
        <v>1434</v>
      </c>
      <c r="AL383" s="1">
        <v>18</v>
      </c>
      <c r="AM383" s="1" t="s">
        <v>4926</v>
      </c>
      <c r="AN383" s="1" t="s">
        <v>5005</v>
      </c>
      <c r="AO383" s="1" t="s">
        <v>5223</v>
      </c>
      <c r="AP383" s="1">
        <v>0</v>
      </c>
      <c r="AQ383" s="1" t="s">
        <v>1202</v>
      </c>
      <c r="AR383" s="1" t="s">
        <v>4979</v>
      </c>
      <c r="AS383" s="1" t="s">
        <v>1204</v>
      </c>
      <c r="AT383" s="1" t="s">
        <v>329</v>
      </c>
      <c r="AU383" s="1">
        <v>48</v>
      </c>
      <c r="AV383" s="1">
        <v>1</v>
      </c>
      <c r="AW383" s="1" t="s">
        <v>5480</v>
      </c>
      <c r="AX383" s="1" t="s">
        <v>5481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5454</v>
      </c>
      <c r="BD383" s="1">
        <v>0</v>
      </c>
      <c r="BE383" s="1"/>
    </row>
    <row r="384" spans="1:57" x14ac:dyDescent="0.25">
      <c r="A384" s="1">
        <v>1034</v>
      </c>
      <c r="B384" s="1" t="s">
        <v>4290</v>
      </c>
      <c r="C384" s="9" t="s">
        <v>1435</v>
      </c>
      <c r="D384" s="1" t="s">
        <v>4291</v>
      </c>
      <c r="E384" s="1"/>
      <c r="F384" s="1"/>
      <c r="G384" s="1" t="s">
        <v>4292</v>
      </c>
      <c r="H384" s="1" t="s">
        <v>4293</v>
      </c>
      <c r="I384" s="1" t="s">
        <v>4294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1436</v>
      </c>
      <c r="AK384" s="1" t="s">
        <v>1437</v>
      </c>
      <c r="AL384" s="1">
        <v>8</v>
      </c>
      <c r="AM384" s="1" t="s">
        <v>4784</v>
      </c>
      <c r="AN384" s="1" t="s">
        <v>4796</v>
      </c>
      <c r="AO384" s="1" t="s">
        <v>5335</v>
      </c>
      <c r="AP384" s="1">
        <v>0</v>
      </c>
      <c r="AQ384" s="1" t="s">
        <v>1235</v>
      </c>
      <c r="AR384" s="1" t="s">
        <v>1236</v>
      </c>
      <c r="AS384" s="1" t="s">
        <v>5130</v>
      </c>
      <c r="AT384" s="1" t="s">
        <v>329</v>
      </c>
      <c r="AU384" s="1">
        <v>238</v>
      </c>
      <c r="AV384" s="1">
        <v>1</v>
      </c>
      <c r="AW384" s="1" t="s">
        <v>5480</v>
      </c>
      <c r="AX384" s="1" t="s">
        <v>5483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5454</v>
      </c>
      <c r="BD384" s="1">
        <v>0</v>
      </c>
      <c r="BE384" s="1"/>
    </row>
    <row r="385" spans="1:57" x14ac:dyDescent="0.25">
      <c r="A385" s="1">
        <v>20001</v>
      </c>
      <c r="B385" s="1" t="s">
        <v>4295</v>
      </c>
      <c r="C385" s="9" t="s">
        <v>267</v>
      </c>
      <c r="D385" s="1" t="s">
        <v>4296</v>
      </c>
      <c r="E385" s="1"/>
      <c r="F385" s="1"/>
      <c r="G385" s="1" t="s">
        <v>4297</v>
      </c>
      <c r="H385" s="1" t="s">
        <v>4298</v>
      </c>
      <c r="I385" s="1" t="s">
        <v>4299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1874</v>
      </c>
      <c r="AN385" s="1" t="s">
        <v>4808</v>
      </c>
      <c r="AO385" s="1" t="s">
        <v>5134</v>
      </c>
      <c r="AP385" s="1">
        <v>0</v>
      </c>
      <c r="AQ385" s="1" t="s">
        <v>4810</v>
      </c>
      <c r="AR385" s="1" t="s">
        <v>1154</v>
      </c>
      <c r="AS385" s="1" t="s">
        <v>1155</v>
      </c>
      <c r="AT385" s="1" t="s">
        <v>329</v>
      </c>
      <c r="AU385" s="1">
        <v>1</v>
      </c>
      <c r="AV385" s="1">
        <v>0</v>
      </c>
      <c r="AW385" s="1" t="s">
        <v>4560</v>
      </c>
      <c r="AX385" s="1" t="s">
        <v>5484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4788</v>
      </c>
      <c r="BD385" s="1">
        <v>0</v>
      </c>
      <c r="BE385" s="1"/>
    </row>
    <row r="386" spans="1:57" x14ac:dyDescent="0.25">
      <c r="A386" s="1">
        <v>20002</v>
      </c>
      <c r="B386" s="1" t="s">
        <v>4300</v>
      </c>
      <c r="C386" s="9" t="s">
        <v>253</v>
      </c>
      <c r="D386" s="1" t="s">
        <v>253</v>
      </c>
      <c r="E386" s="1"/>
      <c r="F386" s="1"/>
      <c r="G386" s="1" t="s">
        <v>4301</v>
      </c>
      <c r="H386" s="1" t="s">
        <v>4302</v>
      </c>
      <c r="I386" s="1" t="s">
        <v>4303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1199</v>
      </c>
      <c r="AK386" s="1" t="s">
        <v>1439</v>
      </c>
      <c r="AL386" s="1">
        <v>13</v>
      </c>
      <c r="AM386" s="1" t="s">
        <v>1874</v>
      </c>
      <c r="AN386" s="1" t="s">
        <v>4808</v>
      </c>
      <c r="AO386" s="1" t="s">
        <v>5485</v>
      </c>
      <c r="AP386" s="1">
        <v>0</v>
      </c>
      <c r="AQ386" s="1" t="s">
        <v>1153</v>
      </c>
      <c r="AR386" s="1" t="s">
        <v>1779</v>
      </c>
      <c r="AS386" s="1" t="s">
        <v>1155</v>
      </c>
      <c r="AT386" s="1" t="s">
        <v>329</v>
      </c>
      <c r="AU386" s="1">
        <v>2</v>
      </c>
      <c r="AV386" s="1">
        <v>0</v>
      </c>
      <c r="AW386" s="1" t="s">
        <v>4560</v>
      </c>
      <c r="AX386" s="1" t="s">
        <v>5484</v>
      </c>
      <c r="AY386" s="1">
        <v>4</v>
      </c>
      <c r="AZ386" s="1">
        <v>3002</v>
      </c>
      <c r="BA386" s="1" t="s">
        <v>329</v>
      </c>
      <c r="BB386" s="1" t="s">
        <v>4814</v>
      </c>
      <c r="BC386" s="1" t="s">
        <v>4788</v>
      </c>
      <c r="BD386" s="1">
        <v>0</v>
      </c>
      <c r="BE386" s="1"/>
    </row>
    <row r="387" spans="1:57" x14ac:dyDescent="0.25">
      <c r="A387" s="1">
        <v>20005</v>
      </c>
      <c r="B387" s="1" t="s">
        <v>4304</v>
      </c>
      <c r="C387" s="9" t="s">
        <v>787</v>
      </c>
      <c r="D387" s="1" t="s">
        <v>787</v>
      </c>
      <c r="E387" s="1"/>
      <c r="F387" s="1"/>
      <c r="G387" s="1" t="s">
        <v>4305</v>
      </c>
      <c r="H387" s="1" t="s">
        <v>4306</v>
      </c>
      <c r="I387" s="1" t="s">
        <v>4307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1440</v>
      </c>
      <c r="AK387" s="1" t="s">
        <v>329</v>
      </c>
      <c r="AL387" s="1">
        <v>13</v>
      </c>
      <c r="AM387" s="1" t="s">
        <v>1874</v>
      </c>
      <c r="AN387" s="1" t="s">
        <v>4822</v>
      </c>
      <c r="AO387" s="1" t="s">
        <v>5486</v>
      </c>
      <c r="AP387" s="1">
        <v>0</v>
      </c>
      <c r="AQ387" s="1" t="s">
        <v>4810</v>
      </c>
      <c r="AR387" s="1" t="s">
        <v>1154</v>
      </c>
      <c r="AS387" s="1" t="s">
        <v>1155</v>
      </c>
      <c r="AT387" s="1" t="s">
        <v>329</v>
      </c>
      <c r="AU387" s="1">
        <v>5</v>
      </c>
      <c r="AV387" s="1">
        <v>0</v>
      </c>
      <c r="AW387" s="1" t="s">
        <v>4560</v>
      </c>
      <c r="AX387" s="1" t="s">
        <v>5484</v>
      </c>
      <c r="AY387" s="1">
        <v>4</v>
      </c>
      <c r="AZ387" s="1">
        <v>3005</v>
      </c>
      <c r="BA387" s="1" t="s">
        <v>329</v>
      </c>
      <c r="BB387" s="1" t="s">
        <v>4824</v>
      </c>
      <c r="BC387" s="1" t="s">
        <v>4825</v>
      </c>
      <c r="BD387" s="1">
        <v>0</v>
      </c>
      <c r="BE387" s="1"/>
    </row>
    <row r="388" spans="1:57" x14ac:dyDescent="0.25">
      <c r="A388" s="1">
        <v>20007</v>
      </c>
      <c r="B388" s="1" t="s">
        <v>4308</v>
      </c>
      <c r="C388" s="9" t="s">
        <v>740</v>
      </c>
      <c r="D388" s="1" t="s">
        <v>4309</v>
      </c>
      <c r="E388" s="1"/>
      <c r="F388" s="1"/>
      <c r="G388" s="1" t="s">
        <v>4310</v>
      </c>
      <c r="H388" s="1" t="s">
        <v>4311</v>
      </c>
      <c r="I388" s="1" t="s">
        <v>4312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1441</v>
      </c>
      <c r="AL388" s="1">
        <v>13</v>
      </c>
      <c r="AM388" s="1" t="s">
        <v>1874</v>
      </c>
      <c r="AN388" s="1" t="s">
        <v>4815</v>
      </c>
      <c r="AO388" s="1" t="s">
        <v>5487</v>
      </c>
      <c r="AP388" s="1">
        <v>0</v>
      </c>
      <c r="AQ388" s="1" t="s">
        <v>4810</v>
      </c>
      <c r="AR388" s="1" t="s">
        <v>1154</v>
      </c>
      <c r="AS388" s="1" t="s">
        <v>4829</v>
      </c>
      <c r="AT388" s="1" t="s">
        <v>329</v>
      </c>
      <c r="AU388" s="1">
        <v>7</v>
      </c>
      <c r="AV388" s="1">
        <v>0</v>
      </c>
      <c r="AW388" s="1" t="s">
        <v>4560</v>
      </c>
      <c r="AX388" s="1" t="s">
        <v>5484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4825</v>
      </c>
      <c r="BD388" s="1">
        <v>0</v>
      </c>
      <c r="BE388" s="1"/>
    </row>
    <row r="389" spans="1:57" x14ac:dyDescent="0.25">
      <c r="A389" s="1">
        <v>20008</v>
      </c>
      <c r="B389" s="1" t="s">
        <v>4313</v>
      </c>
      <c r="C389" s="9" t="s">
        <v>948</v>
      </c>
      <c r="D389" s="1" t="s">
        <v>4314</v>
      </c>
      <c r="E389" s="1"/>
      <c r="F389" s="1"/>
      <c r="G389" s="1" t="s">
        <v>4315</v>
      </c>
      <c r="H389" s="1" t="s">
        <v>4316</v>
      </c>
      <c r="I389" s="1" t="s">
        <v>4317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1442</v>
      </c>
      <c r="AK389" s="1" t="s">
        <v>1443</v>
      </c>
      <c r="AL389" s="1">
        <v>13</v>
      </c>
      <c r="AM389" s="1" t="s">
        <v>1874</v>
      </c>
      <c r="AN389" s="1" t="s">
        <v>5488</v>
      </c>
      <c r="AO389" s="1" t="s">
        <v>5489</v>
      </c>
      <c r="AP389" s="1">
        <v>0</v>
      </c>
      <c r="AQ389" s="1" t="s">
        <v>4810</v>
      </c>
      <c r="AR389" s="1" t="s">
        <v>1779</v>
      </c>
      <c r="AS389" s="1" t="s">
        <v>1155</v>
      </c>
      <c r="AT389" s="1" t="s">
        <v>329</v>
      </c>
      <c r="AU389" s="1">
        <v>8</v>
      </c>
      <c r="AV389" s="1">
        <v>0</v>
      </c>
      <c r="AW389" s="1" t="s">
        <v>4560</v>
      </c>
      <c r="AX389" s="1" t="s">
        <v>5484</v>
      </c>
      <c r="AY389" s="1">
        <v>4</v>
      </c>
      <c r="AZ389" s="1">
        <v>3008</v>
      </c>
      <c r="BA389" s="1" t="s">
        <v>329</v>
      </c>
      <c r="BB389" s="1" t="s">
        <v>4834</v>
      </c>
      <c r="BC389" s="1" t="s">
        <v>4825</v>
      </c>
      <c r="BD389" s="1">
        <v>0</v>
      </c>
      <c r="BE389" s="1"/>
    </row>
    <row r="390" spans="1:57" x14ac:dyDescent="0.25">
      <c r="A390" s="1">
        <v>20012</v>
      </c>
      <c r="B390" s="1" t="s">
        <v>4318</v>
      </c>
      <c r="C390" s="9" t="s">
        <v>746</v>
      </c>
      <c r="D390" s="1" t="s">
        <v>746</v>
      </c>
      <c r="E390" s="1"/>
      <c r="F390" s="1"/>
      <c r="G390" s="1" t="s">
        <v>4319</v>
      </c>
      <c r="H390" s="1" t="s">
        <v>4320</v>
      </c>
      <c r="I390" s="1" t="s">
        <v>4321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1874</v>
      </c>
      <c r="AN390" s="1" t="s">
        <v>4844</v>
      </c>
      <c r="AO390" s="1" t="s">
        <v>5490</v>
      </c>
      <c r="AP390" s="1">
        <v>0</v>
      </c>
      <c r="AQ390" s="1" t="s">
        <v>4810</v>
      </c>
      <c r="AR390" s="1" t="s">
        <v>1154</v>
      </c>
      <c r="AS390" s="1" t="s">
        <v>1155</v>
      </c>
      <c r="AT390" s="1" t="s">
        <v>329</v>
      </c>
      <c r="AU390" s="1">
        <v>12</v>
      </c>
      <c r="AV390" s="1">
        <v>0</v>
      </c>
      <c r="AW390" s="1" t="s">
        <v>4560</v>
      </c>
      <c r="AX390" s="1" t="s">
        <v>5484</v>
      </c>
      <c r="AY390" s="1">
        <v>4</v>
      </c>
      <c r="AZ390" s="1">
        <v>3012</v>
      </c>
      <c r="BA390" s="1" t="s">
        <v>329</v>
      </c>
      <c r="BB390" s="1" t="s">
        <v>4846</v>
      </c>
      <c r="BC390" s="1" t="s">
        <v>4837</v>
      </c>
      <c r="BD390" s="1">
        <v>0</v>
      </c>
      <c r="BE390" s="1"/>
    </row>
    <row r="391" spans="1:57" x14ac:dyDescent="0.25">
      <c r="A391" s="1">
        <v>20021</v>
      </c>
      <c r="B391" s="1" t="s">
        <v>5790</v>
      </c>
      <c r="C391" s="9" t="s">
        <v>5844</v>
      </c>
      <c r="D391" s="1" t="s">
        <v>5791</v>
      </c>
      <c r="E391" s="1"/>
      <c r="F391" s="1"/>
      <c r="G391" s="1" t="s">
        <v>5792</v>
      </c>
      <c r="H391" s="1" t="s">
        <v>5793</v>
      </c>
      <c r="I391" s="1" t="s">
        <v>5794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5795</v>
      </c>
      <c r="AK391" s="1" t="s">
        <v>5796</v>
      </c>
      <c r="AL391" s="1">
        <v>13</v>
      </c>
      <c r="AM391" s="1" t="s">
        <v>399</v>
      </c>
      <c r="AN391" s="1" t="s">
        <v>5797</v>
      </c>
      <c r="AO391" s="1" t="s">
        <v>5232</v>
      </c>
      <c r="AP391" s="1">
        <v>0</v>
      </c>
      <c r="AQ391" s="1" t="s">
        <v>1164</v>
      </c>
      <c r="AR391" s="1" t="s">
        <v>1779</v>
      </c>
      <c r="AS391" s="1" t="s">
        <v>1781</v>
      </c>
      <c r="AT391" s="1" t="s">
        <v>329</v>
      </c>
      <c r="AU391" s="1">
        <v>21</v>
      </c>
      <c r="AV391" s="1">
        <v>0</v>
      </c>
      <c r="AW391" s="1" t="s">
        <v>4560</v>
      </c>
      <c r="AX391" s="1" t="s">
        <v>5484</v>
      </c>
      <c r="AY391" s="1">
        <v>4</v>
      </c>
      <c r="AZ391" s="1">
        <v>3021</v>
      </c>
      <c r="BA391" s="1" t="s">
        <v>329</v>
      </c>
      <c r="BB391" s="1" t="s">
        <v>4873</v>
      </c>
      <c r="BC391" s="1" t="s">
        <v>4825</v>
      </c>
      <c r="BD391" s="1">
        <v>0</v>
      </c>
      <c r="BE391" s="1"/>
    </row>
    <row r="392" spans="1:57" x14ac:dyDescent="0.25">
      <c r="A392" s="1">
        <v>20026</v>
      </c>
      <c r="B392" s="1" t="s">
        <v>4322</v>
      </c>
      <c r="C392" s="9" t="s">
        <v>1444</v>
      </c>
      <c r="D392" s="1" t="s">
        <v>1444</v>
      </c>
      <c r="E392" s="1"/>
      <c r="F392" s="1"/>
      <c r="G392" s="1" t="s">
        <v>4323</v>
      </c>
      <c r="H392" s="1" t="s">
        <v>4324</v>
      </c>
      <c r="I392" s="1" t="s">
        <v>4325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1445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5491</v>
      </c>
      <c r="AP392" s="1">
        <v>0</v>
      </c>
      <c r="AQ392" s="1" t="s">
        <v>1780</v>
      </c>
      <c r="AR392" s="1" t="s">
        <v>1154</v>
      </c>
      <c r="AS392" s="1" t="s">
        <v>1781</v>
      </c>
      <c r="AT392" s="1" t="s">
        <v>329</v>
      </c>
      <c r="AU392" s="1">
        <v>26</v>
      </c>
      <c r="AV392" s="1">
        <v>0</v>
      </c>
      <c r="AW392" s="1" t="s">
        <v>4560</v>
      </c>
      <c r="AX392" s="1" t="s">
        <v>5484</v>
      </c>
      <c r="AY392" s="1">
        <v>5</v>
      </c>
      <c r="AZ392" s="1">
        <v>3026</v>
      </c>
      <c r="BA392" s="1" t="s">
        <v>329</v>
      </c>
      <c r="BB392" s="1" t="s">
        <v>4881</v>
      </c>
      <c r="BC392" s="1" t="s">
        <v>4837</v>
      </c>
      <c r="BD392" s="1">
        <v>0</v>
      </c>
      <c r="BE392" s="1"/>
    </row>
    <row r="393" spans="1:57" x14ac:dyDescent="0.25">
      <c r="A393" s="1">
        <v>20029</v>
      </c>
      <c r="B393" s="1" t="s">
        <v>4326</v>
      </c>
      <c r="C393" s="9" t="s">
        <v>831</v>
      </c>
      <c r="D393" s="1" t="s">
        <v>4327</v>
      </c>
      <c r="E393" s="1"/>
      <c r="F393" s="1"/>
      <c r="G393" s="1" t="s">
        <v>4328</v>
      </c>
      <c r="H393" s="1" t="s">
        <v>4329</v>
      </c>
      <c r="I393" s="1" t="s">
        <v>4330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1446</v>
      </c>
      <c r="AK393" s="1" t="s">
        <v>329</v>
      </c>
      <c r="AL393" s="1">
        <v>13</v>
      </c>
      <c r="AM393" s="1" t="s">
        <v>4858</v>
      </c>
      <c r="AN393" s="1" t="s">
        <v>4863</v>
      </c>
      <c r="AO393" s="1" t="s">
        <v>5492</v>
      </c>
      <c r="AP393" s="1">
        <v>0</v>
      </c>
      <c r="AQ393" s="1" t="s">
        <v>1164</v>
      </c>
      <c r="AR393" s="1" t="s">
        <v>1154</v>
      </c>
      <c r="AS393" s="1" t="s">
        <v>1781</v>
      </c>
      <c r="AT393" s="1" t="s">
        <v>329</v>
      </c>
      <c r="AU393" s="1">
        <v>29</v>
      </c>
      <c r="AV393" s="1">
        <v>0</v>
      </c>
      <c r="AW393" s="1" t="s">
        <v>4560</v>
      </c>
      <c r="AX393" s="1" t="s">
        <v>5484</v>
      </c>
      <c r="AY393" s="1">
        <v>4</v>
      </c>
      <c r="AZ393" s="1">
        <v>3029</v>
      </c>
      <c r="BA393" s="1" t="s">
        <v>329</v>
      </c>
      <c r="BB393" s="1" t="s">
        <v>4890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4331</v>
      </c>
      <c r="C394" s="9" t="s">
        <v>715</v>
      </c>
      <c r="D394" s="1" t="s">
        <v>4332</v>
      </c>
      <c r="E394" s="1"/>
      <c r="F394" s="1"/>
      <c r="G394" s="1" t="s">
        <v>4333</v>
      </c>
      <c r="H394" s="1" t="s">
        <v>4334</v>
      </c>
      <c r="I394" s="1" t="s">
        <v>4335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1172</v>
      </c>
      <c r="AL394" s="1">
        <v>13</v>
      </c>
      <c r="AM394" s="1" t="s">
        <v>355</v>
      </c>
      <c r="AN394" s="1" t="s">
        <v>389</v>
      </c>
      <c r="AO394" s="1" t="s">
        <v>5145</v>
      </c>
      <c r="AP394" s="1">
        <v>0</v>
      </c>
      <c r="AQ394" s="1" t="s">
        <v>1164</v>
      </c>
      <c r="AR394" s="1" t="s">
        <v>1154</v>
      </c>
      <c r="AS394" s="1" t="s">
        <v>1781</v>
      </c>
      <c r="AT394" s="1" t="s">
        <v>329</v>
      </c>
      <c r="AU394" s="1">
        <v>31</v>
      </c>
      <c r="AV394" s="1">
        <v>0</v>
      </c>
      <c r="AW394" s="1" t="s">
        <v>4560</v>
      </c>
      <c r="AX394" s="1" t="s">
        <v>5484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4807</v>
      </c>
      <c r="BD394" s="1">
        <v>0</v>
      </c>
      <c r="BE394" s="1"/>
    </row>
    <row r="395" spans="1:57" x14ac:dyDescent="0.25">
      <c r="A395" s="1">
        <v>20032</v>
      </c>
      <c r="B395" s="1" t="s">
        <v>4336</v>
      </c>
      <c r="C395" s="9" t="s">
        <v>254</v>
      </c>
      <c r="D395" s="1" t="s">
        <v>4337</v>
      </c>
      <c r="E395" s="1"/>
      <c r="F395" s="1"/>
      <c r="G395" s="1" t="s">
        <v>4338</v>
      </c>
      <c r="H395" s="1" t="s">
        <v>4339</v>
      </c>
      <c r="I395" s="1" t="s">
        <v>4340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1199</v>
      </c>
      <c r="AK395" s="1" t="s">
        <v>1447</v>
      </c>
      <c r="AL395" s="1">
        <v>13</v>
      </c>
      <c r="AM395" s="1" t="s">
        <v>4858</v>
      </c>
      <c r="AN395" s="1" t="s">
        <v>5493</v>
      </c>
      <c r="AO395" s="1" t="s">
        <v>5494</v>
      </c>
      <c r="AP395" s="1">
        <v>0</v>
      </c>
      <c r="AQ395" s="1" t="s">
        <v>1164</v>
      </c>
      <c r="AR395" s="1" t="s">
        <v>1154</v>
      </c>
      <c r="AS395" s="1" t="s">
        <v>1781</v>
      </c>
      <c r="AT395" s="1" t="s">
        <v>329</v>
      </c>
      <c r="AU395" s="1">
        <v>32</v>
      </c>
      <c r="AV395" s="1">
        <v>0</v>
      </c>
      <c r="AW395" s="1" t="s">
        <v>4560</v>
      </c>
      <c r="AX395" s="1" t="s">
        <v>5484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4341</v>
      </c>
      <c r="C396" s="9" t="s">
        <v>255</v>
      </c>
      <c r="D396" s="1" t="s">
        <v>255</v>
      </c>
      <c r="E396" s="1"/>
      <c r="F396" s="1"/>
      <c r="G396" s="1" t="s">
        <v>4342</v>
      </c>
      <c r="H396" s="1" t="s">
        <v>4343</v>
      </c>
      <c r="I396" s="1" t="s">
        <v>4344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4830</v>
      </c>
      <c r="AN396" s="1" t="s">
        <v>4902</v>
      </c>
      <c r="AO396" s="1" t="s">
        <v>4900</v>
      </c>
      <c r="AP396" s="1">
        <v>0</v>
      </c>
      <c r="AQ396" s="1" t="s">
        <v>1175</v>
      </c>
      <c r="AR396" s="1" t="s">
        <v>4903</v>
      </c>
      <c r="AS396" s="1" t="s">
        <v>1177</v>
      </c>
      <c r="AT396" s="1" t="s">
        <v>329</v>
      </c>
      <c r="AU396" s="1">
        <v>37</v>
      </c>
      <c r="AV396" s="1">
        <v>0</v>
      </c>
      <c r="AW396" s="1" t="s">
        <v>4560</v>
      </c>
      <c r="AX396" s="1" t="s">
        <v>5484</v>
      </c>
      <c r="AY396" s="1">
        <v>4</v>
      </c>
      <c r="AZ396" s="1">
        <v>3037</v>
      </c>
      <c r="BA396" s="1" t="s">
        <v>329</v>
      </c>
      <c r="BB396" s="1" t="s">
        <v>4904</v>
      </c>
      <c r="BC396" s="1" t="s">
        <v>4788</v>
      </c>
      <c r="BD396" s="1">
        <v>0</v>
      </c>
      <c r="BE396" s="1"/>
    </row>
    <row r="397" spans="1:57" x14ac:dyDescent="0.25">
      <c r="A397" s="1">
        <v>20039</v>
      </c>
      <c r="B397" s="1" t="s">
        <v>4345</v>
      </c>
      <c r="C397" s="9" t="s">
        <v>1715</v>
      </c>
      <c r="D397" s="1" t="s">
        <v>4346</v>
      </c>
      <c r="E397" s="1"/>
      <c r="F397" s="1"/>
      <c r="G397" s="1" t="s">
        <v>4347</v>
      </c>
      <c r="H397" s="1" t="s">
        <v>4348</v>
      </c>
      <c r="I397" s="1" t="s">
        <v>4349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1180</v>
      </c>
      <c r="AK397" s="1" t="s">
        <v>1448</v>
      </c>
      <c r="AL397" s="1">
        <v>13</v>
      </c>
      <c r="AM397" s="1" t="s">
        <v>4830</v>
      </c>
      <c r="AN397" s="1" t="s">
        <v>4878</v>
      </c>
      <c r="AO397" s="1" t="s">
        <v>4913</v>
      </c>
      <c r="AP397" s="1">
        <v>0</v>
      </c>
      <c r="AQ397" s="1" t="s">
        <v>1175</v>
      </c>
      <c r="AR397" s="1" t="s">
        <v>4903</v>
      </c>
      <c r="AS397" s="1" t="s">
        <v>4907</v>
      </c>
      <c r="AT397" s="1" t="s">
        <v>329</v>
      </c>
      <c r="AU397" s="1">
        <v>39</v>
      </c>
      <c r="AV397" s="1">
        <v>0</v>
      </c>
      <c r="AW397" s="1" t="s">
        <v>4560</v>
      </c>
      <c r="AX397" s="1" t="s">
        <v>5484</v>
      </c>
      <c r="AY397" s="1">
        <v>5</v>
      </c>
      <c r="AZ397" s="1">
        <v>3039</v>
      </c>
      <c r="BA397" s="1" t="s">
        <v>329</v>
      </c>
      <c r="BB397" s="1" t="s">
        <v>4908</v>
      </c>
      <c r="BC397" s="1" t="s">
        <v>4825</v>
      </c>
      <c r="BD397" s="1">
        <v>0</v>
      </c>
      <c r="BE397" s="1"/>
    </row>
    <row r="398" spans="1:57" x14ac:dyDescent="0.25">
      <c r="A398" s="1">
        <v>20044</v>
      </c>
      <c r="B398" s="1" t="s">
        <v>4350</v>
      </c>
      <c r="C398" s="9" t="s">
        <v>1716</v>
      </c>
      <c r="D398" s="1" t="s">
        <v>1716</v>
      </c>
      <c r="E398" s="1"/>
      <c r="F398" s="1"/>
      <c r="G398" s="1" t="s">
        <v>4351</v>
      </c>
      <c r="H398" s="1" t="s">
        <v>4352</v>
      </c>
      <c r="I398" s="1" t="s">
        <v>4353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1449</v>
      </c>
      <c r="AK398" s="1" t="s">
        <v>1450</v>
      </c>
      <c r="AL398" s="1">
        <v>13</v>
      </c>
      <c r="AM398" s="1" t="s">
        <v>4830</v>
      </c>
      <c r="AN398" s="1" t="s">
        <v>466</v>
      </c>
      <c r="AO398" s="1" t="s">
        <v>4900</v>
      </c>
      <c r="AP398" s="1">
        <v>0</v>
      </c>
      <c r="AQ398" s="1" t="s">
        <v>1175</v>
      </c>
      <c r="AR398" s="1" t="s">
        <v>1176</v>
      </c>
      <c r="AS398" s="1" t="s">
        <v>4907</v>
      </c>
      <c r="AT398" s="1" t="s">
        <v>329</v>
      </c>
      <c r="AU398" s="1">
        <v>44</v>
      </c>
      <c r="AV398" s="1">
        <v>0</v>
      </c>
      <c r="AW398" s="1" t="s">
        <v>4560</v>
      </c>
      <c r="AX398" s="1" t="s">
        <v>5484</v>
      </c>
      <c r="AY398" s="1">
        <v>4</v>
      </c>
      <c r="AZ398" s="1">
        <v>3044</v>
      </c>
      <c r="BA398" s="1" t="s">
        <v>329</v>
      </c>
      <c r="BB398" s="1" t="s">
        <v>4912</v>
      </c>
      <c r="BC398" s="1" t="s">
        <v>4825</v>
      </c>
      <c r="BD398" s="1">
        <v>0</v>
      </c>
      <c r="BE398" s="1"/>
    </row>
    <row r="399" spans="1:57" x14ac:dyDescent="0.25">
      <c r="A399" s="1">
        <v>20049</v>
      </c>
      <c r="B399" s="1" t="s">
        <v>4354</v>
      </c>
      <c r="C399" s="9" t="s">
        <v>832</v>
      </c>
      <c r="D399" s="1" t="s">
        <v>4355</v>
      </c>
      <c r="E399" s="1"/>
      <c r="F399" s="1"/>
      <c r="G399" s="1" t="s">
        <v>4356</v>
      </c>
      <c r="H399" s="1" t="s">
        <v>4357</v>
      </c>
      <c r="I399" s="1" t="s">
        <v>4358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1451</v>
      </c>
      <c r="AK399" s="1" t="s">
        <v>329</v>
      </c>
      <c r="AL399" s="1">
        <v>13</v>
      </c>
      <c r="AM399" s="1" t="s">
        <v>4830</v>
      </c>
      <c r="AN399" s="1" t="s">
        <v>4841</v>
      </c>
      <c r="AO399" s="1" t="s">
        <v>4900</v>
      </c>
      <c r="AP399" s="1">
        <v>0</v>
      </c>
      <c r="AQ399" s="1" t="s">
        <v>1782</v>
      </c>
      <c r="AR399" s="1" t="s">
        <v>1176</v>
      </c>
      <c r="AS399" s="1" t="s">
        <v>1177</v>
      </c>
      <c r="AT399" s="1" t="s">
        <v>329</v>
      </c>
      <c r="AU399" s="1">
        <v>49</v>
      </c>
      <c r="AV399" s="1">
        <v>0</v>
      </c>
      <c r="AW399" s="1" t="s">
        <v>4916</v>
      </c>
      <c r="AX399" s="1" t="s">
        <v>5484</v>
      </c>
      <c r="AY399" s="1">
        <v>4</v>
      </c>
      <c r="AZ399" s="1">
        <v>3049</v>
      </c>
      <c r="BA399" s="1" t="s">
        <v>329</v>
      </c>
      <c r="BB399" s="1" t="s">
        <v>4918</v>
      </c>
      <c r="BC399" s="1" t="s">
        <v>4851</v>
      </c>
      <c r="BD399" s="1">
        <v>0</v>
      </c>
      <c r="BE399" s="1"/>
    </row>
    <row r="400" spans="1:57" x14ac:dyDescent="0.25">
      <c r="A400" s="1">
        <v>20051</v>
      </c>
      <c r="B400" s="1" t="s">
        <v>4359</v>
      </c>
      <c r="C400" s="9" t="s">
        <v>1452</v>
      </c>
      <c r="D400" s="1" t="s">
        <v>1452</v>
      </c>
      <c r="E400" s="1"/>
      <c r="F400" s="1"/>
      <c r="G400" s="1" t="s">
        <v>4360</v>
      </c>
      <c r="H400" s="1" t="s">
        <v>4361</v>
      </c>
      <c r="I400" s="1" t="s">
        <v>4362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4830</v>
      </c>
      <c r="AN400" s="1" t="s">
        <v>4902</v>
      </c>
      <c r="AO400" s="1" t="s">
        <v>4900</v>
      </c>
      <c r="AP400" s="1">
        <v>0</v>
      </c>
      <c r="AQ400" s="1" t="s">
        <v>1175</v>
      </c>
      <c r="AR400" s="1" t="s">
        <v>4903</v>
      </c>
      <c r="AS400" s="1" t="s">
        <v>1177</v>
      </c>
      <c r="AT400" s="1" t="s">
        <v>329</v>
      </c>
      <c r="AU400" s="1">
        <v>51</v>
      </c>
      <c r="AV400" s="1">
        <v>0</v>
      </c>
      <c r="AW400" s="1" t="s">
        <v>4560</v>
      </c>
      <c r="AX400" s="1" t="s">
        <v>5484</v>
      </c>
      <c r="AY400" s="1">
        <v>4</v>
      </c>
      <c r="AZ400" s="1">
        <v>3051</v>
      </c>
      <c r="BA400" s="1" t="s">
        <v>329</v>
      </c>
      <c r="BB400" s="1" t="s">
        <v>4920</v>
      </c>
      <c r="BC400" s="1" t="s">
        <v>4921</v>
      </c>
      <c r="BD400" s="1">
        <v>0</v>
      </c>
      <c r="BE400" s="1"/>
    </row>
    <row r="401" spans="1:57" x14ac:dyDescent="0.25">
      <c r="A401" s="1">
        <v>20053</v>
      </c>
      <c r="B401" s="1" t="s">
        <v>4363</v>
      </c>
      <c r="C401" s="9" t="s">
        <v>1717</v>
      </c>
      <c r="D401" s="1" t="s">
        <v>1717</v>
      </c>
      <c r="E401" s="1"/>
      <c r="F401" s="1"/>
      <c r="G401" s="1" t="s">
        <v>4364</v>
      </c>
      <c r="H401" s="1" t="s">
        <v>4365</v>
      </c>
      <c r="I401" s="1" t="s">
        <v>4366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1453</v>
      </c>
      <c r="AK401" s="1" t="s">
        <v>1454</v>
      </c>
      <c r="AL401" s="1">
        <v>13</v>
      </c>
      <c r="AM401" s="1" t="s">
        <v>4830</v>
      </c>
      <c r="AN401" s="1" t="s">
        <v>4897</v>
      </c>
      <c r="AO401" s="1" t="s">
        <v>5495</v>
      </c>
      <c r="AP401" s="1">
        <v>0</v>
      </c>
      <c r="AQ401" s="1" t="s">
        <v>1782</v>
      </c>
      <c r="AR401" s="1" t="s">
        <v>1176</v>
      </c>
      <c r="AS401" s="1" t="s">
        <v>1177</v>
      </c>
      <c r="AT401" s="1" t="s">
        <v>329</v>
      </c>
      <c r="AU401" s="1">
        <v>53</v>
      </c>
      <c r="AV401" s="1">
        <v>0</v>
      </c>
      <c r="AW401" s="1" t="s">
        <v>4560</v>
      </c>
      <c r="AX401" s="1" t="s">
        <v>5484</v>
      </c>
      <c r="AY401" s="1">
        <v>6</v>
      </c>
      <c r="AZ401" s="1">
        <v>3053</v>
      </c>
      <c r="BA401" s="1" t="s">
        <v>329</v>
      </c>
      <c r="BB401" s="1" t="s">
        <v>4924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4367</v>
      </c>
      <c r="C402" s="9" t="s">
        <v>256</v>
      </c>
      <c r="D402" s="1" t="s">
        <v>256</v>
      </c>
      <c r="E402" s="1"/>
      <c r="F402" s="1"/>
      <c r="G402" s="1" t="s">
        <v>4368</v>
      </c>
      <c r="H402" s="1" t="s">
        <v>4369</v>
      </c>
      <c r="I402" s="1" t="s">
        <v>4370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1455</v>
      </c>
      <c r="AK402" s="1" t="s">
        <v>1438</v>
      </c>
      <c r="AL402" s="1">
        <v>13</v>
      </c>
      <c r="AM402" s="1" t="s">
        <v>4858</v>
      </c>
      <c r="AN402" s="1" t="s">
        <v>4929</v>
      </c>
      <c r="AO402" s="1" t="s">
        <v>5496</v>
      </c>
      <c r="AP402" s="1">
        <v>0</v>
      </c>
      <c r="AQ402" s="1" t="s">
        <v>1165</v>
      </c>
      <c r="AR402" s="1" t="s">
        <v>1189</v>
      </c>
      <c r="AS402" s="1" t="s">
        <v>1780</v>
      </c>
      <c r="AT402" s="1" t="s">
        <v>329</v>
      </c>
      <c r="AU402" s="1">
        <v>55</v>
      </c>
      <c r="AV402" s="1">
        <v>0</v>
      </c>
      <c r="AW402" s="1" t="s">
        <v>4560</v>
      </c>
      <c r="AX402" s="1" t="s">
        <v>5484</v>
      </c>
      <c r="AY402" s="1">
        <v>5</v>
      </c>
      <c r="AZ402" s="1">
        <v>3055</v>
      </c>
      <c r="BA402" s="1" t="s">
        <v>329</v>
      </c>
      <c r="BB402" s="1" t="s">
        <v>4931</v>
      </c>
      <c r="BC402" s="1" t="s">
        <v>5217</v>
      </c>
      <c r="BD402" s="1">
        <v>0</v>
      </c>
      <c r="BE402" s="1"/>
    </row>
    <row r="403" spans="1:57" x14ac:dyDescent="0.25">
      <c r="A403" s="1">
        <v>20056</v>
      </c>
      <c r="B403" s="1" t="s">
        <v>4371</v>
      </c>
      <c r="C403" s="9" t="s">
        <v>257</v>
      </c>
      <c r="D403" s="1" t="s">
        <v>257</v>
      </c>
      <c r="E403" s="1"/>
      <c r="F403" s="1"/>
      <c r="G403" s="1" t="s">
        <v>4372</v>
      </c>
      <c r="H403" s="1" t="s">
        <v>4373</v>
      </c>
      <c r="I403" s="1" t="s">
        <v>4374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1456</v>
      </c>
      <c r="AK403" s="1" t="s">
        <v>1457</v>
      </c>
      <c r="AL403" s="1">
        <v>13</v>
      </c>
      <c r="AM403" s="1" t="s">
        <v>4787</v>
      </c>
      <c r="AN403" s="1" t="s">
        <v>4932</v>
      </c>
      <c r="AO403" s="1" t="s">
        <v>4948</v>
      </c>
      <c r="AP403" s="1">
        <v>0</v>
      </c>
      <c r="AQ403" s="1" t="s">
        <v>4934</v>
      </c>
      <c r="AR403" s="1" t="s">
        <v>4934</v>
      </c>
      <c r="AS403" s="1" t="s">
        <v>1189</v>
      </c>
      <c r="AT403" s="1" t="s">
        <v>329</v>
      </c>
      <c r="AU403" s="1">
        <v>56</v>
      </c>
      <c r="AV403" s="1">
        <v>0</v>
      </c>
      <c r="AW403" s="1" t="s">
        <v>4560</v>
      </c>
      <c r="AX403" s="1" t="s">
        <v>5484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4928</v>
      </c>
      <c r="BD403" s="1">
        <v>0</v>
      </c>
      <c r="BE403" s="1"/>
    </row>
    <row r="404" spans="1:57" x14ac:dyDescent="0.25">
      <c r="A404" s="1">
        <v>20057</v>
      </c>
      <c r="B404" s="1" t="s">
        <v>4375</v>
      </c>
      <c r="C404" s="9" t="s">
        <v>1718</v>
      </c>
      <c r="D404" s="1" t="s">
        <v>4376</v>
      </c>
      <c r="E404" s="1"/>
      <c r="F404" s="1"/>
      <c r="G404" s="1" t="s">
        <v>4377</v>
      </c>
      <c r="H404" s="1" t="s">
        <v>4378</v>
      </c>
      <c r="I404" s="1" t="s">
        <v>4379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1458</v>
      </c>
      <c r="AK404" s="1" t="s">
        <v>1459</v>
      </c>
      <c r="AL404" s="1">
        <v>13</v>
      </c>
      <c r="AM404" s="1" t="s">
        <v>4787</v>
      </c>
      <c r="AN404" s="1" t="s">
        <v>4932</v>
      </c>
      <c r="AO404" s="1" t="s">
        <v>5066</v>
      </c>
      <c r="AP404" s="1">
        <v>0</v>
      </c>
      <c r="AQ404" s="1" t="s">
        <v>4934</v>
      </c>
      <c r="AR404" s="1" t="s">
        <v>4934</v>
      </c>
      <c r="AS404" s="1" t="s">
        <v>4936</v>
      </c>
      <c r="AT404" s="1" t="s">
        <v>329</v>
      </c>
      <c r="AU404" s="1">
        <v>57</v>
      </c>
      <c r="AV404" s="1">
        <v>0</v>
      </c>
      <c r="AW404" s="1" t="s">
        <v>4560</v>
      </c>
      <c r="AX404" s="1" t="s">
        <v>5484</v>
      </c>
      <c r="AY404" s="1">
        <v>5</v>
      </c>
      <c r="AZ404" s="1">
        <v>3057</v>
      </c>
      <c r="BA404" s="1" t="s">
        <v>329</v>
      </c>
      <c r="BB404" s="1" t="s">
        <v>4937</v>
      </c>
      <c r="BC404" s="1" t="s">
        <v>5217</v>
      </c>
      <c r="BD404" s="1">
        <v>0</v>
      </c>
      <c r="BE404" s="1"/>
    </row>
    <row r="405" spans="1:57" x14ac:dyDescent="0.25">
      <c r="A405" s="1">
        <v>20060</v>
      </c>
      <c r="B405" s="1" t="s">
        <v>4380</v>
      </c>
      <c r="C405" s="9" t="s">
        <v>258</v>
      </c>
      <c r="D405" s="1" t="s">
        <v>4381</v>
      </c>
      <c r="E405" s="1"/>
      <c r="F405" s="1"/>
      <c r="G405" s="1" t="s">
        <v>4382</v>
      </c>
      <c r="H405" s="1" t="s">
        <v>4383</v>
      </c>
      <c r="I405" s="1" t="s">
        <v>4384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1460</v>
      </c>
      <c r="AL405" s="1">
        <v>13</v>
      </c>
      <c r="AM405" s="1" t="s">
        <v>4787</v>
      </c>
      <c r="AN405" s="1" t="s">
        <v>451</v>
      </c>
      <c r="AO405" s="1" t="s">
        <v>5220</v>
      </c>
      <c r="AP405" s="1">
        <v>0</v>
      </c>
      <c r="AQ405" s="1" t="s">
        <v>1165</v>
      </c>
      <c r="AR405" s="1" t="s">
        <v>4936</v>
      </c>
      <c r="AS405" s="1" t="s">
        <v>1164</v>
      </c>
      <c r="AT405" s="1" t="s">
        <v>329</v>
      </c>
      <c r="AU405" s="1">
        <v>60</v>
      </c>
      <c r="AV405" s="1">
        <v>0</v>
      </c>
      <c r="AW405" s="1" t="s">
        <v>4560</v>
      </c>
      <c r="AX405" s="1" t="s">
        <v>5484</v>
      </c>
      <c r="AY405" s="1">
        <v>5</v>
      </c>
      <c r="AZ405" s="1">
        <v>3060</v>
      </c>
      <c r="BA405" s="1" t="s">
        <v>329</v>
      </c>
      <c r="BB405" s="1" t="s">
        <v>4946</v>
      </c>
      <c r="BC405" s="1" t="s">
        <v>4825</v>
      </c>
      <c r="BD405" s="1">
        <v>0</v>
      </c>
      <c r="BE405" s="1"/>
    </row>
    <row r="406" spans="1:57" x14ac:dyDescent="0.25">
      <c r="A406" s="1">
        <v>20061</v>
      </c>
      <c r="B406" s="1" t="s">
        <v>4385</v>
      </c>
      <c r="C406" s="9" t="s">
        <v>833</v>
      </c>
      <c r="D406" s="1" t="s">
        <v>4386</v>
      </c>
      <c r="E406" s="1"/>
      <c r="F406" s="1"/>
      <c r="G406" s="1" t="s">
        <v>4387</v>
      </c>
      <c r="H406" s="1" t="s">
        <v>4388</v>
      </c>
      <c r="I406" s="1" t="s">
        <v>4389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1199</v>
      </c>
      <c r="AK406" s="1" t="s">
        <v>1461</v>
      </c>
      <c r="AL406" s="1">
        <v>13</v>
      </c>
      <c r="AM406" s="1" t="s">
        <v>399</v>
      </c>
      <c r="AN406" s="1" t="s">
        <v>4841</v>
      </c>
      <c r="AO406" s="1" t="s">
        <v>4947</v>
      </c>
      <c r="AP406" s="1">
        <v>0</v>
      </c>
      <c r="AQ406" s="1" t="s">
        <v>1165</v>
      </c>
      <c r="AR406" s="1" t="s">
        <v>4936</v>
      </c>
      <c r="AS406" s="1" t="s">
        <v>1164</v>
      </c>
      <c r="AT406" s="1" t="s">
        <v>329</v>
      </c>
      <c r="AU406" s="1">
        <v>61</v>
      </c>
      <c r="AV406" s="1">
        <v>0</v>
      </c>
      <c r="AW406" s="1" t="s">
        <v>4560</v>
      </c>
      <c r="AX406" s="1" t="s">
        <v>5484</v>
      </c>
      <c r="AY406" s="1">
        <v>4</v>
      </c>
      <c r="AZ406" s="1">
        <v>3061</v>
      </c>
      <c r="BA406" s="1" t="s">
        <v>329</v>
      </c>
      <c r="BB406" s="1" t="s">
        <v>4843</v>
      </c>
      <c r="BC406" s="1" t="s">
        <v>4837</v>
      </c>
      <c r="BD406" s="1">
        <v>0</v>
      </c>
      <c r="BE406" s="1"/>
    </row>
    <row r="407" spans="1:57" x14ac:dyDescent="0.25">
      <c r="A407" s="1">
        <v>20063</v>
      </c>
      <c r="B407" s="1" t="s">
        <v>4390</v>
      </c>
      <c r="C407" s="9" t="s">
        <v>1462</v>
      </c>
      <c r="D407" s="1" t="s">
        <v>1462</v>
      </c>
      <c r="E407" s="1"/>
      <c r="F407" s="1"/>
      <c r="G407" s="1" t="s">
        <v>4391</v>
      </c>
      <c r="H407" s="1" t="s">
        <v>4392</v>
      </c>
      <c r="I407" s="1" t="s">
        <v>4393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1463</v>
      </c>
      <c r="AK407" s="1" t="s">
        <v>329</v>
      </c>
      <c r="AL407" s="1">
        <v>13</v>
      </c>
      <c r="AM407" s="1" t="s">
        <v>4787</v>
      </c>
      <c r="AN407" s="1" t="s">
        <v>451</v>
      </c>
      <c r="AO407" s="1" t="s">
        <v>5497</v>
      </c>
      <c r="AP407" s="1">
        <v>0</v>
      </c>
      <c r="AQ407" s="1" t="s">
        <v>1781</v>
      </c>
      <c r="AR407" s="1" t="s">
        <v>1189</v>
      </c>
      <c r="AS407" s="1" t="s">
        <v>1164</v>
      </c>
      <c r="AT407" s="1" t="s">
        <v>329</v>
      </c>
      <c r="AU407" s="1">
        <v>63</v>
      </c>
      <c r="AV407" s="1">
        <v>0</v>
      </c>
      <c r="AW407" s="1" t="s">
        <v>4560</v>
      </c>
      <c r="AX407" s="1" t="s">
        <v>5484</v>
      </c>
      <c r="AY407" s="1">
        <v>4</v>
      </c>
      <c r="AZ407" s="1">
        <v>3063</v>
      </c>
      <c r="BA407" s="1" t="s">
        <v>329</v>
      </c>
      <c r="BB407" s="1" t="s">
        <v>4951</v>
      </c>
      <c r="BC407" s="1" t="s">
        <v>4837</v>
      </c>
      <c r="BD407" s="1">
        <v>0</v>
      </c>
      <c r="BE407" s="1"/>
    </row>
    <row r="408" spans="1:57" x14ac:dyDescent="0.25">
      <c r="A408" s="1">
        <v>20064</v>
      </c>
      <c r="B408" s="1" t="s">
        <v>4394</v>
      </c>
      <c r="C408" s="9" t="s">
        <v>1464</v>
      </c>
      <c r="D408" s="1" t="s">
        <v>1464</v>
      </c>
      <c r="E408" s="1"/>
      <c r="F408" s="1"/>
      <c r="G408" s="1" t="s">
        <v>4395</v>
      </c>
      <c r="H408" s="1" t="s">
        <v>4396</v>
      </c>
      <c r="I408" s="1" t="s">
        <v>4397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1465</v>
      </c>
      <c r="AL408" s="1">
        <v>13</v>
      </c>
      <c r="AM408" s="1" t="s">
        <v>4787</v>
      </c>
      <c r="AN408" s="1" t="s">
        <v>4952</v>
      </c>
      <c r="AO408" s="1" t="s">
        <v>5498</v>
      </c>
      <c r="AP408" s="1">
        <v>0</v>
      </c>
      <c r="AQ408" s="1" t="s">
        <v>1781</v>
      </c>
      <c r="AR408" s="1" t="s">
        <v>1189</v>
      </c>
      <c r="AS408" s="1" t="s">
        <v>1164</v>
      </c>
      <c r="AT408" s="1" t="s">
        <v>329</v>
      </c>
      <c r="AU408" s="1">
        <v>64</v>
      </c>
      <c r="AV408" s="1">
        <v>0</v>
      </c>
      <c r="AW408" s="1" t="s">
        <v>4560</v>
      </c>
      <c r="AX408" s="1" t="s">
        <v>5484</v>
      </c>
      <c r="AY408" s="1">
        <v>5</v>
      </c>
      <c r="AZ408" s="1">
        <v>3064</v>
      </c>
      <c r="BA408" s="1" t="s">
        <v>329</v>
      </c>
      <c r="BB408" s="1" t="s">
        <v>4954</v>
      </c>
      <c r="BC408" s="1" t="s">
        <v>4837</v>
      </c>
      <c r="BD408" s="1">
        <v>0</v>
      </c>
      <c r="BE408" s="1"/>
    </row>
    <row r="409" spans="1:57" x14ac:dyDescent="0.25">
      <c r="A409" s="1">
        <v>20065</v>
      </c>
      <c r="B409" s="1" t="s">
        <v>4398</v>
      </c>
      <c r="C409" s="9" t="s">
        <v>259</v>
      </c>
      <c r="D409" s="1" t="s">
        <v>259</v>
      </c>
      <c r="E409" s="1"/>
      <c r="F409" s="1"/>
      <c r="G409" s="1" t="s">
        <v>4399</v>
      </c>
      <c r="H409" s="1" t="s">
        <v>4400</v>
      </c>
      <c r="I409" s="1" t="s">
        <v>4401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1466</v>
      </c>
      <c r="AK409" s="1" t="s">
        <v>329</v>
      </c>
      <c r="AL409" s="1">
        <v>13</v>
      </c>
      <c r="AM409" s="1" t="s">
        <v>4787</v>
      </c>
      <c r="AN409" s="1" t="s">
        <v>4897</v>
      </c>
      <c r="AO409" s="1" t="s">
        <v>5499</v>
      </c>
      <c r="AP409" s="1">
        <v>0</v>
      </c>
      <c r="AQ409" s="1" t="s">
        <v>1781</v>
      </c>
      <c r="AR409" s="1" t="s">
        <v>1189</v>
      </c>
      <c r="AS409" s="1" t="s">
        <v>1780</v>
      </c>
      <c r="AT409" s="1" t="s">
        <v>329</v>
      </c>
      <c r="AU409" s="1">
        <v>65</v>
      </c>
      <c r="AV409" s="1">
        <v>0</v>
      </c>
      <c r="AW409" s="1" t="s">
        <v>4560</v>
      </c>
      <c r="AX409" s="1" t="s">
        <v>5484</v>
      </c>
      <c r="AY409" s="1">
        <v>6</v>
      </c>
      <c r="AZ409" s="1">
        <v>3065</v>
      </c>
      <c r="BA409" s="1" t="s">
        <v>329</v>
      </c>
      <c r="BB409" s="1" t="s">
        <v>4956</v>
      </c>
      <c r="BC409" s="1" t="s">
        <v>4957</v>
      </c>
      <c r="BD409" s="1">
        <v>0</v>
      </c>
      <c r="BE409" s="1"/>
    </row>
    <row r="410" spans="1:57" x14ac:dyDescent="0.25">
      <c r="A410" s="1">
        <v>20071</v>
      </c>
      <c r="B410" s="1" t="s">
        <v>4402</v>
      </c>
      <c r="C410" s="9" t="s">
        <v>834</v>
      </c>
      <c r="D410" s="1" t="s">
        <v>4403</v>
      </c>
      <c r="E410" s="1"/>
      <c r="F410" s="1"/>
      <c r="G410" s="1" t="s">
        <v>4404</v>
      </c>
      <c r="H410" s="1" t="s">
        <v>4405</v>
      </c>
      <c r="I410" s="1" t="s">
        <v>4406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1467</v>
      </c>
      <c r="AL410" s="1">
        <v>13</v>
      </c>
      <c r="AM410" s="1" t="s">
        <v>399</v>
      </c>
      <c r="AN410" s="1" t="s">
        <v>5500</v>
      </c>
      <c r="AO410" s="1" t="s">
        <v>5501</v>
      </c>
      <c r="AP410" s="1">
        <v>0</v>
      </c>
      <c r="AQ410" s="1" t="s">
        <v>1165</v>
      </c>
      <c r="AR410" s="1" t="s">
        <v>1189</v>
      </c>
      <c r="AS410" s="1" t="s">
        <v>1780</v>
      </c>
      <c r="AT410" s="1" t="s">
        <v>329</v>
      </c>
      <c r="AU410" s="1">
        <v>71</v>
      </c>
      <c r="AV410" s="1">
        <v>0</v>
      </c>
      <c r="AW410" s="1" t="s">
        <v>4560</v>
      </c>
      <c r="AX410" s="1" t="s">
        <v>5484</v>
      </c>
      <c r="AY410" s="1">
        <v>4</v>
      </c>
      <c r="AZ410" s="1">
        <v>3071</v>
      </c>
      <c r="BA410" s="1" t="s">
        <v>329</v>
      </c>
      <c r="BB410" s="1" t="s">
        <v>4967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4407</v>
      </c>
      <c r="C411" s="9" t="s">
        <v>260</v>
      </c>
      <c r="D411" s="1" t="s">
        <v>260</v>
      </c>
      <c r="E411" s="1"/>
      <c r="F411" s="1"/>
      <c r="G411" s="1" t="s">
        <v>4408</v>
      </c>
      <c r="H411" s="1" t="s">
        <v>4409</v>
      </c>
      <c r="I411" s="1" t="s">
        <v>4410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1468</v>
      </c>
      <c r="AK411" s="1" t="s">
        <v>1469</v>
      </c>
      <c r="AL411" s="1">
        <v>18</v>
      </c>
      <c r="AM411" s="1" t="s">
        <v>4926</v>
      </c>
      <c r="AN411" s="1" t="s">
        <v>4977</v>
      </c>
      <c r="AO411" s="1" t="s">
        <v>5502</v>
      </c>
      <c r="AP411" s="1">
        <v>0</v>
      </c>
      <c r="AQ411" s="1" t="s">
        <v>1202</v>
      </c>
      <c r="AR411" s="1" t="s">
        <v>4979</v>
      </c>
      <c r="AS411" s="1" t="s">
        <v>4980</v>
      </c>
      <c r="AT411" s="1" t="s">
        <v>329</v>
      </c>
      <c r="AU411" s="1">
        <v>75</v>
      </c>
      <c r="AV411" s="1">
        <v>0</v>
      </c>
      <c r="AW411" s="1" t="s">
        <v>4560</v>
      </c>
      <c r="AX411" s="1" t="s">
        <v>5484</v>
      </c>
      <c r="AY411" s="1">
        <v>5</v>
      </c>
      <c r="AZ411" s="1">
        <v>3075</v>
      </c>
      <c r="BA411" s="1" t="s">
        <v>329</v>
      </c>
      <c r="BB411" s="1" t="s">
        <v>4981</v>
      </c>
      <c r="BC411" s="1" t="s">
        <v>4788</v>
      </c>
      <c r="BD411" s="1">
        <v>0</v>
      </c>
      <c r="BE411" s="1"/>
    </row>
    <row r="412" spans="1:57" x14ac:dyDescent="0.25">
      <c r="A412" s="1">
        <v>20081</v>
      </c>
      <c r="B412" s="1" t="s">
        <v>4411</v>
      </c>
      <c r="C412" s="9" t="s">
        <v>261</v>
      </c>
      <c r="D412" s="1" t="s">
        <v>261</v>
      </c>
      <c r="E412" s="1"/>
      <c r="F412" s="1"/>
      <c r="G412" s="1" t="s">
        <v>4412</v>
      </c>
      <c r="H412" s="1" t="s">
        <v>4413</v>
      </c>
      <c r="I412" s="1" t="s">
        <v>4414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1470</v>
      </c>
      <c r="AK412" s="1" t="s">
        <v>1471</v>
      </c>
      <c r="AL412" s="1">
        <v>18</v>
      </c>
      <c r="AM412" s="1" t="s">
        <v>4926</v>
      </c>
      <c r="AN412" s="1" t="s">
        <v>4977</v>
      </c>
      <c r="AO412" s="1" t="s">
        <v>5503</v>
      </c>
      <c r="AP412" s="1">
        <v>0</v>
      </c>
      <c r="AQ412" s="1" t="s">
        <v>1202</v>
      </c>
      <c r="AR412" s="1" t="s">
        <v>4979</v>
      </c>
      <c r="AS412" s="1" t="s">
        <v>1204</v>
      </c>
      <c r="AT412" s="1" t="s">
        <v>329</v>
      </c>
      <c r="AU412" s="1">
        <v>81</v>
      </c>
      <c r="AV412" s="1">
        <v>0</v>
      </c>
      <c r="AW412" s="1" t="s">
        <v>4560</v>
      </c>
      <c r="AX412" s="1" t="s">
        <v>5484</v>
      </c>
      <c r="AY412" s="1">
        <v>4</v>
      </c>
      <c r="AZ412" s="1">
        <v>3081</v>
      </c>
      <c r="BA412" s="1" t="s">
        <v>329</v>
      </c>
      <c r="BB412" s="1" t="s">
        <v>4995</v>
      </c>
      <c r="BC412" s="1" t="s">
        <v>4788</v>
      </c>
      <c r="BD412" s="1">
        <v>0</v>
      </c>
      <c r="BE412" s="1"/>
    </row>
    <row r="413" spans="1:57" x14ac:dyDescent="0.25">
      <c r="A413" s="1">
        <v>20089</v>
      </c>
      <c r="B413" s="1" t="s">
        <v>4415</v>
      </c>
      <c r="C413" s="9" t="s">
        <v>744</v>
      </c>
      <c r="D413" s="1" t="s">
        <v>4416</v>
      </c>
      <c r="E413" s="1"/>
      <c r="F413" s="1"/>
      <c r="G413" s="1" t="s">
        <v>4417</v>
      </c>
      <c r="H413" s="1" t="s">
        <v>4418</v>
      </c>
      <c r="I413" s="1" t="s">
        <v>4419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1331</v>
      </c>
      <c r="AK413" s="1" t="s">
        <v>329</v>
      </c>
      <c r="AL413" s="1">
        <v>17</v>
      </c>
      <c r="AM413" s="1" t="s">
        <v>4926</v>
      </c>
      <c r="AN413" s="1" t="s">
        <v>4984</v>
      </c>
      <c r="AO413" s="1" t="s">
        <v>5504</v>
      </c>
      <c r="AP413" s="1">
        <v>0</v>
      </c>
      <c r="AQ413" s="1" t="s">
        <v>1202</v>
      </c>
      <c r="AR413" s="1" t="s">
        <v>4979</v>
      </c>
      <c r="AS413" s="1" t="s">
        <v>1204</v>
      </c>
      <c r="AT413" s="1" t="s">
        <v>329</v>
      </c>
      <c r="AU413" s="1">
        <v>89</v>
      </c>
      <c r="AV413" s="1">
        <v>0</v>
      </c>
      <c r="AW413" s="1" t="s">
        <v>4560</v>
      </c>
      <c r="AX413" s="1" t="s">
        <v>5484</v>
      </c>
      <c r="AY413" s="1">
        <v>4</v>
      </c>
      <c r="AZ413" s="1">
        <v>3089</v>
      </c>
      <c r="BA413" s="1" t="s">
        <v>329</v>
      </c>
      <c r="BB413" s="1" t="s">
        <v>5013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4420</v>
      </c>
      <c r="C414" s="9" t="s">
        <v>1719</v>
      </c>
      <c r="D414" s="1" t="s">
        <v>1719</v>
      </c>
      <c r="E414" s="1"/>
      <c r="F414" s="1"/>
      <c r="G414" s="1" t="s">
        <v>4421</v>
      </c>
      <c r="H414" s="1" t="s">
        <v>4422</v>
      </c>
      <c r="I414" s="1" t="s">
        <v>4423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1472</v>
      </c>
      <c r="AK414" s="1" t="s">
        <v>329</v>
      </c>
      <c r="AL414" s="1">
        <v>13</v>
      </c>
      <c r="AM414" s="1" t="s">
        <v>1874</v>
      </c>
      <c r="AN414" s="1" t="s">
        <v>5015</v>
      </c>
      <c r="AO414" s="1" t="s">
        <v>4892</v>
      </c>
      <c r="AP414" s="1">
        <v>0</v>
      </c>
      <c r="AQ414" s="1" t="s">
        <v>4810</v>
      </c>
      <c r="AR414" s="1" t="s">
        <v>1154</v>
      </c>
      <c r="AS414" s="1" t="s">
        <v>1155</v>
      </c>
      <c r="AT414" s="1" t="s">
        <v>329</v>
      </c>
      <c r="AU414" s="1">
        <v>91</v>
      </c>
      <c r="AV414" s="1">
        <v>0</v>
      </c>
      <c r="AW414" s="1" t="s">
        <v>4560</v>
      </c>
      <c r="AX414" s="1" t="s">
        <v>5484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4825</v>
      </c>
      <c r="BD414" s="1">
        <v>0</v>
      </c>
      <c r="BE414" s="1"/>
    </row>
    <row r="415" spans="1:57" x14ac:dyDescent="0.25">
      <c r="A415" s="1">
        <v>20093</v>
      </c>
      <c r="B415" s="1" t="s">
        <v>4424</v>
      </c>
      <c r="C415" s="9" t="s">
        <v>262</v>
      </c>
      <c r="D415" s="1" t="s">
        <v>262</v>
      </c>
      <c r="E415" s="1"/>
      <c r="F415" s="1"/>
      <c r="G415" s="1" t="s">
        <v>4425</v>
      </c>
      <c r="H415" s="1" t="s">
        <v>4426</v>
      </c>
      <c r="I415" s="1" t="s">
        <v>4427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1473</v>
      </c>
      <c r="AK415" s="1" t="s">
        <v>1474</v>
      </c>
      <c r="AL415" s="1">
        <v>13</v>
      </c>
      <c r="AM415" s="1" t="s">
        <v>4858</v>
      </c>
      <c r="AN415" s="1" t="s">
        <v>4863</v>
      </c>
      <c r="AO415" s="1" t="s">
        <v>5505</v>
      </c>
      <c r="AP415" s="1">
        <v>0</v>
      </c>
      <c r="AQ415" s="1" t="s">
        <v>1780</v>
      </c>
      <c r="AR415" s="1" t="s">
        <v>1154</v>
      </c>
      <c r="AS415" s="1" t="s">
        <v>1165</v>
      </c>
      <c r="AT415" s="1" t="s">
        <v>329</v>
      </c>
      <c r="AU415" s="1">
        <v>93</v>
      </c>
      <c r="AV415" s="1">
        <v>0</v>
      </c>
      <c r="AW415" s="1" t="s">
        <v>4560</v>
      </c>
      <c r="AX415" s="1" t="s">
        <v>5484</v>
      </c>
      <c r="AY415" s="1">
        <v>4</v>
      </c>
      <c r="AZ415" s="1">
        <v>3093</v>
      </c>
      <c r="BA415" s="1" t="s">
        <v>329</v>
      </c>
      <c r="BB415" s="1" t="s">
        <v>5018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4428</v>
      </c>
      <c r="C416" s="9" t="s">
        <v>741</v>
      </c>
      <c r="D416" s="1" t="s">
        <v>4429</v>
      </c>
      <c r="E416" s="1"/>
      <c r="F416" s="1"/>
      <c r="G416" s="1" t="s">
        <v>4430</v>
      </c>
      <c r="H416" s="1" t="s">
        <v>4431</v>
      </c>
      <c r="I416" s="1" t="s">
        <v>4432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1199</v>
      </c>
      <c r="AK416" s="1" t="s">
        <v>329</v>
      </c>
      <c r="AL416" s="1">
        <v>13</v>
      </c>
      <c r="AM416" s="1" t="s">
        <v>4858</v>
      </c>
      <c r="AN416" s="1" t="s">
        <v>4861</v>
      </c>
      <c r="AO416" s="1" t="s">
        <v>5506</v>
      </c>
      <c r="AP416" s="1">
        <v>0</v>
      </c>
      <c r="AQ416" s="1" t="s">
        <v>1780</v>
      </c>
      <c r="AR416" s="1" t="s">
        <v>1154</v>
      </c>
      <c r="AS416" s="1" t="s">
        <v>1781</v>
      </c>
      <c r="AT416" s="1" t="s">
        <v>329</v>
      </c>
      <c r="AU416" s="1">
        <v>94</v>
      </c>
      <c r="AV416" s="1">
        <v>0</v>
      </c>
      <c r="AW416" s="1" t="s">
        <v>4560</v>
      </c>
      <c r="AX416" s="1" t="s">
        <v>5484</v>
      </c>
      <c r="AY416" s="1">
        <v>4</v>
      </c>
      <c r="AZ416" s="1">
        <v>3094</v>
      </c>
      <c r="BA416" s="1" t="s">
        <v>329</v>
      </c>
      <c r="BB416" s="1" t="s">
        <v>5020</v>
      </c>
      <c r="BC416" s="1" t="s">
        <v>4851</v>
      </c>
      <c r="BD416" s="1">
        <v>0</v>
      </c>
      <c r="BE416" s="1"/>
    </row>
    <row r="417" spans="1:57" x14ac:dyDescent="0.25">
      <c r="A417" s="1">
        <v>20095</v>
      </c>
      <c r="B417" s="1" t="s">
        <v>4433</v>
      </c>
      <c r="C417" s="9" t="s">
        <v>841</v>
      </c>
      <c r="D417" s="1" t="s">
        <v>4434</v>
      </c>
      <c r="E417" s="1"/>
      <c r="F417" s="1"/>
      <c r="G417" s="1" t="s">
        <v>4435</v>
      </c>
      <c r="H417" s="1" t="s">
        <v>4436</v>
      </c>
      <c r="I417" s="1" t="s">
        <v>4437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1475</v>
      </c>
      <c r="AK417" s="1" t="s">
        <v>1476</v>
      </c>
      <c r="AL417" s="1">
        <v>13</v>
      </c>
      <c r="AM417" s="1" t="s">
        <v>4830</v>
      </c>
      <c r="AN417" s="1" t="s">
        <v>5434</v>
      </c>
      <c r="AO417" s="1" t="s">
        <v>4900</v>
      </c>
      <c r="AP417" s="1">
        <v>0</v>
      </c>
      <c r="AQ417" s="1" t="s">
        <v>1782</v>
      </c>
      <c r="AR417" s="1" t="s">
        <v>4903</v>
      </c>
      <c r="AS417" s="1" t="s">
        <v>1177</v>
      </c>
      <c r="AT417" s="1" t="s">
        <v>329</v>
      </c>
      <c r="AU417" s="1">
        <v>95</v>
      </c>
      <c r="AV417" s="1">
        <v>0</v>
      </c>
      <c r="AW417" s="1" t="s">
        <v>4560</v>
      </c>
      <c r="AX417" s="1" t="s">
        <v>5484</v>
      </c>
      <c r="AY417" s="1">
        <v>4</v>
      </c>
      <c r="AZ417" s="1">
        <v>3095</v>
      </c>
      <c r="BA417" s="1" t="s">
        <v>329</v>
      </c>
      <c r="BB417" s="1" t="s">
        <v>5020</v>
      </c>
      <c r="BC417" s="1" t="s">
        <v>4851</v>
      </c>
      <c r="BD417" s="1">
        <v>0</v>
      </c>
      <c r="BE417" s="1"/>
    </row>
    <row r="418" spans="1:57" x14ac:dyDescent="0.25">
      <c r="A418" s="1">
        <v>20097</v>
      </c>
      <c r="B418" s="1" t="s">
        <v>4438</v>
      </c>
      <c r="C418" s="9" t="s">
        <v>263</v>
      </c>
      <c r="D418" s="1" t="s">
        <v>263</v>
      </c>
      <c r="E418" s="1"/>
      <c r="F418" s="1"/>
      <c r="G418" s="1" t="s">
        <v>4439</v>
      </c>
      <c r="H418" s="1" t="s">
        <v>4440</v>
      </c>
      <c r="I418" s="1" t="s">
        <v>4441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1477</v>
      </c>
      <c r="AL418" s="1">
        <v>13</v>
      </c>
      <c r="AM418" s="1" t="s">
        <v>1874</v>
      </c>
      <c r="AN418" s="1" t="s">
        <v>5507</v>
      </c>
      <c r="AO418" s="1" t="s">
        <v>5508</v>
      </c>
      <c r="AP418" s="1">
        <v>0</v>
      </c>
      <c r="AQ418" s="1" t="s">
        <v>4810</v>
      </c>
      <c r="AR418" s="1" t="s">
        <v>1154</v>
      </c>
      <c r="AS418" s="1" t="s">
        <v>1155</v>
      </c>
      <c r="AT418" s="1" t="s">
        <v>329</v>
      </c>
      <c r="AU418" s="1">
        <v>97</v>
      </c>
      <c r="AV418" s="1">
        <v>0</v>
      </c>
      <c r="AW418" s="1" t="s">
        <v>4560</v>
      </c>
      <c r="AX418" s="1" t="s">
        <v>5484</v>
      </c>
      <c r="AY418" s="1">
        <v>6</v>
      </c>
      <c r="AZ418" s="1">
        <v>3097</v>
      </c>
      <c r="BA418" s="1" t="s">
        <v>329</v>
      </c>
      <c r="BB418" s="1" t="s">
        <v>5025</v>
      </c>
      <c r="BC418" s="1" t="s">
        <v>4788</v>
      </c>
      <c r="BD418" s="1">
        <v>0</v>
      </c>
      <c r="BE418" s="1"/>
    </row>
    <row r="419" spans="1:57" x14ac:dyDescent="0.25">
      <c r="A419" s="1">
        <v>20101</v>
      </c>
      <c r="B419" s="1" t="s">
        <v>4442</v>
      </c>
      <c r="C419" s="9" t="s">
        <v>264</v>
      </c>
      <c r="D419" s="1" t="s">
        <v>264</v>
      </c>
      <c r="E419" s="1"/>
      <c r="F419" s="1"/>
      <c r="G419" s="1" t="s">
        <v>4443</v>
      </c>
      <c r="H419" s="1" t="s">
        <v>4444</v>
      </c>
      <c r="I419" s="1" t="s">
        <v>4445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1478</v>
      </c>
      <c r="AK419" s="1" t="s">
        <v>1479</v>
      </c>
      <c r="AL419" s="1">
        <v>13</v>
      </c>
      <c r="AM419" s="1" t="s">
        <v>4858</v>
      </c>
      <c r="AN419" s="1" t="s">
        <v>4863</v>
      </c>
      <c r="AO419" s="1" t="s">
        <v>5059</v>
      </c>
      <c r="AP419" s="1">
        <v>0</v>
      </c>
      <c r="AQ419" s="1" t="s">
        <v>1780</v>
      </c>
      <c r="AR419" s="1" t="s">
        <v>1154</v>
      </c>
      <c r="AS419" s="1" t="s">
        <v>1781</v>
      </c>
      <c r="AT419" s="1" t="s">
        <v>329</v>
      </c>
      <c r="AU419" s="1">
        <v>101</v>
      </c>
      <c r="AV419" s="1">
        <v>0</v>
      </c>
      <c r="AW419" s="1" t="s">
        <v>4560</v>
      </c>
      <c r="AX419" s="1" t="s">
        <v>5484</v>
      </c>
      <c r="AY419" s="1">
        <v>5</v>
      </c>
      <c r="AZ419" s="1">
        <v>3101</v>
      </c>
      <c r="BA419" s="1" t="s">
        <v>329</v>
      </c>
      <c r="BB419" s="1" t="s">
        <v>5033</v>
      </c>
      <c r="BC419" s="1" t="s">
        <v>4957</v>
      </c>
      <c r="BD419" s="1">
        <v>0</v>
      </c>
      <c r="BE419" s="1"/>
    </row>
    <row r="420" spans="1:57" x14ac:dyDescent="0.25">
      <c r="A420" s="1">
        <v>20103</v>
      </c>
      <c r="B420" s="1" t="s">
        <v>4446</v>
      </c>
      <c r="C420" s="9" t="s">
        <v>265</v>
      </c>
      <c r="D420" s="1" t="s">
        <v>265</v>
      </c>
      <c r="E420" s="1"/>
      <c r="F420" s="1"/>
      <c r="G420" s="1" t="s">
        <v>4447</v>
      </c>
      <c r="H420" s="1" t="s">
        <v>4448</v>
      </c>
      <c r="I420" s="1" t="s">
        <v>4449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1480</v>
      </c>
      <c r="AK420" s="1" t="s">
        <v>329</v>
      </c>
      <c r="AL420" s="1">
        <v>13</v>
      </c>
      <c r="AM420" s="1" t="s">
        <v>4858</v>
      </c>
      <c r="AN420" s="1" t="s">
        <v>4863</v>
      </c>
      <c r="AO420" s="1" t="s">
        <v>5509</v>
      </c>
      <c r="AP420" s="1">
        <v>0</v>
      </c>
      <c r="AQ420" s="1" t="s">
        <v>1780</v>
      </c>
      <c r="AR420" s="1" t="s">
        <v>1154</v>
      </c>
      <c r="AS420" s="1" t="s">
        <v>1781</v>
      </c>
      <c r="AT420" s="1" t="s">
        <v>329</v>
      </c>
      <c r="AU420" s="1">
        <v>103</v>
      </c>
      <c r="AV420" s="1">
        <v>0</v>
      </c>
      <c r="AW420" s="1" t="s">
        <v>5037</v>
      </c>
      <c r="AX420" s="1" t="s">
        <v>5484</v>
      </c>
      <c r="AY420" s="1">
        <v>5</v>
      </c>
      <c r="AZ420" s="1">
        <v>3103</v>
      </c>
      <c r="BA420" s="1" t="s">
        <v>329</v>
      </c>
      <c r="BB420" s="1" t="s">
        <v>5038</v>
      </c>
      <c r="BC420" s="1" t="s">
        <v>4957</v>
      </c>
      <c r="BD420" s="1">
        <v>0</v>
      </c>
      <c r="BE420" s="1"/>
    </row>
    <row r="421" spans="1:57" x14ac:dyDescent="0.25">
      <c r="A421" s="1">
        <v>20104</v>
      </c>
      <c r="B421" s="1" t="s">
        <v>4515</v>
      </c>
      <c r="C421" s="9" t="s">
        <v>1784</v>
      </c>
      <c r="D421" s="1" t="s">
        <v>1784</v>
      </c>
      <c r="E421" s="1"/>
      <c r="F421" s="1"/>
      <c r="G421" s="1" t="s">
        <v>4516</v>
      </c>
      <c r="H421" s="1" t="s">
        <v>4517</v>
      </c>
      <c r="I421" s="1" t="s">
        <v>4518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1785</v>
      </c>
      <c r="AK421" s="1" t="s">
        <v>1786</v>
      </c>
      <c r="AL421" s="1">
        <v>13</v>
      </c>
      <c r="AM421" s="1" t="s">
        <v>4858</v>
      </c>
      <c r="AN421" s="1" t="s">
        <v>4863</v>
      </c>
      <c r="AO421" s="1" t="s">
        <v>5527</v>
      </c>
      <c r="AP421" s="1">
        <v>0</v>
      </c>
      <c r="AQ421" s="1" t="s">
        <v>1780</v>
      </c>
      <c r="AR421" s="1" t="s">
        <v>1154</v>
      </c>
      <c r="AS421" s="1" t="s">
        <v>1165</v>
      </c>
      <c r="AT421" s="1" t="s">
        <v>329</v>
      </c>
      <c r="AU421" s="1">
        <v>104</v>
      </c>
      <c r="AV421" s="1">
        <v>0</v>
      </c>
      <c r="AW421" s="1" t="s">
        <v>5039</v>
      </c>
      <c r="AX421" s="1" t="s">
        <v>5484</v>
      </c>
      <c r="AY421" s="1">
        <v>6</v>
      </c>
      <c r="AZ421" s="1">
        <v>3104</v>
      </c>
      <c r="BA421" s="1" t="s">
        <v>329</v>
      </c>
      <c r="BB421" s="1" t="s">
        <v>5040</v>
      </c>
      <c r="BC421" s="1" t="s">
        <v>4837</v>
      </c>
      <c r="BD421" s="1">
        <v>0</v>
      </c>
      <c r="BE421" s="1"/>
    </row>
    <row r="422" spans="1:57" x14ac:dyDescent="0.25">
      <c r="A422" s="1">
        <v>20114</v>
      </c>
      <c r="B422" s="1" t="s">
        <v>4450</v>
      </c>
      <c r="C422" s="9" t="s">
        <v>837</v>
      </c>
      <c r="D422" s="1" t="s">
        <v>4451</v>
      </c>
      <c r="E422" s="1"/>
      <c r="F422" s="1"/>
      <c r="G422" s="1" t="s">
        <v>4452</v>
      </c>
      <c r="H422" s="1" t="s">
        <v>4453</v>
      </c>
      <c r="I422" s="1" t="s">
        <v>4454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1481</v>
      </c>
      <c r="AK422" s="1" t="s">
        <v>329</v>
      </c>
      <c r="AL422" s="1">
        <v>12</v>
      </c>
      <c r="AM422" s="1" t="s">
        <v>1874</v>
      </c>
      <c r="AN422" s="1" t="s">
        <v>5510</v>
      </c>
      <c r="AO422" s="1" t="s">
        <v>5511</v>
      </c>
      <c r="AP422" s="1">
        <v>0</v>
      </c>
      <c r="AQ422" s="1" t="s">
        <v>1153</v>
      </c>
      <c r="AR422" s="1" t="s">
        <v>1154</v>
      </c>
      <c r="AS422" s="1" t="s">
        <v>4829</v>
      </c>
      <c r="AT422" s="1" t="s">
        <v>329</v>
      </c>
      <c r="AU422" s="1">
        <v>114</v>
      </c>
      <c r="AV422" s="1">
        <v>0</v>
      </c>
      <c r="AW422" s="1" t="s">
        <v>5037</v>
      </c>
      <c r="AX422" s="1" t="s">
        <v>5484</v>
      </c>
      <c r="AY422" s="1">
        <v>6</v>
      </c>
      <c r="AZ422" s="1">
        <v>3114</v>
      </c>
      <c r="BA422" s="1" t="s">
        <v>329</v>
      </c>
      <c r="BB422" s="1" t="s">
        <v>5057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4455</v>
      </c>
      <c r="C423" s="9" t="s">
        <v>1482</v>
      </c>
      <c r="D423" s="1" t="s">
        <v>1482</v>
      </c>
      <c r="E423" s="1"/>
      <c r="F423" s="1"/>
      <c r="G423" s="1" t="s">
        <v>4456</v>
      </c>
      <c r="H423" s="1" t="s">
        <v>4457</v>
      </c>
      <c r="I423" s="1" t="s">
        <v>4458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1483</v>
      </c>
      <c r="AK423" s="1" t="s">
        <v>329</v>
      </c>
      <c r="AL423" s="1">
        <v>13</v>
      </c>
      <c r="AM423" s="1" t="s">
        <v>4787</v>
      </c>
      <c r="AN423" s="1" t="s">
        <v>4952</v>
      </c>
      <c r="AO423" s="1" t="s">
        <v>5512</v>
      </c>
      <c r="AP423" s="1">
        <v>0</v>
      </c>
      <c r="AQ423" s="1" t="s">
        <v>1165</v>
      </c>
      <c r="AR423" s="1" t="s">
        <v>1189</v>
      </c>
      <c r="AS423" s="1" t="s">
        <v>1780</v>
      </c>
      <c r="AT423" s="1" t="s">
        <v>329</v>
      </c>
      <c r="AU423" s="1">
        <v>122</v>
      </c>
      <c r="AV423" s="1">
        <v>0</v>
      </c>
      <c r="AW423" s="1" t="s">
        <v>5028</v>
      </c>
      <c r="AX423" s="1" t="s">
        <v>5484</v>
      </c>
      <c r="AY423" s="1">
        <v>6</v>
      </c>
      <c r="AZ423" s="1">
        <v>3122</v>
      </c>
      <c r="BA423" s="1" t="s">
        <v>329</v>
      </c>
      <c r="BB423" s="1" t="s">
        <v>5074</v>
      </c>
      <c r="BC423" s="1" t="s">
        <v>4957</v>
      </c>
      <c r="BD423" s="1">
        <v>0</v>
      </c>
      <c r="BE423" s="1"/>
    </row>
    <row r="424" spans="1:57" x14ac:dyDescent="0.25">
      <c r="A424" s="1">
        <v>20124</v>
      </c>
      <c r="B424" s="1" t="s">
        <v>4459</v>
      </c>
      <c r="C424" s="9" t="s">
        <v>835</v>
      </c>
      <c r="D424" s="1" t="s">
        <v>4460</v>
      </c>
      <c r="E424" s="1"/>
      <c r="F424" s="1"/>
      <c r="G424" s="1" t="s">
        <v>4461</v>
      </c>
      <c r="H424" s="1" t="s">
        <v>4462</v>
      </c>
      <c r="I424" s="1" t="s">
        <v>4463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1484</v>
      </c>
      <c r="AK424" s="1" t="s">
        <v>1485</v>
      </c>
      <c r="AL424" s="1">
        <v>13</v>
      </c>
      <c r="AM424" s="1" t="s">
        <v>4830</v>
      </c>
      <c r="AN424" s="1" t="s">
        <v>5457</v>
      </c>
      <c r="AO424" s="1" t="s">
        <v>4900</v>
      </c>
      <c r="AP424" s="1">
        <v>0</v>
      </c>
      <c r="AQ424" s="1" t="s">
        <v>1175</v>
      </c>
      <c r="AR424" s="1" t="s">
        <v>4903</v>
      </c>
      <c r="AS424" s="1" t="s">
        <v>1177</v>
      </c>
      <c r="AT424" s="1" t="s">
        <v>329</v>
      </c>
      <c r="AU424" s="1">
        <v>124</v>
      </c>
      <c r="AV424" s="1">
        <v>0</v>
      </c>
      <c r="AW424" s="1" t="s">
        <v>5077</v>
      </c>
      <c r="AX424" s="1" t="s">
        <v>5484</v>
      </c>
      <c r="AY424" s="1">
        <v>4</v>
      </c>
      <c r="AZ424" s="1">
        <v>3124</v>
      </c>
      <c r="BA424" s="1" t="s">
        <v>329</v>
      </c>
      <c r="BB424" s="1" t="s">
        <v>5078</v>
      </c>
      <c r="BC424" s="1" t="s">
        <v>4788</v>
      </c>
      <c r="BD424" s="1">
        <v>0</v>
      </c>
      <c r="BE424" s="1"/>
    </row>
    <row r="425" spans="1:57" x14ac:dyDescent="0.25">
      <c r="A425" s="1">
        <v>20125</v>
      </c>
      <c r="B425" s="1" t="s">
        <v>4464</v>
      </c>
      <c r="C425" s="9" t="s">
        <v>937</v>
      </c>
      <c r="D425" s="1" t="s">
        <v>937</v>
      </c>
      <c r="E425" s="1"/>
      <c r="F425" s="1"/>
      <c r="G425" s="1" t="s">
        <v>4465</v>
      </c>
      <c r="H425" s="1" t="s">
        <v>4466</v>
      </c>
      <c r="I425" s="1" t="s">
        <v>4467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1201</v>
      </c>
      <c r="AK425" s="1" t="s">
        <v>1486</v>
      </c>
      <c r="AL425" s="1">
        <v>18</v>
      </c>
      <c r="AM425" s="1" t="s">
        <v>4926</v>
      </c>
      <c r="AN425" s="1" t="s">
        <v>5052</v>
      </c>
      <c r="AO425" s="1" t="s">
        <v>5513</v>
      </c>
      <c r="AP425" s="1">
        <v>0</v>
      </c>
      <c r="AQ425" s="1" t="s">
        <v>5080</v>
      </c>
      <c r="AR425" s="1" t="s">
        <v>4979</v>
      </c>
      <c r="AS425" s="1" t="s">
        <v>1204</v>
      </c>
      <c r="AT425" s="1" t="s">
        <v>329</v>
      </c>
      <c r="AU425" s="1">
        <v>125</v>
      </c>
      <c r="AV425" s="1">
        <v>0</v>
      </c>
      <c r="AW425" s="1" t="s">
        <v>4910</v>
      </c>
      <c r="AX425" s="1" t="s">
        <v>5484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4837</v>
      </c>
      <c r="BD425" s="1">
        <v>0</v>
      </c>
      <c r="BE425" s="1"/>
    </row>
    <row r="426" spans="1:57" x14ac:dyDescent="0.25">
      <c r="A426" s="1">
        <v>20136</v>
      </c>
      <c r="B426" s="1" t="s">
        <v>4468</v>
      </c>
      <c r="C426" s="9" t="s">
        <v>1720</v>
      </c>
      <c r="D426" s="1" t="s">
        <v>1720</v>
      </c>
      <c r="E426" s="1"/>
      <c r="F426" s="1"/>
      <c r="G426" s="1" t="s">
        <v>4469</v>
      </c>
      <c r="H426" s="1" t="s">
        <v>4470</v>
      </c>
      <c r="I426" s="1" t="s">
        <v>4471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1487</v>
      </c>
      <c r="AK426" s="1" t="s">
        <v>1488</v>
      </c>
      <c r="AL426" s="1">
        <v>13</v>
      </c>
      <c r="AM426" s="1" t="s">
        <v>4858</v>
      </c>
      <c r="AN426" s="1" t="s">
        <v>5061</v>
      </c>
      <c r="AO426" s="1" t="s">
        <v>5514</v>
      </c>
      <c r="AP426" s="1">
        <v>0</v>
      </c>
      <c r="AQ426" s="1" t="s">
        <v>1164</v>
      </c>
      <c r="AR426" s="1" t="s">
        <v>1154</v>
      </c>
      <c r="AS426" s="1" t="s">
        <v>1781</v>
      </c>
      <c r="AT426" s="1" t="s">
        <v>329</v>
      </c>
      <c r="AU426" s="1">
        <v>136</v>
      </c>
      <c r="AV426" s="1">
        <v>0</v>
      </c>
      <c r="AW426" s="1" t="s">
        <v>4876</v>
      </c>
      <c r="AX426" s="1" t="s">
        <v>5484</v>
      </c>
      <c r="AY426" s="1">
        <v>5</v>
      </c>
      <c r="AZ426" s="1">
        <v>3136</v>
      </c>
      <c r="BA426" s="1" t="s">
        <v>329</v>
      </c>
      <c r="BB426" s="1" t="s">
        <v>4861</v>
      </c>
      <c r="BC426" s="1" t="s">
        <v>4825</v>
      </c>
      <c r="BD426" s="1">
        <v>0</v>
      </c>
      <c r="BE426" s="1"/>
    </row>
    <row r="427" spans="1:57" x14ac:dyDescent="0.25">
      <c r="A427" s="1">
        <v>20143</v>
      </c>
      <c r="B427" s="1" t="s">
        <v>4472</v>
      </c>
      <c r="C427" s="9" t="s">
        <v>828</v>
      </c>
      <c r="D427" s="1" t="s">
        <v>828</v>
      </c>
      <c r="E427" s="1"/>
      <c r="F427" s="1"/>
      <c r="G427" s="1" t="s">
        <v>4473</v>
      </c>
      <c r="H427" s="1" t="s">
        <v>4474</v>
      </c>
      <c r="I427" s="1" t="s">
        <v>4475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1489</v>
      </c>
      <c r="AK427" s="1" t="s">
        <v>1490</v>
      </c>
      <c r="AL427" s="1">
        <v>13</v>
      </c>
      <c r="AM427" s="1" t="s">
        <v>4858</v>
      </c>
      <c r="AN427" s="1" t="s">
        <v>5015</v>
      </c>
      <c r="AO427" s="1" t="s">
        <v>5515</v>
      </c>
      <c r="AP427" s="1">
        <v>0</v>
      </c>
      <c r="AQ427" s="1" t="s">
        <v>1780</v>
      </c>
      <c r="AR427" s="1" t="s">
        <v>1154</v>
      </c>
      <c r="AS427" s="1" t="s">
        <v>1165</v>
      </c>
      <c r="AT427" s="1" t="s">
        <v>329</v>
      </c>
      <c r="AU427" s="1">
        <v>143</v>
      </c>
      <c r="AV427" s="1">
        <v>0</v>
      </c>
      <c r="AW427" s="1" t="s">
        <v>5105</v>
      </c>
      <c r="AX427" s="1" t="s">
        <v>5484</v>
      </c>
      <c r="AY427" s="1">
        <v>6</v>
      </c>
      <c r="AZ427" s="1">
        <v>3143</v>
      </c>
      <c r="BA427" s="1" t="s">
        <v>329</v>
      </c>
      <c r="BB427" s="1" t="s">
        <v>5115</v>
      </c>
      <c r="BC427" s="1" t="s">
        <v>4928</v>
      </c>
      <c r="BD427" s="1">
        <v>0</v>
      </c>
      <c r="BE427" s="1"/>
    </row>
    <row r="428" spans="1:57" x14ac:dyDescent="0.25">
      <c r="A428" s="1">
        <v>20152</v>
      </c>
      <c r="B428" s="1" t="s">
        <v>4476</v>
      </c>
      <c r="C428" s="9" t="s">
        <v>725</v>
      </c>
      <c r="D428" s="1" t="s">
        <v>725</v>
      </c>
      <c r="E428" s="1"/>
      <c r="F428" s="1"/>
      <c r="G428" s="1" t="s">
        <v>4477</v>
      </c>
      <c r="H428" s="1" t="s">
        <v>4478</v>
      </c>
      <c r="I428" s="1" t="s">
        <v>4479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1491</v>
      </c>
      <c r="AK428" s="1" t="s">
        <v>329</v>
      </c>
      <c r="AL428" s="1">
        <v>8</v>
      </c>
      <c r="AM428" s="1" t="s">
        <v>4784</v>
      </c>
      <c r="AN428" s="1" t="s">
        <v>5516</v>
      </c>
      <c r="AO428" s="1" t="s">
        <v>5517</v>
      </c>
      <c r="AP428" s="1">
        <v>0</v>
      </c>
      <c r="AQ428" s="1" t="s">
        <v>1235</v>
      </c>
      <c r="AR428" s="1" t="s">
        <v>5128</v>
      </c>
      <c r="AS428" s="1" t="s">
        <v>1237</v>
      </c>
      <c r="AT428" s="1" t="s">
        <v>329</v>
      </c>
      <c r="AU428" s="1">
        <v>152</v>
      </c>
      <c r="AV428" s="1">
        <v>0</v>
      </c>
      <c r="AW428" s="1" t="s">
        <v>5129</v>
      </c>
      <c r="AX428" s="1" t="s">
        <v>5484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4788</v>
      </c>
      <c r="BD428" s="1">
        <v>0</v>
      </c>
      <c r="BE428" s="1"/>
    </row>
    <row r="429" spans="1:57" x14ac:dyDescent="0.25">
      <c r="A429" s="1">
        <v>20154</v>
      </c>
      <c r="B429" s="1" t="s">
        <v>4480</v>
      </c>
      <c r="C429" s="9" t="s">
        <v>716</v>
      </c>
      <c r="D429" s="1" t="s">
        <v>716</v>
      </c>
      <c r="E429" s="1"/>
      <c r="F429" s="1"/>
      <c r="G429" s="1" t="s">
        <v>4481</v>
      </c>
      <c r="H429" s="1" t="s">
        <v>4482</v>
      </c>
      <c r="I429" s="1" t="s">
        <v>4483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1492</v>
      </c>
      <c r="AK429" s="1" t="s">
        <v>1493</v>
      </c>
      <c r="AL429" s="1">
        <v>7</v>
      </c>
      <c r="AM429" s="1" t="s">
        <v>4784</v>
      </c>
      <c r="AN429" s="1" t="s">
        <v>471</v>
      </c>
      <c r="AO429" s="1" t="s">
        <v>5518</v>
      </c>
      <c r="AP429" s="1">
        <v>0</v>
      </c>
      <c r="AQ429" s="1" t="s">
        <v>1235</v>
      </c>
      <c r="AR429" s="1" t="s">
        <v>1236</v>
      </c>
      <c r="AS429" s="1" t="s">
        <v>5130</v>
      </c>
      <c r="AT429" s="1" t="s">
        <v>329</v>
      </c>
      <c r="AU429" s="1">
        <v>154</v>
      </c>
      <c r="AV429" s="1">
        <v>0</v>
      </c>
      <c r="AW429" s="1" t="s">
        <v>5105</v>
      </c>
      <c r="AX429" s="1" t="s">
        <v>5484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4788</v>
      </c>
      <c r="BD429" s="1">
        <v>0</v>
      </c>
      <c r="BE429" s="1"/>
    </row>
    <row r="430" spans="1:57" x14ac:dyDescent="0.25">
      <c r="A430" s="1">
        <v>20159</v>
      </c>
      <c r="B430" s="1" t="s">
        <v>4484</v>
      </c>
      <c r="C430" s="9" t="s">
        <v>938</v>
      </c>
      <c r="D430" s="1" t="s">
        <v>938</v>
      </c>
      <c r="E430" s="1"/>
      <c r="F430" s="1"/>
      <c r="G430" s="1" t="s">
        <v>4485</v>
      </c>
      <c r="H430" s="1" t="s">
        <v>4486</v>
      </c>
      <c r="I430" s="1" t="s">
        <v>4487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1494</v>
      </c>
      <c r="AK430" s="1" t="s">
        <v>1495</v>
      </c>
      <c r="AL430" s="1">
        <v>9</v>
      </c>
      <c r="AM430" s="1" t="s">
        <v>4784</v>
      </c>
      <c r="AN430" s="1" t="s">
        <v>366</v>
      </c>
      <c r="AO430" s="1" t="s">
        <v>5519</v>
      </c>
      <c r="AP430" s="1">
        <v>0</v>
      </c>
      <c r="AQ430" s="1" t="s">
        <v>5135</v>
      </c>
      <c r="AR430" s="1" t="s">
        <v>1236</v>
      </c>
      <c r="AS430" s="1" t="s">
        <v>1237</v>
      </c>
      <c r="AT430" s="1" t="s">
        <v>329</v>
      </c>
      <c r="AU430" s="1">
        <v>159</v>
      </c>
      <c r="AV430" s="1">
        <v>0</v>
      </c>
      <c r="AW430" s="1" t="s">
        <v>5105</v>
      </c>
      <c r="AX430" s="1" t="s">
        <v>5484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4825</v>
      </c>
      <c r="BD430" s="1">
        <v>0</v>
      </c>
      <c r="BE430" s="1"/>
    </row>
    <row r="431" spans="1:57" x14ac:dyDescent="0.25">
      <c r="A431" s="1">
        <v>20161</v>
      </c>
      <c r="B431" s="1" t="s">
        <v>4488</v>
      </c>
      <c r="C431" s="9" t="s">
        <v>734</v>
      </c>
      <c r="D431" s="1" t="s">
        <v>4489</v>
      </c>
      <c r="E431" s="1"/>
      <c r="F431" s="1"/>
      <c r="G431" s="1" t="s">
        <v>4490</v>
      </c>
      <c r="H431" s="1" t="s">
        <v>4491</v>
      </c>
      <c r="I431" s="1" t="s">
        <v>4492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1496</v>
      </c>
      <c r="AK431" s="1" t="s">
        <v>329</v>
      </c>
      <c r="AL431" s="1">
        <v>8</v>
      </c>
      <c r="AM431" s="1" t="s">
        <v>4784</v>
      </c>
      <c r="AN431" s="1" t="s">
        <v>5520</v>
      </c>
      <c r="AO431" s="1" t="s">
        <v>5136</v>
      </c>
      <c r="AP431" s="1">
        <v>0</v>
      </c>
      <c r="AQ431" s="1" t="s">
        <v>5135</v>
      </c>
      <c r="AR431" s="1" t="s">
        <v>1236</v>
      </c>
      <c r="AS431" s="1" t="s">
        <v>1237</v>
      </c>
      <c r="AT431" s="1" t="s">
        <v>329</v>
      </c>
      <c r="AU431" s="1">
        <v>161</v>
      </c>
      <c r="AV431" s="1">
        <v>0</v>
      </c>
      <c r="AW431" s="1" t="s">
        <v>5105</v>
      </c>
      <c r="AX431" s="1" t="s">
        <v>5484</v>
      </c>
      <c r="AY431" s="1">
        <v>5</v>
      </c>
      <c r="AZ431" s="1">
        <v>3161</v>
      </c>
      <c r="BA431" s="1" t="s">
        <v>329</v>
      </c>
      <c r="BB431" s="1" t="s">
        <v>5020</v>
      </c>
      <c r="BC431" s="1" t="s">
        <v>4851</v>
      </c>
      <c r="BD431" s="1">
        <v>0</v>
      </c>
      <c r="BE431" s="1"/>
    </row>
    <row r="432" spans="1:57" x14ac:dyDescent="0.25">
      <c r="A432" s="1">
        <v>20171</v>
      </c>
      <c r="B432" s="1" t="s">
        <v>4519</v>
      </c>
      <c r="C432" s="9" t="s">
        <v>1790</v>
      </c>
      <c r="D432" s="1" t="s">
        <v>4520</v>
      </c>
      <c r="E432" s="1"/>
      <c r="F432" s="1"/>
      <c r="G432" s="1" t="s">
        <v>4521</v>
      </c>
      <c r="H432" s="1" t="s">
        <v>4522</v>
      </c>
      <c r="I432" s="1" t="s">
        <v>4523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1783</v>
      </c>
      <c r="AK432" s="1" t="s">
        <v>329</v>
      </c>
      <c r="AL432" s="1">
        <v>13</v>
      </c>
      <c r="AM432" s="1" t="s">
        <v>4858</v>
      </c>
      <c r="AN432" s="1" t="s">
        <v>465</v>
      </c>
      <c r="AO432" s="1" t="s">
        <v>5426</v>
      </c>
      <c r="AP432" s="1">
        <v>0</v>
      </c>
      <c r="AQ432" s="1" t="s">
        <v>1781</v>
      </c>
      <c r="AR432" s="1" t="s">
        <v>1189</v>
      </c>
      <c r="AS432" s="1" t="s">
        <v>1164</v>
      </c>
      <c r="AT432" s="1" t="s">
        <v>329</v>
      </c>
      <c r="AU432" s="1">
        <v>171</v>
      </c>
      <c r="AV432" s="1">
        <v>0</v>
      </c>
      <c r="AW432" s="1" t="s">
        <v>5152</v>
      </c>
      <c r="AX432" s="1" t="s">
        <v>5484</v>
      </c>
      <c r="AY432" s="1">
        <v>5</v>
      </c>
      <c r="AZ432" s="1">
        <v>3171</v>
      </c>
      <c r="BA432" s="1" t="s">
        <v>329</v>
      </c>
      <c r="BB432" s="1" t="s">
        <v>5157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4493</v>
      </c>
      <c r="C433" s="9" t="s">
        <v>829</v>
      </c>
      <c r="D433" s="1" t="s">
        <v>829</v>
      </c>
      <c r="E433" s="1"/>
      <c r="F433" s="1"/>
      <c r="G433" s="1" t="s">
        <v>4494</v>
      </c>
      <c r="H433" s="1" t="s">
        <v>4495</v>
      </c>
      <c r="I433" s="1" t="s">
        <v>4496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5521</v>
      </c>
      <c r="AO433" s="1" t="s">
        <v>5522</v>
      </c>
      <c r="AP433" s="1">
        <v>0</v>
      </c>
      <c r="AQ433" s="1" t="s">
        <v>1780</v>
      </c>
      <c r="AR433" s="1" t="s">
        <v>1154</v>
      </c>
      <c r="AS433" s="1" t="s">
        <v>1165</v>
      </c>
      <c r="AT433" s="1" t="s">
        <v>329</v>
      </c>
      <c r="AU433" s="1">
        <v>178</v>
      </c>
      <c r="AV433" s="1">
        <v>0</v>
      </c>
      <c r="AW433" s="1" t="s">
        <v>5035</v>
      </c>
      <c r="AX433" s="1" t="s">
        <v>5484</v>
      </c>
      <c r="AY433" s="1">
        <v>4</v>
      </c>
      <c r="AZ433" s="1">
        <v>3178</v>
      </c>
      <c r="BA433" s="1" t="s">
        <v>329</v>
      </c>
      <c r="BB433" s="1" t="s">
        <v>5172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4497</v>
      </c>
      <c r="C434" s="9" t="s">
        <v>836</v>
      </c>
      <c r="D434" s="1" t="s">
        <v>4498</v>
      </c>
      <c r="E434" s="1"/>
      <c r="F434" s="1"/>
      <c r="G434" s="1" t="s">
        <v>4499</v>
      </c>
      <c r="H434" s="1" t="s">
        <v>4500</v>
      </c>
      <c r="I434" s="1" t="s">
        <v>4501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1497</v>
      </c>
      <c r="AK434" s="1" t="s">
        <v>1261</v>
      </c>
      <c r="AL434" s="1">
        <v>19</v>
      </c>
      <c r="AM434" s="1" t="s">
        <v>388</v>
      </c>
      <c r="AN434" s="1" t="s">
        <v>5523</v>
      </c>
      <c r="AO434" s="1" t="s">
        <v>5335</v>
      </c>
      <c r="AP434" s="1">
        <v>0</v>
      </c>
      <c r="AQ434" s="1" t="s">
        <v>5080</v>
      </c>
      <c r="AR434" s="1" t="s">
        <v>1203</v>
      </c>
      <c r="AS434" s="1" t="s">
        <v>1204</v>
      </c>
      <c r="AT434" s="1" t="s">
        <v>329</v>
      </c>
      <c r="AU434" s="1">
        <v>199</v>
      </c>
      <c r="AV434" s="1">
        <v>0</v>
      </c>
      <c r="AW434" s="1" t="s">
        <v>5101</v>
      </c>
      <c r="AX434" s="1" t="s">
        <v>5484</v>
      </c>
      <c r="AY434" s="1">
        <v>5</v>
      </c>
      <c r="AZ434" s="1">
        <v>3199</v>
      </c>
      <c r="BA434" s="1" t="s">
        <v>329</v>
      </c>
      <c r="BB434" s="1" t="s">
        <v>5205</v>
      </c>
      <c r="BC434" s="1" t="s">
        <v>4851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4502</v>
      </c>
      <c r="C435" s="9" t="s">
        <v>939</v>
      </c>
      <c r="D435" s="1" t="s">
        <v>939</v>
      </c>
      <c r="E435" s="1"/>
      <c r="F435" s="1"/>
      <c r="G435" s="1" t="s">
        <v>4503</v>
      </c>
      <c r="H435" s="1" t="s">
        <v>4504</v>
      </c>
      <c r="I435" s="1" t="s">
        <v>4505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1498</v>
      </c>
      <c r="AK435" s="1" t="s">
        <v>329</v>
      </c>
      <c r="AL435" s="1">
        <v>13</v>
      </c>
      <c r="AM435" s="1" t="s">
        <v>4830</v>
      </c>
      <c r="AN435" s="1" t="s">
        <v>4897</v>
      </c>
      <c r="AO435" s="1" t="s">
        <v>4913</v>
      </c>
      <c r="AP435" s="1">
        <v>0</v>
      </c>
      <c r="AQ435" s="1" t="s">
        <v>1782</v>
      </c>
      <c r="AR435" s="1" t="s">
        <v>1176</v>
      </c>
      <c r="AS435" s="1" t="s">
        <v>1177</v>
      </c>
      <c r="AT435" s="1" t="s">
        <v>329</v>
      </c>
      <c r="AU435" s="1">
        <v>200</v>
      </c>
      <c r="AV435" s="1">
        <v>0</v>
      </c>
      <c r="AW435" s="1" t="s">
        <v>5199</v>
      </c>
      <c r="AX435" s="1" t="s">
        <v>5484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4788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4524</v>
      </c>
      <c r="C436" s="9" t="s">
        <v>1791</v>
      </c>
      <c r="D436" s="1" t="s">
        <v>4525</v>
      </c>
      <c r="E436" s="1"/>
      <c r="F436" s="1"/>
      <c r="G436" s="1" t="s">
        <v>4526</v>
      </c>
      <c r="H436" s="1" t="s">
        <v>4527</v>
      </c>
      <c r="I436" s="1" t="s">
        <v>4528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1787</v>
      </c>
      <c r="AK436" s="1" t="s">
        <v>1788</v>
      </c>
      <c r="AL436" s="1">
        <v>13</v>
      </c>
      <c r="AM436" s="1" t="s">
        <v>4830</v>
      </c>
      <c r="AN436" s="1" t="s">
        <v>4952</v>
      </c>
      <c r="AO436" s="1" t="s">
        <v>4900</v>
      </c>
      <c r="AP436" s="1">
        <v>0</v>
      </c>
      <c r="AQ436" s="1" t="s">
        <v>1782</v>
      </c>
      <c r="AR436" s="1" t="s">
        <v>1176</v>
      </c>
      <c r="AS436" s="1" t="s">
        <v>1177</v>
      </c>
      <c r="AT436" s="1" t="s">
        <v>329</v>
      </c>
      <c r="AU436" s="1">
        <v>201</v>
      </c>
      <c r="AV436" s="1">
        <v>0</v>
      </c>
      <c r="AW436" s="1" t="s">
        <v>5207</v>
      </c>
      <c r="AX436" s="1" t="s">
        <v>5484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5798</v>
      </c>
      <c r="C437" s="9" t="s">
        <v>5799</v>
      </c>
      <c r="D437" s="1" t="s">
        <v>5799</v>
      </c>
      <c r="E437" s="1"/>
      <c r="F437" s="1"/>
      <c r="G437" s="1" t="s">
        <v>5800</v>
      </c>
      <c r="H437" s="1" t="s">
        <v>5801</v>
      </c>
      <c r="I437" s="1" t="s">
        <v>5802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5803</v>
      </c>
      <c r="AK437" s="1" t="s">
        <v>329</v>
      </c>
      <c r="AL437" s="1">
        <v>12</v>
      </c>
      <c r="AM437" s="1" t="s">
        <v>4787</v>
      </c>
      <c r="AN437" s="1" t="s">
        <v>5215</v>
      </c>
      <c r="AO437" s="1" t="s">
        <v>5804</v>
      </c>
      <c r="AP437" s="1">
        <v>0</v>
      </c>
      <c r="AQ437" s="1" t="s">
        <v>1781</v>
      </c>
      <c r="AR437" s="1" t="s">
        <v>1189</v>
      </c>
      <c r="AS437" s="1" t="s">
        <v>1164</v>
      </c>
      <c r="AT437" s="1" t="s">
        <v>329</v>
      </c>
      <c r="AU437" s="1">
        <v>205</v>
      </c>
      <c r="AV437" s="1">
        <v>0</v>
      </c>
      <c r="AW437" s="1" t="s">
        <v>4886</v>
      </c>
      <c r="AX437" s="1" t="s">
        <v>5484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5217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5805</v>
      </c>
      <c r="C438" s="9" t="s">
        <v>5806</v>
      </c>
      <c r="D438" s="1" t="s">
        <v>5806</v>
      </c>
      <c r="E438" s="1"/>
      <c r="F438" s="1"/>
      <c r="G438" s="1" t="s">
        <v>5807</v>
      </c>
      <c r="H438" s="1" t="s">
        <v>5808</v>
      </c>
      <c r="I438" s="1" t="s">
        <v>5809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5810</v>
      </c>
      <c r="AK438" s="1" t="s">
        <v>5811</v>
      </c>
      <c r="AL438" s="1">
        <v>14</v>
      </c>
      <c r="AM438" s="1" t="s">
        <v>4787</v>
      </c>
      <c r="AN438" s="1" t="s">
        <v>5812</v>
      </c>
      <c r="AO438" s="1" t="s">
        <v>5813</v>
      </c>
      <c r="AP438" s="1">
        <v>0</v>
      </c>
      <c r="AQ438" s="1" t="s">
        <v>1781</v>
      </c>
      <c r="AR438" s="1" t="s">
        <v>1189</v>
      </c>
      <c r="AS438" s="1" t="s">
        <v>1164</v>
      </c>
      <c r="AT438" s="1" t="s">
        <v>329</v>
      </c>
      <c r="AU438" s="1">
        <v>216</v>
      </c>
      <c r="AV438" s="1">
        <v>0</v>
      </c>
      <c r="AW438" s="1" t="s">
        <v>5230</v>
      </c>
      <c r="AX438" s="1" t="s">
        <v>5484</v>
      </c>
      <c r="AY438" s="1">
        <v>5</v>
      </c>
      <c r="AZ438" s="1">
        <v>3216</v>
      </c>
      <c r="BA438" s="1" t="s">
        <v>329</v>
      </c>
      <c r="BB438" s="1" t="s">
        <v>5238</v>
      </c>
      <c r="BC438" s="1" t="s">
        <v>4837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4529</v>
      </c>
      <c r="C439" s="9" t="s">
        <v>1789</v>
      </c>
      <c r="D439" s="1" t="s">
        <v>1789</v>
      </c>
      <c r="E439" s="1"/>
      <c r="F439" s="1"/>
      <c r="G439" s="1" t="s">
        <v>4530</v>
      </c>
      <c r="H439" s="1" t="s">
        <v>4531</v>
      </c>
      <c r="I439" s="1" t="s">
        <v>4532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1874</v>
      </c>
      <c r="AN439" s="1" t="s">
        <v>4929</v>
      </c>
      <c r="AO439" s="1" t="s">
        <v>5022</v>
      </c>
      <c r="AP439" s="1">
        <v>0</v>
      </c>
      <c r="AQ439" s="1" t="s">
        <v>1153</v>
      </c>
      <c r="AR439" s="1" t="s">
        <v>1779</v>
      </c>
      <c r="AS439" s="1" t="s">
        <v>1155</v>
      </c>
      <c r="AT439" s="1" t="s">
        <v>329</v>
      </c>
      <c r="AU439" s="1">
        <v>220</v>
      </c>
      <c r="AV439" s="1">
        <v>0</v>
      </c>
      <c r="AW439" s="1" t="s">
        <v>5242</v>
      </c>
      <c r="AX439" s="1" t="s">
        <v>5484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4825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4506</v>
      </c>
      <c r="C440" s="9" t="s">
        <v>1721</v>
      </c>
      <c r="D440" s="1" t="s">
        <v>4507</v>
      </c>
      <c r="E440" s="1"/>
      <c r="F440" s="1"/>
      <c r="G440" s="1" t="s">
        <v>4508</v>
      </c>
      <c r="H440" s="1" t="s">
        <v>4509</v>
      </c>
      <c r="I440" s="1" t="s">
        <v>4510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1195</v>
      </c>
      <c r="AK440" s="1" t="s">
        <v>1499</v>
      </c>
      <c r="AL440" s="1">
        <v>13</v>
      </c>
      <c r="AM440" s="1" t="s">
        <v>1874</v>
      </c>
      <c r="AN440" s="1" t="s">
        <v>5524</v>
      </c>
      <c r="AO440" s="1" t="s">
        <v>5131</v>
      </c>
      <c r="AP440" s="1">
        <v>0</v>
      </c>
      <c r="AQ440" s="1" t="s">
        <v>1153</v>
      </c>
      <c r="AR440" s="1" t="s">
        <v>1779</v>
      </c>
      <c r="AS440" s="1" t="s">
        <v>1155</v>
      </c>
      <c r="AT440" s="1" t="s">
        <v>329</v>
      </c>
      <c r="AU440" s="1">
        <v>221</v>
      </c>
      <c r="AV440" s="1">
        <v>0</v>
      </c>
      <c r="AW440" s="1" t="s">
        <v>5244</v>
      </c>
      <c r="AX440" s="1" t="s">
        <v>5484</v>
      </c>
      <c r="AY440" s="1">
        <v>4</v>
      </c>
      <c r="AZ440" s="1">
        <v>3221</v>
      </c>
      <c r="BA440" s="1" t="s">
        <v>329</v>
      </c>
      <c r="BB440" s="1" t="s">
        <v>5245</v>
      </c>
      <c r="BC440" s="1" t="s">
        <v>4825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4511</v>
      </c>
      <c r="C441" s="9" t="s">
        <v>266</v>
      </c>
      <c r="D441" s="1" t="s">
        <v>266</v>
      </c>
      <c r="E441" s="1"/>
      <c r="F441" s="1"/>
      <c r="G441" s="1" t="s">
        <v>4512</v>
      </c>
      <c r="H441" s="1" t="s">
        <v>4513</v>
      </c>
      <c r="I441" s="1" t="s">
        <v>4514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1500</v>
      </c>
      <c r="AK441" s="1" t="s">
        <v>329</v>
      </c>
      <c r="AL441" s="1">
        <v>18</v>
      </c>
      <c r="AM441" s="1" t="s">
        <v>5525</v>
      </c>
      <c r="AN441" s="1" t="s">
        <v>5526</v>
      </c>
      <c r="AO441" s="1" t="s">
        <v>4900</v>
      </c>
      <c r="AP441" s="1">
        <v>0</v>
      </c>
      <c r="AQ441" s="1" t="s">
        <v>1782</v>
      </c>
      <c r="AR441" s="1" t="s">
        <v>1176</v>
      </c>
      <c r="AS441" s="1" t="s">
        <v>1177</v>
      </c>
      <c r="AT441" s="1" t="s">
        <v>329</v>
      </c>
      <c r="AU441" s="1">
        <v>184</v>
      </c>
      <c r="AV441" s="1">
        <v>0</v>
      </c>
      <c r="AW441" s="1" t="s">
        <v>5257</v>
      </c>
      <c r="AX441" s="1" t="s">
        <v>5484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4825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5814</v>
      </c>
      <c r="C442" s="9" t="s">
        <v>5815</v>
      </c>
      <c r="D442" s="1" t="s">
        <v>5815</v>
      </c>
      <c r="E442" s="1"/>
      <c r="F442" s="1"/>
      <c r="G442" s="1" t="s">
        <v>5816</v>
      </c>
      <c r="H442" s="1" t="s">
        <v>5817</v>
      </c>
      <c r="I442" s="1" t="s">
        <v>5818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5819</v>
      </c>
      <c r="AK442" s="1" t="s">
        <v>5820</v>
      </c>
      <c r="AL442" s="1">
        <v>13</v>
      </c>
      <c r="AM442" s="1" t="s">
        <v>4787</v>
      </c>
      <c r="AN442" s="1" t="s">
        <v>4932</v>
      </c>
      <c r="AO442" s="1" t="s">
        <v>5821</v>
      </c>
      <c r="AP442" s="1">
        <v>0</v>
      </c>
      <c r="AQ442" s="1" t="s">
        <v>1165</v>
      </c>
      <c r="AR442" s="1" t="s">
        <v>1189</v>
      </c>
      <c r="AS442" s="1" t="s">
        <v>1780</v>
      </c>
      <c r="AT442" s="1" t="s">
        <v>329</v>
      </c>
      <c r="AU442" s="1">
        <v>215</v>
      </c>
      <c r="AV442" s="1">
        <v>0</v>
      </c>
      <c r="AW442" s="1" t="s">
        <v>5350</v>
      </c>
      <c r="AX442" s="1" t="s">
        <v>5484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5217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5853</v>
      </c>
      <c r="C443" s="9" t="s">
        <v>5854</v>
      </c>
      <c r="D443" s="1" t="s">
        <v>5855</v>
      </c>
      <c r="E443" s="1"/>
      <c r="F443" s="1"/>
      <c r="G443" s="1" t="s">
        <v>5856</v>
      </c>
      <c r="H443" s="1" t="s">
        <v>5857</v>
      </c>
      <c r="I443" s="1" t="s">
        <v>5858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5859</v>
      </c>
      <c r="AK443" s="1" t="s">
        <v>329</v>
      </c>
      <c r="AL443" s="1">
        <v>19</v>
      </c>
      <c r="AM443" s="1" t="s">
        <v>4830</v>
      </c>
      <c r="AN443" s="1" t="s">
        <v>329</v>
      </c>
      <c r="AO443" s="1" t="s">
        <v>329</v>
      </c>
      <c r="AP443" s="1">
        <v>0</v>
      </c>
      <c r="AQ443" s="1" t="s">
        <v>1175</v>
      </c>
      <c r="AR443" s="1" t="s">
        <v>5860</v>
      </c>
      <c r="AS443" s="1" t="s">
        <v>5861</v>
      </c>
      <c r="AT443" s="1" t="s">
        <v>329</v>
      </c>
      <c r="AU443" s="1">
        <v>10</v>
      </c>
      <c r="AV443" s="1">
        <v>1</v>
      </c>
      <c r="AW443" s="1" t="s">
        <v>5862</v>
      </c>
      <c r="AX443" s="1" t="s">
        <v>1874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5863</v>
      </c>
      <c r="C444" s="9" t="s">
        <v>5864</v>
      </c>
      <c r="D444" s="1" t="s">
        <v>5865</v>
      </c>
      <c r="E444" s="1"/>
      <c r="F444" s="1"/>
      <c r="G444" s="1" t="s">
        <v>5866</v>
      </c>
      <c r="H444" s="1" t="s">
        <v>5867</v>
      </c>
      <c r="I444" s="1" t="s">
        <v>5868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5859</v>
      </c>
      <c r="AK444" s="1" t="s">
        <v>329</v>
      </c>
      <c r="AL444" s="1">
        <v>19</v>
      </c>
      <c r="AM444" s="1" t="s">
        <v>4830</v>
      </c>
      <c r="AN444" s="1" t="s">
        <v>329</v>
      </c>
      <c r="AO444" s="1" t="s">
        <v>329</v>
      </c>
      <c r="AP444" s="1">
        <v>0</v>
      </c>
      <c r="AQ444" s="1" t="s">
        <v>1175</v>
      </c>
      <c r="AR444" s="1" t="s">
        <v>5860</v>
      </c>
      <c r="AS444" s="1" t="s">
        <v>5861</v>
      </c>
      <c r="AT444" s="1" t="s">
        <v>329</v>
      </c>
      <c r="AU444" s="1">
        <v>10</v>
      </c>
      <c r="AV444" s="1">
        <v>1</v>
      </c>
      <c r="AW444" s="1" t="s">
        <v>5862</v>
      </c>
      <c r="AX444" s="1" t="s">
        <v>1874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5869</v>
      </c>
      <c r="C445" s="9" t="s">
        <v>5870</v>
      </c>
      <c r="D445" s="1" t="s">
        <v>5871</v>
      </c>
      <c r="E445" s="1"/>
      <c r="F445" s="1"/>
      <c r="G445" s="1" t="s">
        <v>5872</v>
      </c>
      <c r="H445" s="1" t="s">
        <v>5873</v>
      </c>
      <c r="I445" s="1" t="s">
        <v>5874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4830</v>
      </c>
      <c r="AN445" s="1" t="s">
        <v>329</v>
      </c>
      <c r="AO445" s="1" t="s">
        <v>329</v>
      </c>
      <c r="AP445" s="1">
        <v>0</v>
      </c>
      <c r="AQ445" s="1" t="s">
        <v>1175</v>
      </c>
      <c r="AR445" s="1" t="s">
        <v>5860</v>
      </c>
      <c r="AS445" s="1" t="s">
        <v>5861</v>
      </c>
      <c r="AT445" s="1" t="s">
        <v>329</v>
      </c>
      <c r="AU445" s="1">
        <v>10</v>
      </c>
      <c r="AV445" s="1">
        <v>1</v>
      </c>
      <c r="AW445" s="1" t="s">
        <v>5862</v>
      </c>
      <c r="AX445" s="1" t="s">
        <v>1874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5875</v>
      </c>
      <c r="C446" s="9" t="s">
        <v>5876</v>
      </c>
      <c r="D446" s="1" t="s">
        <v>5877</v>
      </c>
      <c r="E446" s="1"/>
      <c r="F446" s="1"/>
      <c r="G446" s="1" t="s">
        <v>5878</v>
      </c>
      <c r="H446" s="1" t="s">
        <v>5879</v>
      </c>
      <c r="I446" s="1" t="s">
        <v>5880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5881</v>
      </c>
      <c r="AK446" s="1" t="s">
        <v>329</v>
      </c>
      <c r="AL446" s="1">
        <v>19</v>
      </c>
      <c r="AM446" s="1" t="s">
        <v>4830</v>
      </c>
      <c r="AN446" s="1" t="s">
        <v>329</v>
      </c>
      <c r="AO446" s="1" t="s">
        <v>329</v>
      </c>
      <c r="AP446" s="1">
        <v>0</v>
      </c>
      <c r="AQ446" s="1" t="s">
        <v>1175</v>
      </c>
      <c r="AR446" s="1" t="s">
        <v>5860</v>
      </c>
      <c r="AS446" s="1" t="s">
        <v>5861</v>
      </c>
      <c r="AT446" s="1" t="s">
        <v>329</v>
      </c>
      <c r="AU446" s="1">
        <v>10</v>
      </c>
      <c r="AV446" s="1">
        <v>1</v>
      </c>
      <c r="AW446" s="1" t="s">
        <v>5862</v>
      </c>
      <c r="AX446" s="1" t="s">
        <v>1874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5882</v>
      </c>
      <c r="C447" s="9" t="s">
        <v>5883</v>
      </c>
      <c r="D447" s="1" t="s">
        <v>5884</v>
      </c>
      <c r="E447" s="1"/>
      <c r="F447" s="1"/>
      <c r="G447" s="1" t="s">
        <v>5885</v>
      </c>
      <c r="H447" s="1" t="s">
        <v>5886</v>
      </c>
      <c r="I447" s="1" t="s">
        <v>5887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4830</v>
      </c>
      <c r="AN447" s="1" t="s">
        <v>329</v>
      </c>
      <c r="AO447" s="1" t="s">
        <v>329</v>
      </c>
      <c r="AP447" s="1">
        <v>0</v>
      </c>
      <c r="AQ447" s="1" t="s">
        <v>1175</v>
      </c>
      <c r="AR447" s="1" t="s">
        <v>5860</v>
      </c>
      <c r="AS447" s="1" t="s">
        <v>5861</v>
      </c>
      <c r="AT447" s="1" t="s">
        <v>329</v>
      </c>
      <c r="AU447" s="1">
        <v>10</v>
      </c>
      <c r="AV447" s="1">
        <v>1</v>
      </c>
      <c r="AW447" s="1" t="s">
        <v>5862</v>
      </c>
      <c r="AX447" s="1" t="s">
        <v>1874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5888</v>
      </c>
      <c r="C448" s="9" t="s">
        <v>5854</v>
      </c>
      <c r="D448" s="1" t="s">
        <v>5855</v>
      </c>
      <c r="E448" s="1"/>
      <c r="F448" s="1"/>
      <c r="G448" s="1" t="s">
        <v>5889</v>
      </c>
      <c r="H448" s="1" t="s">
        <v>5890</v>
      </c>
      <c r="I448" s="1" t="s">
        <v>5891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5859</v>
      </c>
      <c r="AK448" s="1" t="s">
        <v>329</v>
      </c>
      <c r="AL448" s="1">
        <v>19</v>
      </c>
      <c r="AM448" s="1" t="s">
        <v>4830</v>
      </c>
      <c r="AN448" s="1" t="s">
        <v>329</v>
      </c>
      <c r="AO448" s="1" t="s">
        <v>329</v>
      </c>
      <c r="AP448" s="1">
        <v>0</v>
      </c>
      <c r="AQ448" s="1" t="s">
        <v>1175</v>
      </c>
      <c r="AR448" s="1" t="s">
        <v>5860</v>
      </c>
      <c r="AS448" s="1" t="s">
        <v>5861</v>
      </c>
      <c r="AT448" s="1" t="s">
        <v>329</v>
      </c>
      <c r="AU448" s="1">
        <v>10</v>
      </c>
      <c r="AV448" s="1">
        <v>1</v>
      </c>
      <c r="AW448" s="1" t="s">
        <v>5862</v>
      </c>
      <c r="AX448" s="1" t="s">
        <v>1874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5892</v>
      </c>
      <c r="C449" s="9" t="s">
        <v>5854</v>
      </c>
      <c r="D449" s="1" t="s">
        <v>5855</v>
      </c>
      <c r="E449" s="1"/>
      <c r="F449" s="1"/>
      <c r="G449" s="1" t="s">
        <v>5893</v>
      </c>
      <c r="H449" s="1" t="s">
        <v>5894</v>
      </c>
      <c r="I449" s="1" t="s">
        <v>5895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5859</v>
      </c>
      <c r="AK449" s="1" t="s">
        <v>329</v>
      </c>
      <c r="AL449" s="1">
        <v>19</v>
      </c>
      <c r="AM449" s="1" t="s">
        <v>4830</v>
      </c>
      <c r="AN449" s="1" t="s">
        <v>329</v>
      </c>
      <c r="AO449" s="1" t="s">
        <v>329</v>
      </c>
      <c r="AP449" s="1">
        <v>0</v>
      </c>
      <c r="AQ449" s="1" t="s">
        <v>1175</v>
      </c>
      <c r="AR449" s="1" t="s">
        <v>5860</v>
      </c>
      <c r="AS449" s="1" t="s">
        <v>5861</v>
      </c>
      <c r="AT449" s="1" t="s">
        <v>329</v>
      </c>
      <c r="AU449" s="1">
        <v>10</v>
      </c>
      <c r="AV449" s="1">
        <v>1</v>
      </c>
      <c r="AW449" s="1" t="s">
        <v>5862</v>
      </c>
      <c r="AX449" s="1" t="s">
        <v>1874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5896</v>
      </c>
      <c r="C450" s="9" t="s">
        <v>5864</v>
      </c>
      <c r="D450" s="1" t="s">
        <v>5865</v>
      </c>
      <c r="E450" s="1"/>
      <c r="F450" s="1"/>
      <c r="G450" s="1" t="s">
        <v>5897</v>
      </c>
      <c r="H450" s="1" t="s">
        <v>5898</v>
      </c>
      <c r="I450" s="1" t="s">
        <v>5899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5859</v>
      </c>
      <c r="AK450" s="1" t="s">
        <v>329</v>
      </c>
      <c r="AL450" s="1">
        <v>19</v>
      </c>
      <c r="AM450" s="1" t="s">
        <v>4830</v>
      </c>
      <c r="AN450" s="1" t="s">
        <v>329</v>
      </c>
      <c r="AO450" s="1" t="s">
        <v>329</v>
      </c>
      <c r="AP450" s="1">
        <v>0</v>
      </c>
      <c r="AQ450" s="1" t="s">
        <v>1175</v>
      </c>
      <c r="AR450" s="1" t="s">
        <v>5860</v>
      </c>
      <c r="AS450" s="1" t="s">
        <v>5861</v>
      </c>
      <c r="AT450" s="1" t="s">
        <v>329</v>
      </c>
      <c r="AU450" s="1">
        <v>10</v>
      </c>
      <c r="AV450" s="1">
        <v>1</v>
      </c>
      <c r="AW450" s="1" t="s">
        <v>5862</v>
      </c>
      <c r="AX450" s="1" t="s">
        <v>1874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5900</v>
      </c>
      <c r="C451" s="9" t="s">
        <v>5864</v>
      </c>
      <c r="D451" s="1" t="s">
        <v>5865</v>
      </c>
      <c r="E451" s="1"/>
      <c r="F451" s="1"/>
      <c r="G451" s="1" t="s">
        <v>5901</v>
      </c>
      <c r="H451" s="1" t="s">
        <v>5902</v>
      </c>
      <c r="I451" s="1" t="s">
        <v>5903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5859</v>
      </c>
      <c r="AK451" s="1" t="s">
        <v>329</v>
      </c>
      <c r="AL451" s="1">
        <v>19</v>
      </c>
      <c r="AM451" s="1" t="s">
        <v>4830</v>
      </c>
      <c r="AN451" s="1" t="s">
        <v>329</v>
      </c>
      <c r="AO451" s="1" t="s">
        <v>329</v>
      </c>
      <c r="AP451" s="1">
        <v>0</v>
      </c>
      <c r="AQ451" s="1" t="s">
        <v>1175</v>
      </c>
      <c r="AR451" s="1" t="s">
        <v>5860</v>
      </c>
      <c r="AS451" s="1" t="s">
        <v>5861</v>
      </c>
      <c r="AT451" s="1" t="s">
        <v>329</v>
      </c>
      <c r="AU451" s="1">
        <v>10</v>
      </c>
      <c r="AV451" s="1">
        <v>1</v>
      </c>
      <c r="AW451" s="1" t="s">
        <v>5862</v>
      </c>
      <c r="AX451" s="1" t="s">
        <v>1874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5904</v>
      </c>
      <c r="C452" s="9" t="s">
        <v>5876</v>
      </c>
      <c r="D452" s="1" t="s">
        <v>5877</v>
      </c>
      <c r="E452" s="1"/>
      <c r="F452" s="1"/>
      <c r="G452" s="1" t="s">
        <v>5905</v>
      </c>
      <c r="H452" s="1" t="s">
        <v>5906</v>
      </c>
      <c r="I452" s="1" t="s">
        <v>5907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5881</v>
      </c>
      <c r="AK452" s="1" t="s">
        <v>329</v>
      </c>
      <c r="AL452" s="1">
        <v>19</v>
      </c>
      <c r="AM452" s="1" t="s">
        <v>4830</v>
      </c>
      <c r="AN452" s="1" t="s">
        <v>329</v>
      </c>
      <c r="AO452" s="1" t="s">
        <v>329</v>
      </c>
      <c r="AP452" s="1">
        <v>0</v>
      </c>
      <c r="AQ452" s="1" t="s">
        <v>1175</v>
      </c>
      <c r="AR452" s="1" t="s">
        <v>5860</v>
      </c>
      <c r="AS452" s="1" t="s">
        <v>5861</v>
      </c>
      <c r="AT452" s="1" t="s">
        <v>329</v>
      </c>
      <c r="AU452" s="1">
        <v>10</v>
      </c>
      <c r="AV452" s="1">
        <v>1</v>
      </c>
      <c r="AW452" s="1" t="s">
        <v>5862</v>
      </c>
      <c r="AX452" s="1" t="s">
        <v>1874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5908</v>
      </c>
      <c r="C453" s="9" t="s">
        <v>5876</v>
      </c>
      <c r="D453" s="1" t="s">
        <v>5877</v>
      </c>
      <c r="E453" s="1"/>
      <c r="F453" s="1"/>
      <c r="G453" s="1" t="s">
        <v>5909</v>
      </c>
      <c r="H453" s="1" t="s">
        <v>5910</v>
      </c>
      <c r="I453" s="1" t="s">
        <v>5911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5881</v>
      </c>
      <c r="AK453" s="1" t="s">
        <v>329</v>
      </c>
      <c r="AL453" s="1">
        <v>19</v>
      </c>
      <c r="AM453" s="1" t="s">
        <v>4830</v>
      </c>
      <c r="AN453" s="1" t="s">
        <v>329</v>
      </c>
      <c r="AO453" s="1" t="s">
        <v>329</v>
      </c>
      <c r="AP453" s="1">
        <v>0</v>
      </c>
      <c r="AQ453" s="1" t="s">
        <v>1175</v>
      </c>
      <c r="AR453" s="1" t="s">
        <v>5860</v>
      </c>
      <c r="AS453" s="1" t="s">
        <v>5861</v>
      </c>
      <c r="AT453" s="1" t="s">
        <v>329</v>
      </c>
      <c r="AU453" s="1">
        <v>10</v>
      </c>
      <c r="AV453" s="1">
        <v>1</v>
      </c>
      <c r="AW453" s="1" t="s">
        <v>5862</v>
      </c>
      <c r="AX453" s="1" t="s">
        <v>1874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5912</v>
      </c>
      <c r="C454" s="9" t="s">
        <v>22</v>
      </c>
      <c r="D454" s="1" t="s">
        <v>256</v>
      </c>
      <c r="E454" s="1"/>
      <c r="F454" s="1"/>
      <c r="G454" s="1" t="s">
        <v>5913</v>
      </c>
      <c r="H454" s="1" t="s">
        <v>5914</v>
      </c>
      <c r="I454" s="1" t="s">
        <v>5915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5916</v>
      </c>
      <c r="AL454" s="1">
        <v>13</v>
      </c>
      <c r="AM454" s="1" t="s">
        <v>4858</v>
      </c>
      <c r="AN454" s="1" t="s">
        <v>4929</v>
      </c>
      <c r="AO454" s="1" t="s">
        <v>5917</v>
      </c>
      <c r="AP454" s="1">
        <v>0</v>
      </c>
      <c r="AQ454" s="1" t="s">
        <v>1165</v>
      </c>
      <c r="AR454" s="1" t="s">
        <v>1189</v>
      </c>
      <c r="AS454" s="1" t="s">
        <v>5918</v>
      </c>
      <c r="AT454" s="1" t="s">
        <v>329</v>
      </c>
      <c r="AU454" s="1">
        <v>55</v>
      </c>
      <c r="AV454" s="1">
        <v>0</v>
      </c>
      <c r="AW454" s="1" t="s">
        <v>5862</v>
      </c>
      <c r="AX454" s="1" t="s">
        <v>1874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5919</v>
      </c>
      <c r="C455" s="9" t="s">
        <v>121</v>
      </c>
      <c r="D455" s="1" t="s">
        <v>121</v>
      </c>
      <c r="E455" s="1"/>
      <c r="F455" s="1"/>
      <c r="G455" s="1" t="s">
        <v>5920</v>
      </c>
      <c r="H455" s="1" t="s">
        <v>5921</v>
      </c>
      <c r="I455" s="1" t="s">
        <v>5922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5923</v>
      </c>
      <c r="AK455" s="1" t="s">
        <v>329</v>
      </c>
      <c r="AL455" s="1">
        <v>13</v>
      </c>
      <c r="AM455" s="1" t="s">
        <v>1874</v>
      </c>
      <c r="AN455" s="1" t="s">
        <v>4852</v>
      </c>
      <c r="AO455" s="1" t="s">
        <v>4885</v>
      </c>
      <c r="AP455" s="1">
        <v>0</v>
      </c>
      <c r="AQ455" s="1" t="s">
        <v>5924</v>
      </c>
      <c r="AR455" s="1" t="s">
        <v>1154</v>
      </c>
      <c r="AS455" s="1" t="s">
        <v>1164</v>
      </c>
      <c r="AT455" s="1" t="s">
        <v>329</v>
      </c>
      <c r="AU455" s="1">
        <v>97</v>
      </c>
      <c r="AV455" s="1">
        <v>0</v>
      </c>
      <c r="AW455" s="1" t="s">
        <v>5862</v>
      </c>
      <c r="AX455" s="1" t="s">
        <v>4830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5925</v>
      </c>
      <c r="C456" s="9" t="s">
        <v>5926</v>
      </c>
      <c r="D456" s="1" t="s">
        <v>3553</v>
      </c>
      <c r="E456" s="1"/>
      <c r="F456" s="1"/>
      <c r="G456" s="1" t="s">
        <v>5927</v>
      </c>
      <c r="H456" s="1" t="s">
        <v>5928</v>
      </c>
      <c r="I456" s="1" t="s">
        <v>5929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5930</v>
      </c>
      <c r="AK456" s="1" t="s">
        <v>329</v>
      </c>
      <c r="AL456" s="1">
        <v>13</v>
      </c>
      <c r="AM456" s="1" t="s">
        <v>1874</v>
      </c>
      <c r="AN456" s="1" t="s">
        <v>4844</v>
      </c>
      <c r="AO456" s="1" t="s">
        <v>4892</v>
      </c>
      <c r="AP456" s="1">
        <v>0</v>
      </c>
      <c r="AQ456" s="1" t="s">
        <v>5924</v>
      </c>
      <c r="AR456" s="1" t="s">
        <v>1154</v>
      </c>
      <c r="AS456" s="1" t="s">
        <v>1164</v>
      </c>
      <c r="AT456" s="1" t="s">
        <v>329</v>
      </c>
      <c r="AU456" s="1">
        <v>202</v>
      </c>
      <c r="AV456" s="1">
        <v>0</v>
      </c>
      <c r="AW456" s="1" t="s">
        <v>5862</v>
      </c>
      <c r="AX456" s="1" t="s">
        <v>1759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5931</v>
      </c>
      <c r="C457" s="9" t="s">
        <v>1667</v>
      </c>
      <c r="D457" s="1" t="s">
        <v>1667</v>
      </c>
      <c r="E457" s="1"/>
      <c r="F457" s="1"/>
      <c r="G457" s="1" t="s">
        <v>5932</v>
      </c>
      <c r="H457" s="1" t="s">
        <v>5933</v>
      </c>
      <c r="I457" s="1" t="s">
        <v>5934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5935</v>
      </c>
      <c r="AK457" s="1" t="s">
        <v>329</v>
      </c>
      <c r="AL457" s="1">
        <v>18</v>
      </c>
      <c r="AM457" s="1" t="s">
        <v>4926</v>
      </c>
      <c r="AN457" s="1" t="s">
        <v>4999</v>
      </c>
      <c r="AO457" s="1" t="s">
        <v>5122</v>
      </c>
      <c r="AP457" s="1">
        <v>0</v>
      </c>
      <c r="AQ457" s="1" t="s">
        <v>1175</v>
      </c>
      <c r="AR457" s="1" t="s">
        <v>5936</v>
      </c>
      <c r="AS457" s="1" t="s">
        <v>5861</v>
      </c>
      <c r="AT457" s="1" t="s">
        <v>329</v>
      </c>
      <c r="AU457" s="1">
        <v>149</v>
      </c>
      <c r="AV457" s="1">
        <v>0</v>
      </c>
      <c r="AW457" s="1" t="s">
        <v>5862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5937</v>
      </c>
      <c r="C458" s="9" t="s">
        <v>156</v>
      </c>
      <c r="D458" s="1" t="s">
        <v>156</v>
      </c>
      <c r="E458" s="1"/>
      <c r="F458" s="1"/>
      <c r="G458" s="1" t="s">
        <v>5938</v>
      </c>
      <c r="H458" s="1" t="s">
        <v>5939</v>
      </c>
      <c r="I458" s="1" t="s">
        <v>5940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5941</v>
      </c>
      <c r="AK458" s="1" t="s">
        <v>329</v>
      </c>
      <c r="AL458" s="1">
        <v>12</v>
      </c>
      <c r="AM458" s="1" t="s">
        <v>4858</v>
      </c>
      <c r="AN458" s="1" t="s">
        <v>359</v>
      </c>
      <c r="AO458" s="1" t="s">
        <v>5131</v>
      </c>
      <c r="AP458" s="1">
        <v>0</v>
      </c>
      <c r="AQ458" s="1" t="s">
        <v>1164</v>
      </c>
      <c r="AR458" s="1" t="s">
        <v>1154</v>
      </c>
      <c r="AS458" s="1" t="s">
        <v>1165</v>
      </c>
      <c r="AT458" s="1" t="s">
        <v>329</v>
      </c>
      <c r="AU458" s="1">
        <v>176</v>
      </c>
      <c r="AV458" s="1">
        <v>0</v>
      </c>
      <c r="AW458" s="1" t="s">
        <v>5862</v>
      </c>
      <c r="AX458" s="1" t="s">
        <v>1874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5942</v>
      </c>
      <c r="C459" s="9" t="s">
        <v>168</v>
      </c>
      <c r="D459" s="1" t="s">
        <v>168</v>
      </c>
      <c r="E459" s="1"/>
      <c r="F459" s="1"/>
      <c r="G459" s="1" t="s">
        <v>5943</v>
      </c>
      <c r="H459" s="1" t="s">
        <v>5944</v>
      </c>
      <c r="I459" s="1" t="s">
        <v>5945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5923</v>
      </c>
      <c r="AK459" s="1" t="s">
        <v>329</v>
      </c>
      <c r="AL459" s="1">
        <v>13</v>
      </c>
      <c r="AM459" s="1" t="s">
        <v>4787</v>
      </c>
      <c r="AN459" s="1" t="s">
        <v>4902</v>
      </c>
      <c r="AO459" s="1" t="s">
        <v>5070</v>
      </c>
      <c r="AP459" s="1">
        <v>0</v>
      </c>
      <c r="AQ459" s="1" t="s">
        <v>1165</v>
      </c>
      <c r="AR459" s="1" t="s">
        <v>1189</v>
      </c>
      <c r="AS459" s="1" t="s">
        <v>1164</v>
      </c>
      <c r="AT459" s="1" t="s">
        <v>329</v>
      </c>
      <c r="AU459" s="1">
        <v>194</v>
      </c>
      <c r="AV459" s="1">
        <v>0</v>
      </c>
      <c r="AW459" s="1" t="s">
        <v>5862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5946</v>
      </c>
      <c r="C460" s="9" t="s">
        <v>5926</v>
      </c>
      <c r="D460" s="1" t="s">
        <v>3553</v>
      </c>
      <c r="E460" s="1"/>
      <c r="F460" s="1"/>
      <c r="G460" s="1" t="s">
        <v>5947</v>
      </c>
      <c r="H460" s="1" t="s">
        <v>5948</v>
      </c>
      <c r="I460" s="1" t="s">
        <v>5949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5930</v>
      </c>
      <c r="AK460" s="1" t="s">
        <v>329</v>
      </c>
      <c r="AL460" s="1">
        <v>13</v>
      </c>
      <c r="AM460" s="1" t="s">
        <v>1874</v>
      </c>
      <c r="AN460" s="1" t="s">
        <v>4844</v>
      </c>
      <c r="AO460" s="1" t="s">
        <v>4892</v>
      </c>
      <c r="AP460" s="1">
        <v>0</v>
      </c>
      <c r="AQ460" s="1" t="s">
        <v>5924</v>
      </c>
      <c r="AR460" s="1" t="s">
        <v>1154</v>
      </c>
      <c r="AS460" s="1" t="s">
        <v>1164</v>
      </c>
      <c r="AT460" s="1" t="s">
        <v>329</v>
      </c>
      <c r="AU460" s="1">
        <v>202</v>
      </c>
      <c r="AV460" s="1">
        <v>0</v>
      </c>
      <c r="AW460" s="1" t="s">
        <v>5862</v>
      </c>
      <c r="AX460" s="1" t="s">
        <v>1759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5950</v>
      </c>
      <c r="C461" s="9" t="s">
        <v>1667</v>
      </c>
      <c r="D461" s="1" t="s">
        <v>1667</v>
      </c>
      <c r="E461" s="1"/>
      <c r="F461" s="1"/>
      <c r="G461" s="1" t="s">
        <v>5951</v>
      </c>
      <c r="H461" s="1" t="s">
        <v>5952</v>
      </c>
      <c r="I461" s="1" t="s">
        <v>5953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5935</v>
      </c>
      <c r="AK461" s="1" t="s">
        <v>329</v>
      </c>
      <c r="AL461" s="1">
        <v>18</v>
      </c>
      <c r="AM461" s="1" t="s">
        <v>4926</v>
      </c>
      <c r="AN461" s="1" t="s">
        <v>4999</v>
      </c>
      <c r="AO461" s="1" t="s">
        <v>5122</v>
      </c>
      <c r="AP461" s="1">
        <v>0</v>
      </c>
      <c r="AQ461" s="1" t="s">
        <v>1175</v>
      </c>
      <c r="AR461" s="1" t="s">
        <v>5936</v>
      </c>
      <c r="AS461" s="1" t="s">
        <v>5861</v>
      </c>
      <c r="AT461" s="1" t="s">
        <v>329</v>
      </c>
      <c r="AU461" s="1">
        <v>149</v>
      </c>
      <c r="AV461" s="1">
        <v>0</v>
      </c>
      <c r="AW461" s="1" t="s">
        <v>5862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5954</v>
      </c>
      <c r="C462" s="9" t="s">
        <v>156</v>
      </c>
      <c r="D462" s="1" t="s">
        <v>156</v>
      </c>
      <c r="E462" s="1"/>
      <c r="F462" s="1"/>
      <c r="G462" s="1" t="s">
        <v>5955</v>
      </c>
      <c r="H462" s="1" t="s">
        <v>5956</v>
      </c>
      <c r="I462" s="1" t="s">
        <v>5957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5941</v>
      </c>
      <c r="AK462" s="1" t="s">
        <v>329</v>
      </c>
      <c r="AL462" s="1">
        <v>12</v>
      </c>
      <c r="AM462" s="1" t="s">
        <v>4858</v>
      </c>
      <c r="AN462" s="1" t="s">
        <v>359</v>
      </c>
      <c r="AO462" s="1" t="s">
        <v>5131</v>
      </c>
      <c r="AP462" s="1">
        <v>0</v>
      </c>
      <c r="AQ462" s="1" t="s">
        <v>1164</v>
      </c>
      <c r="AR462" s="1" t="s">
        <v>1154</v>
      </c>
      <c r="AS462" s="1" t="s">
        <v>1165</v>
      </c>
      <c r="AT462" s="1" t="s">
        <v>329</v>
      </c>
      <c r="AU462" s="1">
        <v>176</v>
      </c>
      <c r="AV462" s="1">
        <v>0</v>
      </c>
      <c r="AW462" s="1" t="s">
        <v>5862</v>
      </c>
      <c r="AX462" s="1" t="s">
        <v>1874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5958</v>
      </c>
      <c r="C463" s="9" t="s">
        <v>168</v>
      </c>
      <c r="D463" s="1" t="s">
        <v>168</v>
      </c>
      <c r="E463" s="1"/>
      <c r="F463" s="1"/>
      <c r="G463" s="1" t="s">
        <v>5959</v>
      </c>
      <c r="H463" s="1" t="s">
        <v>5960</v>
      </c>
      <c r="I463" s="1" t="s">
        <v>5961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5923</v>
      </c>
      <c r="AK463" s="1" t="s">
        <v>329</v>
      </c>
      <c r="AL463" s="1">
        <v>13</v>
      </c>
      <c r="AM463" s="1" t="s">
        <v>4787</v>
      </c>
      <c r="AN463" s="1" t="s">
        <v>4902</v>
      </c>
      <c r="AO463" s="1" t="s">
        <v>5070</v>
      </c>
      <c r="AP463" s="1">
        <v>0</v>
      </c>
      <c r="AQ463" s="1" t="s">
        <v>1165</v>
      </c>
      <c r="AR463" s="1" t="s">
        <v>1189</v>
      </c>
      <c r="AS463" s="1" t="s">
        <v>1164</v>
      </c>
      <c r="AT463" s="1" t="s">
        <v>329</v>
      </c>
      <c r="AU463" s="1">
        <v>194</v>
      </c>
      <c r="AV463" s="1">
        <v>0</v>
      </c>
      <c r="AW463" s="1" t="s">
        <v>5862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5962</v>
      </c>
      <c r="C464" s="9" t="s">
        <v>121</v>
      </c>
      <c r="D464" s="1" t="s">
        <v>121</v>
      </c>
      <c r="E464" s="1"/>
      <c r="F464" s="1"/>
      <c r="G464" s="1" t="s">
        <v>5963</v>
      </c>
      <c r="H464" s="1" t="s">
        <v>5964</v>
      </c>
      <c r="I464" s="1" t="s">
        <v>5965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5930</v>
      </c>
      <c r="AK464" s="1" t="s">
        <v>329</v>
      </c>
      <c r="AL464" s="1">
        <v>13</v>
      </c>
      <c r="AM464" s="1" t="s">
        <v>1874</v>
      </c>
      <c r="AN464" s="1" t="s">
        <v>4852</v>
      </c>
      <c r="AO464" s="1" t="s">
        <v>4885</v>
      </c>
      <c r="AP464" s="1">
        <v>0</v>
      </c>
      <c r="AQ464" s="1" t="s">
        <v>5924</v>
      </c>
      <c r="AR464" s="1" t="s">
        <v>1154</v>
      </c>
      <c r="AS464" s="1" t="s">
        <v>1164</v>
      </c>
      <c r="AT464" s="1" t="s">
        <v>329</v>
      </c>
      <c r="AU464" s="1">
        <v>97</v>
      </c>
      <c r="AV464" s="1">
        <v>0</v>
      </c>
      <c r="AW464" s="1" t="s">
        <v>5862</v>
      </c>
      <c r="AX464" s="1" t="s">
        <v>4830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5966</v>
      </c>
      <c r="C465" s="9" t="s">
        <v>5926</v>
      </c>
      <c r="D465" s="1" t="s">
        <v>3553</v>
      </c>
      <c r="E465" s="1"/>
      <c r="F465" s="1"/>
      <c r="G465" s="1" t="s">
        <v>5967</v>
      </c>
      <c r="H465" s="1" t="s">
        <v>5968</v>
      </c>
      <c r="I465" s="1" t="s">
        <v>5969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5935</v>
      </c>
      <c r="AK465" s="1" t="s">
        <v>329</v>
      </c>
      <c r="AL465" s="1">
        <v>13</v>
      </c>
      <c r="AM465" s="1" t="s">
        <v>1874</v>
      </c>
      <c r="AN465" s="1" t="s">
        <v>4844</v>
      </c>
      <c r="AO465" s="1" t="s">
        <v>4892</v>
      </c>
      <c r="AP465" s="1">
        <v>0</v>
      </c>
      <c r="AQ465" s="1" t="s">
        <v>5924</v>
      </c>
      <c r="AR465" s="1" t="s">
        <v>1154</v>
      </c>
      <c r="AS465" s="1" t="s">
        <v>1164</v>
      </c>
      <c r="AT465" s="1" t="s">
        <v>329</v>
      </c>
      <c r="AU465" s="1">
        <v>202</v>
      </c>
      <c r="AV465" s="1">
        <v>0</v>
      </c>
      <c r="AW465" s="1" t="s">
        <v>5862</v>
      </c>
      <c r="AX465" s="1" t="s">
        <v>1759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5970</v>
      </c>
      <c r="C466" s="9" t="s">
        <v>1667</v>
      </c>
      <c r="D466" s="1" t="s">
        <v>1667</v>
      </c>
      <c r="E466" s="1"/>
      <c r="F466" s="1"/>
      <c r="G466" s="1" t="s">
        <v>5971</v>
      </c>
      <c r="H466" s="1" t="s">
        <v>5972</v>
      </c>
      <c r="I466" s="1" t="s">
        <v>5973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5941</v>
      </c>
      <c r="AK466" s="1" t="s">
        <v>329</v>
      </c>
      <c r="AL466" s="1">
        <v>18</v>
      </c>
      <c r="AM466" s="1" t="s">
        <v>4926</v>
      </c>
      <c r="AN466" s="1" t="s">
        <v>4999</v>
      </c>
      <c r="AO466" s="1" t="s">
        <v>5122</v>
      </c>
      <c r="AP466" s="1">
        <v>0</v>
      </c>
      <c r="AQ466" s="1" t="s">
        <v>1175</v>
      </c>
      <c r="AR466" s="1" t="s">
        <v>5936</v>
      </c>
      <c r="AS466" s="1" t="s">
        <v>5861</v>
      </c>
      <c r="AT466" s="1" t="s">
        <v>329</v>
      </c>
      <c r="AU466" s="1">
        <v>149</v>
      </c>
      <c r="AV466" s="1">
        <v>0</v>
      </c>
      <c r="AW466" s="1" t="s">
        <v>5862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5974</v>
      </c>
      <c r="C467" s="9" t="s">
        <v>168</v>
      </c>
      <c r="D467" s="1" t="s">
        <v>168</v>
      </c>
      <c r="E467" s="1"/>
      <c r="F467" s="1"/>
      <c r="G467" s="1" t="s">
        <v>5975</v>
      </c>
      <c r="H467" s="1" t="s">
        <v>5976</v>
      </c>
      <c r="I467" s="1" t="s">
        <v>5977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5923</v>
      </c>
      <c r="AK467" s="1" t="s">
        <v>329</v>
      </c>
      <c r="AL467" s="1">
        <v>13</v>
      </c>
      <c r="AM467" s="1" t="s">
        <v>4787</v>
      </c>
      <c r="AN467" s="1" t="s">
        <v>4902</v>
      </c>
      <c r="AO467" s="1" t="s">
        <v>5070</v>
      </c>
      <c r="AP467" s="1">
        <v>0</v>
      </c>
      <c r="AQ467" s="1" t="s">
        <v>1165</v>
      </c>
      <c r="AR467" s="1" t="s">
        <v>1189</v>
      </c>
      <c r="AS467" s="1" t="s">
        <v>1164</v>
      </c>
      <c r="AT467" s="1" t="s">
        <v>329</v>
      </c>
      <c r="AU467" s="1">
        <v>194</v>
      </c>
      <c r="AV467" s="1">
        <v>0</v>
      </c>
      <c r="AW467" s="1" t="s">
        <v>5862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5978</v>
      </c>
      <c r="C468" s="9" t="s">
        <v>121</v>
      </c>
      <c r="D468" s="1" t="s">
        <v>121</v>
      </c>
      <c r="E468" s="1"/>
      <c r="F468" s="1"/>
      <c r="G468" s="1" t="s">
        <v>5979</v>
      </c>
      <c r="H468" s="1" t="s">
        <v>5980</v>
      </c>
      <c r="I468" s="1" t="s">
        <v>5981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5930</v>
      </c>
      <c r="AK468" s="1" t="s">
        <v>329</v>
      </c>
      <c r="AL468" s="1">
        <v>13</v>
      </c>
      <c r="AM468" s="1" t="s">
        <v>1874</v>
      </c>
      <c r="AN468" s="1" t="s">
        <v>4852</v>
      </c>
      <c r="AO468" s="1" t="s">
        <v>4885</v>
      </c>
      <c r="AP468" s="1">
        <v>0</v>
      </c>
      <c r="AQ468" s="1" t="s">
        <v>5924</v>
      </c>
      <c r="AR468" s="1" t="s">
        <v>1154</v>
      </c>
      <c r="AS468" s="1" t="s">
        <v>1164</v>
      </c>
      <c r="AT468" s="1" t="s">
        <v>329</v>
      </c>
      <c r="AU468" s="1">
        <v>97</v>
      </c>
      <c r="AV468" s="1">
        <v>0</v>
      </c>
      <c r="AW468" s="1" t="s">
        <v>5862</v>
      </c>
      <c r="AX468" s="1" t="s">
        <v>4830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5982</v>
      </c>
      <c r="C469" s="9" t="s">
        <v>5926</v>
      </c>
      <c r="D469" s="1" t="s">
        <v>3553</v>
      </c>
      <c r="E469" s="1"/>
      <c r="F469" s="1"/>
      <c r="G469" s="1" t="s">
        <v>5983</v>
      </c>
      <c r="H469" s="1" t="s">
        <v>5984</v>
      </c>
      <c r="I469" s="1" t="s">
        <v>5985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5935</v>
      </c>
      <c r="AK469" s="1" t="s">
        <v>329</v>
      </c>
      <c r="AL469" s="1">
        <v>13</v>
      </c>
      <c r="AM469" s="1" t="s">
        <v>1874</v>
      </c>
      <c r="AN469" s="1" t="s">
        <v>4844</v>
      </c>
      <c r="AO469" s="1" t="s">
        <v>4892</v>
      </c>
      <c r="AP469" s="1">
        <v>0</v>
      </c>
      <c r="AQ469" s="1" t="s">
        <v>5924</v>
      </c>
      <c r="AR469" s="1" t="s">
        <v>1154</v>
      </c>
      <c r="AS469" s="1" t="s">
        <v>1164</v>
      </c>
      <c r="AT469" s="1" t="s">
        <v>329</v>
      </c>
      <c r="AU469" s="1">
        <v>202</v>
      </c>
      <c r="AV469" s="1">
        <v>0</v>
      </c>
      <c r="AW469" s="1" t="s">
        <v>5862</v>
      </c>
      <c r="AX469" s="1" t="s">
        <v>1759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5986</v>
      </c>
      <c r="C470" s="9" t="s">
        <v>156</v>
      </c>
      <c r="D470" s="1" t="s">
        <v>156</v>
      </c>
      <c r="E470" s="1"/>
      <c r="F470" s="1"/>
      <c r="G470" s="1" t="s">
        <v>5987</v>
      </c>
      <c r="H470" s="1" t="s">
        <v>5988</v>
      </c>
      <c r="I470" s="1" t="s">
        <v>5989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5941</v>
      </c>
      <c r="AK470" s="1" t="s">
        <v>329</v>
      </c>
      <c r="AL470" s="1">
        <v>12</v>
      </c>
      <c r="AM470" s="1" t="s">
        <v>4858</v>
      </c>
      <c r="AN470" s="1" t="s">
        <v>359</v>
      </c>
      <c r="AO470" s="1" t="s">
        <v>5131</v>
      </c>
      <c r="AP470" s="1">
        <v>0</v>
      </c>
      <c r="AQ470" s="1" t="s">
        <v>1164</v>
      </c>
      <c r="AR470" s="1" t="s">
        <v>1154</v>
      </c>
      <c r="AS470" s="1" t="s">
        <v>1165</v>
      </c>
      <c r="AT470" s="1" t="s">
        <v>329</v>
      </c>
      <c r="AU470" s="1">
        <v>176</v>
      </c>
      <c r="AV470" s="1">
        <v>0</v>
      </c>
      <c r="AW470" s="1" t="s">
        <v>5862</v>
      </c>
      <c r="AX470" s="1" t="s">
        <v>1874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5990</v>
      </c>
      <c r="C471" s="9" t="s">
        <v>168</v>
      </c>
      <c r="D471" s="1" t="s">
        <v>168</v>
      </c>
      <c r="E471" s="1"/>
      <c r="F471" s="1"/>
      <c r="G471" s="1" t="s">
        <v>5991</v>
      </c>
      <c r="H471" s="1" t="s">
        <v>5992</v>
      </c>
      <c r="I471" s="1" t="s">
        <v>5993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5923</v>
      </c>
      <c r="AK471" s="1" t="s">
        <v>329</v>
      </c>
      <c r="AL471" s="1">
        <v>13</v>
      </c>
      <c r="AM471" s="1" t="s">
        <v>4787</v>
      </c>
      <c r="AN471" s="1" t="s">
        <v>4902</v>
      </c>
      <c r="AO471" s="1" t="s">
        <v>5070</v>
      </c>
      <c r="AP471" s="1">
        <v>0</v>
      </c>
      <c r="AQ471" s="1" t="s">
        <v>1165</v>
      </c>
      <c r="AR471" s="1" t="s">
        <v>1189</v>
      </c>
      <c r="AS471" s="1" t="s">
        <v>1164</v>
      </c>
      <c r="AT471" s="1" t="s">
        <v>329</v>
      </c>
      <c r="AU471" s="1">
        <v>194</v>
      </c>
      <c r="AV471" s="1">
        <v>0</v>
      </c>
      <c r="AW471" s="1" t="s">
        <v>5862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5994</v>
      </c>
      <c r="C472" s="9" t="s">
        <v>121</v>
      </c>
      <c r="D472" s="1" t="s">
        <v>121</v>
      </c>
      <c r="E472" s="1"/>
      <c r="F472" s="1"/>
      <c r="G472" s="1" t="s">
        <v>5995</v>
      </c>
      <c r="H472" s="1" t="s">
        <v>5996</v>
      </c>
      <c r="I472" s="1" t="s">
        <v>5997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5930</v>
      </c>
      <c r="AK472" s="1" t="s">
        <v>329</v>
      </c>
      <c r="AL472" s="1">
        <v>13</v>
      </c>
      <c r="AM472" s="1" t="s">
        <v>1874</v>
      </c>
      <c r="AN472" s="1" t="s">
        <v>4852</v>
      </c>
      <c r="AO472" s="1" t="s">
        <v>4885</v>
      </c>
      <c r="AP472" s="1">
        <v>0</v>
      </c>
      <c r="AQ472" s="1" t="s">
        <v>5924</v>
      </c>
      <c r="AR472" s="1" t="s">
        <v>1154</v>
      </c>
      <c r="AS472" s="1" t="s">
        <v>1164</v>
      </c>
      <c r="AT472" s="1" t="s">
        <v>329</v>
      </c>
      <c r="AU472" s="1">
        <v>97</v>
      </c>
      <c r="AV472" s="1">
        <v>0</v>
      </c>
      <c r="AW472" s="1" t="s">
        <v>5862</v>
      </c>
      <c r="AX472" s="1" t="s">
        <v>4830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5998</v>
      </c>
      <c r="C473" s="9" t="s">
        <v>1667</v>
      </c>
      <c r="D473" s="1" t="s">
        <v>1667</v>
      </c>
      <c r="E473" s="1"/>
      <c r="F473" s="1"/>
      <c r="G473" s="1" t="s">
        <v>5999</v>
      </c>
      <c r="H473" s="1" t="s">
        <v>6000</v>
      </c>
      <c r="I473" s="1" t="s">
        <v>6001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5935</v>
      </c>
      <c r="AK473" s="1" t="s">
        <v>329</v>
      </c>
      <c r="AL473" s="1">
        <v>18</v>
      </c>
      <c r="AM473" s="1" t="s">
        <v>4926</v>
      </c>
      <c r="AN473" s="1" t="s">
        <v>4999</v>
      </c>
      <c r="AO473" s="1" t="s">
        <v>5122</v>
      </c>
      <c r="AP473" s="1">
        <v>0</v>
      </c>
      <c r="AQ473" s="1" t="s">
        <v>1175</v>
      </c>
      <c r="AR473" s="1" t="s">
        <v>5936</v>
      </c>
      <c r="AS473" s="1" t="s">
        <v>5861</v>
      </c>
      <c r="AT473" s="1" t="s">
        <v>329</v>
      </c>
      <c r="AU473" s="1">
        <v>149</v>
      </c>
      <c r="AV473" s="1">
        <v>0</v>
      </c>
      <c r="AW473" s="1" t="s">
        <v>5862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6002</v>
      </c>
      <c r="C474" s="9" t="s">
        <v>156</v>
      </c>
      <c r="D474" s="1" t="s">
        <v>156</v>
      </c>
      <c r="E474" s="1"/>
      <c r="F474" s="1"/>
      <c r="G474" s="1" t="s">
        <v>6003</v>
      </c>
      <c r="H474" s="1" t="s">
        <v>6004</v>
      </c>
      <c r="I474" s="1" t="s">
        <v>6005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5941</v>
      </c>
      <c r="AK474" s="1" t="s">
        <v>329</v>
      </c>
      <c r="AL474" s="1">
        <v>12</v>
      </c>
      <c r="AM474" s="1" t="s">
        <v>4858</v>
      </c>
      <c r="AN474" s="1" t="s">
        <v>359</v>
      </c>
      <c r="AO474" s="1" t="s">
        <v>5131</v>
      </c>
      <c r="AP474" s="1">
        <v>0</v>
      </c>
      <c r="AQ474" s="1" t="s">
        <v>1164</v>
      </c>
      <c r="AR474" s="1" t="s">
        <v>1154</v>
      </c>
      <c r="AS474" s="1" t="s">
        <v>1165</v>
      </c>
      <c r="AT474" s="1" t="s">
        <v>329</v>
      </c>
      <c r="AU474" s="1">
        <v>176</v>
      </c>
      <c r="AV474" s="1">
        <v>0</v>
      </c>
      <c r="AW474" s="1" t="s">
        <v>5862</v>
      </c>
      <c r="AX474" s="1" t="s">
        <v>1874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6006</v>
      </c>
      <c r="C475" s="9" t="s">
        <v>234</v>
      </c>
      <c r="D475" s="1" t="s">
        <v>234</v>
      </c>
      <c r="E475" s="1"/>
      <c r="F475" s="1"/>
      <c r="G475" s="1" t="s">
        <v>6007</v>
      </c>
      <c r="H475" s="1" t="s">
        <v>6008</v>
      </c>
      <c r="I475" s="1" t="s">
        <v>6009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6010</v>
      </c>
      <c r="AK475" s="1" t="s">
        <v>329</v>
      </c>
      <c r="AL475" s="1">
        <v>14</v>
      </c>
      <c r="AM475" s="1" t="s">
        <v>4787</v>
      </c>
      <c r="AN475" s="1" t="s">
        <v>5219</v>
      </c>
      <c r="AO475" s="1" t="s">
        <v>5220</v>
      </c>
      <c r="AP475" s="1">
        <v>0</v>
      </c>
      <c r="AQ475" s="1" t="s">
        <v>1165</v>
      </c>
      <c r="AR475" s="1" t="s">
        <v>1189</v>
      </c>
      <c r="AS475" s="1" t="s">
        <v>1164</v>
      </c>
      <c r="AT475" s="1" t="s">
        <v>329</v>
      </c>
      <c r="AU475" s="1">
        <v>206</v>
      </c>
      <c r="AV475" s="1">
        <v>0</v>
      </c>
      <c r="AW475" s="1" t="s">
        <v>5862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6011</v>
      </c>
      <c r="C476" s="9" t="s">
        <v>233</v>
      </c>
      <c r="D476" s="1" t="s">
        <v>233</v>
      </c>
      <c r="E476" s="1"/>
      <c r="F476" s="1"/>
      <c r="G476" s="1" t="s">
        <v>6012</v>
      </c>
      <c r="H476" s="1" t="s">
        <v>6013</v>
      </c>
      <c r="I476" s="1" t="s">
        <v>6014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6015</v>
      </c>
      <c r="AK476" s="1" t="s">
        <v>329</v>
      </c>
      <c r="AL476" s="1">
        <v>12</v>
      </c>
      <c r="AM476" s="1" t="s">
        <v>4787</v>
      </c>
      <c r="AN476" s="1" t="s">
        <v>5215</v>
      </c>
      <c r="AO476" s="1" t="s">
        <v>5216</v>
      </c>
      <c r="AP476" s="1">
        <v>0</v>
      </c>
      <c r="AQ476" s="1" t="s">
        <v>1165</v>
      </c>
      <c r="AR476" s="1" t="s">
        <v>1189</v>
      </c>
      <c r="AS476" s="1" t="s">
        <v>1164</v>
      </c>
      <c r="AT476" s="1" t="s">
        <v>329</v>
      </c>
      <c r="AU476" s="1">
        <v>205</v>
      </c>
      <c r="AV476" s="1">
        <v>0</v>
      </c>
      <c r="AW476" s="1" t="s">
        <v>5862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6016</v>
      </c>
      <c r="C477" s="9" t="s">
        <v>6017</v>
      </c>
      <c r="D477" s="1" t="s">
        <v>6017</v>
      </c>
      <c r="E477" s="1"/>
      <c r="F477" s="1"/>
      <c r="G477" s="1" t="s">
        <v>6018</v>
      </c>
      <c r="H477" s="1" t="s">
        <v>6019</v>
      </c>
      <c r="I477" s="1" t="s">
        <v>6020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6021</v>
      </c>
      <c r="AK477" s="1" t="s">
        <v>329</v>
      </c>
      <c r="AL477" s="1">
        <v>13</v>
      </c>
      <c r="AM477" s="1" t="s">
        <v>4858</v>
      </c>
      <c r="AN477" s="1" t="s">
        <v>4929</v>
      </c>
      <c r="AO477" s="1" t="s">
        <v>4930</v>
      </c>
      <c r="AP477" s="1">
        <v>0</v>
      </c>
      <c r="AQ477" s="1" t="s">
        <v>1165</v>
      </c>
      <c r="AR477" s="1" t="s">
        <v>1189</v>
      </c>
      <c r="AS477" s="1" t="s">
        <v>5918</v>
      </c>
      <c r="AT477" s="1" t="s">
        <v>329</v>
      </c>
      <c r="AU477" s="1">
        <v>55</v>
      </c>
      <c r="AV477" s="1">
        <v>0</v>
      </c>
      <c r="AW477" s="1" t="s">
        <v>5862</v>
      </c>
      <c r="AX477" s="1" t="s">
        <v>4926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6022</v>
      </c>
      <c r="C478" s="9" t="s">
        <v>6023</v>
      </c>
      <c r="D478" s="1" t="s">
        <v>6023</v>
      </c>
      <c r="E478" s="1"/>
      <c r="F478" s="1"/>
      <c r="G478" s="1" t="s">
        <v>6024</v>
      </c>
      <c r="H478" s="1" t="s">
        <v>6025</v>
      </c>
      <c r="I478" s="1" t="s">
        <v>6026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6027</v>
      </c>
      <c r="AK478" s="1" t="s">
        <v>329</v>
      </c>
      <c r="AL478" s="1">
        <v>13</v>
      </c>
      <c r="AM478" s="1" t="s">
        <v>4787</v>
      </c>
      <c r="AN478" s="1" t="s">
        <v>4932</v>
      </c>
      <c r="AO478" s="1" t="s">
        <v>4935</v>
      </c>
      <c r="AP478" s="1">
        <v>0</v>
      </c>
      <c r="AQ478" s="1" t="s">
        <v>6028</v>
      </c>
      <c r="AR478" s="1" t="s">
        <v>6028</v>
      </c>
      <c r="AS478" s="1" t="s">
        <v>1189</v>
      </c>
      <c r="AT478" s="1" t="s">
        <v>329</v>
      </c>
      <c r="AU478" s="1">
        <v>57</v>
      </c>
      <c r="AV478" s="1">
        <v>0</v>
      </c>
      <c r="AW478" s="1" t="s">
        <v>5862</v>
      </c>
      <c r="AX478" s="1" t="s">
        <v>4926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6029</v>
      </c>
      <c r="C479" s="9" t="s">
        <v>6030</v>
      </c>
      <c r="D479" s="1" t="s">
        <v>6030</v>
      </c>
      <c r="E479" s="1"/>
      <c r="F479" s="1"/>
      <c r="G479" s="1" t="s">
        <v>6031</v>
      </c>
      <c r="H479" s="1" t="s">
        <v>6032</v>
      </c>
      <c r="I479" s="1" t="s">
        <v>6033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6034</v>
      </c>
      <c r="AK479" s="1" t="s">
        <v>329</v>
      </c>
      <c r="AL479" s="1">
        <v>14</v>
      </c>
      <c r="AM479" s="1" t="s">
        <v>4787</v>
      </c>
      <c r="AN479" s="1" t="s">
        <v>5219</v>
      </c>
      <c r="AO479" s="1" t="s">
        <v>5220</v>
      </c>
      <c r="AP479" s="1">
        <v>0</v>
      </c>
      <c r="AQ479" s="1" t="s">
        <v>1165</v>
      </c>
      <c r="AR479" s="1" t="s">
        <v>1189</v>
      </c>
      <c r="AS479" s="1" t="s">
        <v>1164</v>
      </c>
      <c r="AT479" s="1" t="s">
        <v>329</v>
      </c>
      <c r="AU479" s="1">
        <v>206</v>
      </c>
      <c r="AV479" s="1">
        <v>0</v>
      </c>
      <c r="AW479" s="1" t="s">
        <v>5862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6035</v>
      </c>
      <c r="C480" s="9" t="s">
        <v>6036</v>
      </c>
      <c r="D480" s="1" t="s">
        <v>6036</v>
      </c>
      <c r="E480" s="1"/>
      <c r="F480" s="1"/>
      <c r="G480" s="1" t="s">
        <v>6037</v>
      </c>
      <c r="H480" s="1" t="s">
        <v>6038</v>
      </c>
      <c r="I480" s="1" t="s">
        <v>6039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6040</v>
      </c>
      <c r="AK480" s="1" t="s">
        <v>329</v>
      </c>
      <c r="AL480" s="1">
        <v>12</v>
      </c>
      <c r="AM480" s="1" t="s">
        <v>4787</v>
      </c>
      <c r="AN480" s="1" t="s">
        <v>5215</v>
      </c>
      <c r="AO480" s="1" t="s">
        <v>5216</v>
      </c>
      <c r="AP480" s="1">
        <v>0</v>
      </c>
      <c r="AQ480" s="1" t="s">
        <v>1165</v>
      </c>
      <c r="AR480" s="1" t="s">
        <v>1189</v>
      </c>
      <c r="AS480" s="1" t="s">
        <v>1164</v>
      </c>
      <c r="AT480" s="1" t="s">
        <v>329</v>
      </c>
      <c r="AU480" s="1">
        <v>205</v>
      </c>
      <c r="AV480" s="1">
        <v>0</v>
      </c>
      <c r="AW480" s="1" t="s">
        <v>5862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6041</v>
      </c>
      <c r="C481" s="9" t="s">
        <v>22</v>
      </c>
      <c r="D481" s="1" t="s">
        <v>6017</v>
      </c>
      <c r="E481" s="1"/>
      <c r="F481" s="1"/>
      <c r="G481" s="1" t="s">
        <v>6042</v>
      </c>
      <c r="H481" s="1" t="s">
        <v>6043</v>
      </c>
      <c r="I481" s="1" t="s">
        <v>6044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6045</v>
      </c>
      <c r="AK481" s="1" t="s">
        <v>329</v>
      </c>
      <c r="AL481" s="1">
        <v>13</v>
      </c>
      <c r="AM481" s="1" t="s">
        <v>4858</v>
      </c>
      <c r="AN481" s="1" t="s">
        <v>5015</v>
      </c>
      <c r="AO481" s="1" t="s">
        <v>5114</v>
      </c>
      <c r="AP481" s="1">
        <v>0</v>
      </c>
      <c r="AQ481" s="1" t="s">
        <v>1164</v>
      </c>
      <c r="AR481" s="1" t="s">
        <v>1154</v>
      </c>
      <c r="AS481" s="1" t="s">
        <v>1165</v>
      </c>
      <c r="AT481" s="1" t="s">
        <v>329</v>
      </c>
      <c r="AU481" s="1">
        <v>143</v>
      </c>
      <c r="AV481" s="1">
        <v>0</v>
      </c>
      <c r="AW481" s="1" t="s">
        <v>5862</v>
      </c>
      <c r="AX481" s="1" t="s">
        <v>4926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6046</v>
      </c>
      <c r="C482" s="9" t="s">
        <v>22</v>
      </c>
      <c r="D482" s="1" t="s">
        <v>6017</v>
      </c>
      <c r="E482" s="1"/>
      <c r="F482" s="1"/>
      <c r="G482" s="1" t="s">
        <v>6047</v>
      </c>
      <c r="H482" s="1" t="s">
        <v>6048</v>
      </c>
      <c r="I482" s="1" t="s">
        <v>6049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6050</v>
      </c>
      <c r="AK482" s="1" t="s">
        <v>329</v>
      </c>
      <c r="AL482" s="1">
        <v>13</v>
      </c>
      <c r="AM482" s="1" t="s">
        <v>4858</v>
      </c>
      <c r="AN482" s="1" t="s">
        <v>5015</v>
      </c>
      <c r="AO482" s="1" t="s">
        <v>5114</v>
      </c>
      <c r="AP482" s="1">
        <v>0</v>
      </c>
      <c r="AQ482" s="1" t="s">
        <v>1164</v>
      </c>
      <c r="AR482" s="1" t="s">
        <v>1154</v>
      </c>
      <c r="AS482" s="1" t="s">
        <v>1165</v>
      </c>
      <c r="AT482" s="1" t="s">
        <v>329</v>
      </c>
      <c r="AU482" s="1">
        <v>143</v>
      </c>
      <c r="AV482" s="1">
        <v>0</v>
      </c>
      <c r="AW482" s="1" t="s">
        <v>5862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6051</v>
      </c>
      <c r="C483" s="9" t="s">
        <v>22</v>
      </c>
      <c r="D483" s="1" t="s">
        <v>6017</v>
      </c>
      <c r="E483" s="1"/>
      <c r="F483" s="1"/>
      <c r="G483" s="1" t="s">
        <v>6052</v>
      </c>
      <c r="H483" s="1" t="s">
        <v>6053</v>
      </c>
      <c r="I483" s="1" t="s">
        <v>6054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6050</v>
      </c>
      <c r="AK483" s="1" t="s">
        <v>329</v>
      </c>
      <c r="AL483" s="1">
        <v>13</v>
      </c>
      <c r="AM483" s="1" t="s">
        <v>4858</v>
      </c>
      <c r="AN483" s="1" t="s">
        <v>5015</v>
      </c>
      <c r="AO483" s="1" t="s">
        <v>5114</v>
      </c>
      <c r="AP483" s="1">
        <v>0</v>
      </c>
      <c r="AQ483" s="1" t="s">
        <v>1164</v>
      </c>
      <c r="AR483" s="1" t="s">
        <v>1154</v>
      </c>
      <c r="AS483" s="1" t="s">
        <v>1165</v>
      </c>
      <c r="AT483" s="1" t="s">
        <v>329</v>
      </c>
      <c r="AU483" s="1">
        <v>143</v>
      </c>
      <c r="AV483" s="1">
        <v>0</v>
      </c>
      <c r="AW483" s="1" t="s">
        <v>5862</v>
      </c>
      <c r="AX483" s="1" t="s">
        <v>4926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6055</v>
      </c>
      <c r="C484" s="9" t="s">
        <v>22</v>
      </c>
      <c r="D484" s="1" t="s">
        <v>6017</v>
      </c>
      <c r="E484" s="1"/>
      <c r="F484" s="1"/>
      <c r="G484" s="1" t="s">
        <v>6056</v>
      </c>
      <c r="H484" s="1" t="s">
        <v>6057</v>
      </c>
      <c r="I484" s="1" t="s">
        <v>6058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6050</v>
      </c>
      <c r="AK484" s="1" t="s">
        <v>329</v>
      </c>
      <c r="AL484" s="1">
        <v>13</v>
      </c>
      <c r="AM484" s="1" t="s">
        <v>4858</v>
      </c>
      <c r="AN484" s="1" t="s">
        <v>5015</v>
      </c>
      <c r="AO484" s="1" t="s">
        <v>5114</v>
      </c>
      <c r="AP484" s="1">
        <v>0</v>
      </c>
      <c r="AQ484" s="1" t="s">
        <v>1164</v>
      </c>
      <c r="AR484" s="1" t="s">
        <v>1154</v>
      </c>
      <c r="AS484" s="1" t="s">
        <v>1165</v>
      </c>
      <c r="AT484" s="1" t="s">
        <v>329</v>
      </c>
      <c r="AU484" s="1">
        <v>143</v>
      </c>
      <c r="AV484" s="1">
        <v>0</v>
      </c>
      <c r="AW484" s="1" t="s">
        <v>5862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6059</v>
      </c>
      <c r="C485" s="9" t="s">
        <v>98</v>
      </c>
      <c r="D485" s="1" t="s">
        <v>6060</v>
      </c>
      <c r="E485" s="1"/>
      <c r="F485" s="1"/>
      <c r="G485" s="1" t="s">
        <v>6061</v>
      </c>
      <c r="H485" s="1" t="s">
        <v>6062</v>
      </c>
      <c r="I485" s="1" t="s">
        <v>6063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6064</v>
      </c>
      <c r="AK485" s="1" t="s">
        <v>329</v>
      </c>
      <c r="AL485" s="1">
        <v>13</v>
      </c>
      <c r="AM485" s="1" t="s">
        <v>4787</v>
      </c>
      <c r="AN485" s="1" t="s">
        <v>4815</v>
      </c>
      <c r="AO485" s="1" t="s">
        <v>4867</v>
      </c>
      <c r="AP485" s="1">
        <v>0</v>
      </c>
      <c r="AQ485" s="1" t="s">
        <v>1189</v>
      </c>
      <c r="AR485" s="1" t="s">
        <v>6065</v>
      </c>
      <c r="AS485" s="1" t="s">
        <v>6065</v>
      </c>
      <c r="AT485" s="1" t="s">
        <v>329</v>
      </c>
      <c r="AU485" s="1">
        <v>54</v>
      </c>
      <c r="AV485" s="1">
        <v>0</v>
      </c>
      <c r="AW485" s="1" t="s">
        <v>5862</v>
      </c>
      <c r="AX485" s="1" t="s">
        <v>1874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6066</v>
      </c>
      <c r="C486" s="9" t="s">
        <v>6067</v>
      </c>
      <c r="D486" s="1" t="s">
        <v>6068</v>
      </c>
      <c r="E486" s="1"/>
      <c r="F486" s="1"/>
      <c r="G486" s="1" t="s">
        <v>6069</v>
      </c>
      <c r="H486" s="1" t="s">
        <v>6070</v>
      </c>
      <c r="I486" s="1" t="s">
        <v>6071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6064</v>
      </c>
      <c r="AK486" s="1" t="s">
        <v>329</v>
      </c>
      <c r="AL486" s="1">
        <v>13</v>
      </c>
      <c r="AM486" s="1" t="s">
        <v>4787</v>
      </c>
      <c r="AN486" s="1" t="s">
        <v>4815</v>
      </c>
      <c r="AO486" s="1" t="s">
        <v>4867</v>
      </c>
      <c r="AP486" s="1">
        <v>0</v>
      </c>
      <c r="AQ486" s="1" t="s">
        <v>1189</v>
      </c>
      <c r="AR486" s="1" t="s">
        <v>6065</v>
      </c>
      <c r="AS486" s="1" t="s">
        <v>6065</v>
      </c>
      <c r="AT486" s="1" t="s">
        <v>329</v>
      </c>
      <c r="AU486" s="1">
        <v>54</v>
      </c>
      <c r="AV486" s="1">
        <v>0</v>
      </c>
      <c r="AW486" s="1" t="s">
        <v>5862</v>
      </c>
      <c r="AX486" s="1" t="s">
        <v>1874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6072</v>
      </c>
      <c r="C487" s="9" t="s">
        <v>6073</v>
      </c>
      <c r="D487" s="1" t="s">
        <v>6074</v>
      </c>
      <c r="E487" s="1"/>
      <c r="F487" s="1"/>
      <c r="G487" s="1" t="s">
        <v>6075</v>
      </c>
      <c r="H487" s="1" t="s">
        <v>6076</v>
      </c>
      <c r="I487" s="1" t="s">
        <v>6077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6064</v>
      </c>
      <c r="AK487" s="1" t="s">
        <v>329</v>
      </c>
      <c r="AL487" s="1">
        <v>13</v>
      </c>
      <c r="AM487" s="1" t="s">
        <v>4787</v>
      </c>
      <c r="AN487" s="1" t="s">
        <v>4815</v>
      </c>
      <c r="AO487" s="1" t="s">
        <v>4867</v>
      </c>
      <c r="AP487" s="1">
        <v>0</v>
      </c>
      <c r="AQ487" s="1" t="s">
        <v>1189</v>
      </c>
      <c r="AR487" s="1" t="s">
        <v>6065</v>
      </c>
      <c r="AS487" s="1" t="s">
        <v>6065</v>
      </c>
      <c r="AT487" s="1" t="s">
        <v>329</v>
      </c>
      <c r="AU487" s="1">
        <v>54</v>
      </c>
      <c r="AV487" s="1">
        <v>0</v>
      </c>
      <c r="AW487" s="1" t="s">
        <v>5862</v>
      </c>
      <c r="AX487" s="1" t="s">
        <v>1874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6078</v>
      </c>
      <c r="C488" s="9" t="s">
        <v>6079</v>
      </c>
      <c r="D488" s="1" t="s">
        <v>6080</v>
      </c>
      <c r="E488" s="1"/>
      <c r="F488" s="1"/>
      <c r="G488" s="1" t="s">
        <v>6081</v>
      </c>
      <c r="H488" s="1" t="s">
        <v>6082</v>
      </c>
      <c r="I488" s="1" t="s">
        <v>6083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6064</v>
      </c>
      <c r="AK488" s="1" t="s">
        <v>329</v>
      </c>
      <c r="AL488" s="1">
        <v>13</v>
      </c>
      <c r="AM488" s="1" t="s">
        <v>4787</v>
      </c>
      <c r="AN488" s="1" t="s">
        <v>4815</v>
      </c>
      <c r="AO488" s="1" t="s">
        <v>4867</v>
      </c>
      <c r="AP488" s="1">
        <v>0</v>
      </c>
      <c r="AQ488" s="1" t="s">
        <v>1189</v>
      </c>
      <c r="AR488" s="1" t="s">
        <v>6065</v>
      </c>
      <c r="AS488" s="1" t="s">
        <v>6065</v>
      </c>
      <c r="AT488" s="1" t="s">
        <v>329</v>
      </c>
      <c r="AU488" s="1">
        <v>54</v>
      </c>
      <c r="AV488" s="1">
        <v>0</v>
      </c>
      <c r="AW488" s="1" t="s">
        <v>5862</v>
      </c>
      <c r="AX488" s="1" t="s">
        <v>1874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6084</v>
      </c>
      <c r="C489" s="9" t="s">
        <v>22</v>
      </c>
      <c r="D489" s="1" t="s">
        <v>6085</v>
      </c>
      <c r="E489" s="1"/>
      <c r="F489" s="1"/>
      <c r="G489" s="1" t="s">
        <v>6086</v>
      </c>
      <c r="H489" s="1" t="s">
        <v>6087</v>
      </c>
      <c r="I489" s="1" t="s">
        <v>6088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6089</v>
      </c>
      <c r="AK489" s="1" t="s">
        <v>329</v>
      </c>
      <c r="AL489" s="1">
        <v>13</v>
      </c>
      <c r="AM489" s="1" t="s">
        <v>4858</v>
      </c>
      <c r="AN489" s="1" t="s">
        <v>4929</v>
      </c>
      <c r="AO489" s="1" t="s">
        <v>4930</v>
      </c>
      <c r="AP489" s="1">
        <v>0</v>
      </c>
      <c r="AQ489" s="1" t="s">
        <v>1165</v>
      </c>
      <c r="AR489" s="1" t="s">
        <v>1189</v>
      </c>
      <c r="AS489" s="1" t="s">
        <v>5918</v>
      </c>
      <c r="AT489" s="1" t="s">
        <v>329</v>
      </c>
      <c r="AU489" s="1">
        <v>55</v>
      </c>
      <c r="AV489" s="1">
        <v>0</v>
      </c>
      <c r="AW489" s="1" t="s">
        <v>5862</v>
      </c>
      <c r="AX489" s="1" t="s">
        <v>1874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6090</v>
      </c>
      <c r="C490" s="9" t="s">
        <v>6091</v>
      </c>
      <c r="D490" s="1" t="s">
        <v>6091</v>
      </c>
      <c r="E490" s="1"/>
      <c r="F490" s="1"/>
      <c r="G490" s="1" t="s">
        <v>6092</v>
      </c>
      <c r="H490" s="1" t="s">
        <v>6093</v>
      </c>
      <c r="I490" s="1" t="s">
        <v>6094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6095</v>
      </c>
      <c r="AK490" s="1" t="s">
        <v>329</v>
      </c>
      <c r="AL490" s="1">
        <v>13</v>
      </c>
      <c r="AM490" s="1" t="s">
        <v>4787</v>
      </c>
      <c r="AN490" s="1" t="s">
        <v>4815</v>
      </c>
      <c r="AO490" s="1" t="s">
        <v>4867</v>
      </c>
      <c r="AP490" s="1">
        <v>0</v>
      </c>
      <c r="AQ490" s="1" t="s">
        <v>1189</v>
      </c>
      <c r="AR490" s="1" t="s">
        <v>6065</v>
      </c>
      <c r="AS490" s="1" t="s">
        <v>6065</v>
      </c>
      <c r="AT490" s="1" t="s">
        <v>329</v>
      </c>
      <c r="AU490" s="1">
        <v>54</v>
      </c>
      <c r="AV490" s="1">
        <v>0</v>
      </c>
      <c r="AW490" s="1" t="s">
        <v>5862</v>
      </c>
      <c r="AX490" s="1" t="s">
        <v>1874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6096</v>
      </c>
      <c r="C491" s="9" t="s">
        <v>6097</v>
      </c>
      <c r="D491" s="1" t="s">
        <v>6097</v>
      </c>
      <c r="E491" s="1"/>
      <c r="F491" s="1"/>
      <c r="G491" s="1" t="s">
        <v>6098</v>
      </c>
      <c r="H491" s="1" t="s">
        <v>6099</v>
      </c>
      <c r="I491" s="1" t="s">
        <v>6100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4787</v>
      </c>
      <c r="AN491" s="1" t="s">
        <v>4815</v>
      </c>
      <c r="AO491" s="1" t="s">
        <v>4867</v>
      </c>
      <c r="AP491" s="1">
        <v>0</v>
      </c>
      <c r="AQ491" s="1" t="s">
        <v>1189</v>
      </c>
      <c r="AR491" s="1" t="s">
        <v>6065</v>
      </c>
      <c r="AS491" s="1" t="s">
        <v>6065</v>
      </c>
      <c r="AT491" s="1" t="s">
        <v>329</v>
      </c>
      <c r="AU491" s="1">
        <v>54</v>
      </c>
      <c r="AV491" s="1">
        <v>0</v>
      </c>
      <c r="AW491" s="1" t="s">
        <v>5862</v>
      </c>
      <c r="AX491" s="1" t="s">
        <v>1874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6101</v>
      </c>
      <c r="C492" s="9" t="s">
        <v>6102</v>
      </c>
      <c r="D492" s="1" t="s">
        <v>6102</v>
      </c>
      <c r="E492" s="1"/>
      <c r="F492" s="1"/>
      <c r="G492" s="1" t="s">
        <v>6103</v>
      </c>
      <c r="H492" s="1" t="s">
        <v>6104</v>
      </c>
      <c r="I492" s="1" t="s">
        <v>6105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4787</v>
      </c>
      <c r="AN492" s="1" t="s">
        <v>4815</v>
      </c>
      <c r="AO492" s="1" t="s">
        <v>4867</v>
      </c>
      <c r="AP492" s="1">
        <v>0</v>
      </c>
      <c r="AQ492" s="1" t="s">
        <v>1189</v>
      </c>
      <c r="AR492" s="1" t="s">
        <v>6065</v>
      </c>
      <c r="AS492" s="1" t="s">
        <v>6065</v>
      </c>
      <c r="AT492" s="1" t="s">
        <v>329</v>
      </c>
      <c r="AU492" s="1">
        <v>54</v>
      </c>
      <c r="AV492" s="1">
        <v>0</v>
      </c>
      <c r="AW492" s="1" t="s">
        <v>5862</v>
      </c>
      <c r="AX492" s="1" t="s">
        <v>1874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6106</v>
      </c>
      <c r="C493" s="9" t="s">
        <v>6107</v>
      </c>
      <c r="D493" s="1" t="s">
        <v>6107</v>
      </c>
      <c r="E493" s="1"/>
      <c r="F493" s="1"/>
      <c r="G493" s="1" t="s">
        <v>6108</v>
      </c>
      <c r="H493" s="1" t="s">
        <v>6109</v>
      </c>
      <c r="I493" s="1" t="s">
        <v>6110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4787</v>
      </c>
      <c r="AN493" s="1" t="s">
        <v>4815</v>
      </c>
      <c r="AO493" s="1" t="s">
        <v>4867</v>
      </c>
      <c r="AP493" s="1">
        <v>0</v>
      </c>
      <c r="AQ493" s="1" t="s">
        <v>1189</v>
      </c>
      <c r="AR493" s="1" t="s">
        <v>6065</v>
      </c>
      <c r="AS493" s="1" t="s">
        <v>6065</v>
      </c>
      <c r="AT493" s="1" t="s">
        <v>329</v>
      </c>
      <c r="AU493" s="1">
        <v>54</v>
      </c>
      <c r="AV493" s="1">
        <v>0</v>
      </c>
      <c r="AW493" s="1" t="s">
        <v>5862</v>
      </c>
      <c r="AX493" s="1" t="s">
        <v>1874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6111</v>
      </c>
      <c r="C494" s="9" t="s">
        <v>22</v>
      </c>
      <c r="D494" s="1" t="s">
        <v>6085</v>
      </c>
      <c r="E494" s="1"/>
      <c r="F494" s="1"/>
      <c r="G494" s="1" t="s">
        <v>6112</v>
      </c>
      <c r="H494" s="1" t="s">
        <v>6113</v>
      </c>
      <c r="I494" s="1" t="s">
        <v>6114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6115</v>
      </c>
      <c r="AK494" s="1" t="s">
        <v>1438</v>
      </c>
      <c r="AL494" s="1">
        <v>13</v>
      </c>
      <c r="AM494" s="1" t="s">
        <v>4858</v>
      </c>
      <c r="AN494" s="1" t="s">
        <v>4929</v>
      </c>
      <c r="AO494" s="1" t="s">
        <v>5496</v>
      </c>
      <c r="AP494" s="1">
        <v>0</v>
      </c>
      <c r="AQ494" s="1" t="s">
        <v>1165</v>
      </c>
      <c r="AR494" s="1" t="s">
        <v>1189</v>
      </c>
      <c r="AS494" s="1" t="s">
        <v>5918</v>
      </c>
      <c r="AT494" s="1" t="s">
        <v>329</v>
      </c>
      <c r="AU494" s="1">
        <v>55</v>
      </c>
      <c r="AV494" s="1">
        <v>0</v>
      </c>
      <c r="AW494" s="1" t="s">
        <v>5862</v>
      </c>
      <c r="AX494" s="1" t="s">
        <v>1874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6116</v>
      </c>
      <c r="C495" s="9" t="s">
        <v>6117</v>
      </c>
      <c r="D495" s="1" t="s">
        <v>6117</v>
      </c>
      <c r="E495" s="1"/>
      <c r="F495" s="1"/>
      <c r="G495" s="1" t="s">
        <v>6118</v>
      </c>
      <c r="H495" s="1" t="s">
        <v>6119</v>
      </c>
      <c r="I495" s="1" t="s">
        <v>6120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6095</v>
      </c>
      <c r="AK495" s="1" t="s">
        <v>329</v>
      </c>
      <c r="AL495" s="1">
        <v>13</v>
      </c>
      <c r="AM495" s="1" t="s">
        <v>4787</v>
      </c>
      <c r="AN495" s="1" t="s">
        <v>4815</v>
      </c>
      <c r="AO495" s="1" t="s">
        <v>4867</v>
      </c>
      <c r="AP495" s="1">
        <v>0</v>
      </c>
      <c r="AQ495" s="1" t="s">
        <v>1189</v>
      </c>
      <c r="AR495" s="1" t="s">
        <v>6065</v>
      </c>
      <c r="AS495" s="1" t="s">
        <v>6065</v>
      </c>
      <c r="AT495" s="1" t="s">
        <v>329</v>
      </c>
      <c r="AU495" s="1">
        <v>54</v>
      </c>
      <c r="AV495" s="1">
        <v>0</v>
      </c>
      <c r="AW495" s="1" t="s">
        <v>5862</v>
      </c>
      <c r="AX495" s="1" t="s">
        <v>1874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6121</v>
      </c>
      <c r="C496" s="9" t="s">
        <v>6122</v>
      </c>
      <c r="D496" s="1" t="s">
        <v>6122</v>
      </c>
      <c r="E496" s="1"/>
      <c r="F496" s="1"/>
      <c r="G496" s="1" t="s">
        <v>6123</v>
      </c>
      <c r="H496" s="1" t="s">
        <v>6124</v>
      </c>
      <c r="I496" s="1" t="s">
        <v>6125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1874</v>
      </c>
      <c r="AN496" s="1" t="s">
        <v>4815</v>
      </c>
      <c r="AO496" s="1" t="s">
        <v>4812</v>
      </c>
      <c r="AP496" s="1">
        <v>0</v>
      </c>
      <c r="AQ496" s="1" t="s">
        <v>5924</v>
      </c>
      <c r="AR496" s="1" t="s">
        <v>1154</v>
      </c>
      <c r="AS496" s="1" t="s">
        <v>1164</v>
      </c>
      <c r="AT496" s="1" t="s">
        <v>329</v>
      </c>
      <c r="AU496" s="1">
        <v>6</v>
      </c>
      <c r="AV496" s="1">
        <v>0</v>
      </c>
      <c r="AW496" s="1" t="s">
        <v>5862</v>
      </c>
      <c r="AX496" s="1" t="s">
        <v>1874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6126</v>
      </c>
      <c r="C497" s="9" t="s">
        <v>249</v>
      </c>
      <c r="D497" s="1" t="s">
        <v>249</v>
      </c>
      <c r="E497" s="1"/>
      <c r="F497" s="1"/>
      <c r="G497" s="1" t="s">
        <v>6127</v>
      </c>
      <c r="H497" s="1" t="s">
        <v>6128</v>
      </c>
      <c r="I497" s="1" t="s">
        <v>6129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6130</v>
      </c>
      <c r="AK497" s="1" t="s">
        <v>329</v>
      </c>
      <c r="AL497" s="1">
        <v>17</v>
      </c>
      <c r="AM497" s="1" t="s">
        <v>4830</v>
      </c>
      <c r="AN497" s="1" t="s">
        <v>5472</v>
      </c>
      <c r="AO497" s="1" t="s">
        <v>4913</v>
      </c>
      <c r="AP497" s="1">
        <v>0</v>
      </c>
      <c r="AQ497" s="1" t="s">
        <v>1175</v>
      </c>
      <c r="AR497" s="1" t="s">
        <v>1176</v>
      </c>
      <c r="AS497" s="1" t="s">
        <v>6131</v>
      </c>
      <c r="AT497" s="1" t="s">
        <v>329</v>
      </c>
      <c r="AU497" s="1">
        <v>1005</v>
      </c>
      <c r="AV497" s="1">
        <v>1</v>
      </c>
      <c r="AW497" s="1" t="s">
        <v>5862</v>
      </c>
      <c r="AX497" s="1" t="s">
        <v>1407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5454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6132</v>
      </c>
      <c r="C498" s="9" t="s">
        <v>249</v>
      </c>
      <c r="D498" s="1" t="s">
        <v>249</v>
      </c>
      <c r="E498" s="1"/>
      <c r="F498" s="1"/>
      <c r="G498" s="1" t="s">
        <v>6133</v>
      </c>
      <c r="H498" s="1" t="s">
        <v>6134</v>
      </c>
      <c r="I498" s="1" t="s">
        <v>6135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6136</v>
      </c>
      <c r="AK498" s="1" t="s">
        <v>329</v>
      </c>
      <c r="AL498" s="1">
        <v>17</v>
      </c>
      <c r="AM498" s="1" t="s">
        <v>4830</v>
      </c>
      <c r="AN498" s="1" t="s">
        <v>5472</v>
      </c>
      <c r="AO498" s="1" t="s">
        <v>4913</v>
      </c>
      <c r="AP498" s="1">
        <v>0</v>
      </c>
      <c r="AQ498" s="1" t="s">
        <v>1175</v>
      </c>
      <c r="AR498" s="1" t="s">
        <v>1176</v>
      </c>
      <c r="AS498" s="1" t="s">
        <v>6131</v>
      </c>
      <c r="AT498" s="1" t="s">
        <v>329</v>
      </c>
      <c r="AU498" s="1">
        <v>1005</v>
      </c>
      <c r="AV498" s="1">
        <v>1</v>
      </c>
      <c r="AW498" s="1" t="s">
        <v>5862</v>
      </c>
      <c r="AX498" s="1" t="s">
        <v>1407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5454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6137</v>
      </c>
      <c r="C499" s="9" t="s">
        <v>5876</v>
      </c>
      <c r="D499" s="1" t="s">
        <v>5877</v>
      </c>
      <c r="E499" s="1"/>
      <c r="F499" s="1"/>
      <c r="G499" s="1" t="s">
        <v>6138</v>
      </c>
      <c r="H499" s="1" t="s">
        <v>6139</v>
      </c>
      <c r="I499" s="1" t="s">
        <v>6140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5881</v>
      </c>
      <c r="AK499" s="1" t="s">
        <v>329</v>
      </c>
      <c r="AL499" s="1">
        <v>19</v>
      </c>
      <c r="AM499" s="1" t="s">
        <v>4830</v>
      </c>
      <c r="AN499" s="1" t="s">
        <v>329</v>
      </c>
      <c r="AO499" s="1" t="s">
        <v>329</v>
      </c>
      <c r="AP499" s="1">
        <v>0</v>
      </c>
      <c r="AQ499" s="1" t="s">
        <v>1175</v>
      </c>
      <c r="AR499" s="1" t="s">
        <v>5860</v>
      </c>
      <c r="AS499" s="1" t="s">
        <v>5861</v>
      </c>
      <c r="AT499" s="1" t="s">
        <v>329</v>
      </c>
      <c r="AU499" s="1">
        <v>10</v>
      </c>
      <c r="AV499" s="1">
        <v>1</v>
      </c>
      <c r="AW499" s="1" t="s">
        <v>5862</v>
      </c>
      <c r="AX499" s="1" t="s">
        <v>1874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6141</v>
      </c>
      <c r="C500" s="9" t="s">
        <v>5876</v>
      </c>
      <c r="D500" s="1" t="s">
        <v>5877</v>
      </c>
      <c r="E500" s="1"/>
      <c r="F500" s="1"/>
      <c r="G500" s="1" t="s">
        <v>6142</v>
      </c>
      <c r="H500" s="1" t="s">
        <v>6143</v>
      </c>
      <c r="I500" s="1" t="s">
        <v>6144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5881</v>
      </c>
      <c r="AK500" s="1" t="s">
        <v>329</v>
      </c>
      <c r="AL500" s="1">
        <v>19</v>
      </c>
      <c r="AM500" s="1" t="s">
        <v>4830</v>
      </c>
      <c r="AN500" s="1" t="s">
        <v>329</v>
      </c>
      <c r="AO500" s="1" t="s">
        <v>329</v>
      </c>
      <c r="AP500" s="1">
        <v>0</v>
      </c>
      <c r="AQ500" s="1" t="s">
        <v>1175</v>
      </c>
      <c r="AR500" s="1" t="s">
        <v>5860</v>
      </c>
      <c r="AS500" s="1" t="s">
        <v>5861</v>
      </c>
      <c r="AT500" s="1" t="s">
        <v>329</v>
      </c>
      <c r="AU500" s="1">
        <v>10</v>
      </c>
      <c r="AV500" s="1">
        <v>1</v>
      </c>
      <c r="AW500" s="1" t="s">
        <v>5862</v>
      </c>
      <c r="AX500" s="1" t="s">
        <v>1874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6145</v>
      </c>
      <c r="C501" s="9" t="s">
        <v>6146</v>
      </c>
      <c r="D501" s="1" t="s">
        <v>6146</v>
      </c>
      <c r="E501" s="1"/>
      <c r="F501" s="1"/>
      <c r="G501" s="1" t="s">
        <v>6147</v>
      </c>
      <c r="H501" s="1" t="s">
        <v>6148</v>
      </c>
      <c r="I501" s="1" t="s">
        <v>6149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6150</v>
      </c>
      <c r="AK501" s="1" t="s">
        <v>329</v>
      </c>
      <c r="AL501" s="1">
        <v>13</v>
      </c>
      <c r="AM501" s="1" t="s">
        <v>4858</v>
      </c>
      <c r="AN501" s="1" t="s">
        <v>4929</v>
      </c>
      <c r="AO501" s="1" t="s">
        <v>5496</v>
      </c>
      <c r="AP501" s="1">
        <v>0</v>
      </c>
      <c r="AQ501" s="1" t="s">
        <v>1165</v>
      </c>
      <c r="AR501" s="1" t="s">
        <v>1189</v>
      </c>
      <c r="AS501" s="1" t="s">
        <v>5918</v>
      </c>
      <c r="AT501" s="1" t="s">
        <v>329</v>
      </c>
      <c r="AU501" s="1">
        <v>55</v>
      </c>
      <c r="AV501" s="1">
        <v>0</v>
      </c>
      <c r="AW501" s="1" t="s">
        <v>5862</v>
      </c>
      <c r="AX501" s="1" t="s">
        <v>1874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6151</v>
      </c>
      <c r="C502" s="9" t="s">
        <v>6152</v>
      </c>
      <c r="D502" s="1" t="s">
        <v>6152</v>
      </c>
      <c r="E502" s="1"/>
      <c r="F502" s="1"/>
      <c r="G502" s="1" t="s">
        <v>6153</v>
      </c>
      <c r="H502" s="1" t="s">
        <v>6154</v>
      </c>
      <c r="I502" s="1" t="s">
        <v>6155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1874</v>
      </c>
      <c r="AN502" s="1" t="s">
        <v>4808</v>
      </c>
      <c r="AO502" s="1" t="s">
        <v>4809</v>
      </c>
      <c r="AP502" s="1">
        <v>0</v>
      </c>
      <c r="AQ502" s="1" t="s">
        <v>1175</v>
      </c>
      <c r="AR502" s="1" t="s">
        <v>5860</v>
      </c>
      <c r="AS502" s="1" t="s">
        <v>5861</v>
      </c>
      <c r="AT502" s="1" t="s">
        <v>329</v>
      </c>
      <c r="AU502" s="1">
        <v>1</v>
      </c>
      <c r="AV502" s="1">
        <v>0</v>
      </c>
      <c r="AW502" s="1" t="s">
        <v>5862</v>
      </c>
      <c r="AX502" s="1" t="s">
        <v>1874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6156</v>
      </c>
      <c r="C503" s="9" t="s">
        <v>6157</v>
      </c>
      <c r="D503" s="1" t="s">
        <v>6157</v>
      </c>
      <c r="E503" s="1"/>
      <c r="F503" s="1"/>
      <c r="G503" s="1" t="s">
        <v>6158</v>
      </c>
      <c r="H503" s="1" t="s">
        <v>6159</v>
      </c>
      <c r="I503" s="1" t="s">
        <v>6160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1874</v>
      </c>
      <c r="AN503" s="1" t="s">
        <v>4808</v>
      </c>
      <c r="AO503" s="1" t="s">
        <v>4809</v>
      </c>
      <c r="AP503" s="1">
        <v>0</v>
      </c>
      <c r="AQ503" s="1" t="s">
        <v>1175</v>
      </c>
      <c r="AR503" s="1" t="s">
        <v>5860</v>
      </c>
      <c r="AS503" s="1" t="s">
        <v>5861</v>
      </c>
      <c r="AT503" s="1" t="s">
        <v>329</v>
      </c>
      <c r="AU503" s="1">
        <v>1</v>
      </c>
      <c r="AV503" s="1">
        <v>0</v>
      </c>
      <c r="AW503" s="1" t="s">
        <v>5862</v>
      </c>
      <c r="AX503" s="1" t="s">
        <v>1874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6161</v>
      </c>
      <c r="C504" s="9" t="s">
        <v>6162</v>
      </c>
      <c r="D504" s="1" t="s">
        <v>6162</v>
      </c>
      <c r="E504" s="1"/>
      <c r="F504" s="1"/>
      <c r="G504" s="1" t="s">
        <v>6163</v>
      </c>
      <c r="H504" s="1" t="s">
        <v>6164</v>
      </c>
      <c r="I504" s="1" t="s">
        <v>6165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6166</v>
      </c>
      <c r="AK504" s="1" t="s">
        <v>329</v>
      </c>
      <c r="AL504" s="1">
        <v>13</v>
      </c>
      <c r="AM504" s="1" t="s">
        <v>4858</v>
      </c>
      <c r="AN504" s="1" t="s">
        <v>4929</v>
      </c>
      <c r="AO504" s="1" t="s">
        <v>5496</v>
      </c>
      <c r="AP504" s="1">
        <v>0</v>
      </c>
      <c r="AQ504" s="1" t="s">
        <v>1165</v>
      </c>
      <c r="AR504" s="1" t="s">
        <v>1189</v>
      </c>
      <c r="AS504" s="1" t="s">
        <v>5918</v>
      </c>
      <c r="AT504" s="1" t="s">
        <v>329</v>
      </c>
      <c r="AU504" s="1">
        <v>55</v>
      </c>
      <c r="AV504" s="1">
        <v>0</v>
      </c>
      <c r="AW504" s="1" t="s">
        <v>5862</v>
      </c>
      <c r="AX504" s="1" t="s">
        <v>1874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6167</v>
      </c>
      <c r="C505" s="9" t="s">
        <v>223</v>
      </c>
      <c r="D505" s="1" t="s">
        <v>4268</v>
      </c>
      <c r="E505" s="1"/>
      <c r="F505" s="1"/>
      <c r="G505" s="1" t="s">
        <v>6168</v>
      </c>
      <c r="H505" s="1" t="s">
        <v>6169</v>
      </c>
      <c r="I505" s="1" t="s">
        <v>6170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6171</v>
      </c>
      <c r="AK505" s="1" t="s">
        <v>329</v>
      </c>
      <c r="AL505" s="1">
        <v>13</v>
      </c>
      <c r="AM505" s="1" t="s">
        <v>4787</v>
      </c>
      <c r="AN505" s="1" t="s">
        <v>476</v>
      </c>
      <c r="AO505" s="1" t="s">
        <v>4955</v>
      </c>
      <c r="AP505" s="1">
        <v>0</v>
      </c>
      <c r="AQ505" s="1" t="s">
        <v>1165</v>
      </c>
      <c r="AR505" s="1" t="s">
        <v>1189</v>
      </c>
      <c r="AS505" s="1" t="s">
        <v>5918</v>
      </c>
      <c r="AT505" s="1" t="s">
        <v>329</v>
      </c>
      <c r="AU505" s="1">
        <v>65</v>
      </c>
      <c r="AV505" s="1">
        <v>0</v>
      </c>
      <c r="AW505" s="1" t="s">
        <v>5862</v>
      </c>
      <c r="AX505" s="1" t="s">
        <v>1874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6172</v>
      </c>
      <c r="C506" s="9" t="s">
        <v>79</v>
      </c>
      <c r="D506" s="1" t="s">
        <v>4263</v>
      </c>
      <c r="E506" s="1"/>
      <c r="F506" s="1"/>
      <c r="G506" s="1" t="s">
        <v>6173</v>
      </c>
      <c r="H506" s="1" t="s">
        <v>6174</v>
      </c>
      <c r="I506" s="1" t="s">
        <v>6175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6176</v>
      </c>
      <c r="AK506" s="1" t="s">
        <v>329</v>
      </c>
      <c r="AL506" s="1">
        <v>13</v>
      </c>
      <c r="AM506" s="1" t="s">
        <v>4858</v>
      </c>
      <c r="AN506" s="1" t="s">
        <v>4861</v>
      </c>
      <c r="AO506" s="1" t="s">
        <v>4870</v>
      </c>
      <c r="AP506" s="1">
        <v>0</v>
      </c>
      <c r="AQ506" s="1" t="s">
        <v>1164</v>
      </c>
      <c r="AR506" s="1" t="s">
        <v>1154</v>
      </c>
      <c r="AS506" s="1" t="s">
        <v>1165</v>
      </c>
      <c r="AT506" s="1" t="s">
        <v>329</v>
      </c>
      <c r="AU506" s="1">
        <v>20</v>
      </c>
      <c r="AV506" s="1">
        <v>0</v>
      </c>
      <c r="AW506" s="1" t="s">
        <v>5862</v>
      </c>
      <c r="AX506" s="1" t="s">
        <v>1874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6177</v>
      </c>
      <c r="C507" s="9" t="s">
        <v>6178</v>
      </c>
      <c r="D507" s="1" t="s">
        <v>6178</v>
      </c>
      <c r="E507" s="1"/>
      <c r="F507" s="1"/>
      <c r="G507" s="1" t="s">
        <v>6179</v>
      </c>
      <c r="H507" s="1" t="s">
        <v>6180</v>
      </c>
      <c r="I507" s="1" t="s">
        <v>6181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6171</v>
      </c>
      <c r="AK507" s="1" t="s">
        <v>329</v>
      </c>
      <c r="AL507" s="1">
        <v>13</v>
      </c>
      <c r="AM507" s="1" t="s">
        <v>4787</v>
      </c>
      <c r="AN507" s="1" t="s">
        <v>476</v>
      </c>
      <c r="AO507" s="1" t="s">
        <v>4955</v>
      </c>
      <c r="AP507" s="1">
        <v>0</v>
      </c>
      <c r="AQ507" s="1" t="s">
        <v>1165</v>
      </c>
      <c r="AR507" s="1" t="s">
        <v>1189</v>
      </c>
      <c r="AS507" s="1" t="s">
        <v>5918</v>
      </c>
      <c r="AT507" s="1" t="s">
        <v>329</v>
      </c>
      <c r="AU507" s="1">
        <v>65</v>
      </c>
      <c r="AV507" s="1">
        <v>0</v>
      </c>
      <c r="AW507" s="1" t="s">
        <v>5862</v>
      </c>
      <c r="AX507" s="1" t="s">
        <v>1874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6182</v>
      </c>
      <c r="C508" s="9" t="s">
        <v>6183</v>
      </c>
      <c r="D508" s="1" t="s">
        <v>6183</v>
      </c>
      <c r="E508" s="1"/>
      <c r="F508" s="1"/>
      <c r="G508" s="1" t="s">
        <v>6184</v>
      </c>
      <c r="H508" s="1" t="s">
        <v>6185</v>
      </c>
      <c r="I508" s="1" t="s">
        <v>6186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6176</v>
      </c>
      <c r="AK508" s="1" t="s">
        <v>329</v>
      </c>
      <c r="AL508" s="1">
        <v>13</v>
      </c>
      <c r="AM508" s="1" t="s">
        <v>4858</v>
      </c>
      <c r="AN508" s="1" t="s">
        <v>4861</v>
      </c>
      <c r="AO508" s="1" t="s">
        <v>4870</v>
      </c>
      <c r="AP508" s="1">
        <v>0</v>
      </c>
      <c r="AQ508" s="1" t="s">
        <v>1164</v>
      </c>
      <c r="AR508" s="1" t="s">
        <v>1154</v>
      </c>
      <c r="AS508" s="1" t="s">
        <v>1165</v>
      </c>
      <c r="AT508" s="1" t="s">
        <v>329</v>
      </c>
      <c r="AU508" s="1">
        <v>20</v>
      </c>
      <c r="AV508" s="1">
        <v>0</v>
      </c>
      <c r="AW508" s="1" t="s">
        <v>5862</v>
      </c>
      <c r="AX508" s="1" t="s">
        <v>1874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6187</v>
      </c>
      <c r="C509" s="9" t="s">
        <v>6183</v>
      </c>
      <c r="D509" s="1" t="s">
        <v>6183</v>
      </c>
      <c r="E509" s="1"/>
      <c r="F509" s="1"/>
      <c r="G509" s="1" t="s">
        <v>6188</v>
      </c>
      <c r="H509" s="1" t="s">
        <v>6189</v>
      </c>
      <c r="I509" s="1" t="s">
        <v>6190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6191</v>
      </c>
      <c r="AK509" s="1" t="s">
        <v>329</v>
      </c>
      <c r="AL509" s="1">
        <v>13</v>
      </c>
      <c r="AM509" s="1" t="s">
        <v>4858</v>
      </c>
      <c r="AN509" s="1" t="s">
        <v>4861</v>
      </c>
      <c r="AO509" s="1" t="s">
        <v>4870</v>
      </c>
      <c r="AP509" s="1">
        <v>0</v>
      </c>
      <c r="AQ509" s="1" t="s">
        <v>1164</v>
      </c>
      <c r="AR509" s="1" t="s">
        <v>1154</v>
      </c>
      <c r="AS509" s="1" t="s">
        <v>1165</v>
      </c>
      <c r="AT509" s="1" t="s">
        <v>329</v>
      </c>
      <c r="AU509" s="1">
        <v>20</v>
      </c>
      <c r="AV509" s="1">
        <v>0</v>
      </c>
      <c r="AW509" s="1" t="s">
        <v>5862</v>
      </c>
      <c r="AX509" s="1" t="s">
        <v>1874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6192</v>
      </c>
      <c r="C510" s="9" t="s">
        <v>6193</v>
      </c>
      <c r="D510" s="1" t="s">
        <v>6193</v>
      </c>
      <c r="E510" s="1"/>
      <c r="F510" s="1"/>
      <c r="G510" s="1" t="s">
        <v>6194</v>
      </c>
      <c r="H510" s="1" t="s">
        <v>6195</v>
      </c>
      <c r="I510" s="1" t="s">
        <v>6196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1874</v>
      </c>
      <c r="AN510" s="1" t="s">
        <v>4815</v>
      </c>
      <c r="AO510" s="1" t="s">
        <v>4812</v>
      </c>
      <c r="AP510" s="1">
        <v>0</v>
      </c>
      <c r="AQ510" s="1" t="s">
        <v>5924</v>
      </c>
      <c r="AR510" s="1" t="s">
        <v>1154</v>
      </c>
      <c r="AS510" s="1" t="s">
        <v>1164</v>
      </c>
      <c r="AT510" s="1" t="s">
        <v>329</v>
      </c>
      <c r="AU510" s="1">
        <v>6</v>
      </c>
      <c r="AV510" s="1">
        <v>0</v>
      </c>
      <c r="AW510" s="1" t="s">
        <v>5862</v>
      </c>
      <c r="AX510" s="1" t="s">
        <v>1874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6197</v>
      </c>
      <c r="C511" s="9" t="s">
        <v>5852</v>
      </c>
      <c r="D511" s="1" t="s">
        <v>4273</v>
      </c>
      <c r="E511" s="1"/>
      <c r="F511" s="1"/>
      <c r="G511" s="1" t="s">
        <v>6198</v>
      </c>
      <c r="H511" s="1" t="s">
        <v>6199</v>
      </c>
      <c r="I511" s="1" t="s">
        <v>6200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6201</v>
      </c>
      <c r="AK511" s="1" t="s">
        <v>329</v>
      </c>
      <c r="AL511" s="1">
        <v>13</v>
      </c>
      <c r="AM511" s="1" t="s">
        <v>399</v>
      </c>
      <c r="AN511" s="1" t="s">
        <v>4863</v>
      </c>
      <c r="AO511" s="1" t="s">
        <v>5479</v>
      </c>
      <c r="AP511" s="1">
        <v>0</v>
      </c>
      <c r="AQ511" s="1" t="s">
        <v>1164</v>
      </c>
      <c r="AR511" s="1" t="s">
        <v>1154</v>
      </c>
      <c r="AS511" s="1" t="s">
        <v>1165</v>
      </c>
      <c r="AT511" s="1" t="s">
        <v>329</v>
      </c>
      <c r="AU511" s="1">
        <v>48</v>
      </c>
      <c r="AV511" s="1">
        <v>0</v>
      </c>
      <c r="AW511" s="1" t="s">
        <v>5862</v>
      </c>
      <c r="AX511" s="1" t="s">
        <v>1874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5454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6202</v>
      </c>
      <c r="C512" s="9" t="s">
        <v>6203</v>
      </c>
      <c r="D512" s="1" t="s">
        <v>6203</v>
      </c>
      <c r="E512" s="1"/>
      <c r="F512" s="1"/>
      <c r="G512" s="1" t="s">
        <v>6204</v>
      </c>
      <c r="H512" s="1" t="s">
        <v>6205</v>
      </c>
      <c r="I512" s="1" t="s">
        <v>6206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4858</v>
      </c>
      <c r="AN512" s="1" t="s">
        <v>4929</v>
      </c>
      <c r="AO512" s="1" t="s">
        <v>5496</v>
      </c>
      <c r="AP512" s="1">
        <v>0</v>
      </c>
      <c r="AQ512" s="1" t="s">
        <v>1165</v>
      </c>
      <c r="AR512" s="1" t="s">
        <v>1189</v>
      </c>
      <c r="AS512" s="1" t="s">
        <v>5918</v>
      </c>
      <c r="AT512" s="1" t="s">
        <v>329</v>
      </c>
      <c r="AU512" s="1">
        <v>55</v>
      </c>
      <c r="AV512" s="1">
        <v>0</v>
      </c>
      <c r="AW512" s="1" t="s">
        <v>5862</v>
      </c>
      <c r="AX512" s="1" t="s">
        <v>1874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6207</v>
      </c>
      <c r="C513" s="9" t="s">
        <v>6208</v>
      </c>
      <c r="D513" s="1" t="s">
        <v>6208</v>
      </c>
      <c r="E513" s="1"/>
      <c r="F513" s="1"/>
      <c r="G513" s="1" t="s">
        <v>6209</v>
      </c>
      <c r="H513" s="1" t="s">
        <v>6210</v>
      </c>
      <c r="I513" s="1" t="s">
        <v>6211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4858</v>
      </c>
      <c r="AN513" s="1" t="s">
        <v>4929</v>
      </c>
      <c r="AO513" s="1" t="s">
        <v>5496</v>
      </c>
      <c r="AP513" s="1">
        <v>0</v>
      </c>
      <c r="AQ513" s="1" t="s">
        <v>1165</v>
      </c>
      <c r="AR513" s="1" t="s">
        <v>1189</v>
      </c>
      <c r="AS513" s="1" t="s">
        <v>5918</v>
      </c>
      <c r="AT513" s="1" t="s">
        <v>329</v>
      </c>
      <c r="AU513" s="1">
        <v>55</v>
      </c>
      <c r="AV513" s="1">
        <v>0</v>
      </c>
      <c r="AW513" s="1" t="s">
        <v>5862</v>
      </c>
      <c r="AX513" s="1" t="s">
        <v>1874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6212</v>
      </c>
      <c r="C514" s="9" t="s">
        <v>6213</v>
      </c>
      <c r="D514" s="1" t="s">
        <v>6213</v>
      </c>
      <c r="E514" s="1"/>
      <c r="F514" s="1"/>
      <c r="G514" s="1" t="s">
        <v>6214</v>
      </c>
      <c r="H514" s="1" t="s">
        <v>6215</v>
      </c>
      <c r="I514" s="1" t="s">
        <v>6216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4830</v>
      </c>
      <c r="AN514" s="1" t="s">
        <v>329</v>
      </c>
      <c r="AO514" s="1" t="s">
        <v>329</v>
      </c>
      <c r="AP514" s="1">
        <v>0</v>
      </c>
      <c r="AQ514" s="1" t="s">
        <v>1175</v>
      </c>
      <c r="AR514" s="1" t="s">
        <v>5860</v>
      </c>
      <c r="AS514" s="1" t="s">
        <v>5861</v>
      </c>
      <c r="AT514" s="1" t="s">
        <v>329</v>
      </c>
      <c r="AU514" s="1">
        <v>10</v>
      </c>
      <c r="AV514" s="1">
        <v>1</v>
      </c>
      <c r="AW514" s="1" t="s">
        <v>5862</v>
      </c>
      <c r="AX514" s="1" t="s">
        <v>1874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6217</v>
      </c>
      <c r="C515" s="9" t="s">
        <v>6218</v>
      </c>
      <c r="D515" s="1" t="s">
        <v>6218</v>
      </c>
      <c r="E515" s="1"/>
      <c r="F515" s="1"/>
      <c r="G515" s="1" t="s">
        <v>6219</v>
      </c>
      <c r="H515" s="1" t="s">
        <v>6220</v>
      </c>
      <c r="I515" s="1" t="s">
        <v>6221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1234</v>
      </c>
      <c r="AK515" s="1" t="s">
        <v>329</v>
      </c>
      <c r="AL515" s="1">
        <v>19</v>
      </c>
      <c r="AM515" s="1" t="s">
        <v>4830</v>
      </c>
      <c r="AN515" s="1" t="s">
        <v>329</v>
      </c>
      <c r="AO515" s="1" t="s">
        <v>329</v>
      </c>
      <c r="AP515" s="1">
        <v>0</v>
      </c>
      <c r="AQ515" s="1" t="s">
        <v>1175</v>
      </c>
      <c r="AR515" s="1" t="s">
        <v>5860</v>
      </c>
      <c r="AS515" s="1" t="s">
        <v>5861</v>
      </c>
      <c r="AT515" s="1" t="s">
        <v>329</v>
      </c>
      <c r="AU515" s="1">
        <v>10</v>
      </c>
      <c r="AV515" s="1">
        <v>1</v>
      </c>
      <c r="AW515" s="1" t="s">
        <v>5862</v>
      </c>
      <c r="AX515" s="1" t="s">
        <v>1874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6222</v>
      </c>
      <c r="C516" s="9" t="s">
        <v>6223</v>
      </c>
      <c r="D516" s="1" t="s">
        <v>6223</v>
      </c>
      <c r="E516" s="1"/>
      <c r="F516" s="1"/>
      <c r="G516" s="1" t="s">
        <v>6224</v>
      </c>
      <c r="H516" s="1" t="s">
        <v>6225</v>
      </c>
      <c r="I516" s="1" t="s">
        <v>6226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4858</v>
      </c>
      <c r="AN516" s="1" t="s">
        <v>4861</v>
      </c>
      <c r="AO516" s="1" t="s">
        <v>4870</v>
      </c>
      <c r="AP516" s="1">
        <v>0</v>
      </c>
      <c r="AQ516" s="1" t="s">
        <v>1164</v>
      </c>
      <c r="AR516" s="1" t="s">
        <v>1154</v>
      </c>
      <c r="AS516" s="1" t="s">
        <v>1165</v>
      </c>
      <c r="AT516" s="1" t="s">
        <v>329</v>
      </c>
      <c r="AU516" s="1">
        <v>20</v>
      </c>
      <c r="AV516" s="1">
        <v>0</v>
      </c>
      <c r="AW516" s="1" t="s">
        <v>5862</v>
      </c>
      <c r="AX516" s="1" t="s">
        <v>1874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6227</v>
      </c>
      <c r="C517" s="9" t="s">
        <v>6228</v>
      </c>
      <c r="D517" s="1" t="s">
        <v>6228</v>
      </c>
      <c r="E517" s="1"/>
      <c r="F517" s="1"/>
      <c r="G517" s="1" t="s">
        <v>6229</v>
      </c>
      <c r="H517" s="1" t="s">
        <v>6230</v>
      </c>
      <c r="I517" s="1" t="s">
        <v>6231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4858</v>
      </c>
      <c r="AN517" s="1" t="s">
        <v>4861</v>
      </c>
      <c r="AO517" s="1" t="s">
        <v>4870</v>
      </c>
      <c r="AP517" s="1">
        <v>0</v>
      </c>
      <c r="AQ517" s="1" t="s">
        <v>1164</v>
      </c>
      <c r="AR517" s="1" t="s">
        <v>1154</v>
      </c>
      <c r="AS517" s="1" t="s">
        <v>1165</v>
      </c>
      <c r="AT517" s="1" t="s">
        <v>329</v>
      </c>
      <c r="AU517" s="1">
        <v>20</v>
      </c>
      <c r="AV517" s="1">
        <v>0</v>
      </c>
      <c r="AW517" s="1" t="s">
        <v>5862</v>
      </c>
      <c r="AX517" s="1" t="s">
        <v>1874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6232</v>
      </c>
      <c r="C518" s="9" t="s">
        <v>6233</v>
      </c>
      <c r="D518" s="1" t="s">
        <v>6233</v>
      </c>
      <c r="E518" s="1"/>
      <c r="F518" s="1"/>
      <c r="G518" s="1" t="s">
        <v>6234</v>
      </c>
      <c r="H518" s="1" t="s">
        <v>6235</v>
      </c>
      <c r="I518" s="1" t="s">
        <v>6236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4858</v>
      </c>
      <c r="AN518" s="1" t="s">
        <v>4861</v>
      </c>
      <c r="AO518" s="1" t="s">
        <v>4870</v>
      </c>
      <c r="AP518" s="1">
        <v>0</v>
      </c>
      <c r="AQ518" s="1" t="s">
        <v>1164</v>
      </c>
      <c r="AR518" s="1" t="s">
        <v>1154</v>
      </c>
      <c r="AS518" s="1" t="s">
        <v>1165</v>
      </c>
      <c r="AT518" s="1" t="s">
        <v>329</v>
      </c>
      <c r="AU518" s="1">
        <v>20</v>
      </c>
      <c r="AV518" s="1">
        <v>0</v>
      </c>
      <c r="AW518" s="1" t="s">
        <v>5862</v>
      </c>
      <c r="AX518" s="1" t="s">
        <v>1874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6237</v>
      </c>
      <c r="C519" s="9" t="s">
        <v>6238</v>
      </c>
      <c r="D519" s="1" t="s">
        <v>6238</v>
      </c>
      <c r="E519" s="1"/>
      <c r="F519" s="1"/>
      <c r="G519" s="1" t="s">
        <v>6239</v>
      </c>
      <c r="H519" s="1" t="s">
        <v>6240</v>
      </c>
      <c r="I519" s="1" t="s">
        <v>6241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6166</v>
      </c>
      <c r="AK519" s="1" t="s">
        <v>329</v>
      </c>
      <c r="AL519" s="1">
        <v>13</v>
      </c>
      <c r="AM519" s="1" t="s">
        <v>4858</v>
      </c>
      <c r="AN519" s="1" t="s">
        <v>4929</v>
      </c>
      <c r="AO519" s="1" t="s">
        <v>5496</v>
      </c>
      <c r="AP519" s="1">
        <v>0</v>
      </c>
      <c r="AQ519" s="1" t="s">
        <v>1165</v>
      </c>
      <c r="AR519" s="1" t="s">
        <v>1189</v>
      </c>
      <c r="AS519" s="1" t="s">
        <v>5918</v>
      </c>
      <c r="AT519" s="1" t="s">
        <v>329</v>
      </c>
      <c r="AU519" s="1">
        <v>55</v>
      </c>
      <c r="AV519" s="1">
        <v>0</v>
      </c>
      <c r="AW519" s="1" t="s">
        <v>5862</v>
      </c>
      <c r="AX519" s="1" t="s">
        <v>1874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6242</v>
      </c>
      <c r="C520" s="9" t="s">
        <v>6243</v>
      </c>
      <c r="D520" s="1" t="s">
        <v>6243</v>
      </c>
      <c r="E520" s="1"/>
      <c r="F520" s="1"/>
      <c r="G520" s="1" t="s">
        <v>6244</v>
      </c>
      <c r="H520" s="1" t="s">
        <v>6245</v>
      </c>
      <c r="I520" s="1" t="s">
        <v>6246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6247</v>
      </c>
      <c r="AK520" s="1" t="s">
        <v>329</v>
      </c>
      <c r="AL520" s="1">
        <v>13</v>
      </c>
      <c r="AM520" s="1" t="s">
        <v>1874</v>
      </c>
      <c r="AN520" s="1" t="s">
        <v>4815</v>
      </c>
      <c r="AO520" s="1" t="s">
        <v>4812</v>
      </c>
      <c r="AP520" s="1">
        <v>0</v>
      </c>
      <c r="AQ520" s="1" t="s">
        <v>5924</v>
      </c>
      <c r="AR520" s="1" t="s">
        <v>1154</v>
      </c>
      <c r="AS520" s="1" t="s">
        <v>1164</v>
      </c>
      <c r="AT520" s="1" t="s">
        <v>329</v>
      </c>
      <c r="AU520" s="1">
        <v>6</v>
      </c>
      <c r="AV520" s="1">
        <v>0</v>
      </c>
      <c r="AW520" s="1" t="s">
        <v>5862</v>
      </c>
      <c r="AX520" s="1" t="s">
        <v>1874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6248</v>
      </c>
      <c r="C521" s="9" t="s">
        <v>6243</v>
      </c>
      <c r="D521" s="1" t="s">
        <v>6243</v>
      </c>
      <c r="E521" s="1"/>
      <c r="F521" s="1"/>
      <c r="G521" s="1" t="s">
        <v>6249</v>
      </c>
      <c r="H521" s="1" t="s">
        <v>6250</v>
      </c>
      <c r="I521" s="1" t="s">
        <v>6251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1874</v>
      </c>
      <c r="AN521" s="1" t="s">
        <v>4815</v>
      </c>
      <c r="AO521" s="1" t="s">
        <v>4812</v>
      </c>
      <c r="AP521" s="1">
        <v>0</v>
      </c>
      <c r="AQ521" s="1" t="s">
        <v>5924</v>
      </c>
      <c r="AR521" s="1" t="s">
        <v>1154</v>
      </c>
      <c r="AS521" s="1" t="s">
        <v>1164</v>
      </c>
      <c r="AT521" s="1" t="s">
        <v>329</v>
      </c>
      <c r="AU521" s="1">
        <v>6</v>
      </c>
      <c r="AV521" s="1">
        <v>0</v>
      </c>
      <c r="AW521" s="1" t="s">
        <v>5862</v>
      </c>
      <c r="AX521" s="1" t="s">
        <v>1874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6252</v>
      </c>
      <c r="C522" s="9" t="s">
        <v>6253</v>
      </c>
      <c r="D522" s="1" t="s">
        <v>6253</v>
      </c>
      <c r="E522" s="1"/>
      <c r="F522" s="1"/>
      <c r="G522" s="1" t="s">
        <v>6254</v>
      </c>
      <c r="H522" s="1" t="s">
        <v>6255</v>
      </c>
      <c r="I522" s="1" t="s">
        <v>6256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6257</v>
      </c>
      <c r="AK522" s="1" t="s">
        <v>329</v>
      </c>
      <c r="AL522" s="1">
        <v>13</v>
      </c>
      <c r="AM522" s="1" t="s">
        <v>4858</v>
      </c>
      <c r="AN522" s="1" t="s">
        <v>5015</v>
      </c>
      <c r="AO522" s="1" t="s">
        <v>5114</v>
      </c>
      <c r="AP522" s="1">
        <v>0</v>
      </c>
      <c r="AQ522" s="1" t="s">
        <v>1164</v>
      </c>
      <c r="AR522" s="1" t="s">
        <v>1154</v>
      </c>
      <c r="AS522" s="1" t="s">
        <v>1165</v>
      </c>
      <c r="AT522" s="1" t="s">
        <v>329</v>
      </c>
      <c r="AU522" s="1">
        <v>143</v>
      </c>
      <c r="AV522" s="1">
        <v>0</v>
      </c>
      <c r="AW522" s="1" t="s">
        <v>5862</v>
      </c>
      <c r="AX522" s="1" t="s">
        <v>1874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6258</v>
      </c>
      <c r="C523" s="9" t="s">
        <v>6253</v>
      </c>
      <c r="D523" s="1" t="s">
        <v>6253</v>
      </c>
      <c r="E523" s="1"/>
      <c r="F523" s="1"/>
      <c r="G523" s="1" t="s">
        <v>6259</v>
      </c>
      <c r="H523" s="1" t="s">
        <v>6260</v>
      </c>
      <c r="I523" s="1" t="s">
        <v>6261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6050</v>
      </c>
      <c r="AK523" s="1" t="s">
        <v>329</v>
      </c>
      <c r="AL523" s="1">
        <v>13</v>
      </c>
      <c r="AM523" s="1" t="s">
        <v>4858</v>
      </c>
      <c r="AN523" s="1" t="s">
        <v>5015</v>
      </c>
      <c r="AO523" s="1" t="s">
        <v>5114</v>
      </c>
      <c r="AP523" s="1">
        <v>0</v>
      </c>
      <c r="AQ523" s="1" t="s">
        <v>1164</v>
      </c>
      <c r="AR523" s="1" t="s">
        <v>1154</v>
      </c>
      <c r="AS523" s="1" t="s">
        <v>1165</v>
      </c>
      <c r="AT523" s="1" t="s">
        <v>329</v>
      </c>
      <c r="AU523" s="1">
        <v>143</v>
      </c>
      <c r="AV523" s="1">
        <v>0</v>
      </c>
      <c r="AW523" s="1" t="s">
        <v>5862</v>
      </c>
      <c r="AX523" s="1" t="s">
        <v>1874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6262</v>
      </c>
      <c r="C524" s="9" t="s">
        <v>6253</v>
      </c>
      <c r="D524" s="1" t="s">
        <v>6253</v>
      </c>
      <c r="E524" s="1"/>
      <c r="F524" s="1"/>
      <c r="G524" s="1" t="s">
        <v>6263</v>
      </c>
      <c r="H524" s="1" t="s">
        <v>6264</v>
      </c>
      <c r="I524" s="1" t="s">
        <v>6265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6050</v>
      </c>
      <c r="AK524" s="1" t="s">
        <v>329</v>
      </c>
      <c r="AL524" s="1">
        <v>13</v>
      </c>
      <c r="AM524" s="1" t="s">
        <v>4858</v>
      </c>
      <c r="AN524" s="1" t="s">
        <v>5015</v>
      </c>
      <c r="AO524" s="1" t="s">
        <v>5114</v>
      </c>
      <c r="AP524" s="1">
        <v>0</v>
      </c>
      <c r="AQ524" s="1" t="s">
        <v>1164</v>
      </c>
      <c r="AR524" s="1" t="s">
        <v>1154</v>
      </c>
      <c r="AS524" s="1" t="s">
        <v>1165</v>
      </c>
      <c r="AT524" s="1" t="s">
        <v>329</v>
      </c>
      <c r="AU524" s="1">
        <v>143</v>
      </c>
      <c r="AV524" s="1">
        <v>0</v>
      </c>
      <c r="AW524" s="1" t="s">
        <v>5862</v>
      </c>
      <c r="AX524" s="1" t="s">
        <v>1874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6266</v>
      </c>
      <c r="C525" s="9" t="s">
        <v>6253</v>
      </c>
      <c r="D525" s="1" t="s">
        <v>6253</v>
      </c>
      <c r="E525" s="1"/>
      <c r="F525" s="1"/>
      <c r="G525" s="1" t="s">
        <v>6267</v>
      </c>
      <c r="H525" s="1" t="s">
        <v>6268</v>
      </c>
      <c r="I525" s="1" t="s">
        <v>6269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6050</v>
      </c>
      <c r="AK525" s="1" t="s">
        <v>329</v>
      </c>
      <c r="AL525" s="1">
        <v>13</v>
      </c>
      <c r="AM525" s="1" t="s">
        <v>4858</v>
      </c>
      <c r="AN525" s="1" t="s">
        <v>5015</v>
      </c>
      <c r="AO525" s="1" t="s">
        <v>5114</v>
      </c>
      <c r="AP525" s="1">
        <v>0</v>
      </c>
      <c r="AQ525" s="1" t="s">
        <v>1164</v>
      </c>
      <c r="AR525" s="1" t="s">
        <v>1154</v>
      </c>
      <c r="AS525" s="1" t="s">
        <v>1165</v>
      </c>
      <c r="AT525" s="1" t="s">
        <v>329</v>
      </c>
      <c r="AU525" s="1">
        <v>143</v>
      </c>
      <c r="AV525" s="1">
        <v>0</v>
      </c>
      <c r="AW525" s="1" t="s">
        <v>5862</v>
      </c>
      <c r="AX525" s="1" t="s">
        <v>1874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6270</v>
      </c>
      <c r="C526" s="9" t="s">
        <v>6233</v>
      </c>
      <c r="D526" s="1" t="s">
        <v>6233</v>
      </c>
      <c r="E526" s="1"/>
      <c r="F526" s="1"/>
      <c r="G526" s="1" t="s">
        <v>6271</v>
      </c>
      <c r="H526" s="1" t="s">
        <v>6272</v>
      </c>
      <c r="I526" s="1" t="s">
        <v>6273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4858</v>
      </c>
      <c r="AN526" s="1" t="s">
        <v>4861</v>
      </c>
      <c r="AO526" s="1" t="s">
        <v>4870</v>
      </c>
      <c r="AP526" s="1">
        <v>0</v>
      </c>
      <c r="AQ526" s="1" t="s">
        <v>1164</v>
      </c>
      <c r="AR526" s="1" t="s">
        <v>1154</v>
      </c>
      <c r="AS526" s="1" t="s">
        <v>1165</v>
      </c>
      <c r="AT526" s="1" t="s">
        <v>329</v>
      </c>
      <c r="AU526" s="1">
        <v>20</v>
      </c>
      <c r="AV526" s="1">
        <v>0</v>
      </c>
      <c r="AW526" s="1" t="s">
        <v>5862</v>
      </c>
      <c r="AX526" s="1" t="s">
        <v>1874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6274</v>
      </c>
      <c r="C527" s="9" t="s">
        <v>864</v>
      </c>
      <c r="D527" s="1" t="s">
        <v>6275</v>
      </c>
      <c r="E527" s="1"/>
      <c r="F527" s="1"/>
      <c r="G527" s="1" t="s">
        <v>6276</v>
      </c>
      <c r="H527" s="1" t="s">
        <v>6277</v>
      </c>
      <c r="I527" s="1" t="s">
        <v>6278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6064</v>
      </c>
      <c r="AK527" s="1" t="s">
        <v>329</v>
      </c>
      <c r="AL527" s="1">
        <v>13</v>
      </c>
      <c r="AM527" s="1" t="s">
        <v>4787</v>
      </c>
      <c r="AN527" s="1" t="s">
        <v>4815</v>
      </c>
      <c r="AO527" s="1" t="s">
        <v>4867</v>
      </c>
      <c r="AP527" s="1">
        <v>0</v>
      </c>
      <c r="AQ527" s="1" t="s">
        <v>1189</v>
      </c>
      <c r="AR527" s="1" t="s">
        <v>6065</v>
      </c>
      <c r="AS527" s="1" t="s">
        <v>6065</v>
      </c>
      <c r="AT527" s="1" t="s">
        <v>329</v>
      </c>
      <c r="AU527" s="1">
        <v>54</v>
      </c>
      <c r="AV527" s="1">
        <v>0</v>
      </c>
      <c r="AW527" s="1" t="s">
        <v>5862</v>
      </c>
      <c r="AX527" s="1" t="s">
        <v>1874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6279</v>
      </c>
      <c r="C528" s="9" t="s">
        <v>1777</v>
      </c>
      <c r="D528" s="1" t="s">
        <v>6280</v>
      </c>
      <c r="E528" s="1"/>
      <c r="F528" s="1"/>
      <c r="G528" s="1" t="s">
        <v>6281</v>
      </c>
      <c r="H528" s="1" t="s">
        <v>6282</v>
      </c>
      <c r="I528" s="1" t="s">
        <v>6283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6064</v>
      </c>
      <c r="AK528" s="1" t="s">
        <v>329</v>
      </c>
      <c r="AL528" s="1">
        <v>13</v>
      </c>
      <c r="AM528" s="1" t="s">
        <v>4787</v>
      </c>
      <c r="AN528" s="1" t="s">
        <v>4815</v>
      </c>
      <c r="AO528" s="1" t="s">
        <v>4867</v>
      </c>
      <c r="AP528" s="1">
        <v>0</v>
      </c>
      <c r="AQ528" s="1" t="s">
        <v>1189</v>
      </c>
      <c r="AR528" s="1" t="s">
        <v>6065</v>
      </c>
      <c r="AS528" s="1" t="s">
        <v>6065</v>
      </c>
      <c r="AT528" s="1" t="s">
        <v>329</v>
      </c>
      <c r="AU528" s="1">
        <v>54</v>
      </c>
      <c r="AV528" s="1">
        <v>0</v>
      </c>
      <c r="AW528" s="1" t="s">
        <v>5862</v>
      </c>
      <c r="AX528" s="1" t="s">
        <v>1874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6284</v>
      </c>
      <c r="C529" s="9" t="s">
        <v>869</v>
      </c>
      <c r="D529" s="1" t="s">
        <v>6285</v>
      </c>
      <c r="E529" s="1"/>
      <c r="F529" s="1"/>
      <c r="G529" s="1" t="s">
        <v>6286</v>
      </c>
      <c r="H529" s="1" t="s">
        <v>6287</v>
      </c>
      <c r="I529" s="1" t="s">
        <v>6288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6064</v>
      </c>
      <c r="AK529" s="1" t="s">
        <v>329</v>
      </c>
      <c r="AL529" s="1">
        <v>13</v>
      </c>
      <c r="AM529" s="1" t="s">
        <v>4787</v>
      </c>
      <c r="AN529" s="1" t="s">
        <v>4815</v>
      </c>
      <c r="AO529" s="1" t="s">
        <v>4867</v>
      </c>
      <c r="AP529" s="1">
        <v>0</v>
      </c>
      <c r="AQ529" s="1" t="s">
        <v>1189</v>
      </c>
      <c r="AR529" s="1" t="s">
        <v>6065</v>
      </c>
      <c r="AS529" s="1" t="s">
        <v>6065</v>
      </c>
      <c r="AT529" s="1" t="s">
        <v>329</v>
      </c>
      <c r="AU529" s="1">
        <v>54</v>
      </c>
      <c r="AV529" s="1">
        <v>0</v>
      </c>
      <c r="AW529" s="1" t="s">
        <v>5862</v>
      </c>
      <c r="AX529" s="1" t="s">
        <v>1874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6289</v>
      </c>
      <c r="C530" s="9" t="s">
        <v>6122</v>
      </c>
      <c r="D530" s="1" t="s">
        <v>6290</v>
      </c>
      <c r="E530" s="1"/>
      <c r="F530" s="1"/>
      <c r="G530" s="1" t="s">
        <v>6291</v>
      </c>
      <c r="H530" s="1" t="s">
        <v>6292</v>
      </c>
      <c r="I530" s="1" t="s">
        <v>6293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6294</v>
      </c>
      <c r="AK530" s="1" t="s">
        <v>329</v>
      </c>
      <c r="AL530" s="1">
        <v>13</v>
      </c>
      <c r="AM530" s="1" t="s">
        <v>1874</v>
      </c>
      <c r="AN530" s="1" t="s">
        <v>4815</v>
      </c>
      <c r="AO530" s="1" t="s">
        <v>4812</v>
      </c>
      <c r="AP530" s="1">
        <v>0</v>
      </c>
      <c r="AQ530" s="1" t="s">
        <v>5924</v>
      </c>
      <c r="AR530" s="1" t="s">
        <v>1154</v>
      </c>
      <c r="AS530" s="1" t="s">
        <v>1164</v>
      </c>
      <c r="AT530" s="1" t="s">
        <v>329</v>
      </c>
      <c r="AU530" s="1">
        <v>6</v>
      </c>
      <c r="AV530" s="1">
        <v>0</v>
      </c>
      <c r="AW530" s="1" t="s">
        <v>5862</v>
      </c>
      <c r="AX530" s="1" t="s">
        <v>1874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6295</v>
      </c>
      <c r="C531" s="9" t="s">
        <v>4126</v>
      </c>
      <c r="D531" s="1" t="s">
        <v>4126</v>
      </c>
      <c r="E531" s="1"/>
      <c r="F531" s="1"/>
      <c r="G531" s="1" t="s">
        <v>6296</v>
      </c>
      <c r="H531" s="1" t="s">
        <v>6297</v>
      </c>
      <c r="I531" s="1" t="s">
        <v>6298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6299</v>
      </c>
      <c r="AK531" s="1" t="s">
        <v>329</v>
      </c>
      <c r="AL531" s="1">
        <v>13</v>
      </c>
      <c r="AM531" s="1" t="s">
        <v>4787</v>
      </c>
      <c r="AN531" s="1" t="s">
        <v>4897</v>
      </c>
      <c r="AO531" s="1" t="s">
        <v>6300</v>
      </c>
      <c r="AP531" s="1">
        <v>0</v>
      </c>
      <c r="AQ531" s="1" t="s">
        <v>1781</v>
      </c>
      <c r="AR531" s="1" t="s">
        <v>4936</v>
      </c>
      <c r="AS531" s="1" t="s">
        <v>1780</v>
      </c>
      <c r="AT531" s="1" t="s">
        <v>329</v>
      </c>
      <c r="AU531" s="1">
        <v>1029</v>
      </c>
      <c r="AV531" s="1">
        <v>0</v>
      </c>
      <c r="AW531" s="1" t="s">
        <v>5862</v>
      </c>
      <c r="AX531" s="1" t="s">
        <v>1874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5454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6301</v>
      </c>
      <c r="C532" s="9" t="s">
        <v>5851</v>
      </c>
      <c r="D532" s="1" t="s">
        <v>4014</v>
      </c>
      <c r="E532" s="1"/>
      <c r="F532" s="1"/>
      <c r="G532" s="1" t="s">
        <v>6302</v>
      </c>
      <c r="H532" s="1" t="s">
        <v>6303</v>
      </c>
      <c r="I532" s="1" t="s">
        <v>6304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6305</v>
      </c>
      <c r="AK532" s="1" t="s">
        <v>329</v>
      </c>
      <c r="AL532" s="1">
        <v>13</v>
      </c>
      <c r="AM532" s="1" t="s">
        <v>4830</v>
      </c>
      <c r="AN532" s="1" t="s">
        <v>5181</v>
      </c>
      <c r="AO532" s="1" t="s">
        <v>6306</v>
      </c>
      <c r="AP532" s="1">
        <v>0</v>
      </c>
      <c r="AQ532" s="1" t="s">
        <v>1175</v>
      </c>
      <c r="AR532" s="1" t="s">
        <v>1176</v>
      </c>
      <c r="AS532" s="1" t="s">
        <v>1177</v>
      </c>
      <c r="AT532" s="1" t="s">
        <v>329</v>
      </c>
      <c r="AU532" s="1">
        <v>222</v>
      </c>
      <c r="AV532" s="1">
        <v>0</v>
      </c>
      <c r="AW532" s="1" t="s">
        <v>5862</v>
      </c>
      <c r="AX532" s="1" t="s">
        <v>1874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4825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6307</v>
      </c>
      <c r="C533" s="9" t="s">
        <v>190</v>
      </c>
      <c r="D533" s="1" t="s">
        <v>190</v>
      </c>
      <c r="E533" s="1"/>
      <c r="F533" s="1"/>
      <c r="G533" s="1" t="s">
        <v>6308</v>
      </c>
      <c r="H533" s="1" t="s">
        <v>6309</v>
      </c>
      <c r="I533" s="1" t="s">
        <v>6310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6311</v>
      </c>
      <c r="AK533" s="1" t="s">
        <v>329</v>
      </c>
      <c r="AL533" s="1">
        <v>13</v>
      </c>
      <c r="AM533" s="1" t="s">
        <v>4858</v>
      </c>
      <c r="AN533" s="1" t="s">
        <v>4863</v>
      </c>
      <c r="AO533" s="1" t="s">
        <v>6312</v>
      </c>
      <c r="AP533" s="1">
        <v>0</v>
      </c>
      <c r="AQ533" s="1" t="s">
        <v>1164</v>
      </c>
      <c r="AR533" s="1" t="s">
        <v>1154</v>
      </c>
      <c r="AS533" s="1" t="s">
        <v>1165</v>
      </c>
      <c r="AT533" s="1" t="s">
        <v>329</v>
      </c>
      <c r="AU533" s="1">
        <v>28</v>
      </c>
      <c r="AV533" s="1">
        <v>0</v>
      </c>
      <c r="AW533" s="1" t="s">
        <v>5862</v>
      </c>
      <c r="AX533" s="1" t="s">
        <v>1874</v>
      </c>
      <c r="AY533" s="1">
        <v>5</v>
      </c>
      <c r="AZ533" s="1">
        <v>0</v>
      </c>
      <c r="BA533" s="1" t="s">
        <v>329</v>
      </c>
      <c r="BB533" s="1" t="s">
        <v>5285</v>
      </c>
      <c r="BC533" s="1" t="s">
        <v>4921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6313</v>
      </c>
      <c r="C534" s="9" t="s">
        <v>3840</v>
      </c>
      <c r="D534" s="1" t="s">
        <v>6314</v>
      </c>
      <c r="E534" s="1"/>
      <c r="F534" s="1"/>
      <c r="G534" s="1" t="s">
        <v>6315</v>
      </c>
      <c r="H534" s="1" t="s">
        <v>6316</v>
      </c>
      <c r="I534" s="1" t="s">
        <v>6317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6318</v>
      </c>
      <c r="AK534" s="1" t="s">
        <v>329</v>
      </c>
      <c r="AL534" s="1">
        <v>17</v>
      </c>
      <c r="AM534" s="1" t="s">
        <v>1874</v>
      </c>
      <c r="AN534" s="1" t="s">
        <v>5317</v>
      </c>
      <c r="AO534" s="1" t="s">
        <v>6319</v>
      </c>
      <c r="AP534" s="1">
        <v>0</v>
      </c>
      <c r="AQ534" s="1" t="s">
        <v>1153</v>
      </c>
      <c r="AR534" s="1" t="s">
        <v>1154</v>
      </c>
      <c r="AS534" s="1" t="s">
        <v>1155</v>
      </c>
      <c r="AT534" s="1" t="s">
        <v>329</v>
      </c>
      <c r="AU534" s="1">
        <v>4</v>
      </c>
      <c r="AV534" s="1">
        <v>0</v>
      </c>
      <c r="AW534" s="1" t="s">
        <v>5862</v>
      </c>
      <c r="AX534" s="1" t="s">
        <v>1874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6320</v>
      </c>
      <c r="C535" s="9" t="s">
        <v>300</v>
      </c>
      <c r="D535" s="1" t="s">
        <v>300</v>
      </c>
      <c r="E535" s="1"/>
      <c r="F535" s="1"/>
      <c r="G535" s="1" t="s">
        <v>6321</v>
      </c>
      <c r="H535" s="1" t="s">
        <v>6322</v>
      </c>
      <c r="I535" s="1" t="s">
        <v>6323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6324</v>
      </c>
      <c r="AK535" s="1" t="s">
        <v>329</v>
      </c>
      <c r="AL535" s="1">
        <v>18</v>
      </c>
      <c r="AM535" s="1" t="s">
        <v>4926</v>
      </c>
      <c r="AN535" s="1" t="s">
        <v>4999</v>
      </c>
      <c r="AO535" s="1" t="s">
        <v>6325</v>
      </c>
      <c r="AP535" s="1">
        <v>0</v>
      </c>
      <c r="AQ535" s="1" t="s">
        <v>5080</v>
      </c>
      <c r="AR535" s="1" t="s">
        <v>4979</v>
      </c>
      <c r="AS535" s="1" t="s">
        <v>1204</v>
      </c>
      <c r="AT535" s="1" t="s">
        <v>329</v>
      </c>
      <c r="AU535" s="1">
        <v>125</v>
      </c>
      <c r="AV535" s="1">
        <v>0</v>
      </c>
      <c r="AW535" s="1" t="s">
        <v>5862</v>
      </c>
      <c r="AX535" s="1" t="s">
        <v>1874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6326</v>
      </c>
      <c r="C536" s="9" t="s">
        <v>6122</v>
      </c>
      <c r="D536" s="1" t="s">
        <v>6290</v>
      </c>
      <c r="E536" s="1"/>
      <c r="F536" s="1"/>
      <c r="G536" s="1" t="s">
        <v>6327</v>
      </c>
      <c r="H536" s="1" t="s">
        <v>6328</v>
      </c>
      <c r="I536" s="1" t="s">
        <v>6329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6330</v>
      </c>
      <c r="AK536" s="1" t="s">
        <v>329</v>
      </c>
      <c r="AL536" s="1">
        <v>13</v>
      </c>
      <c r="AM536" s="1" t="s">
        <v>1874</v>
      </c>
      <c r="AN536" s="1" t="s">
        <v>4815</v>
      </c>
      <c r="AO536" s="1" t="s">
        <v>4812</v>
      </c>
      <c r="AP536" s="1">
        <v>0</v>
      </c>
      <c r="AQ536" s="1" t="s">
        <v>5924</v>
      </c>
      <c r="AR536" s="1" t="s">
        <v>1154</v>
      </c>
      <c r="AS536" s="1" t="s">
        <v>1164</v>
      </c>
      <c r="AT536" s="1" t="s">
        <v>329</v>
      </c>
      <c r="AU536" s="1">
        <v>6</v>
      </c>
      <c r="AV536" s="1">
        <v>0</v>
      </c>
      <c r="AW536" s="1" t="s">
        <v>5862</v>
      </c>
      <c r="AX536" s="1" t="s">
        <v>1874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6331</v>
      </c>
      <c r="C537" s="9" t="s">
        <v>6122</v>
      </c>
      <c r="D537" s="1" t="s">
        <v>6290</v>
      </c>
      <c r="E537" s="1"/>
      <c r="F537" s="1"/>
      <c r="G537" s="1" t="s">
        <v>6332</v>
      </c>
      <c r="H537" s="1" t="s">
        <v>6333</v>
      </c>
      <c r="I537" s="1" t="s">
        <v>6334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6335</v>
      </c>
      <c r="AK537" s="1" t="s">
        <v>329</v>
      </c>
      <c r="AL537" s="1">
        <v>13</v>
      </c>
      <c r="AM537" s="1" t="s">
        <v>1874</v>
      </c>
      <c r="AN537" s="1" t="s">
        <v>4815</v>
      </c>
      <c r="AO537" s="1" t="s">
        <v>4812</v>
      </c>
      <c r="AP537" s="1">
        <v>0</v>
      </c>
      <c r="AQ537" s="1" t="s">
        <v>5924</v>
      </c>
      <c r="AR537" s="1" t="s">
        <v>1154</v>
      </c>
      <c r="AS537" s="1" t="s">
        <v>1164</v>
      </c>
      <c r="AT537" s="1" t="s">
        <v>329</v>
      </c>
      <c r="AU537" s="1">
        <v>6</v>
      </c>
      <c r="AV537" s="1">
        <v>0</v>
      </c>
      <c r="AW537" s="1" t="s">
        <v>5862</v>
      </c>
      <c r="AX537" s="1" t="s">
        <v>1874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6336</v>
      </c>
      <c r="C538" s="9" t="s">
        <v>6122</v>
      </c>
      <c r="D538" s="1" t="s">
        <v>6290</v>
      </c>
      <c r="E538" s="1"/>
      <c r="F538" s="1"/>
      <c r="G538" s="1" t="s">
        <v>6337</v>
      </c>
      <c r="H538" s="1" t="s">
        <v>6338</v>
      </c>
      <c r="I538" s="1" t="s">
        <v>6339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6340</v>
      </c>
      <c r="AK538" s="1" t="s">
        <v>329</v>
      </c>
      <c r="AL538" s="1">
        <v>13</v>
      </c>
      <c r="AM538" s="1" t="s">
        <v>1874</v>
      </c>
      <c r="AN538" s="1" t="s">
        <v>4815</v>
      </c>
      <c r="AO538" s="1" t="s">
        <v>4812</v>
      </c>
      <c r="AP538" s="1">
        <v>0</v>
      </c>
      <c r="AQ538" s="1" t="s">
        <v>5924</v>
      </c>
      <c r="AR538" s="1" t="s">
        <v>1154</v>
      </c>
      <c r="AS538" s="1" t="s">
        <v>1164</v>
      </c>
      <c r="AT538" s="1" t="s">
        <v>329</v>
      </c>
      <c r="AU538" s="1">
        <v>6</v>
      </c>
      <c r="AV538" s="1">
        <v>0</v>
      </c>
      <c r="AW538" s="1" t="s">
        <v>5862</v>
      </c>
      <c r="AX538" s="1" t="s">
        <v>1874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6341</v>
      </c>
      <c r="C539" s="9" t="s">
        <v>98</v>
      </c>
      <c r="D539" s="1" t="s">
        <v>6060</v>
      </c>
      <c r="E539" s="1"/>
      <c r="F539" s="1"/>
      <c r="G539" s="1" t="s">
        <v>6342</v>
      </c>
      <c r="H539" s="1" t="s">
        <v>6343</v>
      </c>
      <c r="I539" s="1" t="s">
        <v>6344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6345</v>
      </c>
      <c r="AK539" s="1" t="s">
        <v>329</v>
      </c>
      <c r="AL539" s="1">
        <v>13</v>
      </c>
      <c r="AM539" s="1" t="s">
        <v>4787</v>
      </c>
      <c r="AN539" s="1" t="s">
        <v>4815</v>
      </c>
      <c r="AO539" s="1" t="s">
        <v>4867</v>
      </c>
      <c r="AP539" s="1">
        <v>0</v>
      </c>
      <c r="AQ539" s="1" t="s">
        <v>1189</v>
      </c>
      <c r="AR539" s="1" t="s">
        <v>6065</v>
      </c>
      <c r="AS539" s="1" t="s">
        <v>6065</v>
      </c>
      <c r="AT539" s="1" t="s">
        <v>329</v>
      </c>
      <c r="AU539" s="1">
        <v>54</v>
      </c>
      <c r="AV539" s="1">
        <v>0</v>
      </c>
      <c r="AW539" s="1" t="s">
        <v>5862</v>
      </c>
      <c r="AX539" s="1" t="s">
        <v>1874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6346</v>
      </c>
      <c r="C540" s="9" t="s">
        <v>6347</v>
      </c>
      <c r="D540" s="1" t="s">
        <v>6347</v>
      </c>
      <c r="E540" s="1"/>
      <c r="F540" s="1"/>
      <c r="G540" s="1" t="s">
        <v>6348</v>
      </c>
      <c r="H540" s="1" t="s">
        <v>6349</v>
      </c>
      <c r="I540" s="1" t="s">
        <v>6350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1234</v>
      </c>
      <c r="AK540" s="1" t="s">
        <v>329</v>
      </c>
      <c r="AL540" s="1">
        <v>13</v>
      </c>
      <c r="AM540" s="1" t="s">
        <v>4787</v>
      </c>
      <c r="AN540" s="1" t="s">
        <v>4815</v>
      </c>
      <c r="AO540" s="1" t="s">
        <v>4867</v>
      </c>
      <c r="AP540" s="1">
        <v>0</v>
      </c>
      <c r="AQ540" s="1" t="s">
        <v>1189</v>
      </c>
      <c r="AR540" s="1" t="s">
        <v>6065</v>
      </c>
      <c r="AS540" s="1" t="s">
        <v>6065</v>
      </c>
      <c r="AT540" s="1" t="s">
        <v>329</v>
      </c>
      <c r="AU540" s="1">
        <v>54</v>
      </c>
      <c r="AV540" s="1">
        <v>0</v>
      </c>
      <c r="AW540" s="1" t="s">
        <v>5862</v>
      </c>
      <c r="AX540" s="1" t="s">
        <v>1874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6351</v>
      </c>
      <c r="C541" s="9" t="s">
        <v>6352</v>
      </c>
      <c r="D541" s="1" t="s">
        <v>6352</v>
      </c>
      <c r="E541" s="1"/>
      <c r="F541" s="1"/>
      <c r="G541" s="1" t="s">
        <v>6353</v>
      </c>
      <c r="H541" s="1" t="s">
        <v>6354</v>
      </c>
      <c r="I541" s="1" t="s">
        <v>6355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4858</v>
      </c>
      <c r="AN541" s="1" t="s">
        <v>4861</v>
      </c>
      <c r="AO541" s="1" t="s">
        <v>4870</v>
      </c>
      <c r="AP541" s="1">
        <v>0</v>
      </c>
      <c r="AQ541" s="1" t="s">
        <v>1164</v>
      </c>
      <c r="AR541" s="1" t="s">
        <v>1154</v>
      </c>
      <c r="AS541" s="1" t="s">
        <v>1165</v>
      </c>
      <c r="AT541" s="1" t="s">
        <v>329</v>
      </c>
      <c r="AU541" s="1">
        <v>20</v>
      </c>
      <c r="AV541" s="1">
        <v>0</v>
      </c>
      <c r="AW541" s="1" t="s">
        <v>5862</v>
      </c>
      <c r="AX541" s="1" t="s">
        <v>1874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6356</v>
      </c>
      <c r="C542" s="9" t="s">
        <v>5849</v>
      </c>
      <c r="D542" s="1" t="s">
        <v>6357</v>
      </c>
      <c r="E542" s="1"/>
      <c r="F542" s="1"/>
      <c r="G542" s="1" t="s">
        <v>6358</v>
      </c>
      <c r="H542" s="1" t="s">
        <v>6359</v>
      </c>
      <c r="I542" s="1" t="s">
        <v>6360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1239</v>
      </c>
      <c r="AK542" s="1" t="s">
        <v>329</v>
      </c>
      <c r="AL542" s="1">
        <v>8</v>
      </c>
      <c r="AM542" s="1" t="s">
        <v>4784</v>
      </c>
      <c r="AN542" s="1" t="s">
        <v>477</v>
      </c>
      <c r="AO542" s="1" t="s">
        <v>5131</v>
      </c>
      <c r="AP542" s="1">
        <v>0</v>
      </c>
      <c r="AQ542" s="1" t="s">
        <v>5860</v>
      </c>
      <c r="AR542" s="1" t="s">
        <v>1236</v>
      </c>
      <c r="AS542" s="1" t="s">
        <v>1237</v>
      </c>
      <c r="AT542" s="1" t="s">
        <v>329</v>
      </c>
      <c r="AU542" s="1">
        <v>156</v>
      </c>
      <c r="AV542" s="1">
        <v>0</v>
      </c>
      <c r="AW542" s="1" t="s">
        <v>5862</v>
      </c>
      <c r="AX542" s="1" t="s">
        <v>1874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6361</v>
      </c>
      <c r="C543" s="9" t="s">
        <v>5850</v>
      </c>
      <c r="D543" s="1" t="s">
        <v>6362</v>
      </c>
      <c r="E543" s="1"/>
      <c r="F543" s="1"/>
      <c r="G543" s="1" t="s">
        <v>6363</v>
      </c>
      <c r="H543" s="1" t="s">
        <v>6364</v>
      </c>
      <c r="I543" s="1" t="s">
        <v>6365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6366</v>
      </c>
      <c r="AK543" s="1" t="s">
        <v>1245</v>
      </c>
      <c r="AL543" s="1">
        <v>7</v>
      </c>
      <c r="AM543" s="1" t="s">
        <v>4784</v>
      </c>
      <c r="AN543" s="1" t="s">
        <v>5141</v>
      </c>
      <c r="AO543" s="1" t="s">
        <v>5142</v>
      </c>
      <c r="AP543" s="1">
        <v>0</v>
      </c>
      <c r="AQ543" s="1" t="s">
        <v>5860</v>
      </c>
      <c r="AR543" s="1" t="s">
        <v>1236</v>
      </c>
      <c r="AS543" s="1" t="s">
        <v>1237</v>
      </c>
      <c r="AT543" s="1" t="s">
        <v>329</v>
      </c>
      <c r="AU543" s="1">
        <v>164</v>
      </c>
      <c r="AV543" s="1">
        <v>0</v>
      </c>
      <c r="AW543" s="1" t="s">
        <v>5862</v>
      </c>
      <c r="AX543" s="1" t="s">
        <v>1874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6367</v>
      </c>
      <c r="C544" s="9" t="s">
        <v>237</v>
      </c>
      <c r="D544" s="1" t="s">
        <v>6368</v>
      </c>
      <c r="E544" s="1"/>
      <c r="F544" s="1"/>
      <c r="G544" s="1" t="s">
        <v>6369</v>
      </c>
      <c r="H544" s="1" t="s">
        <v>6370</v>
      </c>
      <c r="I544" s="1" t="s">
        <v>6371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6372</v>
      </c>
      <c r="AK544" s="1" t="s">
        <v>1279</v>
      </c>
      <c r="AL544" s="1">
        <v>9</v>
      </c>
      <c r="AM544" s="1" t="s">
        <v>4784</v>
      </c>
      <c r="AN544" s="1" t="s">
        <v>355</v>
      </c>
      <c r="AO544" s="1" t="s">
        <v>5258</v>
      </c>
      <c r="AP544" s="1">
        <v>0</v>
      </c>
      <c r="AQ544" s="1" t="s">
        <v>5860</v>
      </c>
      <c r="AR544" s="1" t="s">
        <v>1236</v>
      </c>
      <c r="AS544" s="1" t="s">
        <v>1237</v>
      </c>
      <c r="AT544" s="1" t="s">
        <v>329</v>
      </c>
      <c r="AU544" s="1">
        <v>229</v>
      </c>
      <c r="AV544" s="1">
        <v>0</v>
      </c>
      <c r="AW544" s="1" t="s">
        <v>5862</v>
      </c>
      <c r="AX544" s="1" t="s">
        <v>1874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6373</v>
      </c>
      <c r="C545" s="9" t="s">
        <v>5848</v>
      </c>
      <c r="D545" s="1" t="s">
        <v>6374</v>
      </c>
      <c r="E545" s="1"/>
      <c r="F545" s="1"/>
      <c r="G545" s="1" t="s">
        <v>6375</v>
      </c>
      <c r="H545" s="1" t="s">
        <v>6376</v>
      </c>
      <c r="I545" s="1" t="s">
        <v>6377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1156</v>
      </c>
      <c r="AK545" s="1" t="s">
        <v>329</v>
      </c>
      <c r="AL545" s="1">
        <v>13</v>
      </c>
      <c r="AM545" s="1" t="s">
        <v>4858</v>
      </c>
      <c r="AN545" s="1" t="s">
        <v>465</v>
      </c>
      <c r="AO545" s="1" t="s">
        <v>4872</v>
      </c>
      <c r="AP545" s="1">
        <v>0</v>
      </c>
      <c r="AQ545" s="1" t="s">
        <v>1164</v>
      </c>
      <c r="AR545" s="1" t="s">
        <v>1154</v>
      </c>
      <c r="AS545" s="1" t="s">
        <v>1781</v>
      </c>
      <c r="AT545" s="1" t="s">
        <v>329</v>
      </c>
      <c r="AU545" s="1">
        <v>21</v>
      </c>
      <c r="AV545" s="1">
        <v>0</v>
      </c>
      <c r="AW545" s="1" t="s">
        <v>5862</v>
      </c>
      <c r="AX545" s="1" t="s">
        <v>1874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6466</v>
      </c>
      <c r="C546" s="9" t="s">
        <v>2203</v>
      </c>
      <c r="D546" s="1" t="s">
        <v>2203</v>
      </c>
      <c r="E546" s="1" t="s">
        <v>329</v>
      </c>
      <c r="F546" s="1" t="s">
        <v>329</v>
      </c>
      <c r="G546" s="1" t="s">
        <v>6467</v>
      </c>
      <c r="H546" s="1" t="s">
        <v>6468</v>
      </c>
      <c r="I546" s="1" t="s">
        <v>6469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6470</v>
      </c>
      <c r="AK546" s="1" t="s">
        <v>6471</v>
      </c>
      <c r="AL546" s="1">
        <v>13</v>
      </c>
      <c r="AM546" s="1" t="s">
        <v>399</v>
      </c>
      <c r="AN546" s="1" t="s">
        <v>6472</v>
      </c>
      <c r="AO546" s="1" t="s">
        <v>5237</v>
      </c>
      <c r="AP546" s="1">
        <v>0</v>
      </c>
      <c r="AQ546" s="1" t="s">
        <v>1164</v>
      </c>
      <c r="AR546" s="1" t="s">
        <v>1154</v>
      </c>
      <c r="AS546" s="1" t="s">
        <v>1165</v>
      </c>
      <c r="AT546" s="1" t="s">
        <v>329</v>
      </c>
      <c r="AU546" s="1">
        <v>150</v>
      </c>
      <c r="AV546" s="1">
        <v>0</v>
      </c>
      <c r="AW546" s="1" t="s">
        <v>6473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4837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6474</v>
      </c>
      <c r="C547" s="9" t="s">
        <v>6475</v>
      </c>
      <c r="D547" s="1" t="s">
        <v>6475</v>
      </c>
      <c r="E547" s="1" t="s">
        <v>329</v>
      </c>
      <c r="F547" s="1" t="s">
        <v>329</v>
      </c>
      <c r="G547" s="1" t="s">
        <v>6476</v>
      </c>
      <c r="H547" s="1" t="s">
        <v>6477</v>
      </c>
      <c r="I547" s="1" t="s">
        <v>6478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6479</v>
      </c>
      <c r="AK547" s="1" t="s">
        <v>6480</v>
      </c>
      <c r="AL547" s="1">
        <v>8</v>
      </c>
      <c r="AM547" s="1" t="s">
        <v>399</v>
      </c>
      <c r="AN547" s="1" t="s">
        <v>6481</v>
      </c>
      <c r="AO547" s="1" t="s">
        <v>5237</v>
      </c>
      <c r="AP547" s="1">
        <v>0</v>
      </c>
      <c r="AQ547" s="1" t="s">
        <v>1164</v>
      </c>
      <c r="AR547" s="1" t="s">
        <v>1154</v>
      </c>
      <c r="AS547" s="1" t="s">
        <v>1165</v>
      </c>
      <c r="AT547" s="1" t="s">
        <v>329</v>
      </c>
      <c r="AU547" s="1">
        <v>150</v>
      </c>
      <c r="AV547" s="1">
        <v>0</v>
      </c>
      <c r="AW547" s="1" t="s">
        <v>6473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4837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6482</v>
      </c>
      <c r="C548" s="9" t="s">
        <v>6483</v>
      </c>
      <c r="D548" s="1" t="s">
        <v>6483</v>
      </c>
      <c r="E548" s="1" t="s">
        <v>329</v>
      </c>
      <c r="F548" s="1" t="s">
        <v>329</v>
      </c>
      <c r="G548" s="1" t="s">
        <v>6484</v>
      </c>
      <c r="H548" s="1" t="s">
        <v>6485</v>
      </c>
      <c r="I548" s="1" t="s">
        <v>6486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6487</v>
      </c>
      <c r="AK548" s="1" t="s">
        <v>329</v>
      </c>
      <c r="AL548" s="1">
        <v>13</v>
      </c>
      <c r="AM548" s="1" t="s">
        <v>4787</v>
      </c>
      <c r="AN548" s="1" t="s">
        <v>4897</v>
      </c>
      <c r="AO548" s="1" t="s">
        <v>6488</v>
      </c>
      <c r="AP548" s="1">
        <v>0</v>
      </c>
      <c r="AQ548" s="1" t="s">
        <v>1165</v>
      </c>
      <c r="AR548" s="1" t="s">
        <v>1189</v>
      </c>
      <c r="AS548" s="1" t="s">
        <v>1164</v>
      </c>
      <c r="AT548" s="1" t="s">
        <v>329</v>
      </c>
      <c r="AU548" s="1">
        <v>48</v>
      </c>
      <c r="AV548" s="1">
        <v>0</v>
      </c>
      <c r="AW548" s="1" t="s">
        <v>6473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4788</v>
      </c>
      <c r="BD548" s="1">
        <v>10704</v>
      </c>
      <c r="BE548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6"/>
  <sheetViews>
    <sheetView workbookViewId="0">
      <pane ySplit="1" topLeftCell="A2" activePane="bottomLeft" state="frozen"/>
      <selection pane="bottomLeft" activeCell="C3" sqref="C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4533</v>
      </c>
      <c r="J1" s="43" t="s">
        <v>61</v>
      </c>
      <c r="K1" s="43" t="s">
        <v>988</v>
      </c>
      <c r="L1" s="43" t="s">
        <v>989</v>
      </c>
      <c r="M1" s="43" t="s">
        <v>990</v>
      </c>
      <c r="N1" s="43" t="s">
        <v>991</v>
      </c>
      <c r="O1" s="43" t="s">
        <v>992</v>
      </c>
      <c r="P1" s="43" t="s">
        <v>4534</v>
      </c>
      <c r="Q1" s="43" t="s">
        <v>220</v>
      </c>
      <c r="R1" s="43" t="s">
        <v>41</v>
      </c>
      <c r="S1" s="43" t="s">
        <v>4535</v>
      </c>
      <c r="T1" s="43" t="s">
        <v>42</v>
      </c>
      <c r="U1" s="43" t="s">
        <v>888</v>
      </c>
      <c r="V1" s="43" t="s">
        <v>993</v>
      </c>
      <c r="W1" s="43" t="s">
        <v>4536</v>
      </c>
      <c r="X1" s="43" t="s">
        <v>4537</v>
      </c>
      <c r="Y1" s="43" t="s">
        <v>1149</v>
      </c>
      <c r="Z1" s="43" t="s">
        <v>1148</v>
      </c>
      <c r="AA1" s="43" t="s">
        <v>2677</v>
      </c>
      <c r="AB1" s="43" t="s">
        <v>2678</v>
      </c>
      <c r="AC1" s="43" t="s">
        <v>2679</v>
      </c>
      <c r="AD1" s="43" t="s">
        <v>2680</v>
      </c>
      <c r="AE1" s="43" t="s">
        <v>1732</v>
      </c>
      <c r="AF1" s="43" t="s">
        <v>1142</v>
      </c>
      <c r="AG1" s="43" t="s">
        <v>1143</v>
      </c>
      <c r="AH1" s="43" t="s">
        <v>1144</v>
      </c>
      <c r="AI1" s="43" t="s">
        <v>1145</v>
      </c>
      <c r="AJ1" s="43" t="s">
        <v>1146</v>
      </c>
      <c r="AK1" s="43" t="s">
        <v>221</v>
      </c>
      <c r="AL1" s="43" t="s">
        <v>2686</v>
      </c>
      <c r="AM1" s="43" t="s">
        <v>4538</v>
      </c>
      <c r="AN1" s="43" t="s">
        <v>1147</v>
      </c>
      <c r="AO1" s="10" t="s">
        <v>2685</v>
      </c>
      <c r="AP1" s="10" t="s">
        <v>2687</v>
      </c>
      <c r="AQ1" s="10" t="s">
        <v>4539</v>
      </c>
      <c r="AR1" s="10" t="s">
        <v>4540</v>
      </c>
      <c r="AS1" s="10" t="s">
        <v>2688</v>
      </c>
      <c r="AT1" s="10" t="s">
        <v>4541</v>
      </c>
      <c r="AU1" s="10" t="s">
        <v>2692</v>
      </c>
      <c r="AV1" s="10" t="s">
        <v>4542</v>
      </c>
      <c r="AW1" s="10" t="s">
        <v>4543</v>
      </c>
      <c r="AX1" s="10" t="s">
        <v>4544</v>
      </c>
      <c r="AY1" s="10" t="s">
        <v>4545</v>
      </c>
      <c r="AZ1" s="10" t="s">
        <v>2695</v>
      </c>
      <c r="BA1" s="10" t="s">
        <v>583</v>
      </c>
      <c r="BB1" s="10" t="s">
        <v>2696</v>
      </c>
      <c r="BC1" s="10" t="s">
        <v>2697</v>
      </c>
      <c r="BD1" s="10" t="s">
        <v>4546</v>
      </c>
      <c r="BE1" s="10" t="s">
        <v>4547</v>
      </c>
      <c r="BF1" s="10" t="s">
        <v>4548</v>
      </c>
      <c r="BG1" s="10" t="s">
        <v>4549</v>
      </c>
      <c r="BH1" s="10" t="s">
        <v>2703</v>
      </c>
    </row>
    <row r="2" spans="1:61" x14ac:dyDescent="0.25">
      <c r="A2">
        <v>1012</v>
      </c>
      <c r="B2" t="s">
        <v>4568</v>
      </c>
      <c r="C2" t="s">
        <v>1008</v>
      </c>
      <c r="D2" t="s">
        <v>1008</v>
      </c>
      <c r="E2" t="s">
        <v>4569</v>
      </c>
      <c r="G2" t="s">
        <v>4553</v>
      </c>
      <c r="H2" t="s">
        <v>4570</v>
      </c>
      <c r="I2">
        <v>1</v>
      </c>
      <c r="J2">
        <v>1</v>
      </c>
      <c r="K2" t="s">
        <v>995</v>
      </c>
      <c r="L2">
        <v>1</v>
      </c>
      <c r="M2">
        <v>112</v>
      </c>
      <c r="N2" t="s">
        <v>996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4571</v>
      </c>
      <c r="X2" t="s">
        <v>329</v>
      </c>
      <c r="Y2" t="s">
        <v>4572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4573</v>
      </c>
      <c r="AV2" t="s">
        <v>4559</v>
      </c>
      <c r="AW2" t="s">
        <v>4559</v>
      </c>
      <c r="AX2" t="s">
        <v>4559</v>
      </c>
      <c r="AY2">
        <v>45</v>
      </c>
      <c r="AZ2">
        <v>11002</v>
      </c>
      <c r="BA2">
        <v>1</v>
      </c>
      <c r="BB2" t="s">
        <v>4560</v>
      </c>
      <c r="BC2" t="s">
        <v>1874</v>
      </c>
      <c r="BD2">
        <v>930012</v>
      </c>
      <c r="BE2" t="s">
        <v>4561</v>
      </c>
      <c r="BF2" t="s">
        <v>4562</v>
      </c>
      <c r="BG2">
        <v>100</v>
      </c>
      <c r="BH2">
        <v>10604</v>
      </c>
    </row>
    <row r="3" spans="1:61" x14ac:dyDescent="0.25">
      <c r="A3">
        <v>1008</v>
      </c>
      <c r="B3" t="s">
        <v>4574</v>
      </c>
      <c r="C3" t="s">
        <v>1003</v>
      </c>
      <c r="D3" t="s">
        <v>1003</v>
      </c>
      <c r="E3" t="s">
        <v>4575</v>
      </c>
      <c r="G3" t="s">
        <v>4553</v>
      </c>
      <c r="H3" t="s">
        <v>4576</v>
      </c>
      <c r="I3">
        <v>1</v>
      </c>
      <c r="J3">
        <v>1</v>
      </c>
      <c r="K3" t="s">
        <v>998</v>
      </c>
      <c r="L3">
        <v>1</v>
      </c>
      <c r="M3">
        <v>108</v>
      </c>
      <c r="N3" t="s">
        <v>996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4577</v>
      </c>
      <c r="X3" t="s">
        <v>4578</v>
      </c>
      <c r="Y3" t="s">
        <v>4579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4580</v>
      </c>
      <c r="AV3" t="s">
        <v>4559</v>
      </c>
      <c r="AW3" t="s">
        <v>4559</v>
      </c>
      <c r="AX3" t="s">
        <v>4559</v>
      </c>
      <c r="AY3">
        <v>23</v>
      </c>
      <c r="AZ3">
        <v>11002</v>
      </c>
      <c r="BA3">
        <v>2</v>
      </c>
      <c r="BB3" t="s">
        <v>4560</v>
      </c>
      <c r="BC3" t="s">
        <v>1874</v>
      </c>
      <c r="BD3">
        <v>930008</v>
      </c>
      <c r="BE3" t="s">
        <v>4561</v>
      </c>
      <c r="BF3" t="s">
        <v>4562</v>
      </c>
      <c r="BG3">
        <v>100</v>
      </c>
      <c r="BH3">
        <v>10602</v>
      </c>
    </row>
    <row r="4" spans="1:61" x14ac:dyDescent="0.25">
      <c r="A4">
        <v>1006</v>
      </c>
      <c r="B4" t="s">
        <v>4581</v>
      </c>
      <c r="C4" t="s">
        <v>1731</v>
      </c>
      <c r="D4" t="s">
        <v>4582</v>
      </c>
      <c r="E4" t="s">
        <v>4583</v>
      </c>
      <c r="G4" t="s">
        <v>4553</v>
      </c>
      <c r="H4" t="s">
        <v>4584</v>
      </c>
      <c r="I4">
        <v>1</v>
      </c>
      <c r="J4">
        <v>1</v>
      </c>
      <c r="K4" t="s">
        <v>995</v>
      </c>
      <c r="L4">
        <v>1</v>
      </c>
      <c r="M4">
        <v>106</v>
      </c>
      <c r="N4" t="s">
        <v>996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4585</v>
      </c>
      <c r="X4" t="s">
        <v>4586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4587</v>
      </c>
      <c r="AV4" t="s">
        <v>4559</v>
      </c>
      <c r="AW4" t="s">
        <v>4559</v>
      </c>
      <c r="AX4" t="s">
        <v>4559</v>
      </c>
      <c r="AY4">
        <v>27</v>
      </c>
      <c r="AZ4">
        <v>11002</v>
      </c>
      <c r="BA4">
        <v>1</v>
      </c>
      <c r="BB4" t="s">
        <v>4560</v>
      </c>
      <c r="BC4" t="s">
        <v>1874</v>
      </c>
      <c r="BD4">
        <v>930006</v>
      </c>
      <c r="BE4" t="s">
        <v>4561</v>
      </c>
      <c r="BF4" t="s">
        <v>4562</v>
      </c>
      <c r="BG4">
        <v>100</v>
      </c>
      <c r="BH4">
        <v>10603</v>
      </c>
    </row>
    <row r="5" spans="1:61" x14ac:dyDescent="0.25">
      <c r="A5">
        <v>1015</v>
      </c>
      <c r="B5" t="s">
        <v>4588</v>
      </c>
      <c r="C5" t="s">
        <v>1733</v>
      </c>
      <c r="D5" t="s">
        <v>4589</v>
      </c>
      <c r="E5" t="s">
        <v>4590</v>
      </c>
      <c r="G5" t="s">
        <v>4553</v>
      </c>
      <c r="H5" t="s">
        <v>4591</v>
      </c>
      <c r="I5">
        <v>1</v>
      </c>
      <c r="J5">
        <v>1</v>
      </c>
      <c r="K5" t="s">
        <v>995</v>
      </c>
      <c r="L5">
        <v>1</v>
      </c>
      <c r="M5">
        <v>115</v>
      </c>
      <c r="N5" t="s">
        <v>996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4592</v>
      </c>
      <c r="X5" t="s">
        <v>4593</v>
      </c>
      <c r="Y5" t="s">
        <v>4594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4595</v>
      </c>
      <c r="AV5" t="s">
        <v>4559</v>
      </c>
      <c r="AW5" t="s">
        <v>4559</v>
      </c>
      <c r="AX5" t="s">
        <v>4559</v>
      </c>
      <c r="AY5">
        <v>126</v>
      </c>
      <c r="AZ5">
        <v>11002</v>
      </c>
      <c r="BA5">
        <v>1</v>
      </c>
      <c r="BB5" t="s">
        <v>4560</v>
      </c>
      <c r="BC5" t="s">
        <v>1874</v>
      </c>
      <c r="BD5">
        <v>930016</v>
      </c>
      <c r="BE5" t="s">
        <v>4561</v>
      </c>
      <c r="BF5" t="s">
        <v>4562</v>
      </c>
      <c r="BG5">
        <v>100</v>
      </c>
      <c r="BH5">
        <v>10603</v>
      </c>
    </row>
    <row r="6" spans="1:61" x14ac:dyDescent="0.25">
      <c r="A6">
        <v>1019</v>
      </c>
      <c r="B6" t="s">
        <v>6538</v>
      </c>
      <c r="C6" t="s">
        <v>6539</v>
      </c>
      <c r="D6" t="s">
        <v>6540</v>
      </c>
      <c r="E6" t="s">
        <v>6541</v>
      </c>
      <c r="F6" t="s">
        <v>6422</v>
      </c>
      <c r="G6" t="s">
        <v>4553</v>
      </c>
      <c r="H6" t="s">
        <v>6542</v>
      </c>
      <c r="I6">
        <v>1</v>
      </c>
      <c r="J6">
        <v>1</v>
      </c>
      <c r="K6" t="s">
        <v>1016</v>
      </c>
      <c r="L6">
        <v>1</v>
      </c>
      <c r="M6">
        <v>119</v>
      </c>
      <c r="N6" t="s">
        <v>996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6543</v>
      </c>
      <c r="X6" t="s">
        <v>6544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6545</v>
      </c>
      <c r="AV6" t="s">
        <v>4559</v>
      </c>
      <c r="AW6" t="s">
        <v>4559</v>
      </c>
      <c r="AX6" t="s">
        <v>4559</v>
      </c>
      <c r="AY6">
        <v>33</v>
      </c>
      <c r="AZ6">
        <v>11002</v>
      </c>
      <c r="BA6">
        <v>1</v>
      </c>
      <c r="BB6" t="s">
        <v>4560</v>
      </c>
      <c r="BC6" t="s">
        <v>1874</v>
      </c>
      <c r="BD6">
        <v>930020</v>
      </c>
      <c r="BE6" t="s">
        <v>4561</v>
      </c>
      <c r="BF6" t="s">
        <v>4562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4596</v>
      </c>
      <c r="C7" t="s">
        <v>1001</v>
      </c>
      <c r="D7" t="s">
        <v>1001</v>
      </c>
      <c r="E7" t="s">
        <v>4597</v>
      </c>
      <c r="G7" t="s">
        <v>4553</v>
      </c>
      <c r="H7" t="s">
        <v>4598</v>
      </c>
      <c r="I7">
        <v>1</v>
      </c>
      <c r="J7">
        <v>1</v>
      </c>
      <c r="K7" t="s">
        <v>995</v>
      </c>
      <c r="L7">
        <v>1</v>
      </c>
      <c r="M7">
        <v>105</v>
      </c>
      <c r="N7" t="s">
        <v>996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4599</v>
      </c>
      <c r="X7" t="s">
        <v>4600</v>
      </c>
      <c r="Y7" t="s">
        <v>4601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4602</v>
      </c>
      <c r="AV7" t="s">
        <v>4559</v>
      </c>
      <c r="AW7" t="s">
        <v>4559</v>
      </c>
      <c r="AX7" t="s">
        <v>4559</v>
      </c>
      <c r="AY7">
        <v>18</v>
      </c>
      <c r="AZ7">
        <v>11002</v>
      </c>
      <c r="BA7">
        <v>1</v>
      </c>
      <c r="BB7" t="s">
        <v>4560</v>
      </c>
      <c r="BC7" t="s">
        <v>1874</v>
      </c>
      <c r="BD7">
        <v>930005</v>
      </c>
      <c r="BE7" t="s">
        <v>4561</v>
      </c>
      <c r="BF7" t="s">
        <v>4562</v>
      </c>
      <c r="BG7">
        <v>100</v>
      </c>
      <c r="BH7">
        <v>10603</v>
      </c>
    </row>
    <row r="8" spans="1:61" x14ac:dyDescent="0.25">
      <c r="A8">
        <v>1017</v>
      </c>
      <c r="B8" t="s">
        <v>5721</v>
      </c>
      <c r="C8" t="s">
        <v>5722</v>
      </c>
      <c r="D8" t="s">
        <v>5722</v>
      </c>
      <c r="E8" t="s">
        <v>5723</v>
      </c>
      <c r="G8" t="s">
        <v>4553</v>
      </c>
      <c r="H8" t="s">
        <v>5724</v>
      </c>
      <c r="I8">
        <v>1</v>
      </c>
      <c r="J8">
        <v>1</v>
      </c>
      <c r="K8" t="s">
        <v>995</v>
      </c>
      <c r="L8">
        <v>1</v>
      </c>
      <c r="M8">
        <v>117</v>
      </c>
      <c r="N8" t="s">
        <v>996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5725</v>
      </c>
      <c r="X8" t="s">
        <v>5726</v>
      </c>
      <c r="Y8" t="s">
        <v>5727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5728</v>
      </c>
      <c r="AV8" t="s">
        <v>4559</v>
      </c>
      <c r="AW8" t="s">
        <v>4559</v>
      </c>
      <c r="AX8" t="s">
        <v>4559</v>
      </c>
      <c r="AY8">
        <v>147</v>
      </c>
      <c r="AZ8">
        <v>11002</v>
      </c>
      <c r="BA8">
        <v>1</v>
      </c>
      <c r="BB8" t="s">
        <v>4560</v>
      </c>
      <c r="BC8" t="s">
        <v>329</v>
      </c>
      <c r="BD8">
        <v>930018</v>
      </c>
      <c r="BE8" t="s">
        <v>4561</v>
      </c>
      <c r="BF8" t="s">
        <v>4562</v>
      </c>
      <c r="BG8">
        <v>100</v>
      </c>
      <c r="BH8">
        <v>10603</v>
      </c>
    </row>
    <row r="9" spans="1:61" x14ac:dyDescent="0.25">
      <c r="A9">
        <v>1009</v>
      </c>
      <c r="B9" t="s">
        <v>4603</v>
      </c>
      <c r="C9" t="s">
        <v>1004</v>
      </c>
      <c r="D9" t="s">
        <v>1004</v>
      </c>
      <c r="E9" t="s">
        <v>4604</v>
      </c>
      <c r="G9" t="s">
        <v>4553</v>
      </c>
      <c r="H9" t="s">
        <v>4605</v>
      </c>
      <c r="I9">
        <v>1</v>
      </c>
      <c r="J9">
        <v>1</v>
      </c>
      <c r="K9" t="s">
        <v>995</v>
      </c>
      <c r="L9">
        <v>1</v>
      </c>
      <c r="M9">
        <v>109</v>
      </c>
      <c r="N9" t="s">
        <v>996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4606</v>
      </c>
      <c r="X9" t="s">
        <v>4607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4608</v>
      </c>
      <c r="AV9" t="s">
        <v>4559</v>
      </c>
      <c r="AW9" t="s">
        <v>4559</v>
      </c>
      <c r="AX9" t="s">
        <v>4559</v>
      </c>
      <c r="AY9">
        <v>24</v>
      </c>
      <c r="AZ9">
        <v>11002</v>
      </c>
      <c r="BA9">
        <v>1</v>
      </c>
      <c r="BB9" t="s">
        <v>4609</v>
      </c>
      <c r="BC9" t="s">
        <v>1874</v>
      </c>
      <c r="BD9">
        <v>930009</v>
      </c>
      <c r="BE9" t="s">
        <v>4561</v>
      </c>
      <c r="BF9" t="s">
        <v>4562</v>
      </c>
      <c r="BG9">
        <v>100</v>
      </c>
      <c r="BH9">
        <v>10604</v>
      </c>
    </row>
    <row r="10" spans="1:61" x14ac:dyDescent="0.25">
      <c r="A10">
        <v>1002</v>
      </c>
      <c r="B10" t="s">
        <v>4610</v>
      </c>
      <c r="C10" t="s">
        <v>997</v>
      </c>
      <c r="D10" t="s">
        <v>997</v>
      </c>
      <c r="E10" t="s">
        <v>4611</v>
      </c>
      <c r="G10" t="s">
        <v>4553</v>
      </c>
      <c r="H10" t="s">
        <v>4612</v>
      </c>
      <c r="I10">
        <v>1</v>
      </c>
      <c r="J10">
        <v>1</v>
      </c>
      <c r="K10" t="s">
        <v>998</v>
      </c>
      <c r="L10">
        <v>1</v>
      </c>
      <c r="M10">
        <v>102</v>
      </c>
      <c r="N10" t="s">
        <v>996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4613</v>
      </c>
      <c r="X10" t="s">
        <v>4614</v>
      </c>
      <c r="Y10" t="s">
        <v>4615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4580</v>
      </c>
      <c r="AV10" t="s">
        <v>4559</v>
      </c>
      <c r="AW10" t="s">
        <v>4559</v>
      </c>
      <c r="AX10" t="s">
        <v>4559</v>
      </c>
      <c r="AY10">
        <v>8</v>
      </c>
      <c r="AZ10">
        <v>11002</v>
      </c>
      <c r="BA10">
        <v>2</v>
      </c>
      <c r="BB10" t="s">
        <v>4560</v>
      </c>
      <c r="BC10" t="s">
        <v>1874</v>
      </c>
      <c r="BD10">
        <v>930002</v>
      </c>
      <c r="BE10" t="s">
        <v>4561</v>
      </c>
      <c r="BF10" t="s">
        <v>4562</v>
      </c>
      <c r="BG10">
        <v>100</v>
      </c>
      <c r="BH10">
        <v>10602</v>
      </c>
    </row>
    <row r="11" spans="1:61" x14ac:dyDescent="0.25">
      <c r="A11">
        <v>1010</v>
      </c>
      <c r="B11" t="s">
        <v>4616</v>
      </c>
      <c r="C11" t="s">
        <v>1005</v>
      </c>
      <c r="D11" t="s">
        <v>4617</v>
      </c>
      <c r="E11" t="s">
        <v>4618</v>
      </c>
      <c r="G11" t="s">
        <v>4553</v>
      </c>
      <c r="H11" t="s">
        <v>4619</v>
      </c>
      <c r="I11">
        <v>1</v>
      </c>
      <c r="J11">
        <v>1</v>
      </c>
      <c r="K11" t="s">
        <v>995</v>
      </c>
      <c r="L11">
        <v>1</v>
      </c>
      <c r="M11">
        <v>110</v>
      </c>
      <c r="N11" t="s">
        <v>996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4620</v>
      </c>
      <c r="X11" t="s">
        <v>4621</v>
      </c>
      <c r="Y11" t="s">
        <v>4622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4623</v>
      </c>
      <c r="AV11" t="s">
        <v>4559</v>
      </c>
      <c r="AW11" t="s">
        <v>4559</v>
      </c>
      <c r="AX11" t="s">
        <v>4559</v>
      </c>
      <c r="AY11">
        <v>26</v>
      </c>
      <c r="AZ11">
        <v>11002</v>
      </c>
      <c r="BA11">
        <v>1</v>
      </c>
      <c r="BB11" t="s">
        <v>4560</v>
      </c>
      <c r="BC11" t="s">
        <v>1874</v>
      </c>
      <c r="BD11">
        <v>930010</v>
      </c>
      <c r="BE11" t="s">
        <v>4561</v>
      </c>
      <c r="BF11" t="s">
        <v>4562</v>
      </c>
      <c r="BG11">
        <v>100</v>
      </c>
      <c r="BH11">
        <v>10602</v>
      </c>
    </row>
    <row r="12" spans="1:61" x14ac:dyDescent="0.25">
      <c r="A12">
        <v>1003</v>
      </c>
      <c r="B12" t="s">
        <v>4624</v>
      </c>
      <c r="C12" t="s">
        <v>999</v>
      </c>
      <c r="D12" t="s">
        <v>999</v>
      </c>
      <c r="E12" t="s">
        <v>4625</v>
      </c>
      <c r="G12" t="s">
        <v>4553</v>
      </c>
      <c r="H12" t="s">
        <v>4626</v>
      </c>
      <c r="I12">
        <v>1</v>
      </c>
      <c r="J12">
        <v>1</v>
      </c>
      <c r="K12" t="s">
        <v>995</v>
      </c>
      <c r="L12">
        <v>1</v>
      </c>
      <c r="M12">
        <v>103</v>
      </c>
      <c r="N12" t="s">
        <v>996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4627</v>
      </c>
      <c r="X12" t="s">
        <v>329</v>
      </c>
      <c r="Y12" t="s">
        <v>4628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4629</v>
      </c>
      <c r="AV12" t="s">
        <v>4559</v>
      </c>
      <c r="AW12" t="s">
        <v>4559</v>
      </c>
      <c r="AX12" t="s">
        <v>4559</v>
      </c>
      <c r="AY12">
        <v>11</v>
      </c>
      <c r="AZ12">
        <v>11002</v>
      </c>
      <c r="BA12">
        <v>1</v>
      </c>
      <c r="BB12" t="s">
        <v>4560</v>
      </c>
      <c r="BC12" t="s">
        <v>1874</v>
      </c>
      <c r="BD12">
        <v>930003</v>
      </c>
      <c r="BE12" t="s">
        <v>4561</v>
      </c>
      <c r="BF12" t="s">
        <v>4562</v>
      </c>
      <c r="BG12">
        <v>100</v>
      </c>
      <c r="BH12">
        <v>10602</v>
      </c>
    </row>
    <row r="13" spans="1:61" x14ac:dyDescent="0.25">
      <c r="A13">
        <v>1018</v>
      </c>
      <c r="B13" t="s">
        <v>6423</v>
      </c>
      <c r="C13" t="s">
        <v>6424</v>
      </c>
      <c r="D13" t="s">
        <v>6424</v>
      </c>
      <c r="E13" t="s">
        <v>6425</v>
      </c>
      <c r="F13" t="s">
        <v>6422</v>
      </c>
      <c r="G13" t="s">
        <v>4553</v>
      </c>
      <c r="H13" t="s">
        <v>6426</v>
      </c>
      <c r="I13">
        <v>1</v>
      </c>
      <c r="J13">
        <v>1</v>
      </c>
      <c r="K13" t="s">
        <v>995</v>
      </c>
      <c r="L13">
        <v>1</v>
      </c>
      <c r="M13">
        <v>118</v>
      </c>
      <c r="N13" t="s">
        <v>996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6427</v>
      </c>
      <c r="X13" t="s">
        <v>6428</v>
      </c>
      <c r="Y13" t="s">
        <v>6429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6430</v>
      </c>
      <c r="AV13" t="s">
        <v>4559</v>
      </c>
      <c r="AW13" t="s">
        <v>4559</v>
      </c>
      <c r="AX13" t="s">
        <v>4559</v>
      </c>
      <c r="AY13">
        <v>157</v>
      </c>
      <c r="AZ13">
        <v>11002</v>
      </c>
      <c r="BA13">
        <v>1</v>
      </c>
      <c r="BB13" t="s">
        <v>4560</v>
      </c>
      <c r="BC13" t="s">
        <v>1874</v>
      </c>
      <c r="BD13">
        <v>930019</v>
      </c>
      <c r="BE13" t="s">
        <v>4561</v>
      </c>
      <c r="BF13" t="s">
        <v>4562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4630</v>
      </c>
      <c r="C14" t="s">
        <v>1000</v>
      </c>
      <c r="D14" t="s">
        <v>1000</v>
      </c>
      <c r="E14" t="s">
        <v>4631</v>
      </c>
      <c r="G14" t="s">
        <v>4553</v>
      </c>
      <c r="H14" t="s">
        <v>4632</v>
      </c>
      <c r="I14">
        <v>1</v>
      </c>
      <c r="J14">
        <v>1</v>
      </c>
      <c r="K14" t="s">
        <v>995</v>
      </c>
      <c r="L14">
        <v>1</v>
      </c>
      <c r="M14">
        <v>104</v>
      </c>
      <c r="N14" t="s">
        <v>996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4633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4634</v>
      </c>
      <c r="AV14" t="s">
        <v>4559</v>
      </c>
      <c r="AW14" t="s">
        <v>4559</v>
      </c>
      <c r="AX14" t="s">
        <v>4559</v>
      </c>
      <c r="AY14">
        <v>17</v>
      </c>
      <c r="AZ14">
        <v>11002</v>
      </c>
      <c r="BA14">
        <v>1</v>
      </c>
      <c r="BB14" t="s">
        <v>4560</v>
      </c>
      <c r="BC14" t="s">
        <v>1874</v>
      </c>
      <c r="BD14">
        <v>930004</v>
      </c>
      <c r="BE14" t="s">
        <v>4561</v>
      </c>
      <c r="BF14" t="s">
        <v>4562</v>
      </c>
      <c r="BG14">
        <v>100</v>
      </c>
      <c r="BH14">
        <v>10602</v>
      </c>
    </row>
    <row r="15" spans="1:61" x14ac:dyDescent="0.25">
      <c r="A15">
        <v>1016</v>
      </c>
      <c r="B15" t="s">
        <v>4550</v>
      </c>
      <c r="C15" t="s">
        <v>4551</v>
      </c>
      <c r="D15" t="s">
        <v>4551</v>
      </c>
      <c r="E15" t="s">
        <v>4552</v>
      </c>
      <c r="G15" t="s">
        <v>4553</v>
      </c>
      <c r="H15" t="s">
        <v>4554</v>
      </c>
      <c r="I15">
        <v>1</v>
      </c>
      <c r="J15">
        <v>1</v>
      </c>
      <c r="K15" t="s">
        <v>995</v>
      </c>
      <c r="L15">
        <v>1</v>
      </c>
      <c r="M15">
        <v>116</v>
      </c>
      <c r="N15" t="s">
        <v>996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4555</v>
      </c>
      <c r="X15" t="s">
        <v>4556</v>
      </c>
      <c r="Y15" t="s">
        <v>4557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4558</v>
      </c>
      <c r="AV15" t="s">
        <v>4559</v>
      </c>
      <c r="AW15" t="s">
        <v>4559</v>
      </c>
      <c r="AX15" t="s">
        <v>4559</v>
      </c>
      <c r="AY15">
        <v>140</v>
      </c>
      <c r="AZ15">
        <v>11002</v>
      </c>
      <c r="BA15">
        <v>1</v>
      </c>
      <c r="BB15" t="s">
        <v>4560</v>
      </c>
      <c r="BC15" t="s">
        <v>1874</v>
      </c>
      <c r="BD15">
        <v>930017</v>
      </c>
      <c r="BE15" t="s">
        <v>4561</v>
      </c>
      <c r="BF15" t="s">
        <v>4562</v>
      </c>
      <c r="BG15">
        <v>100</v>
      </c>
      <c r="BH15">
        <v>10602</v>
      </c>
    </row>
    <row r="16" spans="1:61" x14ac:dyDescent="0.25">
      <c r="A16">
        <v>1011</v>
      </c>
      <c r="B16" t="s">
        <v>4635</v>
      </c>
      <c r="C16" t="s">
        <v>1006</v>
      </c>
      <c r="D16" t="s">
        <v>1006</v>
      </c>
      <c r="E16" t="s">
        <v>4636</v>
      </c>
      <c r="G16" t="s">
        <v>4553</v>
      </c>
      <c r="H16" t="s">
        <v>4637</v>
      </c>
      <c r="I16">
        <v>1</v>
      </c>
      <c r="J16">
        <v>1</v>
      </c>
      <c r="K16" t="s">
        <v>1007</v>
      </c>
      <c r="L16">
        <v>1</v>
      </c>
      <c r="M16">
        <v>111</v>
      </c>
      <c r="N16" t="s">
        <v>996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4638</v>
      </c>
      <c r="X16" t="s">
        <v>4639</v>
      </c>
      <c r="Y16" t="s">
        <v>4640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4641</v>
      </c>
      <c r="AV16" t="s">
        <v>4559</v>
      </c>
      <c r="AW16" t="s">
        <v>4559</v>
      </c>
      <c r="AX16" t="s">
        <v>4559</v>
      </c>
      <c r="AY16">
        <v>35</v>
      </c>
      <c r="AZ16">
        <v>11002</v>
      </c>
      <c r="BA16">
        <v>1</v>
      </c>
      <c r="BB16" t="s">
        <v>4560</v>
      </c>
      <c r="BC16" t="s">
        <v>1874</v>
      </c>
      <c r="BD16">
        <v>930011</v>
      </c>
      <c r="BE16" t="s">
        <v>4561</v>
      </c>
      <c r="BF16" t="s">
        <v>4562</v>
      </c>
      <c r="BG16">
        <v>100</v>
      </c>
      <c r="BH16">
        <v>10604</v>
      </c>
    </row>
    <row r="17" spans="1:60" x14ac:dyDescent="0.25">
      <c r="A17">
        <v>1013</v>
      </c>
      <c r="B17" t="s">
        <v>4642</v>
      </c>
      <c r="C17" t="s">
        <v>1009</v>
      </c>
      <c r="D17" t="s">
        <v>1009</v>
      </c>
      <c r="E17" t="s">
        <v>4643</v>
      </c>
      <c r="G17" t="s">
        <v>4553</v>
      </c>
      <c r="H17" t="s">
        <v>4644</v>
      </c>
      <c r="I17">
        <v>3</v>
      </c>
      <c r="J17">
        <v>1</v>
      </c>
      <c r="K17" t="s">
        <v>995</v>
      </c>
      <c r="L17">
        <v>1</v>
      </c>
      <c r="M17">
        <v>113</v>
      </c>
      <c r="N17" t="s">
        <v>996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4645</v>
      </c>
      <c r="X17" t="s">
        <v>329</v>
      </c>
      <c r="Y17" t="s">
        <v>4646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4647</v>
      </c>
      <c r="AV17" t="s">
        <v>4559</v>
      </c>
      <c r="AW17" t="s">
        <v>4559</v>
      </c>
      <c r="AX17" t="s">
        <v>4559</v>
      </c>
      <c r="AY17">
        <v>50</v>
      </c>
      <c r="AZ17">
        <v>11002</v>
      </c>
      <c r="BA17">
        <v>1</v>
      </c>
      <c r="BB17" t="s">
        <v>4560</v>
      </c>
      <c r="BC17" t="s">
        <v>1874</v>
      </c>
      <c r="BD17">
        <v>930013</v>
      </c>
      <c r="BE17" t="s">
        <v>4561</v>
      </c>
      <c r="BF17" t="s">
        <v>4562</v>
      </c>
      <c r="BG17">
        <v>100</v>
      </c>
      <c r="BH17">
        <v>10603</v>
      </c>
    </row>
    <row r="18" spans="1:60" x14ac:dyDescent="0.25">
      <c r="A18">
        <v>1014</v>
      </c>
      <c r="B18" t="s">
        <v>4648</v>
      </c>
      <c r="C18" t="s">
        <v>1010</v>
      </c>
      <c r="D18" t="s">
        <v>1010</v>
      </c>
      <c r="E18" t="s">
        <v>4649</v>
      </c>
      <c r="G18" t="s">
        <v>4553</v>
      </c>
      <c r="H18" t="s">
        <v>4650</v>
      </c>
      <c r="I18">
        <v>3</v>
      </c>
      <c r="J18">
        <v>1</v>
      </c>
      <c r="K18" t="s">
        <v>998</v>
      </c>
      <c r="L18">
        <v>1</v>
      </c>
      <c r="M18">
        <v>114</v>
      </c>
      <c r="N18" t="s">
        <v>996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4651</v>
      </c>
      <c r="X18" t="s">
        <v>4652</v>
      </c>
      <c r="Y18" t="s">
        <v>4653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4654</v>
      </c>
      <c r="AV18" t="s">
        <v>4559</v>
      </c>
      <c r="AW18" t="s">
        <v>4559</v>
      </c>
      <c r="AX18" t="s">
        <v>4559</v>
      </c>
      <c r="AY18">
        <v>51</v>
      </c>
      <c r="AZ18">
        <v>11002</v>
      </c>
      <c r="BA18">
        <v>1</v>
      </c>
      <c r="BB18" t="s">
        <v>4560</v>
      </c>
      <c r="BC18" t="s">
        <v>1874</v>
      </c>
      <c r="BD18">
        <v>930014</v>
      </c>
      <c r="BE18" t="s">
        <v>4561</v>
      </c>
      <c r="BF18" t="s">
        <v>4562</v>
      </c>
      <c r="BG18">
        <v>100</v>
      </c>
      <c r="BH18">
        <v>10603</v>
      </c>
    </row>
    <row r="19" spans="1:60" x14ac:dyDescent="0.25">
      <c r="A19">
        <v>1001</v>
      </c>
      <c r="B19" t="s">
        <v>4655</v>
      </c>
      <c r="C19" t="s">
        <v>994</v>
      </c>
      <c r="D19" t="s">
        <v>994</v>
      </c>
      <c r="E19" t="s">
        <v>4656</v>
      </c>
      <c r="G19" t="s">
        <v>4553</v>
      </c>
      <c r="H19" t="s">
        <v>4657</v>
      </c>
      <c r="I19">
        <v>1</v>
      </c>
      <c r="J19">
        <v>1</v>
      </c>
      <c r="K19" t="s">
        <v>995</v>
      </c>
      <c r="L19">
        <v>1</v>
      </c>
      <c r="M19">
        <v>101</v>
      </c>
      <c r="N19" t="s">
        <v>996</v>
      </c>
      <c r="O19">
        <v>10</v>
      </c>
      <c r="P19">
        <v>0</v>
      </c>
      <c r="Q19">
        <v>5</v>
      </c>
      <c r="R19">
        <v>900515</v>
      </c>
      <c r="S19">
        <v>2</v>
      </c>
      <c r="T19">
        <v>30006</v>
      </c>
      <c r="U19">
        <v>900511</v>
      </c>
      <c r="V19">
        <v>900512</v>
      </c>
      <c r="W19" t="s">
        <v>4658</v>
      </c>
      <c r="X19" t="s">
        <v>329</v>
      </c>
      <c r="Y19" t="s">
        <v>4659</v>
      </c>
      <c r="Z19">
        <v>900510</v>
      </c>
      <c r="AA19">
        <v>10</v>
      </c>
      <c r="AB19">
        <v>10</v>
      </c>
      <c r="AC19">
        <v>5</v>
      </c>
      <c r="AD19">
        <v>5</v>
      </c>
      <c r="AE19">
        <v>95</v>
      </c>
      <c r="AF19">
        <v>95</v>
      </c>
      <c r="AG19">
        <v>116</v>
      </c>
      <c r="AH19">
        <v>90</v>
      </c>
      <c r="AI19">
        <v>120</v>
      </c>
      <c r="AJ19">
        <v>0</v>
      </c>
      <c r="AK19">
        <v>15</v>
      </c>
      <c r="AL19">
        <v>20</v>
      </c>
      <c r="AM19">
        <v>150</v>
      </c>
      <c r="AN19">
        <v>100</v>
      </c>
      <c r="AO19">
        <v>12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4660</v>
      </c>
      <c r="AV19" t="s">
        <v>4559</v>
      </c>
      <c r="AW19" t="s">
        <v>4559</v>
      </c>
      <c r="AX19" t="s">
        <v>4559</v>
      </c>
      <c r="AY19">
        <v>5</v>
      </c>
      <c r="AZ19">
        <v>11001</v>
      </c>
      <c r="BA19">
        <v>1</v>
      </c>
      <c r="BB19" t="s">
        <v>4560</v>
      </c>
      <c r="BC19" t="s">
        <v>1874</v>
      </c>
      <c r="BD19">
        <v>930001</v>
      </c>
      <c r="BE19" t="s">
        <v>4561</v>
      </c>
      <c r="BF19" t="s">
        <v>4562</v>
      </c>
      <c r="BG19">
        <v>100</v>
      </c>
      <c r="BH19">
        <v>10604</v>
      </c>
    </row>
    <row r="20" spans="1:60" x14ac:dyDescent="0.25">
      <c r="A20">
        <v>1007</v>
      </c>
      <c r="B20" t="s">
        <v>4661</v>
      </c>
      <c r="C20" t="s">
        <v>1002</v>
      </c>
      <c r="D20" t="s">
        <v>1002</v>
      </c>
      <c r="E20" t="s">
        <v>4662</v>
      </c>
      <c r="G20" t="s">
        <v>4553</v>
      </c>
      <c r="H20" t="s">
        <v>4663</v>
      </c>
      <c r="I20">
        <v>1</v>
      </c>
      <c r="J20">
        <v>1</v>
      </c>
      <c r="K20" t="s">
        <v>995</v>
      </c>
      <c r="L20">
        <v>1</v>
      </c>
      <c r="M20">
        <v>107</v>
      </c>
      <c r="N20" t="s">
        <v>996</v>
      </c>
      <c r="O20">
        <v>10</v>
      </c>
      <c r="P20">
        <v>0</v>
      </c>
      <c r="Q20">
        <v>5</v>
      </c>
      <c r="R20">
        <v>900833</v>
      </c>
      <c r="S20">
        <v>2</v>
      </c>
      <c r="T20">
        <v>30008</v>
      </c>
      <c r="U20">
        <v>900831</v>
      </c>
      <c r="V20">
        <v>900832</v>
      </c>
      <c r="W20" t="s">
        <v>4664</v>
      </c>
      <c r="X20" t="s">
        <v>329</v>
      </c>
      <c r="Y20" t="s">
        <v>4665</v>
      </c>
      <c r="Z20">
        <v>900830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105</v>
      </c>
      <c r="AG20">
        <v>105</v>
      </c>
      <c r="AH20">
        <v>105</v>
      </c>
      <c r="AI20">
        <v>105</v>
      </c>
      <c r="AJ20">
        <v>0</v>
      </c>
      <c r="AK20">
        <v>15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4666</v>
      </c>
      <c r="AV20" t="s">
        <v>4559</v>
      </c>
      <c r="AW20" t="s">
        <v>4559</v>
      </c>
      <c r="AX20" t="s">
        <v>4559</v>
      </c>
      <c r="AY20">
        <v>21</v>
      </c>
      <c r="AZ20">
        <v>11002</v>
      </c>
      <c r="BA20">
        <v>1</v>
      </c>
      <c r="BB20" t="s">
        <v>4560</v>
      </c>
      <c r="BC20" t="s">
        <v>1874</v>
      </c>
      <c r="BD20">
        <v>930007</v>
      </c>
      <c r="BE20" t="s">
        <v>4561</v>
      </c>
      <c r="BF20" t="s">
        <v>4562</v>
      </c>
      <c r="BG20">
        <v>88</v>
      </c>
      <c r="BH20">
        <v>10603</v>
      </c>
    </row>
    <row r="21" spans="1:60" x14ac:dyDescent="0.25">
      <c r="A21">
        <v>2003</v>
      </c>
      <c r="B21" t="s">
        <v>4667</v>
      </c>
      <c r="C21" t="s">
        <v>1013</v>
      </c>
      <c r="D21" t="s">
        <v>1013</v>
      </c>
      <c r="E21" t="s">
        <v>4668</v>
      </c>
      <c r="G21" t="s">
        <v>4553</v>
      </c>
      <c r="H21" t="s">
        <v>4669</v>
      </c>
      <c r="I21">
        <v>1</v>
      </c>
      <c r="J21">
        <v>2</v>
      </c>
      <c r="K21" t="s">
        <v>1014</v>
      </c>
      <c r="L21">
        <v>5</v>
      </c>
      <c r="M21">
        <v>203</v>
      </c>
      <c r="N21" t="s">
        <v>996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600701</v>
      </c>
      <c r="V21">
        <v>600703</v>
      </c>
      <c r="W21" t="s">
        <v>1874</v>
      </c>
      <c r="X21" t="s">
        <v>4567</v>
      </c>
      <c r="Y21" t="s">
        <v>4670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75</v>
      </c>
      <c r="AH21">
        <v>110</v>
      </c>
      <c r="AI21">
        <v>40</v>
      </c>
      <c r="AJ21">
        <v>100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329</v>
      </c>
      <c r="AV21" t="s">
        <v>329</v>
      </c>
      <c r="AW21" t="s">
        <v>329</v>
      </c>
      <c r="AX21" t="s">
        <v>329</v>
      </c>
      <c r="AY21">
        <v>15</v>
      </c>
      <c r="AZ21">
        <v>3045</v>
      </c>
      <c r="BA21">
        <v>9</v>
      </c>
      <c r="BB21" t="s">
        <v>4560</v>
      </c>
      <c r="BC21" t="s">
        <v>1874</v>
      </c>
      <c r="BD21">
        <v>910015</v>
      </c>
      <c r="BE21" t="s">
        <v>4561</v>
      </c>
      <c r="BF21" t="s">
        <v>4562</v>
      </c>
      <c r="BG21">
        <v>100</v>
      </c>
      <c r="BH21">
        <v>0</v>
      </c>
    </row>
    <row r="22" spans="1:60" x14ac:dyDescent="0.25">
      <c r="A22">
        <v>2014</v>
      </c>
      <c r="B22" t="s">
        <v>4671</v>
      </c>
      <c r="C22" t="s">
        <v>1027</v>
      </c>
      <c r="D22" t="s">
        <v>1027</v>
      </c>
      <c r="E22" t="s">
        <v>4672</v>
      </c>
      <c r="G22" t="s">
        <v>4553</v>
      </c>
      <c r="H22" t="s">
        <v>4673</v>
      </c>
      <c r="I22">
        <v>1</v>
      </c>
      <c r="J22">
        <v>2</v>
      </c>
      <c r="K22" t="s">
        <v>1014</v>
      </c>
      <c r="L22">
        <v>5</v>
      </c>
      <c r="M22">
        <v>214</v>
      </c>
      <c r="N22" t="s">
        <v>996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902200</v>
      </c>
      <c r="V22">
        <v>902201</v>
      </c>
      <c r="W22" t="s">
        <v>1874</v>
      </c>
      <c r="X22" t="s">
        <v>4567</v>
      </c>
      <c r="Y22" t="s">
        <v>329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180</v>
      </c>
      <c r="AF22">
        <v>75</v>
      </c>
      <c r="AG22">
        <v>50</v>
      </c>
      <c r="AH22">
        <v>110</v>
      </c>
      <c r="AI22">
        <v>50</v>
      </c>
      <c r="AJ22">
        <v>105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60</v>
      </c>
      <c r="AZ22">
        <v>3045</v>
      </c>
      <c r="BA22">
        <v>9</v>
      </c>
      <c r="BB22" t="s">
        <v>4560</v>
      </c>
      <c r="BC22" t="s">
        <v>1874</v>
      </c>
      <c r="BD22">
        <v>911011</v>
      </c>
      <c r="BE22" t="s">
        <v>4561</v>
      </c>
      <c r="BF22" t="s">
        <v>4562</v>
      </c>
      <c r="BG22">
        <v>95</v>
      </c>
      <c r="BH22">
        <v>0</v>
      </c>
    </row>
    <row r="23" spans="1:60" x14ac:dyDescent="0.25">
      <c r="A23">
        <v>2001</v>
      </c>
      <c r="B23" t="s">
        <v>4674</v>
      </c>
      <c r="C23" t="s">
        <v>1011</v>
      </c>
      <c r="D23" t="s">
        <v>1011</v>
      </c>
      <c r="E23" t="s">
        <v>4675</v>
      </c>
      <c r="G23" t="s">
        <v>4553</v>
      </c>
      <c r="H23" t="s">
        <v>4676</v>
      </c>
      <c r="I23">
        <v>1</v>
      </c>
      <c r="J23">
        <v>2</v>
      </c>
      <c r="K23" t="s">
        <v>998</v>
      </c>
      <c r="L23">
        <v>5</v>
      </c>
      <c r="M23">
        <v>201</v>
      </c>
      <c r="N23" t="s">
        <v>996</v>
      </c>
      <c r="O23">
        <v>4</v>
      </c>
      <c r="P23">
        <v>0</v>
      </c>
      <c r="Q23">
        <v>4</v>
      </c>
      <c r="R23">
        <v>0</v>
      </c>
      <c r="S23">
        <v>1</v>
      </c>
      <c r="T23">
        <v>0</v>
      </c>
      <c r="U23">
        <v>900578</v>
      </c>
      <c r="V23">
        <v>900579</v>
      </c>
      <c r="W23" t="s">
        <v>1874</v>
      </c>
      <c r="X23" t="s">
        <v>4567</v>
      </c>
      <c r="Y23" t="s">
        <v>4677</v>
      </c>
      <c r="Z23">
        <v>900577</v>
      </c>
      <c r="AA23">
        <v>10</v>
      </c>
      <c r="AB23">
        <v>10</v>
      </c>
      <c r="AC23">
        <v>5</v>
      </c>
      <c r="AD23">
        <v>5</v>
      </c>
      <c r="AE23">
        <v>75</v>
      </c>
      <c r="AF23">
        <v>62</v>
      </c>
      <c r="AG23">
        <v>80</v>
      </c>
      <c r="AH23">
        <v>100</v>
      </c>
      <c r="AI23">
        <v>90</v>
      </c>
      <c r="AJ23">
        <v>0</v>
      </c>
      <c r="AK23">
        <v>180</v>
      </c>
      <c r="AL23">
        <v>10</v>
      </c>
      <c r="AM23">
        <v>150</v>
      </c>
      <c r="AN23">
        <v>95</v>
      </c>
      <c r="AO23">
        <v>20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28</v>
      </c>
      <c r="AZ23">
        <v>3045</v>
      </c>
      <c r="BA23">
        <v>7</v>
      </c>
      <c r="BB23" t="s">
        <v>4560</v>
      </c>
      <c r="BC23" t="s">
        <v>1874</v>
      </c>
      <c r="BD23">
        <v>910017</v>
      </c>
      <c r="BE23" t="s">
        <v>4561</v>
      </c>
      <c r="BF23" t="s">
        <v>4562</v>
      </c>
      <c r="BG23">
        <v>75</v>
      </c>
      <c r="BH23">
        <v>0</v>
      </c>
    </row>
    <row r="24" spans="1:60" x14ac:dyDescent="0.25">
      <c r="A24">
        <v>2002</v>
      </c>
      <c r="B24" t="s">
        <v>4678</v>
      </c>
      <c r="C24" t="s">
        <v>1012</v>
      </c>
      <c r="D24" t="s">
        <v>1012</v>
      </c>
      <c r="E24" t="s">
        <v>4679</v>
      </c>
      <c r="G24" t="s">
        <v>4553</v>
      </c>
      <c r="H24" t="s">
        <v>4680</v>
      </c>
      <c r="I24">
        <v>1</v>
      </c>
      <c r="J24">
        <v>2</v>
      </c>
      <c r="K24" t="s">
        <v>998</v>
      </c>
      <c r="L24">
        <v>5</v>
      </c>
      <c r="M24">
        <v>202</v>
      </c>
      <c r="N24" t="s">
        <v>996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900520</v>
      </c>
      <c r="V24">
        <v>900527</v>
      </c>
      <c r="W24" t="s">
        <v>1874</v>
      </c>
      <c r="X24" t="s">
        <v>4681</v>
      </c>
      <c r="Y24" t="s">
        <v>329</v>
      </c>
      <c r="Z24">
        <v>900519</v>
      </c>
      <c r="AA24">
        <v>10</v>
      </c>
      <c r="AB24">
        <v>10</v>
      </c>
      <c r="AC24">
        <v>5</v>
      </c>
      <c r="AD24">
        <v>5</v>
      </c>
      <c r="AE24">
        <v>132</v>
      </c>
      <c r="AF24">
        <v>105</v>
      </c>
      <c r="AG24">
        <v>65</v>
      </c>
      <c r="AH24">
        <v>105</v>
      </c>
      <c r="AI24">
        <v>75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329</v>
      </c>
      <c r="AV24" t="s">
        <v>329</v>
      </c>
      <c r="AW24" t="s">
        <v>329</v>
      </c>
      <c r="AX24" t="s">
        <v>329</v>
      </c>
      <c r="AY24">
        <v>12</v>
      </c>
      <c r="AZ24">
        <v>3045</v>
      </c>
      <c r="BA24">
        <v>8</v>
      </c>
      <c r="BB24" t="s">
        <v>4560</v>
      </c>
      <c r="BC24" t="s">
        <v>1874</v>
      </c>
      <c r="BD24">
        <v>910008</v>
      </c>
      <c r="BE24" t="s">
        <v>4561</v>
      </c>
      <c r="BF24" t="s">
        <v>4562</v>
      </c>
      <c r="BG24">
        <v>90</v>
      </c>
      <c r="BH24">
        <v>0</v>
      </c>
    </row>
    <row r="25" spans="1:60" x14ac:dyDescent="0.25">
      <c r="A25">
        <v>2012</v>
      </c>
      <c r="B25" t="s">
        <v>4682</v>
      </c>
      <c r="C25" t="s">
        <v>1025</v>
      </c>
      <c r="D25" t="s">
        <v>1025</v>
      </c>
      <c r="E25" t="s">
        <v>4683</v>
      </c>
      <c r="G25" t="s">
        <v>4553</v>
      </c>
      <c r="H25" t="s">
        <v>4684</v>
      </c>
      <c r="I25">
        <v>1</v>
      </c>
      <c r="J25">
        <v>2</v>
      </c>
      <c r="K25" t="s">
        <v>998</v>
      </c>
      <c r="L25">
        <v>5</v>
      </c>
      <c r="M25">
        <v>212</v>
      </c>
      <c r="N25" t="s">
        <v>996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900982</v>
      </c>
      <c r="V25">
        <v>900981</v>
      </c>
      <c r="W25" t="s">
        <v>1874</v>
      </c>
      <c r="X25" t="s">
        <v>4567</v>
      </c>
      <c r="Y25" t="s">
        <v>4685</v>
      </c>
      <c r="Z25">
        <v>900980</v>
      </c>
      <c r="AA25">
        <v>10</v>
      </c>
      <c r="AB25">
        <v>10</v>
      </c>
      <c r="AC25">
        <v>5</v>
      </c>
      <c r="AD25">
        <v>5</v>
      </c>
      <c r="AE25">
        <v>135</v>
      </c>
      <c r="AF25">
        <v>122</v>
      </c>
      <c r="AG25">
        <v>65</v>
      </c>
      <c r="AH25">
        <v>115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58</v>
      </c>
      <c r="AZ25">
        <v>3045</v>
      </c>
      <c r="BA25">
        <v>8</v>
      </c>
      <c r="BB25" t="s">
        <v>4560</v>
      </c>
      <c r="BC25" t="s">
        <v>1874</v>
      </c>
      <c r="BD25">
        <v>911008</v>
      </c>
      <c r="BE25" t="s">
        <v>4561</v>
      </c>
      <c r="BF25" t="s">
        <v>4562</v>
      </c>
      <c r="BG25">
        <v>90</v>
      </c>
      <c r="BH25">
        <v>0</v>
      </c>
    </row>
    <row r="26" spans="1:60" x14ac:dyDescent="0.25">
      <c r="A26">
        <v>2016</v>
      </c>
      <c r="B26" t="s">
        <v>5729</v>
      </c>
      <c r="C26" t="s">
        <v>5733</v>
      </c>
      <c r="D26" t="s">
        <v>5730</v>
      </c>
      <c r="E26" t="s">
        <v>5731</v>
      </c>
      <c r="G26" t="s">
        <v>4553</v>
      </c>
      <c r="H26" t="s">
        <v>5732</v>
      </c>
      <c r="I26">
        <v>1</v>
      </c>
      <c r="J26">
        <v>2</v>
      </c>
      <c r="K26" t="s">
        <v>998</v>
      </c>
      <c r="L26">
        <v>5</v>
      </c>
      <c r="M26">
        <v>216</v>
      </c>
      <c r="N26" t="s">
        <v>996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750298</v>
      </c>
      <c r="W26" t="s">
        <v>1874</v>
      </c>
      <c r="X26" t="s">
        <v>4567</v>
      </c>
      <c r="Y26" t="s">
        <v>4689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200</v>
      </c>
      <c r="AF26">
        <v>115</v>
      </c>
      <c r="AG26">
        <v>75</v>
      </c>
      <c r="AH26">
        <v>165</v>
      </c>
      <c r="AI26">
        <v>40</v>
      </c>
      <c r="AJ26">
        <v>0</v>
      </c>
      <c r="AK26">
        <v>15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108</v>
      </c>
      <c r="AZ26">
        <v>3045</v>
      </c>
      <c r="BA26">
        <v>8</v>
      </c>
      <c r="BB26" t="s">
        <v>4560</v>
      </c>
      <c r="BC26" t="s">
        <v>1874</v>
      </c>
      <c r="BD26">
        <v>913124</v>
      </c>
      <c r="BE26" t="s">
        <v>4561</v>
      </c>
      <c r="BF26" t="s">
        <v>4562</v>
      </c>
      <c r="BG26">
        <v>95</v>
      </c>
      <c r="BH26">
        <v>0</v>
      </c>
    </row>
    <row r="27" spans="1:60" x14ac:dyDescent="0.25">
      <c r="A27">
        <v>2008</v>
      </c>
      <c r="B27" t="s">
        <v>4686</v>
      </c>
      <c r="C27" t="s">
        <v>1020</v>
      </c>
      <c r="D27" t="s">
        <v>1020</v>
      </c>
      <c r="E27" t="s">
        <v>4687</v>
      </c>
      <c r="G27" t="s">
        <v>4553</v>
      </c>
      <c r="H27" t="s">
        <v>4688</v>
      </c>
      <c r="I27">
        <v>1</v>
      </c>
      <c r="J27">
        <v>2</v>
      </c>
      <c r="K27" t="s">
        <v>998</v>
      </c>
      <c r="L27">
        <v>5</v>
      </c>
      <c r="M27">
        <v>208</v>
      </c>
      <c r="N27" t="s">
        <v>996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900744</v>
      </c>
      <c r="W27" t="s">
        <v>1874</v>
      </c>
      <c r="X27" t="s">
        <v>4567</v>
      </c>
      <c r="Y27" t="s">
        <v>4689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140</v>
      </c>
      <c r="AF27">
        <v>100</v>
      </c>
      <c r="AG27">
        <v>75</v>
      </c>
      <c r="AH27">
        <v>130</v>
      </c>
      <c r="AI27">
        <v>80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57</v>
      </c>
      <c r="AZ27">
        <v>3045</v>
      </c>
      <c r="BA27">
        <v>8</v>
      </c>
      <c r="BB27" t="s">
        <v>4560</v>
      </c>
      <c r="BC27" t="s">
        <v>1874</v>
      </c>
      <c r="BD27">
        <v>911007</v>
      </c>
      <c r="BE27" t="s">
        <v>4561</v>
      </c>
      <c r="BF27" t="s">
        <v>4562</v>
      </c>
      <c r="BG27">
        <v>90</v>
      </c>
      <c r="BH27">
        <v>0</v>
      </c>
    </row>
    <row r="28" spans="1:60" x14ac:dyDescent="0.25">
      <c r="A28">
        <v>2015</v>
      </c>
      <c r="B28" t="s">
        <v>4563</v>
      </c>
      <c r="C28" t="s">
        <v>4564</v>
      </c>
      <c r="D28" t="s">
        <v>4564</v>
      </c>
      <c r="E28" t="s">
        <v>4565</v>
      </c>
      <c r="G28" t="s">
        <v>4553</v>
      </c>
      <c r="H28" t="s">
        <v>4566</v>
      </c>
      <c r="I28">
        <v>1</v>
      </c>
      <c r="J28">
        <v>2</v>
      </c>
      <c r="K28" t="s">
        <v>995</v>
      </c>
      <c r="L28">
        <v>5</v>
      </c>
      <c r="M28">
        <v>215</v>
      </c>
      <c r="N28" t="s">
        <v>996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750056</v>
      </c>
      <c r="V28">
        <v>750058</v>
      </c>
      <c r="W28" t="s">
        <v>1874</v>
      </c>
      <c r="X28" t="s">
        <v>4567</v>
      </c>
      <c r="Y28" t="s">
        <v>329</v>
      </c>
      <c r="Z28">
        <v>750057</v>
      </c>
      <c r="AA28">
        <v>10</v>
      </c>
      <c r="AB28">
        <v>10</v>
      </c>
      <c r="AC28">
        <v>5</v>
      </c>
      <c r="AD28">
        <v>5</v>
      </c>
      <c r="AE28">
        <v>80</v>
      </c>
      <c r="AF28">
        <v>140</v>
      </c>
      <c r="AG28">
        <v>70</v>
      </c>
      <c r="AH28">
        <v>130</v>
      </c>
      <c r="AI28">
        <v>55</v>
      </c>
      <c r="AJ28">
        <v>0</v>
      </c>
      <c r="AK28">
        <v>180</v>
      </c>
      <c r="AL28">
        <v>50</v>
      </c>
      <c r="AM28">
        <v>200</v>
      </c>
      <c r="AN28">
        <v>95</v>
      </c>
      <c r="AO28">
        <v>6</v>
      </c>
      <c r="AP28">
        <v>0</v>
      </c>
      <c r="AQ28">
        <v>2</v>
      </c>
      <c r="AR28">
        <v>15</v>
      </c>
      <c r="AS28">
        <v>500</v>
      </c>
      <c r="AT28">
        <v>9</v>
      </c>
      <c r="AU28" t="s">
        <v>329</v>
      </c>
      <c r="AV28" t="s">
        <v>329</v>
      </c>
      <c r="AW28" t="s">
        <v>329</v>
      </c>
      <c r="AX28" t="s">
        <v>329</v>
      </c>
      <c r="AY28">
        <v>56</v>
      </c>
      <c r="AZ28">
        <v>3045</v>
      </c>
      <c r="BA28">
        <v>17</v>
      </c>
      <c r="BB28" t="s">
        <v>4560</v>
      </c>
      <c r="BC28" t="s">
        <v>1874</v>
      </c>
      <c r="BD28">
        <v>911006</v>
      </c>
      <c r="BE28" t="s">
        <v>4561</v>
      </c>
      <c r="BF28" t="s">
        <v>4562</v>
      </c>
      <c r="BG28">
        <v>95</v>
      </c>
      <c r="BH28">
        <v>0</v>
      </c>
    </row>
    <row r="29" spans="1:60" x14ac:dyDescent="0.25">
      <c r="A29">
        <v>2006</v>
      </c>
      <c r="B29" t="s">
        <v>4690</v>
      </c>
      <c r="C29" t="s">
        <v>1019</v>
      </c>
      <c r="D29" t="s">
        <v>1019</v>
      </c>
      <c r="E29" t="s">
        <v>4691</v>
      </c>
      <c r="G29" t="s">
        <v>4553</v>
      </c>
      <c r="H29" t="s">
        <v>4692</v>
      </c>
      <c r="I29">
        <v>1</v>
      </c>
      <c r="J29">
        <v>2</v>
      </c>
      <c r="K29" t="s">
        <v>1016</v>
      </c>
      <c r="L29">
        <v>1</v>
      </c>
      <c r="M29">
        <v>206</v>
      </c>
      <c r="N29" t="s">
        <v>996</v>
      </c>
      <c r="O29">
        <v>10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900617</v>
      </c>
      <c r="V29">
        <v>900618</v>
      </c>
      <c r="W29" t="s">
        <v>1874</v>
      </c>
      <c r="X29" t="s">
        <v>4693</v>
      </c>
      <c r="Y29" t="s">
        <v>4694</v>
      </c>
      <c r="Z29">
        <v>900615</v>
      </c>
      <c r="AA29">
        <v>10</v>
      </c>
      <c r="AB29">
        <v>10</v>
      </c>
      <c r="AC29">
        <v>5</v>
      </c>
      <c r="AD29">
        <v>5</v>
      </c>
      <c r="AE29">
        <v>165</v>
      </c>
      <c r="AF29">
        <v>130</v>
      </c>
      <c r="AG29">
        <v>85</v>
      </c>
      <c r="AH29">
        <v>110</v>
      </c>
      <c r="AI29">
        <v>50</v>
      </c>
      <c r="AJ29">
        <v>120</v>
      </c>
      <c r="AK29">
        <v>180</v>
      </c>
      <c r="AL29">
        <v>20</v>
      </c>
      <c r="AM29">
        <v>150</v>
      </c>
      <c r="AN29">
        <v>75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5</v>
      </c>
      <c r="AU29" t="s">
        <v>329</v>
      </c>
      <c r="AV29" t="s">
        <v>329</v>
      </c>
      <c r="AW29" t="s">
        <v>329</v>
      </c>
      <c r="AX29" t="s">
        <v>329</v>
      </c>
      <c r="AY29">
        <v>16</v>
      </c>
      <c r="AZ29">
        <v>3045</v>
      </c>
      <c r="BA29">
        <v>9</v>
      </c>
      <c r="BB29" t="s">
        <v>4560</v>
      </c>
      <c r="BC29" t="s">
        <v>1874</v>
      </c>
      <c r="BD29">
        <v>910010</v>
      </c>
      <c r="BE29" t="s">
        <v>4561</v>
      </c>
      <c r="BF29" t="s">
        <v>4562</v>
      </c>
      <c r="BG29">
        <v>100</v>
      </c>
      <c r="BH29">
        <v>0</v>
      </c>
    </row>
    <row r="30" spans="1:60" x14ac:dyDescent="0.25">
      <c r="A30">
        <v>2004</v>
      </c>
      <c r="B30" t="s">
        <v>4695</v>
      </c>
      <c r="C30" t="s">
        <v>1015</v>
      </c>
      <c r="D30" t="s">
        <v>1015</v>
      </c>
      <c r="E30" t="s">
        <v>4696</v>
      </c>
      <c r="G30" t="s">
        <v>4553</v>
      </c>
      <c r="H30" t="s">
        <v>4697</v>
      </c>
      <c r="I30">
        <v>1</v>
      </c>
      <c r="J30">
        <v>2</v>
      </c>
      <c r="K30" t="s">
        <v>1016</v>
      </c>
      <c r="L30">
        <v>5</v>
      </c>
      <c r="M30">
        <v>204</v>
      </c>
      <c r="N30" t="s">
        <v>996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900612</v>
      </c>
      <c r="V30">
        <v>900613</v>
      </c>
      <c r="W30" t="s">
        <v>1874</v>
      </c>
      <c r="X30" t="s">
        <v>4567</v>
      </c>
      <c r="Y30" t="s">
        <v>329</v>
      </c>
      <c r="Z30">
        <v>900611</v>
      </c>
      <c r="AA30">
        <v>10</v>
      </c>
      <c r="AB30">
        <v>10</v>
      </c>
      <c r="AC30">
        <v>5</v>
      </c>
      <c r="AD30">
        <v>5</v>
      </c>
      <c r="AE30">
        <v>98</v>
      </c>
      <c r="AF30">
        <v>165</v>
      </c>
      <c r="AG30">
        <v>60</v>
      </c>
      <c r="AH30">
        <v>110</v>
      </c>
      <c r="AI30">
        <v>30</v>
      </c>
      <c r="AJ30">
        <v>50</v>
      </c>
      <c r="AK30">
        <v>100</v>
      </c>
      <c r="AL30">
        <v>20</v>
      </c>
      <c r="AM30">
        <v>150</v>
      </c>
      <c r="AN30">
        <v>95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14</v>
      </c>
      <c r="AZ30">
        <v>3045</v>
      </c>
      <c r="BA30">
        <v>9</v>
      </c>
      <c r="BB30" t="s">
        <v>4560</v>
      </c>
      <c r="BC30" t="s">
        <v>1874</v>
      </c>
      <c r="BD30">
        <v>910016</v>
      </c>
      <c r="BE30" t="s">
        <v>4561</v>
      </c>
      <c r="BF30" t="s">
        <v>4562</v>
      </c>
      <c r="BG30">
        <v>100</v>
      </c>
      <c r="BH30">
        <v>0</v>
      </c>
    </row>
    <row r="31" spans="1:60" x14ac:dyDescent="0.25">
      <c r="A31">
        <v>2011</v>
      </c>
      <c r="B31" t="s">
        <v>4698</v>
      </c>
      <c r="C31" t="s">
        <v>1023</v>
      </c>
      <c r="D31" t="s">
        <v>1023</v>
      </c>
      <c r="E31" t="s">
        <v>4699</v>
      </c>
      <c r="G31" t="s">
        <v>4553</v>
      </c>
      <c r="H31" t="s">
        <v>4700</v>
      </c>
      <c r="I31">
        <v>1</v>
      </c>
      <c r="J31">
        <v>2</v>
      </c>
      <c r="K31" t="s">
        <v>1024</v>
      </c>
      <c r="L31">
        <v>5</v>
      </c>
      <c r="M31">
        <v>211</v>
      </c>
      <c r="N31" t="s">
        <v>996</v>
      </c>
      <c r="O31">
        <v>4</v>
      </c>
      <c r="P31">
        <v>0</v>
      </c>
      <c r="Q31">
        <v>4</v>
      </c>
      <c r="R31">
        <v>0</v>
      </c>
      <c r="S31">
        <v>1</v>
      </c>
      <c r="T31">
        <v>0</v>
      </c>
      <c r="U31">
        <v>900934</v>
      </c>
      <c r="V31">
        <v>900937</v>
      </c>
      <c r="W31" t="s">
        <v>1874</v>
      </c>
      <c r="X31" t="s">
        <v>4567</v>
      </c>
      <c r="Y31" t="s">
        <v>4701</v>
      </c>
      <c r="Z31">
        <v>900574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75</v>
      </c>
      <c r="AG31">
        <v>120</v>
      </c>
      <c r="AH31">
        <v>110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12</v>
      </c>
      <c r="AP31">
        <v>0</v>
      </c>
      <c r="AQ31">
        <v>1</v>
      </c>
      <c r="AR31">
        <v>15</v>
      </c>
      <c r="AS31">
        <v>500</v>
      </c>
      <c r="AT31">
        <v>4</v>
      </c>
      <c r="AU31" t="s">
        <v>329</v>
      </c>
      <c r="AV31" t="s">
        <v>329</v>
      </c>
      <c r="AW31" t="s">
        <v>329</v>
      </c>
      <c r="AX31" t="s">
        <v>329</v>
      </c>
      <c r="AY31">
        <v>55</v>
      </c>
      <c r="AZ31">
        <v>3045</v>
      </c>
      <c r="BA31">
        <v>21</v>
      </c>
      <c r="BB31" t="s">
        <v>4560</v>
      </c>
      <c r="BC31" t="s">
        <v>1874</v>
      </c>
      <c r="BD31">
        <v>911001</v>
      </c>
      <c r="BE31" t="s">
        <v>4561</v>
      </c>
      <c r="BF31" t="s">
        <v>4562</v>
      </c>
      <c r="BG31">
        <v>80</v>
      </c>
      <c r="BH31">
        <v>0</v>
      </c>
    </row>
    <row r="32" spans="1:60" x14ac:dyDescent="0.25">
      <c r="A32">
        <v>2009</v>
      </c>
      <c r="B32" t="s">
        <v>4702</v>
      </c>
      <c r="C32" t="s">
        <v>1021</v>
      </c>
      <c r="D32" t="s">
        <v>1021</v>
      </c>
      <c r="E32" t="s">
        <v>4703</v>
      </c>
      <c r="G32" t="s">
        <v>4553</v>
      </c>
      <c r="H32" t="s">
        <v>4704</v>
      </c>
      <c r="I32">
        <v>1</v>
      </c>
      <c r="J32">
        <v>2</v>
      </c>
      <c r="K32" t="s">
        <v>995</v>
      </c>
      <c r="L32">
        <v>5</v>
      </c>
      <c r="M32">
        <v>209</v>
      </c>
      <c r="N32" t="s">
        <v>996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900770</v>
      </c>
      <c r="V32">
        <v>910774</v>
      </c>
      <c r="W32" t="s">
        <v>1874</v>
      </c>
      <c r="X32" t="s">
        <v>4705</v>
      </c>
      <c r="Y32" t="s">
        <v>4706</v>
      </c>
      <c r="Z32">
        <v>900772</v>
      </c>
      <c r="AA32">
        <v>10</v>
      </c>
      <c r="AB32">
        <v>10</v>
      </c>
      <c r="AC32">
        <v>5</v>
      </c>
      <c r="AD32">
        <v>5</v>
      </c>
      <c r="AE32">
        <v>115</v>
      </c>
      <c r="AF32">
        <v>72</v>
      </c>
      <c r="AG32">
        <v>100</v>
      </c>
      <c r="AH32">
        <v>85</v>
      </c>
      <c r="AI32">
        <v>140</v>
      </c>
      <c r="AJ32">
        <v>0</v>
      </c>
      <c r="AK32">
        <v>15</v>
      </c>
      <c r="AL32">
        <v>10</v>
      </c>
      <c r="AM32">
        <v>150</v>
      </c>
      <c r="AN32">
        <v>95</v>
      </c>
      <c r="AO32">
        <v>15</v>
      </c>
      <c r="AP32">
        <v>0</v>
      </c>
      <c r="AQ32">
        <v>2</v>
      </c>
      <c r="AR32">
        <v>15</v>
      </c>
      <c r="AS32">
        <v>500</v>
      </c>
      <c r="AT32">
        <v>7</v>
      </c>
      <c r="AU32" t="s">
        <v>329</v>
      </c>
      <c r="AV32" t="s">
        <v>329</v>
      </c>
      <c r="AW32" t="s">
        <v>329</v>
      </c>
      <c r="AX32" t="s">
        <v>329</v>
      </c>
      <c r="AY32">
        <v>86</v>
      </c>
      <c r="AZ32">
        <v>3045</v>
      </c>
      <c r="BA32">
        <v>8</v>
      </c>
      <c r="BB32" t="s">
        <v>4560</v>
      </c>
      <c r="BC32" t="s">
        <v>1874</v>
      </c>
      <c r="BD32">
        <v>911104</v>
      </c>
      <c r="BE32" t="s">
        <v>4561</v>
      </c>
      <c r="BF32" t="s">
        <v>4562</v>
      </c>
      <c r="BG32">
        <v>90</v>
      </c>
      <c r="BH32">
        <v>0</v>
      </c>
    </row>
    <row r="33" spans="1:61" x14ac:dyDescent="0.25">
      <c r="A33">
        <v>2013</v>
      </c>
      <c r="B33" t="s">
        <v>4707</v>
      </c>
      <c r="C33" t="s">
        <v>1026</v>
      </c>
      <c r="D33" t="s">
        <v>1026</v>
      </c>
      <c r="E33" t="s">
        <v>4708</v>
      </c>
      <c r="G33" t="s">
        <v>4553</v>
      </c>
      <c r="H33" t="s">
        <v>4709</v>
      </c>
      <c r="I33">
        <v>1</v>
      </c>
      <c r="J33">
        <v>2</v>
      </c>
      <c r="K33" t="s">
        <v>995</v>
      </c>
      <c r="L33">
        <v>5</v>
      </c>
      <c r="M33">
        <v>213</v>
      </c>
      <c r="N33" t="s">
        <v>996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901251</v>
      </c>
      <c r="V33">
        <v>901253</v>
      </c>
      <c r="W33" t="s">
        <v>1874</v>
      </c>
      <c r="X33" t="s">
        <v>4710</v>
      </c>
      <c r="Y33" t="s">
        <v>4711</v>
      </c>
      <c r="Z33">
        <v>901250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100</v>
      </c>
      <c r="AG33">
        <v>115</v>
      </c>
      <c r="AH33">
        <v>80</v>
      </c>
      <c r="AI33">
        <v>45</v>
      </c>
      <c r="AJ33">
        <v>0</v>
      </c>
      <c r="AK33">
        <v>180</v>
      </c>
      <c r="AL33">
        <v>5</v>
      </c>
      <c r="AM33">
        <v>150</v>
      </c>
      <c r="AN33">
        <v>95</v>
      </c>
      <c r="AO33">
        <v>5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59</v>
      </c>
      <c r="AZ33">
        <v>3045</v>
      </c>
      <c r="BA33">
        <v>18</v>
      </c>
      <c r="BB33" t="s">
        <v>4560</v>
      </c>
      <c r="BC33" t="s">
        <v>1874</v>
      </c>
      <c r="BD33">
        <v>911012</v>
      </c>
      <c r="BE33" t="s">
        <v>4561</v>
      </c>
      <c r="BF33" t="s">
        <v>4562</v>
      </c>
      <c r="BG33">
        <v>95</v>
      </c>
      <c r="BH33">
        <v>0</v>
      </c>
    </row>
    <row r="34" spans="1:61" x14ac:dyDescent="0.25">
      <c r="A34">
        <v>2005</v>
      </c>
      <c r="B34" t="s">
        <v>4712</v>
      </c>
      <c r="C34" t="s">
        <v>1017</v>
      </c>
      <c r="D34" t="s">
        <v>1017</v>
      </c>
      <c r="E34" t="s">
        <v>4713</v>
      </c>
      <c r="G34" t="s">
        <v>4553</v>
      </c>
      <c r="H34" t="s">
        <v>4714</v>
      </c>
      <c r="I34">
        <v>1</v>
      </c>
      <c r="J34">
        <v>2</v>
      </c>
      <c r="K34" t="s">
        <v>1018</v>
      </c>
      <c r="L34">
        <v>5</v>
      </c>
      <c r="M34">
        <v>205</v>
      </c>
      <c r="N34" t="s">
        <v>996</v>
      </c>
      <c r="O34">
        <v>3</v>
      </c>
      <c r="P34">
        <v>0</v>
      </c>
      <c r="Q34">
        <v>4</v>
      </c>
      <c r="R34">
        <v>0</v>
      </c>
      <c r="S34">
        <v>1</v>
      </c>
      <c r="T34">
        <v>0</v>
      </c>
      <c r="U34">
        <v>900653</v>
      </c>
      <c r="V34">
        <v>900661</v>
      </c>
      <c r="W34" t="s">
        <v>1874</v>
      </c>
      <c r="X34" t="s">
        <v>4715</v>
      </c>
      <c r="Y34" t="s">
        <v>4716</v>
      </c>
      <c r="Z34">
        <v>900655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100</v>
      </c>
      <c r="AG34">
        <v>105</v>
      </c>
      <c r="AH34">
        <v>105</v>
      </c>
      <c r="AI34">
        <v>50</v>
      </c>
      <c r="AJ34">
        <v>60</v>
      </c>
      <c r="AK34">
        <v>15</v>
      </c>
      <c r="AL34">
        <v>20</v>
      </c>
      <c r="AM34">
        <v>150</v>
      </c>
      <c r="AN34">
        <v>95</v>
      </c>
      <c r="AO34">
        <v>10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30</v>
      </c>
      <c r="AZ34">
        <v>3045</v>
      </c>
      <c r="BA34">
        <v>9</v>
      </c>
      <c r="BB34" t="s">
        <v>4560</v>
      </c>
      <c r="BC34" t="s">
        <v>1874</v>
      </c>
      <c r="BD34">
        <v>910018</v>
      </c>
      <c r="BE34" t="s">
        <v>4561</v>
      </c>
      <c r="BF34" t="s">
        <v>4562</v>
      </c>
      <c r="BG34">
        <v>100</v>
      </c>
      <c r="BH34">
        <v>0</v>
      </c>
    </row>
    <row r="35" spans="1:61" x14ac:dyDescent="0.25">
      <c r="A35">
        <v>2017</v>
      </c>
      <c r="B35" t="s">
        <v>6431</v>
      </c>
      <c r="C35" t="s">
        <v>6438</v>
      </c>
      <c r="D35" t="s">
        <v>6432</v>
      </c>
      <c r="E35" t="s">
        <v>6433</v>
      </c>
      <c r="F35" t="s">
        <v>6422</v>
      </c>
      <c r="G35" t="s">
        <v>4553</v>
      </c>
      <c r="H35" t="s">
        <v>6434</v>
      </c>
      <c r="I35">
        <v>1</v>
      </c>
      <c r="J35">
        <v>2</v>
      </c>
      <c r="K35" t="s">
        <v>995</v>
      </c>
      <c r="L35">
        <v>5</v>
      </c>
      <c r="M35">
        <v>217</v>
      </c>
      <c r="N35" t="s">
        <v>996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750377</v>
      </c>
      <c r="W35" t="s">
        <v>1874</v>
      </c>
      <c r="X35" t="s">
        <v>4567</v>
      </c>
      <c r="Y35" t="s">
        <v>329</v>
      </c>
      <c r="Z35">
        <v>750378</v>
      </c>
      <c r="AA35">
        <v>10</v>
      </c>
      <c r="AB35">
        <v>10</v>
      </c>
      <c r="AC35">
        <v>5</v>
      </c>
      <c r="AD35">
        <v>5</v>
      </c>
      <c r="AE35">
        <v>110</v>
      </c>
      <c r="AF35">
        <v>80</v>
      </c>
      <c r="AG35">
        <v>110</v>
      </c>
      <c r="AH35">
        <v>125</v>
      </c>
      <c r="AI35">
        <v>100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121</v>
      </c>
      <c r="AZ35">
        <v>3045</v>
      </c>
      <c r="BA35">
        <v>8</v>
      </c>
      <c r="BB35" t="s">
        <v>4560</v>
      </c>
      <c r="BC35" t="s">
        <v>1874</v>
      </c>
      <c r="BD35">
        <v>913101</v>
      </c>
      <c r="BE35" t="s">
        <v>4561</v>
      </c>
      <c r="BF35" t="s">
        <v>4562</v>
      </c>
      <c r="BG35">
        <v>90</v>
      </c>
      <c r="BH35">
        <v>0</v>
      </c>
      <c r="BI35">
        <v>0</v>
      </c>
    </row>
    <row r="36" spans="1:61" x14ac:dyDescent="0.25">
      <c r="A36">
        <v>2010</v>
      </c>
      <c r="B36" t="s">
        <v>4717</v>
      </c>
      <c r="C36" t="s">
        <v>1022</v>
      </c>
      <c r="D36" t="s">
        <v>1022</v>
      </c>
      <c r="E36" t="s">
        <v>4718</v>
      </c>
      <c r="G36" t="s">
        <v>4553</v>
      </c>
      <c r="H36" t="s">
        <v>4719</v>
      </c>
      <c r="I36">
        <v>1</v>
      </c>
      <c r="J36">
        <v>2</v>
      </c>
      <c r="K36" t="s">
        <v>995</v>
      </c>
      <c r="L36">
        <v>5</v>
      </c>
      <c r="M36">
        <v>210</v>
      </c>
      <c r="N36" t="s">
        <v>996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900841</v>
      </c>
      <c r="V36">
        <v>900842</v>
      </c>
      <c r="W36" t="s">
        <v>1874</v>
      </c>
      <c r="X36" t="s">
        <v>4567</v>
      </c>
      <c r="Y36" t="s">
        <v>4720</v>
      </c>
      <c r="Z36">
        <v>900840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95</v>
      </c>
      <c r="AG36">
        <v>105</v>
      </c>
      <c r="AH36">
        <v>115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2</v>
      </c>
      <c r="AR36">
        <v>15</v>
      </c>
      <c r="AS36">
        <v>500</v>
      </c>
      <c r="AT36">
        <v>7</v>
      </c>
      <c r="AU36" t="s">
        <v>329</v>
      </c>
      <c r="AV36" t="s">
        <v>329</v>
      </c>
      <c r="AW36" t="s">
        <v>329</v>
      </c>
      <c r="AX36" t="s">
        <v>329</v>
      </c>
      <c r="AY36">
        <v>94</v>
      </c>
      <c r="AZ36">
        <v>3045</v>
      </c>
      <c r="BA36">
        <v>8</v>
      </c>
      <c r="BB36" t="s">
        <v>4560</v>
      </c>
      <c r="BC36" t="s">
        <v>1874</v>
      </c>
      <c r="BD36">
        <v>911105</v>
      </c>
      <c r="BE36" t="s">
        <v>4561</v>
      </c>
      <c r="BF36" t="s">
        <v>4562</v>
      </c>
      <c r="BG36">
        <v>90</v>
      </c>
      <c r="BH36">
        <v>0</v>
      </c>
    </row>
    <row r="37" spans="1:61" x14ac:dyDescent="0.25">
      <c r="A37">
        <v>3006</v>
      </c>
      <c r="B37" t="s">
        <v>4721</v>
      </c>
      <c r="C37" t="s">
        <v>1033</v>
      </c>
      <c r="D37" t="s">
        <v>1033</v>
      </c>
      <c r="E37" t="s">
        <v>4722</v>
      </c>
      <c r="G37" t="s">
        <v>4553</v>
      </c>
      <c r="H37" t="s">
        <v>4723</v>
      </c>
      <c r="I37">
        <v>1</v>
      </c>
      <c r="J37">
        <v>3</v>
      </c>
      <c r="K37" t="s">
        <v>1024</v>
      </c>
      <c r="L37">
        <v>5</v>
      </c>
      <c r="M37">
        <v>306</v>
      </c>
      <c r="N37" t="s">
        <v>996</v>
      </c>
      <c r="O37">
        <v>2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900676</v>
      </c>
      <c r="W37" t="s">
        <v>1874</v>
      </c>
      <c r="X37" t="s">
        <v>4715</v>
      </c>
      <c r="Y37" t="s">
        <v>4724</v>
      </c>
      <c r="Z37">
        <v>900654</v>
      </c>
      <c r="AA37">
        <v>10</v>
      </c>
      <c r="AB37">
        <v>10</v>
      </c>
      <c r="AC37">
        <v>5</v>
      </c>
      <c r="AD37">
        <v>5</v>
      </c>
      <c r="AE37">
        <v>36</v>
      </c>
      <c r="AF37">
        <v>90</v>
      </c>
      <c r="AG37">
        <v>100</v>
      </c>
      <c r="AH37">
        <v>100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1</v>
      </c>
      <c r="AR37">
        <v>15</v>
      </c>
      <c r="AS37">
        <v>500</v>
      </c>
      <c r="AT37">
        <v>3</v>
      </c>
      <c r="AU37" t="s">
        <v>329</v>
      </c>
      <c r="AV37" t="s">
        <v>329</v>
      </c>
      <c r="AW37" t="s">
        <v>329</v>
      </c>
      <c r="AX37" t="s">
        <v>329</v>
      </c>
      <c r="AY37">
        <v>6</v>
      </c>
      <c r="AZ37">
        <v>3045</v>
      </c>
      <c r="BA37">
        <v>18</v>
      </c>
      <c r="BB37" t="s">
        <v>4560</v>
      </c>
      <c r="BC37" t="s">
        <v>1874</v>
      </c>
      <c r="BD37">
        <v>910003</v>
      </c>
      <c r="BE37" t="s">
        <v>4561</v>
      </c>
      <c r="BF37" t="s">
        <v>4562</v>
      </c>
      <c r="BG37">
        <v>95</v>
      </c>
      <c r="BH37">
        <v>0</v>
      </c>
    </row>
    <row r="38" spans="1:61" x14ac:dyDescent="0.25">
      <c r="A38">
        <v>3010</v>
      </c>
      <c r="B38" t="s">
        <v>4725</v>
      </c>
      <c r="C38" t="s">
        <v>1038</v>
      </c>
      <c r="D38" t="s">
        <v>1038</v>
      </c>
      <c r="E38" t="s">
        <v>4726</v>
      </c>
      <c r="G38" t="s">
        <v>4553</v>
      </c>
      <c r="H38" t="s">
        <v>4727</v>
      </c>
      <c r="I38">
        <v>1</v>
      </c>
      <c r="J38">
        <v>3</v>
      </c>
      <c r="K38" t="s">
        <v>1016</v>
      </c>
      <c r="L38">
        <v>1</v>
      </c>
      <c r="M38">
        <v>310</v>
      </c>
      <c r="N38" t="s">
        <v>996</v>
      </c>
      <c r="O38">
        <v>8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901041</v>
      </c>
      <c r="W38" t="s">
        <v>1874</v>
      </c>
      <c r="X38" t="s">
        <v>4728</v>
      </c>
      <c r="Y38" t="s">
        <v>329</v>
      </c>
      <c r="Z38">
        <v>900107</v>
      </c>
      <c r="AA38">
        <v>10</v>
      </c>
      <c r="AB38">
        <v>10</v>
      </c>
      <c r="AC38">
        <v>5</v>
      </c>
      <c r="AD38">
        <v>5</v>
      </c>
      <c r="AE38">
        <v>160</v>
      </c>
      <c r="AF38">
        <v>320</v>
      </c>
      <c r="AG38">
        <v>90</v>
      </c>
      <c r="AH38">
        <v>350</v>
      </c>
      <c r="AI38">
        <v>0</v>
      </c>
      <c r="AJ38">
        <v>90</v>
      </c>
      <c r="AK38">
        <v>100</v>
      </c>
      <c r="AL38">
        <v>5</v>
      </c>
      <c r="AM38">
        <v>150</v>
      </c>
      <c r="AN38">
        <v>75</v>
      </c>
      <c r="AO38">
        <v>3</v>
      </c>
      <c r="AP38">
        <v>0</v>
      </c>
      <c r="AQ38">
        <v>2</v>
      </c>
      <c r="AR38">
        <v>15</v>
      </c>
      <c r="AS38">
        <v>500</v>
      </c>
      <c r="AT38">
        <v>5</v>
      </c>
      <c r="AU38" t="s">
        <v>329</v>
      </c>
      <c r="AV38" t="s">
        <v>329</v>
      </c>
      <c r="AW38" t="s">
        <v>329</v>
      </c>
      <c r="AX38" t="s">
        <v>329</v>
      </c>
      <c r="AY38">
        <v>99</v>
      </c>
      <c r="AZ38">
        <v>3045</v>
      </c>
      <c r="BA38">
        <v>21</v>
      </c>
      <c r="BB38" t="s">
        <v>4560</v>
      </c>
      <c r="BC38" t="s">
        <v>1874</v>
      </c>
      <c r="BD38">
        <v>910021</v>
      </c>
      <c r="BE38" t="s">
        <v>4561</v>
      </c>
      <c r="BF38" t="s">
        <v>4562</v>
      </c>
      <c r="BG38">
        <v>100</v>
      </c>
      <c r="BH38">
        <v>0</v>
      </c>
    </row>
    <row r="39" spans="1:61" x14ac:dyDescent="0.25">
      <c r="A39">
        <v>3003</v>
      </c>
      <c r="B39" t="s">
        <v>4729</v>
      </c>
      <c r="C39" t="s">
        <v>1030</v>
      </c>
      <c r="D39" t="s">
        <v>1030</v>
      </c>
      <c r="E39" t="s">
        <v>4730</v>
      </c>
      <c r="G39" t="s">
        <v>4553</v>
      </c>
      <c r="H39" t="s">
        <v>4731</v>
      </c>
      <c r="I39">
        <v>1</v>
      </c>
      <c r="J39">
        <v>3</v>
      </c>
      <c r="K39" t="s">
        <v>998</v>
      </c>
      <c r="L39">
        <v>5</v>
      </c>
      <c r="M39">
        <v>303</v>
      </c>
      <c r="N39" t="s">
        <v>996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900525</v>
      </c>
      <c r="W39" t="s">
        <v>1874</v>
      </c>
      <c r="X39" t="s">
        <v>4567</v>
      </c>
      <c r="Y39" t="s">
        <v>4732</v>
      </c>
      <c r="Z39">
        <v>900524</v>
      </c>
      <c r="AA39">
        <v>10</v>
      </c>
      <c r="AB39">
        <v>10</v>
      </c>
      <c r="AC39">
        <v>5</v>
      </c>
      <c r="AD39">
        <v>5</v>
      </c>
      <c r="AE39">
        <v>135</v>
      </c>
      <c r="AF39">
        <v>80</v>
      </c>
      <c r="AG39">
        <v>75</v>
      </c>
      <c r="AH39">
        <v>120</v>
      </c>
      <c r="AI39">
        <v>80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10</v>
      </c>
      <c r="AZ39">
        <v>3045</v>
      </c>
      <c r="BA39">
        <v>16</v>
      </c>
      <c r="BB39" t="s">
        <v>4560</v>
      </c>
      <c r="BC39" t="s">
        <v>1874</v>
      </c>
      <c r="BD39">
        <v>910007</v>
      </c>
      <c r="BE39" t="s">
        <v>4561</v>
      </c>
      <c r="BF39" t="s">
        <v>4562</v>
      </c>
      <c r="BG39">
        <v>92</v>
      </c>
      <c r="BH39">
        <v>0</v>
      </c>
    </row>
    <row r="40" spans="1:61" x14ac:dyDescent="0.25">
      <c r="A40">
        <v>3004</v>
      </c>
      <c r="B40" t="s">
        <v>4733</v>
      </c>
      <c r="C40" t="s">
        <v>1031</v>
      </c>
      <c r="D40" t="s">
        <v>1031</v>
      </c>
      <c r="E40" t="s">
        <v>4734</v>
      </c>
      <c r="G40" t="s">
        <v>4553</v>
      </c>
      <c r="H40" t="s">
        <v>4735</v>
      </c>
      <c r="I40">
        <v>1</v>
      </c>
      <c r="J40">
        <v>3</v>
      </c>
      <c r="K40" t="s">
        <v>995</v>
      </c>
      <c r="L40">
        <v>5</v>
      </c>
      <c r="M40">
        <v>304</v>
      </c>
      <c r="N40" t="s">
        <v>996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900523</v>
      </c>
      <c r="W40" t="s">
        <v>1874</v>
      </c>
      <c r="X40" t="s">
        <v>4567</v>
      </c>
      <c r="Y40" t="s">
        <v>329</v>
      </c>
      <c r="Z40">
        <v>900522</v>
      </c>
      <c r="AA40">
        <v>10</v>
      </c>
      <c r="AB40">
        <v>10</v>
      </c>
      <c r="AC40">
        <v>5</v>
      </c>
      <c r="AD40">
        <v>5</v>
      </c>
      <c r="AE40">
        <v>65</v>
      </c>
      <c r="AF40">
        <v>105</v>
      </c>
      <c r="AG40">
        <v>65</v>
      </c>
      <c r="AH40">
        <v>125</v>
      </c>
      <c r="AI40">
        <v>55</v>
      </c>
      <c r="AJ40">
        <v>0</v>
      </c>
      <c r="AK40">
        <v>180</v>
      </c>
      <c r="AL40">
        <v>50</v>
      </c>
      <c r="AM40">
        <v>200</v>
      </c>
      <c r="AN40">
        <v>95</v>
      </c>
      <c r="AO40">
        <v>6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9</v>
      </c>
      <c r="AZ40">
        <v>3045</v>
      </c>
      <c r="BA40">
        <v>17</v>
      </c>
      <c r="BB40" t="s">
        <v>4560</v>
      </c>
      <c r="BC40" t="s">
        <v>1874</v>
      </c>
      <c r="BD40">
        <v>910006</v>
      </c>
      <c r="BE40" t="s">
        <v>4561</v>
      </c>
      <c r="BF40" t="s">
        <v>4562</v>
      </c>
      <c r="BG40">
        <v>100</v>
      </c>
      <c r="BH40">
        <v>0</v>
      </c>
    </row>
    <row r="41" spans="1:61" x14ac:dyDescent="0.25">
      <c r="A41">
        <v>3009</v>
      </c>
      <c r="B41" t="s">
        <v>4736</v>
      </c>
      <c r="C41" t="s">
        <v>1036</v>
      </c>
      <c r="D41" t="s">
        <v>1036</v>
      </c>
      <c r="E41" t="s">
        <v>4737</v>
      </c>
      <c r="G41" t="s">
        <v>4553</v>
      </c>
      <c r="H41" t="s">
        <v>4738</v>
      </c>
      <c r="I41">
        <v>1</v>
      </c>
      <c r="J41">
        <v>3</v>
      </c>
      <c r="K41" t="s">
        <v>1037</v>
      </c>
      <c r="L41">
        <v>5</v>
      </c>
      <c r="M41">
        <v>309</v>
      </c>
      <c r="N41" t="s">
        <v>996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900741</v>
      </c>
      <c r="W41" t="s">
        <v>1874</v>
      </c>
      <c r="X41" t="s">
        <v>4567</v>
      </c>
      <c r="Y41" t="s">
        <v>329</v>
      </c>
      <c r="Z41">
        <v>900740</v>
      </c>
      <c r="AA41">
        <v>10</v>
      </c>
      <c r="AB41">
        <v>10</v>
      </c>
      <c r="AC41">
        <v>5</v>
      </c>
      <c r="AD41">
        <v>5</v>
      </c>
      <c r="AE41">
        <v>55</v>
      </c>
      <c r="AF41">
        <v>72</v>
      </c>
      <c r="AG41">
        <v>50</v>
      </c>
      <c r="AH41">
        <v>130</v>
      </c>
      <c r="AI41">
        <v>90</v>
      </c>
      <c r="AJ41">
        <v>0</v>
      </c>
      <c r="AK41">
        <v>100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9</v>
      </c>
      <c r="AU41" t="s">
        <v>329</v>
      </c>
      <c r="AV41" t="s">
        <v>329</v>
      </c>
      <c r="AW41" t="s">
        <v>329</v>
      </c>
      <c r="AX41" t="s">
        <v>329</v>
      </c>
      <c r="AY41">
        <v>13</v>
      </c>
      <c r="AZ41">
        <v>3045</v>
      </c>
      <c r="BA41">
        <v>21</v>
      </c>
      <c r="BB41" t="s">
        <v>4560</v>
      </c>
      <c r="BC41" t="s">
        <v>1874</v>
      </c>
      <c r="BD41">
        <v>910009</v>
      </c>
      <c r="BE41" t="s">
        <v>4561</v>
      </c>
      <c r="BF41" t="s">
        <v>4562</v>
      </c>
      <c r="BG41">
        <v>80</v>
      </c>
      <c r="BH41">
        <v>0</v>
      </c>
    </row>
    <row r="42" spans="1:61" x14ac:dyDescent="0.25">
      <c r="A42">
        <v>3008</v>
      </c>
      <c r="B42" t="s">
        <v>4739</v>
      </c>
      <c r="C42" t="s">
        <v>1035</v>
      </c>
      <c r="D42" t="s">
        <v>1035</v>
      </c>
      <c r="E42" t="s">
        <v>4740</v>
      </c>
      <c r="G42" t="s">
        <v>4553</v>
      </c>
      <c r="H42" t="s">
        <v>4741</v>
      </c>
      <c r="I42">
        <v>1</v>
      </c>
      <c r="J42">
        <v>3</v>
      </c>
      <c r="K42" t="s">
        <v>1024</v>
      </c>
      <c r="L42">
        <v>5</v>
      </c>
      <c r="M42">
        <v>308</v>
      </c>
      <c r="N42" t="s">
        <v>996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900575</v>
      </c>
      <c r="W42" t="s">
        <v>1874</v>
      </c>
      <c r="X42" t="s">
        <v>4567</v>
      </c>
      <c r="Y42" t="s">
        <v>4742</v>
      </c>
      <c r="Z42">
        <v>900574</v>
      </c>
      <c r="AA42">
        <v>10</v>
      </c>
      <c r="AB42">
        <v>10</v>
      </c>
      <c r="AC42">
        <v>5</v>
      </c>
      <c r="AD42">
        <v>5</v>
      </c>
      <c r="AE42">
        <v>90</v>
      </c>
      <c r="AF42">
        <v>68</v>
      </c>
      <c r="AG42">
        <v>120</v>
      </c>
      <c r="AH42">
        <v>110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12</v>
      </c>
      <c r="AP42">
        <v>0</v>
      </c>
      <c r="AQ42">
        <v>1</v>
      </c>
      <c r="AR42">
        <v>15</v>
      </c>
      <c r="AS42">
        <v>500</v>
      </c>
      <c r="AT42">
        <v>4</v>
      </c>
      <c r="AU42" t="s">
        <v>329</v>
      </c>
      <c r="AV42" t="s">
        <v>329</v>
      </c>
      <c r="AW42" t="s">
        <v>329</v>
      </c>
      <c r="AX42" t="s">
        <v>329</v>
      </c>
      <c r="AY42">
        <v>2</v>
      </c>
      <c r="AZ42">
        <v>3045</v>
      </c>
      <c r="BA42">
        <v>21</v>
      </c>
      <c r="BB42" t="s">
        <v>4560</v>
      </c>
      <c r="BC42" t="s">
        <v>1874</v>
      </c>
      <c r="BD42">
        <v>910001</v>
      </c>
      <c r="BE42" t="s">
        <v>4561</v>
      </c>
      <c r="BF42" t="s">
        <v>4562</v>
      </c>
      <c r="BG42">
        <v>80</v>
      </c>
      <c r="BH42">
        <v>0</v>
      </c>
    </row>
    <row r="43" spans="1:61" x14ac:dyDescent="0.25">
      <c r="A43">
        <v>3001</v>
      </c>
      <c r="B43" t="s">
        <v>4743</v>
      </c>
      <c r="C43" t="s">
        <v>1028</v>
      </c>
      <c r="D43" t="s">
        <v>1028</v>
      </c>
      <c r="E43" t="s">
        <v>4744</v>
      </c>
      <c r="G43" t="s">
        <v>4553</v>
      </c>
      <c r="H43" t="s">
        <v>4745</v>
      </c>
      <c r="I43">
        <v>1</v>
      </c>
      <c r="J43">
        <v>3</v>
      </c>
      <c r="K43" t="s">
        <v>995</v>
      </c>
      <c r="L43">
        <v>5</v>
      </c>
      <c r="M43">
        <v>301</v>
      </c>
      <c r="N43" t="s">
        <v>996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600501</v>
      </c>
      <c r="W43" t="s">
        <v>1874</v>
      </c>
      <c r="X43" t="s">
        <v>4567</v>
      </c>
      <c r="Y43" t="s">
        <v>4746</v>
      </c>
      <c r="Z43">
        <v>600503</v>
      </c>
      <c r="AA43">
        <v>10</v>
      </c>
      <c r="AB43">
        <v>10</v>
      </c>
      <c r="AC43">
        <v>5</v>
      </c>
      <c r="AD43">
        <v>5</v>
      </c>
      <c r="AE43">
        <v>100</v>
      </c>
      <c r="AF43">
        <v>62</v>
      </c>
      <c r="AG43">
        <v>100</v>
      </c>
      <c r="AH43">
        <v>65</v>
      </c>
      <c r="AI43">
        <v>130</v>
      </c>
      <c r="AJ43">
        <v>0</v>
      </c>
      <c r="AK43">
        <v>15</v>
      </c>
      <c r="AL43">
        <v>10</v>
      </c>
      <c r="AM43">
        <v>150</v>
      </c>
      <c r="AN43">
        <v>95</v>
      </c>
      <c r="AO43">
        <v>15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329</v>
      </c>
      <c r="AV43" t="s">
        <v>329</v>
      </c>
      <c r="AW43" t="s">
        <v>329</v>
      </c>
      <c r="AX43" t="s">
        <v>329</v>
      </c>
      <c r="AY43">
        <v>4</v>
      </c>
      <c r="AZ43">
        <v>3045</v>
      </c>
      <c r="BA43">
        <v>14</v>
      </c>
      <c r="BB43" t="s">
        <v>4560</v>
      </c>
      <c r="BC43" t="s">
        <v>1874</v>
      </c>
      <c r="BD43">
        <v>910004</v>
      </c>
      <c r="BE43" t="s">
        <v>4561</v>
      </c>
      <c r="BF43" t="s">
        <v>4562</v>
      </c>
      <c r="BG43">
        <v>95</v>
      </c>
      <c r="BH43">
        <v>0</v>
      </c>
    </row>
    <row r="44" spans="1:61" x14ac:dyDescent="0.25">
      <c r="A44">
        <v>3007</v>
      </c>
      <c r="B44" t="s">
        <v>4747</v>
      </c>
      <c r="C44" t="s">
        <v>1034</v>
      </c>
      <c r="D44" t="s">
        <v>1034</v>
      </c>
      <c r="E44" t="s">
        <v>4748</v>
      </c>
      <c r="G44" t="s">
        <v>4553</v>
      </c>
      <c r="H44" t="s">
        <v>4749</v>
      </c>
      <c r="I44">
        <v>1</v>
      </c>
      <c r="J44">
        <v>3</v>
      </c>
      <c r="K44" t="s">
        <v>1024</v>
      </c>
      <c r="L44">
        <v>5</v>
      </c>
      <c r="M44">
        <v>307</v>
      </c>
      <c r="N44" t="s">
        <v>996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900573</v>
      </c>
      <c r="W44" t="s">
        <v>1874</v>
      </c>
      <c r="X44" t="s">
        <v>4567</v>
      </c>
      <c r="Y44" t="s">
        <v>329</v>
      </c>
      <c r="Z44">
        <v>900572</v>
      </c>
      <c r="AA44">
        <v>10</v>
      </c>
      <c r="AB44">
        <v>10</v>
      </c>
      <c r="AC44">
        <v>5</v>
      </c>
      <c r="AD44">
        <v>5</v>
      </c>
      <c r="AE44">
        <v>75</v>
      </c>
      <c r="AF44">
        <v>72</v>
      </c>
      <c r="AG44">
        <v>100</v>
      </c>
      <c r="AH44">
        <v>100</v>
      </c>
      <c r="AI44">
        <v>140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3</v>
      </c>
      <c r="AZ44">
        <v>3045</v>
      </c>
      <c r="BA44">
        <v>20</v>
      </c>
      <c r="BB44" t="s">
        <v>4560</v>
      </c>
      <c r="BC44" t="s">
        <v>1874</v>
      </c>
      <c r="BD44">
        <v>910002</v>
      </c>
      <c r="BE44" t="s">
        <v>4561</v>
      </c>
      <c r="BF44" t="s">
        <v>4562</v>
      </c>
      <c r="BG44">
        <v>80</v>
      </c>
      <c r="BH44">
        <v>0</v>
      </c>
    </row>
    <row r="45" spans="1:61" x14ac:dyDescent="0.25">
      <c r="A45">
        <v>3005</v>
      </c>
      <c r="B45" t="s">
        <v>4750</v>
      </c>
      <c r="C45" t="s">
        <v>1032</v>
      </c>
      <c r="D45" t="s">
        <v>1032</v>
      </c>
      <c r="E45" t="s">
        <v>4751</v>
      </c>
      <c r="G45" t="s">
        <v>4553</v>
      </c>
      <c r="H45" t="s">
        <v>4752</v>
      </c>
      <c r="I45">
        <v>1</v>
      </c>
      <c r="J45">
        <v>3</v>
      </c>
      <c r="K45" t="s">
        <v>995</v>
      </c>
      <c r="L45">
        <v>5</v>
      </c>
      <c r="M45">
        <v>305</v>
      </c>
      <c r="N45" t="s">
        <v>996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900571</v>
      </c>
      <c r="W45" t="s">
        <v>1874</v>
      </c>
      <c r="X45" t="s">
        <v>4567</v>
      </c>
      <c r="Y45" t="s">
        <v>4753</v>
      </c>
      <c r="Z45">
        <v>900570</v>
      </c>
      <c r="AA45">
        <v>10</v>
      </c>
      <c r="AB45">
        <v>10</v>
      </c>
      <c r="AC45">
        <v>5</v>
      </c>
      <c r="AD45">
        <v>5</v>
      </c>
      <c r="AE45">
        <v>80</v>
      </c>
      <c r="AF45">
        <v>80</v>
      </c>
      <c r="AG45">
        <v>115</v>
      </c>
      <c r="AH45">
        <v>50</v>
      </c>
      <c r="AI45">
        <v>45</v>
      </c>
      <c r="AJ45">
        <v>0</v>
      </c>
      <c r="AK45">
        <v>180</v>
      </c>
      <c r="AL45">
        <v>5</v>
      </c>
      <c r="AM45">
        <v>150</v>
      </c>
      <c r="AN45">
        <v>95</v>
      </c>
      <c r="AO45">
        <v>5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29</v>
      </c>
      <c r="AZ45">
        <v>3045</v>
      </c>
      <c r="BA45">
        <v>18</v>
      </c>
      <c r="BB45" t="s">
        <v>4560</v>
      </c>
      <c r="BC45" t="s">
        <v>1874</v>
      </c>
      <c r="BD45">
        <v>910012</v>
      </c>
      <c r="BE45" t="s">
        <v>4561</v>
      </c>
      <c r="BF45" t="s">
        <v>4562</v>
      </c>
      <c r="BG45">
        <v>95</v>
      </c>
      <c r="BH45">
        <v>0</v>
      </c>
    </row>
    <row r="46" spans="1:61" x14ac:dyDescent="0.25">
      <c r="A46">
        <v>3002</v>
      </c>
      <c r="B46" t="s">
        <v>4754</v>
      </c>
      <c r="C46" t="s">
        <v>1029</v>
      </c>
      <c r="D46" t="s">
        <v>1029</v>
      </c>
      <c r="E46" t="s">
        <v>4755</v>
      </c>
      <c r="G46" t="s">
        <v>4553</v>
      </c>
      <c r="H46" t="s">
        <v>4756</v>
      </c>
      <c r="I46">
        <v>1</v>
      </c>
      <c r="J46">
        <v>3</v>
      </c>
      <c r="K46" t="s">
        <v>995</v>
      </c>
      <c r="L46">
        <v>5</v>
      </c>
      <c r="M46">
        <v>302</v>
      </c>
      <c r="N46" t="s">
        <v>996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600601</v>
      </c>
      <c r="W46" t="s">
        <v>1874</v>
      </c>
      <c r="X46" t="s">
        <v>4567</v>
      </c>
      <c r="Y46" t="s">
        <v>329</v>
      </c>
      <c r="Z46">
        <v>600602</v>
      </c>
      <c r="AA46">
        <v>10</v>
      </c>
      <c r="AB46">
        <v>10</v>
      </c>
      <c r="AC46">
        <v>5</v>
      </c>
      <c r="AD46">
        <v>5</v>
      </c>
      <c r="AE46">
        <v>92</v>
      </c>
      <c r="AF46">
        <v>85</v>
      </c>
      <c r="AG46">
        <v>100</v>
      </c>
      <c r="AH46">
        <v>110</v>
      </c>
      <c r="AI46">
        <v>90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7</v>
      </c>
      <c r="AU46" t="s">
        <v>329</v>
      </c>
      <c r="AV46" t="s">
        <v>329</v>
      </c>
      <c r="AW46" t="s">
        <v>329</v>
      </c>
      <c r="AX46" t="s">
        <v>329</v>
      </c>
      <c r="AY46">
        <v>7</v>
      </c>
      <c r="AZ46">
        <v>3045</v>
      </c>
      <c r="BA46">
        <v>15</v>
      </c>
      <c r="BB46" t="s">
        <v>4560</v>
      </c>
      <c r="BC46" t="s">
        <v>1874</v>
      </c>
      <c r="BD46">
        <v>910005</v>
      </c>
      <c r="BE46" t="s">
        <v>4561</v>
      </c>
      <c r="BF46" t="s">
        <v>4562</v>
      </c>
      <c r="BG46">
        <v>100</v>
      </c>
      <c r="BH46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6">
    <sortCondition ref="J2:J46"/>
    <sortCondition ref="C2:C46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1104</v>
      </c>
    </row>
    <row r="2" spans="1:3" x14ac:dyDescent="0.25">
      <c r="A2" s="1">
        <v>1001</v>
      </c>
      <c r="B2" t="s">
        <v>1107</v>
      </c>
      <c r="C2" t="s">
        <v>1105</v>
      </c>
    </row>
    <row r="3" spans="1:3" x14ac:dyDescent="0.25">
      <c r="A3" s="1">
        <v>1002</v>
      </c>
      <c r="B3" t="s">
        <v>1102</v>
      </c>
      <c r="C3" t="s">
        <v>1106</v>
      </c>
    </row>
    <row r="4" spans="1:3" x14ac:dyDescent="0.25">
      <c r="A4" s="1">
        <v>1003</v>
      </c>
      <c r="B4" t="s">
        <v>1103</v>
      </c>
      <c r="C4" t="s">
        <v>1114</v>
      </c>
    </row>
    <row r="5" spans="1:3" x14ac:dyDescent="0.25">
      <c r="A5" s="1">
        <v>1004</v>
      </c>
      <c r="B5" t="s">
        <v>1040</v>
      </c>
      <c r="C5" t="s">
        <v>1115</v>
      </c>
    </row>
    <row r="6" spans="1:3" x14ac:dyDescent="0.25">
      <c r="A6" s="1">
        <v>1005</v>
      </c>
      <c r="B6" t="s">
        <v>1041</v>
      </c>
      <c r="C6" t="s">
        <v>1116</v>
      </c>
    </row>
    <row r="7" spans="1:3" x14ac:dyDescent="0.25">
      <c r="A7" s="1">
        <v>2003</v>
      </c>
      <c r="B7" t="s">
        <v>1108</v>
      </c>
      <c r="C7" t="s">
        <v>1117</v>
      </c>
    </row>
    <row r="8" spans="1:3" x14ac:dyDescent="0.25">
      <c r="A8" s="1">
        <v>2004</v>
      </c>
      <c r="B8" t="s">
        <v>1109</v>
      </c>
      <c r="C8" t="s">
        <v>1118</v>
      </c>
    </row>
    <row r="9" spans="1:3" x14ac:dyDescent="0.25">
      <c r="A9" s="1">
        <v>3001</v>
      </c>
      <c r="B9" t="s">
        <v>1110</v>
      </c>
      <c r="C9" t="s">
        <v>1119</v>
      </c>
    </row>
    <row r="10" spans="1:3" x14ac:dyDescent="0.25">
      <c r="A10" s="1">
        <v>3002</v>
      </c>
      <c r="B10" t="s">
        <v>1112</v>
      </c>
      <c r="C10" t="s">
        <v>1120</v>
      </c>
    </row>
    <row r="11" spans="1:3" x14ac:dyDescent="0.25">
      <c r="A11" s="1">
        <v>3003</v>
      </c>
      <c r="B11" t="s">
        <v>1113</v>
      </c>
      <c r="C11" t="s">
        <v>1121</v>
      </c>
    </row>
    <row r="12" spans="1:3" x14ac:dyDescent="0.25">
      <c r="A12" s="1">
        <v>3004</v>
      </c>
      <c r="B12" t="s">
        <v>1111</v>
      </c>
      <c r="C12" t="s">
        <v>1122</v>
      </c>
    </row>
    <row r="13" spans="1:3" x14ac:dyDescent="0.25">
      <c r="A13" s="1">
        <v>3005</v>
      </c>
      <c r="B13" t="s">
        <v>1042</v>
      </c>
      <c r="C13" t="s">
        <v>1123</v>
      </c>
    </row>
    <row r="14" spans="1:3" x14ac:dyDescent="0.25">
      <c r="A14" s="1">
        <v>3006</v>
      </c>
      <c r="B14" t="s">
        <v>1043</v>
      </c>
      <c r="C14" t="s">
        <v>1124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71"/>
  <sheetViews>
    <sheetView workbookViewId="0">
      <pane ySplit="1" topLeftCell="A2" activePane="bottomLeft" state="frozen"/>
      <selection pane="bottomLeft" activeCell="A267" sqref="A267:Y27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1055</v>
      </c>
      <c r="C1" s="43" t="s">
        <v>1062</v>
      </c>
      <c r="D1" s="43" t="s">
        <v>4757</v>
      </c>
      <c r="E1" s="43" t="s">
        <v>1077</v>
      </c>
      <c r="F1" s="43" t="s">
        <v>1078</v>
      </c>
      <c r="G1" s="43" t="s">
        <v>1079</v>
      </c>
      <c r="H1" s="43" t="s">
        <v>1080</v>
      </c>
      <c r="I1" s="43" t="s">
        <v>1081</v>
      </c>
      <c r="J1" s="43" t="s">
        <v>1082</v>
      </c>
      <c r="K1" s="43" t="s">
        <v>1083</v>
      </c>
      <c r="L1" s="43" t="s">
        <v>1084</v>
      </c>
      <c r="M1" s="43" t="s">
        <v>1085</v>
      </c>
      <c r="N1" s="43" t="s">
        <v>1086</v>
      </c>
      <c r="O1" s="43" t="s">
        <v>1087</v>
      </c>
      <c r="P1" s="43" t="s">
        <v>1088</v>
      </c>
      <c r="Q1" s="43" t="s">
        <v>1089</v>
      </c>
      <c r="R1" s="10" t="s">
        <v>2692</v>
      </c>
      <c r="S1" s="10" t="s">
        <v>4534</v>
      </c>
      <c r="T1" s="10" t="s">
        <v>4758</v>
      </c>
      <c r="U1" s="10" t="s">
        <v>41</v>
      </c>
      <c r="V1" s="10" t="s">
        <v>42</v>
      </c>
      <c r="W1" s="10" t="s">
        <v>888</v>
      </c>
      <c r="X1" s="10" t="s">
        <v>993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4759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4759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4759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4629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4629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4629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4629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4587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4587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4587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4587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4767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4768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4768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4768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4768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4769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4608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4608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4608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4608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4647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4647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4647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4647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4558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4558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4558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4558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6435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6430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4759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4629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4629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4629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4629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6546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6545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6545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6545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6545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765</v>
      </c>
      <c r="B1" s="239"/>
      <c r="C1" s="239"/>
      <c r="E1" s="239" t="s">
        <v>766</v>
      </c>
      <c r="F1" s="239"/>
      <c r="G1" s="239"/>
      <c r="I1" s="239" t="s">
        <v>871</v>
      </c>
      <c r="J1" s="239"/>
      <c r="K1" s="239"/>
      <c r="M1" s="239" t="s">
        <v>1063</v>
      </c>
      <c r="N1" s="239"/>
      <c r="O1" s="239"/>
      <c r="Q1" s="240" t="s">
        <v>767</v>
      </c>
      <c r="R1" s="240"/>
      <c r="S1" s="240"/>
      <c r="T1" s="240"/>
      <c r="U1" s="240"/>
      <c r="V1" s="24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workbookViewId="0"/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965</v>
      </c>
      <c r="C8" t="s">
        <v>967</v>
      </c>
      <c r="G8" s="131" t="s">
        <v>949</v>
      </c>
      <c r="H8" s="132" t="s">
        <v>950</v>
      </c>
    </row>
    <row r="9" spans="2:11" customFormat="1" x14ac:dyDescent="0.25">
      <c r="B9" t="s">
        <v>960</v>
      </c>
      <c r="C9" t="s">
        <v>6408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K9" s="1"/>
    </row>
    <row r="10" spans="2:11" customFormat="1" x14ac:dyDescent="0.25">
      <c r="B10" t="s">
        <v>961</v>
      </c>
      <c r="C10" t="s">
        <v>6409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K10" s="1"/>
    </row>
    <row r="11" spans="2:11" customFormat="1" x14ac:dyDescent="0.25">
      <c r="B11" t="s">
        <v>962</v>
      </c>
      <c r="C11" t="s">
        <v>6410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</row>
    <row r="12" spans="2:11" customFormat="1" x14ac:dyDescent="0.25"/>
    <row r="13" spans="2:11" customFormat="1" x14ac:dyDescent="0.25">
      <c r="B13" t="s">
        <v>963</v>
      </c>
      <c r="C13" t="str">
        <f>INDEX($C$8:$C$11,COUNTA(Main!$B$77:$B$79)+1)</f>
        <v>"fairy_skill_on_team": "[]",</v>
      </c>
      <c r="K13" s="1"/>
    </row>
    <row r="14" spans="2:11" customFormat="1" x14ac:dyDescent="0.25">
      <c r="B14" t="s">
        <v>954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955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964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965</v>
      </c>
      <c r="C20" t="s">
        <v>966</v>
      </c>
    </row>
    <row r="21" spans="1:5" x14ac:dyDescent="0.25">
      <c r="A21"/>
      <c r="B21" t="s">
        <v>861</v>
      </c>
      <c r="C21" t="s">
        <v>862</v>
      </c>
    </row>
    <row r="22" spans="1:5" x14ac:dyDescent="0.25">
      <c r="A22"/>
      <c r="B22" t="s">
        <v>968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969</v>
      </c>
    </row>
    <row r="25" spans="1:5" x14ac:dyDescent="0.25">
      <c r="A25"/>
      <c r="B25" t="s">
        <v>965</v>
      </c>
      <c r="C25" t="s">
        <v>966</v>
      </c>
    </row>
    <row r="26" spans="1:5" x14ac:dyDescent="0.25">
      <c r="A26"/>
      <c r="B26" t="s">
        <v>861</v>
      </c>
      <c r="C26" t="s">
        <v>970</v>
      </c>
    </row>
    <row r="27" spans="1:5" x14ac:dyDescent="0.25">
      <c r="A27"/>
      <c r="B27" t="s">
        <v>968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972</v>
      </c>
      <c r="C28" t="str">
        <f>SUBSTITUTE(C27,1801,18&amp;TEXT(Main!C84,"00"))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860</v>
      </c>
      <c r="C30" s="152"/>
    </row>
    <row r="31" spans="1:5" s="153" customFormat="1" x14ac:dyDescent="0.25">
      <c r="B31" s="149" t="s">
        <v>6529</v>
      </c>
      <c r="C31" s="150" t="str">
        <f ca="1">LEFT(CELL("filename",Main!$A$1),FIND("[",CELL("filename",Main!$A$1))-1)</f>
        <v>C:\Users\danny\Documents\GitHub\GFLBattleSim-JSONGenerator\</v>
      </c>
    </row>
    <row r="32" spans="1:5" s="153" customFormat="1" x14ac:dyDescent="0.25">
      <c r="B32" s="149" t="s">
        <v>6530</v>
      </c>
      <c r="C32" s="152" t="e">
        <f ca="1">RIGHT(D32,LEN(D32)-LEN("file:///")-1)</f>
        <v>#VALUE!</v>
      </c>
      <c r="D32" s="241" t="e">
        <f ca="1">LEFT(E32,FIND("@",SUBSTITUTE(E32,"/","@",LEN(E32)-LEN(SUBSTITUTE(E32,"/",""))),1))</f>
        <v>#VALUE!</v>
      </c>
      <c r="E32" s="241" t="e">
        <f ca="1">LEFT(CELL("filename",A1),FIND("#",CELL("filename",A1))-1)</f>
        <v>#VALUE!</v>
      </c>
    </row>
    <row r="33" spans="2:10" s="153" customFormat="1" x14ac:dyDescent="0.25">
      <c r="B33" s="149" t="s">
        <v>770</v>
      </c>
      <c r="C33" s="150" t="str">
        <f ca="1">IF(ISERROR($C$31),$C$32&amp;SUBSTITUTE(J33,"\","/"),$C$31&amp;J33)</f>
        <v>C:\Users\danny\Documents\GitHub\GFLBattleSim-JSONGenerator\Preset\gun_with_user_info.json</v>
      </c>
      <c r="F33" s="150"/>
      <c r="J33" s="150" t="str">
        <f>"Preset\gun_with_user_info.json"</f>
        <v>Preset\gun_with_user_info.json</v>
      </c>
    </row>
    <row r="34" spans="2:10" s="153" customFormat="1" x14ac:dyDescent="0.25">
      <c r="B34" s="149" t="s">
        <v>771</v>
      </c>
      <c r="C34" s="150" t="str">
        <f t="shared" ref="C34:C44" ca="1" si="0">IF(ISERROR($C$31),$C$32&amp;SUBSTITUTE(J34,"\","/"),$C$31&amp;J34)</f>
        <v>C:\Users\danny\Documents\GitHub\GFLBattleSim-JSONGenerator\Preset\equip_with_user_info.json</v>
      </c>
      <c r="D34" s="150"/>
      <c r="E34" s="150"/>
      <c r="J34" s="150" t="str">
        <f>"Preset\equip_with_user_info.json"</f>
        <v>Preset\equip_with_user_info.json</v>
      </c>
    </row>
    <row r="35" spans="2:10" s="153" customFormat="1" x14ac:dyDescent="0.25">
      <c r="B35" s="149" t="s">
        <v>891</v>
      </c>
      <c r="C35" s="150" t="str">
        <f t="shared" ca="1" si="0"/>
        <v>C:\Users\danny\Documents\GitHub\GFLBattleSim-JSONGenerator\Preset\squad_with_user_info.json</v>
      </c>
      <c r="D35" s="150"/>
      <c r="E35" s="150"/>
      <c r="J35" s="150" t="str">
        <f>"Preset\squad_with_user_info.json"</f>
        <v>Preset\squad_with_user_info.json</v>
      </c>
    </row>
    <row r="36" spans="2:10" s="153" customFormat="1" x14ac:dyDescent="0.25">
      <c r="B36" s="149" t="s">
        <v>892</v>
      </c>
      <c r="C36" s="150" t="str">
        <f t="shared" ca="1" si="0"/>
        <v>C:\Users\danny\Documents\GitHub\GFLBattleSim-JSONGenerator\Preset\chip_with_user_info.json</v>
      </c>
      <c r="D36" s="150"/>
      <c r="E36" s="150"/>
      <c r="J36" s="150" t="str">
        <f>"Preset\chip_with_user_info.json"</f>
        <v>Preset\chip_with_user_info.json</v>
      </c>
    </row>
    <row r="37" spans="2:10" s="153" customFormat="1" x14ac:dyDescent="0.25">
      <c r="B37" s="40" t="s">
        <v>772</v>
      </c>
      <c r="C37" s="150" t="str">
        <f t="shared" ca="1" si="0"/>
        <v>C:\Users\danny\Documents\GitHub\GFLBattleSim-JSONGenerator\Preset\fairy_with_user_info.json</v>
      </c>
      <c r="D37" s="150"/>
      <c r="E37" s="150"/>
      <c r="J37" s="150" t="str">
        <f>"Preset\fairy_with_user_info.json"</f>
        <v>Preset\fairy_with_user_info.json</v>
      </c>
    </row>
    <row r="38" spans="2:10" s="153" customFormat="1" x14ac:dyDescent="0.25">
      <c r="B38" s="40" t="s">
        <v>775</v>
      </c>
      <c r="C38" s="150" t="str">
        <f t="shared" ca="1" si="0"/>
        <v>C:\Users\danny\Documents\GitHub\GFLBattleSim-JSONGenerator\Preset\battle_night_new\mission_act_info.json</v>
      </c>
      <c r="D38" s="150"/>
      <c r="E38" s="150"/>
      <c r="J38" s="150" t="str">
        <f>"Preset\"&amp;IF(DayNight="Day","battle_day\","battle_night_new\")&amp;"mission_act_info.json"</f>
        <v>Preset\battle_night_new\mission_act_info.json</v>
      </c>
    </row>
    <row r="39" spans="2:10" s="153" customFormat="1" x14ac:dyDescent="0.25">
      <c r="B39" s="40" t="s">
        <v>1130</v>
      </c>
      <c r="C39" s="150" t="str">
        <f t="shared" ca="1" si="0"/>
        <v>C:\Users\danny\Documents\GitHub\GFLBattleSim-JSONGenerator\Preset\sangvis_with_user_info.json</v>
      </c>
      <c r="D39" s="150"/>
      <c r="E39" s="150"/>
      <c r="J39" s="150" t="str">
        <f>"Preset\sangvis_with_user_info.json"</f>
        <v>Preset\sangvis_with_user_info.json</v>
      </c>
    </row>
    <row r="40" spans="2:10" s="153" customFormat="1" x14ac:dyDescent="0.25">
      <c r="B40" s="40" t="s">
        <v>1131</v>
      </c>
      <c r="C40" s="150" t="str">
        <f t="shared" ca="1" si="0"/>
        <v>C:\Users\danny\Documents\GitHub\GFLBattleSim-JSONGenerator\Preset\sangvis_team_with_user_info.json</v>
      </c>
      <c r="D40" s="150"/>
      <c r="E40" s="150"/>
      <c r="J40" s="150" t="str">
        <f>"Preset\sangvis_team_with_user_info.json"</f>
        <v>Preset\sangvis_team_with_user_info.json</v>
      </c>
    </row>
    <row r="41" spans="2:10" s="153" customFormat="1" x14ac:dyDescent="0.25">
      <c r="B41" s="40" t="s">
        <v>1132</v>
      </c>
      <c r="C41" s="150" t="str">
        <f t="shared" ca="1" si="0"/>
        <v>C:\Users\danny\Documents\GitHub\GFLBattleSim-JSONGenerator\Preset\sangvis_chip_with_user_info.json</v>
      </c>
      <c r="D41" s="150"/>
      <c r="E41" s="150"/>
      <c r="J41" s="150" t="str">
        <f>"Preset\sangvis_chip_with_user_info.json"</f>
        <v>Preset\sangvis_chip_with_user_info.json</v>
      </c>
    </row>
    <row r="42" spans="2:10" s="153" customFormat="1" x14ac:dyDescent="0.25">
      <c r="B42" s="40" t="s">
        <v>786</v>
      </c>
      <c r="C42" s="150" t="str">
        <f t="shared" ca="1" si="0"/>
        <v>C:\Users\danny\Documents\GitHub\GFLBattleSim-JSONGenerator\GFBattleSimulator.json</v>
      </c>
      <c r="D42" s="150"/>
      <c r="E42" s="150"/>
      <c r="J42" s="150" t="str">
        <f>"GFBattleSimulator.json"</f>
        <v>GFBattleSimulator.json</v>
      </c>
    </row>
    <row r="43" spans="2:10" x14ac:dyDescent="0.25">
      <c r="B43" t="s">
        <v>1841</v>
      </c>
      <c r="C43" s="150" t="str">
        <f t="shared" ca="1" si="0"/>
        <v>C:\Users\danny\Documents\GitHub\GFLBattleSim-JSONGenerator\Preset\battle_day\spot_act_info.json</v>
      </c>
      <c r="D43" s="150"/>
      <c r="E43" s="150"/>
      <c r="I43" s="153"/>
      <c r="J43" s="150" t="str">
        <f>"Preset\battle_day\spot_act_info.json"</f>
        <v>Preset\battle_day\spot_act_info.json</v>
      </c>
    </row>
    <row r="44" spans="2:10" x14ac:dyDescent="0.25">
      <c r="B44" t="s">
        <v>1842</v>
      </c>
      <c r="C44" s="150" t="str">
        <f t="shared" ca="1" si="0"/>
        <v>C:\Users\danny\Documents\GitHub\GFLBattleSim-JSONGenerator\Preset\battle_night_new\spot_act_info.json</v>
      </c>
      <c r="D44" s="150"/>
      <c r="E44" s="150"/>
      <c r="I44" s="153"/>
      <c r="J44" s="150" t="str">
        <f>"Preset\battle_night_new\spot_act_info.json"</f>
        <v>Preset\battle_night_new\spot_act_info.json</v>
      </c>
    </row>
    <row r="46" spans="2:10" x14ac:dyDescent="0.25">
      <c r="B46" s="10" t="s">
        <v>5576</v>
      </c>
    </row>
    <row r="47" spans="2:10" x14ac:dyDescent="0.25">
      <c r="B47" t="s">
        <v>770</v>
      </c>
      <c r="C47" s="225" t="s">
        <v>5847</v>
      </c>
    </row>
    <row r="48" spans="2:10" x14ac:dyDescent="0.25">
      <c r="B48" t="s">
        <v>771</v>
      </c>
      <c r="C48" s="225" t="s">
        <v>5699</v>
      </c>
    </row>
    <row r="49" spans="2:3" x14ac:dyDescent="0.25">
      <c r="B49" t="s">
        <v>6414</v>
      </c>
      <c r="C49" s="225" t="s">
        <v>6436</v>
      </c>
    </row>
    <row r="50" spans="2:3" x14ac:dyDescent="0.25">
      <c r="B50" t="s">
        <v>6415</v>
      </c>
      <c r="C50" s="225" t="s">
        <v>6416</v>
      </c>
    </row>
    <row r="51" spans="2:3" x14ac:dyDescent="0.25">
      <c r="B51" s="22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E1" workbookViewId="0">
      <pane ySplit="1" topLeftCell="A2" activePane="bottomLeft" state="frozen"/>
      <selection activeCell="BE3" sqref="BE3:BS252"/>
      <selection pane="bottomLeft" activeCell="AV2" sqref="AV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6443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924</v>
      </c>
      <c r="AV1" s="43" t="s">
        <v>702</v>
      </c>
      <c r="AW1" s="97"/>
      <c r="AX1" s="95" t="s">
        <v>6525</v>
      </c>
      <c r="AZ1" s="43" t="s">
        <v>6508</v>
      </c>
      <c r="BA1" s="43" t="s">
        <v>6509</v>
      </c>
      <c r="BB1" s="43" t="s">
        <v>6526</v>
      </c>
      <c r="BC1" s="43" t="s">
        <v>6527</v>
      </c>
      <c r="BD1" s="43" t="s">
        <v>6528</v>
      </c>
      <c r="BE1" s="43" t="s">
        <v>6510</v>
      </c>
      <c r="BF1" s="43" t="s">
        <v>6513</v>
      </c>
      <c r="BG1" s="43" t="s">
        <v>6516</v>
      </c>
      <c r="BH1" s="43" t="s">
        <v>6519</v>
      </c>
      <c r="BI1" s="43" t="s">
        <v>6522</v>
      </c>
      <c r="BJ1" s="43" t="s">
        <v>6511</v>
      </c>
      <c r="BK1" s="43" t="s">
        <v>6514</v>
      </c>
      <c r="BL1" s="43" t="s">
        <v>6517</v>
      </c>
      <c r="BM1" s="43" t="s">
        <v>6520</v>
      </c>
      <c r="BN1" s="43" t="s">
        <v>6523</v>
      </c>
      <c r="BO1" s="43" t="s">
        <v>6512</v>
      </c>
      <c r="BP1" s="43" t="s">
        <v>6515</v>
      </c>
      <c r="BQ1" s="43" t="s">
        <v>6518</v>
      </c>
      <c r="BR1" s="43" t="s">
        <v>6521</v>
      </c>
      <c r="BS1" s="43" t="s">
        <v>6524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1695</v>
      </c>
      <c r="G2" s="9" t="s">
        <v>263</v>
      </c>
      <c r="H2" s="9" t="s">
        <v>117</v>
      </c>
      <c r="I2" s="9" t="s">
        <v>751</v>
      </c>
      <c r="J2" s="9" t="s">
        <v>1710</v>
      </c>
      <c r="K2" s="9" t="s">
        <v>752</v>
      </c>
      <c r="L2" t="s">
        <v>1784</v>
      </c>
      <c r="M2" s="9" t="s">
        <v>1187</v>
      </c>
      <c r="N2" s="9" t="s">
        <v>803</v>
      </c>
      <c r="O2" s="9" t="s">
        <v>1452</v>
      </c>
      <c r="P2" s="9" t="s">
        <v>174</v>
      </c>
      <c r="Q2" s="9" t="s">
        <v>1717</v>
      </c>
      <c r="R2" s="9" t="s">
        <v>1218</v>
      </c>
      <c r="S2" s="9" t="s">
        <v>138</v>
      </c>
      <c r="T2" s="9" t="s">
        <v>717</v>
      </c>
      <c r="U2" s="9" t="s">
        <v>840</v>
      </c>
      <c r="V2" t="s">
        <v>5815</v>
      </c>
      <c r="W2" s="9" t="s">
        <v>1657</v>
      </c>
      <c r="X2" s="9" t="s">
        <v>115</v>
      </c>
      <c r="Y2" s="9" t="s">
        <v>1667</v>
      </c>
      <c r="Z2" s="9" t="s">
        <v>738</v>
      </c>
      <c r="AA2" s="9" t="s">
        <v>937</v>
      </c>
      <c r="AC2" s="9" t="s">
        <v>247</v>
      </c>
      <c r="AD2" s="9" t="s">
        <v>1639</v>
      </c>
      <c r="AE2" s="9" t="s">
        <v>724</v>
      </c>
      <c r="AH2" t="s">
        <v>520</v>
      </c>
      <c r="AI2" t="s">
        <v>524</v>
      </c>
      <c r="AJ2" t="s">
        <v>6444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920</v>
      </c>
      <c r="AV2" t="s">
        <v>752</v>
      </c>
      <c r="AZ2" s="43" t="str">
        <f>Main!$C$21&amp;Main!$B$21</f>
        <v>AR5</v>
      </c>
      <c r="BA2" s="43" t="str">
        <f>Main!$C$22&amp;Main!$B$22</f>
        <v>RF5</v>
      </c>
      <c r="BB2" s="43" t="str">
        <f>Main!$C$23&amp;Main!$B$23</f>
        <v>HG6</v>
      </c>
      <c r="BC2" s="43" t="str">
        <f>Main!$C$24&amp;Main!$B$24</f>
        <v>HG5</v>
      </c>
      <c r="BD2" s="43" t="str">
        <f>Main!$C$25&amp;Main!$B$25</f>
        <v>HG5</v>
      </c>
      <c r="BE2" s="43" t="str">
        <f>Main!$L$21</f>
        <v>VFL</v>
      </c>
      <c r="BF2" s="43" t="str">
        <f>Main!$L$22</f>
        <v>VFL</v>
      </c>
      <c r="BG2" s="43" t="str">
        <f>Main!$L$23</f>
        <v>SPP</v>
      </c>
      <c r="BH2" s="43" t="str">
        <f>Main!$L$24</f>
        <v>SPP</v>
      </c>
      <c r="BI2" s="43" t="str">
        <f>Main!$L$25</f>
        <v>SPEQ</v>
      </c>
      <c r="BJ2" s="43" t="str">
        <f>Main!$P$21</f>
        <v>HV</v>
      </c>
      <c r="BK2" s="43" t="str">
        <f>Main!$P$22</f>
        <v>AP</v>
      </c>
      <c r="BL2" s="43" t="str">
        <f>Main!$P$23</f>
        <v>HP</v>
      </c>
      <c r="BM2" s="43" t="str">
        <f>Main!$P$24</f>
        <v>HP</v>
      </c>
      <c r="BN2" s="43" t="str">
        <f>Main!$P$25</f>
        <v>HP</v>
      </c>
      <c r="BO2" s="43" t="str">
        <f>Main!$T$21</f>
        <v>SPEQ</v>
      </c>
      <c r="BP2" s="43" t="str">
        <f>Main!$T$22</f>
        <v>SPEQ</v>
      </c>
      <c r="BQ2" s="43" t="str">
        <f>Main!$T$23</f>
        <v>Exo</v>
      </c>
      <c r="BR2" s="43" t="str">
        <f>Main!$T$24</f>
        <v>Exo</v>
      </c>
      <c r="BS2" s="43" t="str">
        <f>Main!$T$25</f>
        <v>Exo</v>
      </c>
    </row>
    <row r="3" spans="1:72" x14ac:dyDescent="0.25">
      <c r="A3" s="9">
        <v>3</v>
      </c>
      <c r="B3" t="s">
        <v>7</v>
      </c>
      <c r="C3" s="9" t="s">
        <v>1208</v>
      </c>
      <c r="D3" s="9" t="s">
        <v>72</v>
      </c>
      <c r="E3" s="9" t="s">
        <v>1762</v>
      </c>
      <c r="F3" s="9" t="s">
        <v>195</v>
      </c>
      <c r="G3" s="9" t="s">
        <v>837</v>
      </c>
      <c r="H3" s="9" t="s">
        <v>77</v>
      </c>
      <c r="I3" s="9" t="s">
        <v>1723</v>
      </c>
      <c r="J3" s="9" t="s">
        <v>796</v>
      </c>
      <c r="K3" s="9" t="s">
        <v>1724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1196</v>
      </c>
      <c r="S3" s="9" t="s">
        <v>1651</v>
      </c>
      <c r="T3" s="9" t="s">
        <v>1682</v>
      </c>
      <c r="U3" t="s">
        <v>5552</v>
      </c>
      <c r="V3" t="s">
        <v>5799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6445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919</v>
      </c>
      <c r="AV3" t="s">
        <v>840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Ballista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VFL2</v>
      </c>
      <c r="BG3" s="1" t="str">
        <f t="shared" si="1"/>
        <v>SPP2</v>
      </c>
      <c r="BH3" s="1" t="str">
        <f t="shared" si="1"/>
        <v>SPP2</v>
      </c>
      <c r="BI3" s="1" t="str">
        <f t="shared" si="1"/>
        <v>100Shiki</v>
      </c>
      <c r="BJ3" s="1" t="str">
        <f t="shared" si="1"/>
        <v>HV2</v>
      </c>
      <c r="BK3" s="1" t="str">
        <f t="shared" si="1"/>
        <v>AP2</v>
      </c>
      <c r="BL3" s="1" t="str">
        <f t="shared" si="1"/>
        <v>HP2</v>
      </c>
      <c r="BM3" s="1" t="str">
        <f t="shared" si="1"/>
        <v>HP2</v>
      </c>
      <c r="BN3" s="1" t="str">
        <f t="shared" si="1"/>
        <v>HP2</v>
      </c>
      <c r="BO3" s="1" t="str">
        <f t="shared" si="1"/>
        <v>100Shiki</v>
      </c>
      <c r="BP3" s="1" t="str">
        <f t="shared" si="1"/>
        <v>100Shiki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1652</v>
      </c>
      <c r="L4" s="9"/>
      <c r="M4" s="9" t="s">
        <v>90</v>
      </c>
      <c r="N4" s="9" t="s">
        <v>173</v>
      </c>
      <c r="O4" t="s">
        <v>1791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1482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6446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918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Bronya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VFL3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64Shiki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AP3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64Shiki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1721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1647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1661</v>
      </c>
      <c r="T5" s="9" t="s">
        <v>1770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1694</v>
      </c>
      <c r="AH5" t="s">
        <v>523</v>
      </c>
      <c r="AI5" t="s">
        <v>527</v>
      </c>
      <c r="AJ5" t="s">
        <v>6447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917</v>
      </c>
      <c r="AV5" t="s">
        <v>1643</v>
      </c>
      <c r="AZ5" s="1" t="str">
        <f t="shared" si="2"/>
        <v>ACR</v>
      </c>
      <c r="BA5" s="1" t="str">
        <f t="shared" si="3"/>
        <v>Carcano M1891</v>
      </c>
      <c r="BB5" s="1" t="str">
        <f t="shared" si="4"/>
        <v/>
      </c>
      <c r="BC5" s="1" t="str">
        <f t="shared" si="5"/>
        <v>Contender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VFL4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9A91</v>
      </c>
      <c r="BJ5" s="1" t="str">
        <f t="shared" si="12"/>
        <v>HV4</v>
      </c>
      <c r="BK5" s="1" t="str">
        <f t="shared" si="13"/>
        <v>AP4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HP4</v>
      </c>
      <c r="BO5" s="1" t="str">
        <f t="shared" si="17"/>
        <v>9A91</v>
      </c>
      <c r="BP5" s="1" t="str">
        <f t="shared" si="18"/>
        <v>9A91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1654</v>
      </c>
      <c r="D6" s="9" t="s">
        <v>1680</v>
      </c>
      <c r="E6" s="9" t="s">
        <v>192</v>
      </c>
      <c r="F6" s="9" t="s">
        <v>1722</v>
      </c>
      <c r="H6" s="9" t="s">
        <v>80</v>
      </c>
      <c r="I6" s="9" t="s">
        <v>1644</v>
      </c>
      <c r="J6" s="9" t="s">
        <v>1755</v>
      </c>
      <c r="K6" s="9" t="s">
        <v>1677</v>
      </c>
      <c r="M6" s="9" t="s">
        <v>97</v>
      </c>
      <c r="N6" s="9" t="s">
        <v>86</v>
      </c>
      <c r="O6" s="9" t="s">
        <v>199</v>
      </c>
      <c r="P6" s="9" t="s">
        <v>901</v>
      </c>
      <c r="R6" s="9" t="s">
        <v>745</v>
      </c>
      <c r="S6" s="9" t="s">
        <v>5558</v>
      </c>
      <c r="T6" s="9" t="s">
        <v>1744</v>
      </c>
      <c r="U6" s="9" t="s">
        <v>1725</v>
      </c>
      <c r="W6" s="9" t="s">
        <v>113</v>
      </c>
      <c r="X6" s="9" t="s">
        <v>107</v>
      </c>
      <c r="Y6" t="s">
        <v>5784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916</v>
      </c>
      <c r="AV6" t="s">
        <v>724</v>
      </c>
      <c r="AZ6" s="1" t="str">
        <f t="shared" si="2"/>
        <v>ADS</v>
      </c>
      <c r="BA6" s="1" t="str">
        <f t="shared" si="3"/>
        <v>Carcano M91/38</v>
      </c>
      <c r="BB6" s="1" t="str">
        <f t="shared" si="4"/>
        <v/>
      </c>
      <c r="BC6" s="1" t="str">
        <f t="shared" si="5"/>
        <v>CZ75</v>
      </c>
      <c r="BD6" s="1" t="str">
        <f t="shared" si="6"/>
        <v>CZ75</v>
      </c>
      <c r="BE6" s="1" t="str">
        <f t="shared" si="7"/>
        <v>VFL5</v>
      </c>
      <c r="BF6" s="1" t="str">
        <f t="shared" si="8"/>
        <v>VFL5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>9A91Login</v>
      </c>
      <c r="BJ6" s="1" t="str">
        <f t="shared" si="12"/>
        <v>HV5</v>
      </c>
      <c r="BK6" s="1" t="str">
        <f t="shared" si="13"/>
        <v>AP5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HP5</v>
      </c>
      <c r="BO6" s="1" t="str">
        <f t="shared" si="17"/>
        <v>9A91Login</v>
      </c>
      <c r="BP6" s="1" t="str">
        <f t="shared" si="18"/>
        <v>9A91Login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1168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1673</v>
      </c>
      <c r="R7" s="9" t="s">
        <v>136</v>
      </c>
      <c r="S7" s="9" t="s">
        <v>1656</v>
      </c>
      <c r="T7" s="9" t="s">
        <v>101</v>
      </c>
      <c r="U7" s="9" t="s">
        <v>234</v>
      </c>
      <c r="X7" s="9" t="s">
        <v>1206</v>
      </c>
      <c r="Y7" s="9" t="s">
        <v>261</v>
      </c>
      <c r="Z7" s="9" t="s">
        <v>260</v>
      </c>
      <c r="AC7" s="9" t="s">
        <v>1669</v>
      </c>
      <c r="AD7" s="9" t="s">
        <v>147</v>
      </c>
      <c r="AE7" t="s">
        <v>4778</v>
      </c>
      <c r="AP7" t="s">
        <v>566</v>
      </c>
      <c r="AQ7" t="s">
        <v>548</v>
      </c>
      <c r="AU7" t="s">
        <v>923</v>
      </c>
      <c r="AV7" t="s">
        <v>929</v>
      </c>
      <c r="AZ7" s="1" t="str">
        <f t="shared" si="2"/>
        <v>Agent 416</v>
      </c>
      <c r="BA7" s="1" t="str">
        <f t="shared" si="3"/>
        <v>DeLisle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>AA12</v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/>
      </c>
      <c r="BO7" s="1" t="str">
        <f t="shared" si="17"/>
        <v>AA12</v>
      </c>
      <c r="BP7" s="1" t="str">
        <f t="shared" si="18"/>
        <v>AA12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1664</v>
      </c>
      <c r="G8" s="9"/>
      <c r="H8" s="9" t="s">
        <v>914</v>
      </c>
      <c r="I8" s="9" t="s">
        <v>165</v>
      </c>
      <c r="J8" s="9" t="s">
        <v>157</v>
      </c>
      <c r="K8" s="9" t="s">
        <v>1637</v>
      </c>
      <c r="N8" s="9" t="s">
        <v>791</v>
      </c>
      <c r="O8" s="9" t="s">
        <v>790</v>
      </c>
      <c r="P8" s="9" t="s">
        <v>235</v>
      </c>
      <c r="S8" s="9" t="s">
        <v>1200</v>
      </c>
      <c r="T8" s="9" t="s">
        <v>1697</v>
      </c>
      <c r="U8" s="9" t="s">
        <v>1699</v>
      </c>
      <c r="X8" s="9" t="s">
        <v>792</v>
      </c>
      <c r="Y8" s="9" t="s">
        <v>839</v>
      </c>
      <c r="Z8" s="9" t="s">
        <v>1750</v>
      </c>
      <c r="AC8" s="9" t="s">
        <v>215</v>
      </c>
      <c r="AD8" s="9" t="s">
        <v>716</v>
      </c>
      <c r="AE8" s="9" t="s">
        <v>1672</v>
      </c>
      <c r="AP8" t="s">
        <v>567</v>
      </c>
      <c r="AQ8" t="s">
        <v>549</v>
      </c>
      <c r="AU8" t="s">
        <v>915</v>
      </c>
      <c r="AV8" t="s">
        <v>928</v>
      </c>
      <c r="AZ8" s="1" t="str">
        <f t="shared" si="2"/>
        <v>AK12</v>
      </c>
      <c r="BA8" s="1" t="str">
        <f t="shared" si="3"/>
        <v>DSR50</v>
      </c>
      <c r="BB8" s="1" t="str">
        <f t="shared" si="4"/>
        <v/>
      </c>
      <c r="BC8" s="1" t="str">
        <f t="shared" si="5"/>
        <v>FAIL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>Agent416HV</v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/>
      </c>
      <c r="BO8" s="1" t="str">
        <f t="shared" si="17"/>
        <v>Agent416HV</v>
      </c>
      <c r="BP8" s="1" t="str">
        <f t="shared" si="18"/>
        <v>Agent416HV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>XExo3</v>
      </c>
      <c r="BT8" s="1"/>
    </row>
    <row r="9" spans="1:72" x14ac:dyDescent="0.25">
      <c r="A9" s="9"/>
      <c r="C9" s="9" t="s">
        <v>1228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1700</v>
      </c>
      <c r="J9" s="9" t="s">
        <v>1696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1702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1240</v>
      </c>
      <c r="AP9" t="s">
        <v>568</v>
      </c>
      <c r="AQ9" t="s">
        <v>550</v>
      </c>
      <c r="AU9" t="s">
        <v>931</v>
      </c>
      <c r="AV9" t="s">
        <v>930</v>
      </c>
      <c r="AZ9" s="1" t="str">
        <f t="shared" si="2"/>
        <v>AK15</v>
      </c>
      <c r="BA9" s="1" t="str">
        <f t="shared" si="3"/>
        <v>DTASRS</v>
      </c>
      <c r="BB9" s="1" t="str">
        <f t="shared" si="4"/>
        <v/>
      </c>
      <c r="BC9" s="1" t="str">
        <f t="shared" si="5"/>
        <v>Fiveseven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>Agent416VFL</v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/>
      </c>
      <c r="BO9" s="1" t="str">
        <f t="shared" si="17"/>
        <v>Agent416VFL</v>
      </c>
      <c r="BP9" s="1" t="str">
        <f t="shared" si="18"/>
        <v>Agent416VFL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1679</v>
      </c>
      <c r="E10" s="9" t="s">
        <v>948</v>
      </c>
      <c r="F10" s="9" t="s">
        <v>1701</v>
      </c>
      <c r="G10" s="9"/>
      <c r="H10" s="9" t="s">
        <v>118</v>
      </c>
      <c r="I10" s="9" t="s">
        <v>84</v>
      </c>
      <c r="J10" s="9" t="s">
        <v>715</v>
      </c>
      <c r="K10" t="s">
        <v>1727</v>
      </c>
      <c r="N10" s="9" t="s">
        <v>184</v>
      </c>
      <c r="O10" s="9" t="s">
        <v>729</v>
      </c>
      <c r="P10" s="9" t="s">
        <v>1767</v>
      </c>
      <c r="S10" s="9" t="s">
        <v>216</v>
      </c>
      <c r="T10" s="9" t="s">
        <v>1691</v>
      </c>
      <c r="U10" s="9" t="s">
        <v>233</v>
      </c>
      <c r="X10" s="9" t="s">
        <v>110</v>
      </c>
      <c r="Y10" s="9" t="s">
        <v>106</v>
      </c>
      <c r="Z10" s="9" t="s">
        <v>300</v>
      </c>
      <c r="AD10" t="s">
        <v>5529</v>
      </c>
      <c r="AE10" s="9" t="s">
        <v>813</v>
      </c>
      <c r="AU10" t="s">
        <v>932</v>
      </c>
      <c r="AV10" t="s">
        <v>925</v>
      </c>
      <c r="AZ10" s="1" t="str">
        <f t="shared" si="2"/>
        <v>AKAlfa</v>
      </c>
      <c r="BA10" s="1" t="str">
        <f t="shared" si="3"/>
        <v>GeneralLiu</v>
      </c>
      <c r="BB10" s="1" t="str">
        <f t="shared" si="4"/>
        <v/>
      </c>
      <c r="BC10" s="1" t="str">
        <f t="shared" si="5"/>
        <v>Grizzly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>Agent416XExo</v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/>
      </c>
      <c r="BO10" s="1" t="str">
        <f t="shared" si="17"/>
        <v>Agent416XExo</v>
      </c>
      <c r="BP10" s="1" t="str">
        <f t="shared" si="18"/>
        <v>Agent416XExo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1683</v>
      </c>
      <c r="E11" s="9" t="s">
        <v>1213</v>
      </c>
      <c r="F11" s="9" t="s">
        <v>200</v>
      </c>
      <c r="G11" s="9"/>
      <c r="I11" s="9" t="s">
        <v>208</v>
      </c>
      <c r="J11" s="9" t="s">
        <v>1693</v>
      </c>
      <c r="K11" s="9" t="s">
        <v>238</v>
      </c>
      <c r="N11" s="9" t="s">
        <v>1666</v>
      </c>
      <c r="O11" s="9" t="s">
        <v>1659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301</v>
      </c>
      <c r="AD11" t="s">
        <v>4799</v>
      </c>
      <c r="AE11" s="9" t="s">
        <v>145</v>
      </c>
      <c r="AL11" s="40"/>
      <c r="AU11" t="s">
        <v>933</v>
      </c>
      <c r="AV11" t="s">
        <v>927</v>
      </c>
      <c r="AZ11" s="1" t="str">
        <f t="shared" si="2"/>
        <v>AN94</v>
      </c>
      <c r="BA11" s="1" t="str">
        <f t="shared" si="3"/>
        <v>HS50</v>
      </c>
      <c r="BB11" s="1" t="str">
        <f t="shared" si="4"/>
        <v/>
      </c>
      <c r="BC11" s="1" t="str">
        <f t="shared" si="5"/>
        <v>HP35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>AgentVectorHP</v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/>
      </c>
      <c r="BO11" s="1" t="str">
        <f t="shared" si="17"/>
        <v>AgentVectorHP</v>
      </c>
      <c r="BP11" s="1" t="str">
        <f t="shared" si="18"/>
        <v>AgentVectorHP</v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1789</v>
      </c>
      <c r="F12" s="9" t="s">
        <v>1728</v>
      </c>
      <c r="G12" s="9"/>
      <c r="I12" s="9" t="s">
        <v>1665</v>
      </c>
      <c r="J12" s="9" t="s">
        <v>254</v>
      </c>
      <c r="K12" s="9" t="s">
        <v>806</v>
      </c>
      <c r="N12" s="9" t="s">
        <v>1685</v>
      </c>
      <c r="O12" s="9" t="s">
        <v>91</v>
      </c>
      <c r="P12" s="9" t="s">
        <v>166</v>
      </c>
      <c r="S12" s="9" t="s">
        <v>182</v>
      </c>
      <c r="T12" s="9" t="s">
        <v>1747</v>
      </c>
      <c r="U12" s="9" t="s">
        <v>155</v>
      </c>
      <c r="Y12" s="9" t="s">
        <v>189</v>
      </c>
      <c r="Z12" s="9" t="s">
        <v>126</v>
      </c>
      <c r="AD12" s="9" t="s">
        <v>938</v>
      </c>
      <c r="AE12" t="s">
        <v>4790</v>
      </c>
      <c r="AL12" s="40"/>
      <c r="AU12" t="s">
        <v>922</v>
      </c>
      <c r="AV12" t="s">
        <v>926</v>
      </c>
      <c r="AZ12" s="1" t="str">
        <f t="shared" si="2"/>
        <v>Angelica</v>
      </c>
      <c r="BA12" s="1" t="str">
        <f t="shared" si="3"/>
        <v>IWS 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>AgentVectorSPP</v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/>
      </c>
      <c r="BO12" s="1" t="str">
        <f t="shared" si="17"/>
        <v>AgentVectorSPP</v>
      </c>
      <c r="BP12" s="1" t="str">
        <f t="shared" si="18"/>
        <v>AgentVectorSPP</v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1719</v>
      </c>
      <c r="F13" s="9" t="s">
        <v>822</v>
      </c>
      <c r="G13" s="9"/>
      <c r="I13" s="9" t="s">
        <v>1676</v>
      </c>
      <c r="J13" s="9" t="s">
        <v>730</v>
      </c>
      <c r="K13" s="9" t="s">
        <v>1444</v>
      </c>
      <c r="N13" s="9" t="s">
        <v>242</v>
      </c>
      <c r="O13" s="9" t="s">
        <v>159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154</v>
      </c>
      <c r="AD13" s="9" t="s">
        <v>1671</v>
      </c>
      <c r="AE13" s="9" t="s">
        <v>814</v>
      </c>
      <c r="AL13" s="40"/>
      <c r="AU13" t="s">
        <v>921</v>
      </c>
      <c r="AV13" t="s">
        <v>5815</v>
      </c>
      <c r="AZ13" s="1" t="str">
        <f t="shared" si="2"/>
        <v>ART556</v>
      </c>
      <c r="BA13" s="1" t="str">
        <f t="shared" si="3"/>
        <v>JS05</v>
      </c>
      <c r="BB13" s="1" t="str">
        <f t="shared" si="4"/>
        <v/>
      </c>
      <c r="BC13" s="1" t="str">
        <f t="shared" si="5"/>
        <v>Jill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>AgentVectorTExo</v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/>
      </c>
      <c r="BO13" s="1" t="str">
        <f t="shared" si="17"/>
        <v>AgentVectorTExo</v>
      </c>
      <c r="BP13" s="1" t="str">
        <f t="shared" si="18"/>
        <v>AgentVectorTExo</v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1645</v>
      </c>
      <c r="J14" s="9" t="s">
        <v>6475</v>
      </c>
      <c r="K14" s="9" t="s">
        <v>82</v>
      </c>
      <c r="N14" s="9" t="s">
        <v>1678</v>
      </c>
      <c r="O14" s="9" t="s">
        <v>187</v>
      </c>
      <c r="P14" s="9" t="s">
        <v>266</v>
      </c>
      <c r="S14" s="9" t="s">
        <v>102</v>
      </c>
      <c r="T14" s="9" t="s">
        <v>1711</v>
      </c>
      <c r="U14" s="9" t="s">
        <v>104</v>
      </c>
      <c r="Y14" s="9" t="s">
        <v>111</v>
      </c>
      <c r="Z14" s="9" t="s">
        <v>788</v>
      </c>
      <c r="AD14" s="9" t="s">
        <v>1668</v>
      </c>
      <c r="AE14" s="9" t="s">
        <v>5700</v>
      </c>
      <c r="AL14" s="40"/>
      <c r="AM14" s="40"/>
      <c r="AU14" t="s">
        <v>5738</v>
      </c>
      <c r="AV14" t="s">
        <v>708</v>
      </c>
      <c r="AZ14" s="1" t="str">
        <f t="shared" si="2"/>
        <v>AS ValMod</v>
      </c>
      <c r="BA14" s="1" t="str">
        <f t="shared" si="3"/>
        <v>Kar98k</v>
      </c>
      <c r="BB14" s="1" t="str">
        <f t="shared" si="4"/>
        <v/>
      </c>
      <c r="BC14" s="1" t="str">
        <f t="shared" si="5"/>
        <v>Kiana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>AK15Mod</v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/>
      </c>
      <c r="BO14" s="1" t="str">
        <f t="shared" si="17"/>
        <v>AK15Mod</v>
      </c>
      <c r="BP14" s="1" t="str">
        <f t="shared" si="18"/>
        <v>AK15Mod</v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2203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1706</v>
      </c>
      <c r="T15" s="9" t="s">
        <v>1197</v>
      </c>
      <c r="U15" s="9" t="s">
        <v>124</v>
      </c>
      <c r="Y15" s="9" t="s">
        <v>810</v>
      </c>
      <c r="Z15" s="9" t="s">
        <v>1698</v>
      </c>
      <c r="AD15" s="9" t="s">
        <v>150</v>
      </c>
      <c r="AE15" s="212" t="s">
        <v>1435</v>
      </c>
      <c r="AL15" s="40"/>
      <c r="AM15" s="40"/>
      <c r="AP15" s="40"/>
      <c r="AU15" t="s">
        <v>5737</v>
      </c>
      <c r="AV15" t="s">
        <v>709</v>
      </c>
      <c r="AZ15" s="1" t="str">
        <f t="shared" si="2"/>
        <v>AUG</v>
      </c>
      <c r="BA15" s="1" t="str">
        <f t="shared" si="3"/>
        <v>KSVKMod</v>
      </c>
      <c r="BB15" s="1" t="str">
        <f t="shared" si="4"/>
        <v/>
      </c>
      <c r="BC15" s="1" t="str">
        <f t="shared" si="5"/>
        <v>Kolibri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>AK47-1</v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/>
      </c>
      <c r="BO15" s="1" t="str">
        <f t="shared" si="17"/>
        <v>AK47-1</v>
      </c>
      <c r="BP15" s="1" t="str">
        <f t="shared" si="18"/>
        <v>AK47-1</v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1707</v>
      </c>
      <c r="E16" s="9" t="s">
        <v>5753</v>
      </c>
      <c r="F16" s="9" t="s">
        <v>193</v>
      </c>
      <c r="G16" s="9"/>
      <c r="I16" s="9" t="s">
        <v>830</v>
      </c>
      <c r="J16" s="9" t="s">
        <v>1663</v>
      </c>
      <c r="K16" s="9" t="s">
        <v>1681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1462</v>
      </c>
      <c r="U16" s="9" t="s">
        <v>1221</v>
      </c>
      <c r="Y16" s="9" t="s">
        <v>789</v>
      </c>
      <c r="Z16" s="9" t="s">
        <v>1713</v>
      </c>
      <c r="AD16" s="9" t="s">
        <v>1675</v>
      </c>
      <c r="AE16" s="9" t="s">
        <v>3489</v>
      </c>
      <c r="AL16" s="40"/>
      <c r="AM16" s="40"/>
      <c r="AP16" s="40"/>
      <c r="AV16" t="s">
        <v>710</v>
      </c>
      <c r="AZ16" s="1" t="str">
        <f t="shared" si="2"/>
        <v>FAL</v>
      </c>
      <c r="BA16" s="1" t="str">
        <f t="shared" si="3"/>
        <v>Lee Enfield</v>
      </c>
      <c r="BB16" s="1" t="str">
        <f t="shared" si="4"/>
        <v/>
      </c>
      <c r="BC16" s="1" t="str">
        <f t="shared" si="5"/>
        <v>M950A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>AK47-2</v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/>
      </c>
      <c r="BO16" s="1" t="str">
        <f t="shared" si="17"/>
        <v>AK47-2</v>
      </c>
      <c r="BP16" s="1" t="str">
        <f t="shared" si="18"/>
        <v>AK47-2</v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805</v>
      </c>
      <c r="F17" s="9" t="s">
        <v>131</v>
      </c>
      <c r="G17" s="9"/>
      <c r="I17" s="9" t="s">
        <v>1709</v>
      </c>
      <c r="J17" s="9" t="s">
        <v>226</v>
      </c>
      <c r="K17" s="9" t="s">
        <v>1688</v>
      </c>
      <c r="N17" s="9" t="s">
        <v>1648</v>
      </c>
      <c r="O17" s="9" t="s">
        <v>835</v>
      </c>
      <c r="P17" s="9" t="s">
        <v>185</v>
      </c>
      <c r="S17" s="9" t="s">
        <v>239</v>
      </c>
      <c r="T17" s="9" t="s">
        <v>834</v>
      </c>
      <c r="U17" s="9" t="s">
        <v>1464</v>
      </c>
      <c r="Y17" s="9" t="s">
        <v>1687</v>
      </c>
      <c r="Z17" s="9" t="s">
        <v>836</v>
      </c>
      <c r="AD17" s="9" t="s">
        <v>1708</v>
      </c>
      <c r="AE17" s="9" t="s">
        <v>1670</v>
      </c>
      <c r="AV17" t="s">
        <v>738</v>
      </c>
      <c r="AZ17" s="1" t="str">
        <f t="shared" si="2"/>
        <v>G11</v>
      </c>
      <c r="BA17" s="1" t="str">
        <f t="shared" si="3"/>
        <v>M200</v>
      </c>
      <c r="BB17" s="1" t="str">
        <f t="shared" si="4"/>
        <v/>
      </c>
      <c r="BC17" s="1" t="str">
        <f t="shared" si="5"/>
        <v>Noel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>AK47-3</v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>AK47-3</v>
      </c>
      <c r="BP17" s="1" t="str">
        <f t="shared" si="18"/>
        <v>AK47-3</v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1686</v>
      </c>
      <c r="E18" s="9" t="s">
        <v>19</v>
      </c>
      <c r="F18" s="9" t="s">
        <v>197</v>
      </c>
      <c r="G18" s="9"/>
      <c r="I18" s="9" t="s">
        <v>181</v>
      </c>
      <c r="J18" s="9" t="s">
        <v>1646</v>
      </c>
      <c r="K18" s="9" t="s">
        <v>1720</v>
      </c>
      <c r="N18" s="9" t="s">
        <v>1692</v>
      </c>
      <c r="O18" s="9" t="s">
        <v>1716</v>
      </c>
      <c r="P18" s="9" t="s">
        <v>132</v>
      </c>
      <c r="S18" s="9" t="s">
        <v>799</v>
      </c>
      <c r="T18" s="9" t="s">
        <v>98</v>
      </c>
      <c r="U18" s="9" t="s">
        <v>735</v>
      </c>
      <c r="Z18" t="s">
        <v>1726</v>
      </c>
      <c r="AE18" s="213" t="s">
        <v>827</v>
      </c>
      <c r="AV18" t="s">
        <v>162</v>
      </c>
      <c r="AZ18" s="1" t="str">
        <f t="shared" si="2"/>
        <v>G36Mod</v>
      </c>
      <c r="BA18" s="1" t="str">
        <f t="shared" si="3"/>
        <v>M82A1</v>
      </c>
      <c r="BB18" s="1" t="str">
        <f t="shared" si="4"/>
        <v/>
      </c>
      <c r="BC18" s="1" t="str">
        <f t="shared" si="5"/>
        <v>NZ75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>Alma</v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>Alma</v>
      </c>
      <c r="BP18" s="1" t="str">
        <f t="shared" si="18"/>
        <v>Alma</v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153</v>
      </c>
      <c r="F19" s="9" t="s">
        <v>1689</v>
      </c>
      <c r="G19" s="9"/>
      <c r="I19" s="9" t="s">
        <v>156</v>
      </c>
      <c r="J19" s="9" t="s">
        <v>1712</v>
      </c>
      <c r="K19" s="9" t="s">
        <v>141</v>
      </c>
      <c r="N19" s="9" t="s">
        <v>222</v>
      </c>
      <c r="O19" s="9" t="s">
        <v>92</v>
      </c>
      <c r="P19" s="9" t="s">
        <v>823</v>
      </c>
      <c r="T19" s="9" t="s">
        <v>99</v>
      </c>
      <c r="U19" s="9" t="s">
        <v>826</v>
      </c>
      <c r="Z19" s="9" t="s">
        <v>1703</v>
      </c>
      <c r="AE19" s="9" t="s">
        <v>250</v>
      </c>
      <c r="AV19" t="s">
        <v>5799</v>
      </c>
      <c r="AZ19" s="1" t="str">
        <f t="shared" si="2"/>
        <v>G41</v>
      </c>
      <c r="BA19" s="1" t="str">
        <f t="shared" si="3"/>
        <v>M99</v>
      </c>
      <c r="BB19" s="1" t="str">
        <f t="shared" si="4"/>
        <v/>
      </c>
      <c r="BC19" s="1" t="str">
        <f t="shared" si="5"/>
        <v>P22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>Ameli</v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>Ameli</v>
      </c>
      <c r="BP19" s="1" t="str">
        <f t="shared" si="18"/>
        <v>Ameli</v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1655</v>
      </c>
      <c r="F20" s="9" t="s">
        <v>186</v>
      </c>
      <c r="G20" s="9"/>
      <c r="I20" s="9" t="s">
        <v>1658</v>
      </c>
      <c r="J20" s="9" t="s">
        <v>5844</v>
      </c>
      <c r="K20" s="9" t="s">
        <v>1738</v>
      </c>
      <c r="N20" s="9" t="s">
        <v>1638</v>
      </c>
      <c r="O20" s="9" t="s">
        <v>1674</v>
      </c>
      <c r="P20" s="9" t="s">
        <v>1715</v>
      </c>
      <c r="T20" s="9" t="s">
        <v>22</v>
      </c>
      <c r="U20" s="9" t="s">
        <v>223</v>
      </c>
      <c r="AE20" s="222" t="s">
        <v>734</v>
      </c>
      <c r="AV20" t="s">
        <v>252</v>
      </c>
      <c r="AZ20" s="1" t="str">
        <f t="shared" si="2"/>
        <v>Himeko</v>
      </c>
      <c r="BA20" s="1" t="str">
        <f t="shared" si="3"/>
        <v>Mei</v>
      </c>
      <c r="BB20" s="1" t="str">
        <f t="shared" si="4"/>
        <v/>
      </c>
      <c r="BC20" s="1" t="str">
        <f t="shared" si="5"/>
        <v>PA15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>AN94Mod</v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>AN94Mod</v>
      </c>
      <c r="BP20" s="1" t="str">
        <f t="shared" si="18"/>
        <v>AN94Mod</v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801</v>
      </c>
      <c r="K21" s="9" t="s">
        <v>1764</v>
      </c>
      <c r="N21" s="9" t="s">
        <v>119</v>
      </c>
      <c r="O21" s="9" t="s">
        <v>802</v>
      </c>
      <c r="P21" s="9" t="s">
        <v>1649</v>
      </c>
      <c r="T21" s="9" t="s">
        <v>798</v>
      </c>
      <c r="U21" s="9" t="s">
        <v>188</v>
      </c>
      <c r="AV21" t="s">
        <v>258</v>
      </c>
      <c r="AZ21" s="1" t="str">
        <f t="shared" si="2"/>
        <v>HK416</v>
      </c>
      <c r="BA21" s="1" t="str">
        <f t="shared" si="3"/>
        <v>MosinNagantMod</v>
      </c>
      <c r="BB21" s="1" t="str">
        <f t="shared" si="4"/>
        <v/>
      </c>
      <c r="BC21" s="1" t="str">
        <f t="shared" si="5"/>
        <v>Px4 Storm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>Angelica</v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>Angelica</v>
      </c>
      <c r="BP21" s="1" t="str">
        <f t="shared" si="18"/>
        <v>Angelica</v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5560</v>
      </c>
      <c r="F22" t="s">
        <v>5743</v>
      </c>
      <c r="J22" s="9" t="s">
        <v>144</v>
      </c>
      <c r="K22" s="9" t="s">
        <v>1662</v>
      </c>
      <c r="N22" s="9" t="s">
        <v>3464</v>
      </c>
      <c r="O22" s="9" t="s">
        <v>5768</v>
      </c>
      <c r="P22" t="s">
        <v>1428</v>
      </c>
      <c r="T22" s="9" t="s">
        <v>229</v>
      </c>
      <c r="U22" s="9" t="s">
        <v>168</v>
      </c>
      <c r="AV22" t="s">
        <v>74</v>
      </c>
      <c r="AZ22" s="1" t="str">
        <f t="shared" si="2"/>
        <v>K11</v>
      </c>
      <c r="BA22" s="1" t="str">
        <f t="shared" si="3"/>
        <v>NTW20</v>
      </c>
      <c r="BB22" s="1" t="str">
        <f t="shared" si="4"/>
        <v/>
      </c>
      <c r="BC22" s="1" t="str">
        <f t="shared" si="5"/>
        <v>Python</v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>AS ValMod</v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>AS ValMod</v>
      </c>
      <c r="BP22" s="1" t="str">
        <f t="shared" si="18"/>
        <v>AS ValMod</v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804</v>
      </c>
      <c r="E23" s="9" t="s">
        <v>5559</v>
      </c>
      <c r="F23" s="9" t="s">
        <v>267</v>
      </c>
      <c r="J23" s="9" t="s">
        <v>831</v>
      </c>
      <c r="K23" s="9" t="s">
        <v>5760</v>
      </c>
      <c r="N23" s="9" t="s">
        <v>218</v>
      </c>
      <c r="O23" s="9" t="s">
        <v>243</v>
      </c>
      <c r="P23" s="9" t="s">
        <v>1690</v>
      </c>
      <c r="T23" s="9" t="s">
        <v>1684</v>
      </c>
      <c r="U23" s="9" t="s">
        <v>1741</v>
      </c>
      <c r="AV23" t="s">
        <v>744</v>
      </c>
      <c r="AZ23" s="1" t="str">
        <f t="shared" si="2"/>
        <v>K2</v>
      </c>
      <c r="BA23" s="1" t="str">
        <f t="shared" si="3"/>
        <v>Pekola</v>
      </c>
      <c r="BB23" s="1" t="str">
        <f t="shared" si="4"/>
        <v/>
      </c>
      <c r="BC23" s="1" t="str">
        <f t="shared" si="5"/>
        <v>Rhino</v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>Astra</v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>Astra</v>
      </c>
      <c r="BP23" s="1" t="str">
        <f t="shared" si="18"/>
        <v>Astra</v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/>
      <c r="F24" s="9" t="s">
        <v>732</v>
      </c>
      <c r="J24" s="9" t="s">
        <v>741</v>
      </c>
      <c r="K24" s="9" t="s">
        <v>127</v>
      </c>
      <c r="O24" s="9" t="s">
        <v>832</v>
      </c>
      <c r="P24" s="9" t="s">
        <v>207</v>
      </c>
      <c r="T24" s="9" t="s">
        <v>1650</v>
      </c>
      <c r="U24" s="9" t="s">
        <v>257</v>
      </c>
      <c r="AQ24" s="9"/>
      <c r="AV24" t="s">
        <v>746</v>
      </c>
      <c r="AZ24" s="1" t="str">
        <f t="shared" si="2"/>
        <v>KH2002</v>
      </c>
      <c r="BA24" s="1" t="str">
        <f t="shared" si="3"/>
        <v>QBU88</v>
      </c>
      <c r="BB24" s="1" t="str">
        <f t="shared" si="4"/>
        <v/>
      </c>
      <c r="BC24" s="1" t="str">
        <f t="shared" si="5"/>
        <v>SAAMod</v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>BrenMod</v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>BrenMod</v>
      </c>
      <c r="BP24" s="1" t="str">
        <f t="shared" si="18"/>
        <v>BrenMod</v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841</v>
      </c>
      <c r="P25" s="9" t="s">
        <v>249</v>
      </c>
      <c r="T25" s="9" t="s">
        <v>833</v>
      </c>
      <c r="U25" s="9" t="s">
        <v>256</v>
      </c>
      <c r="AQ25" s="9"/>
      <c r="AV25" t="s">
        <v>748</v>
      </c>
      <c r="AZ25" s="1" t="str">
        <f t="shared" si="2"/>
        <v>M4 SOPMOD IIMod</v>
      </c>
      <c r="BA25" s="1" t="str">
        <f t="shared" si="3"/>
        <v>R93</v>
      </c>
      <c r="BB25" s="1" t="str">
        <f t="shared" si="4"/>
        <v/>
      </c>
      <c r="BC25" s="1" t="str">
        <f t="shared" si="5"/>
        <v>Sei</v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>C96Mod</v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>C96Mod</v>
      </c>
      <c r="BP25" s="1" t="str">
        <f t="shared" si="18"/>
        <v>C96Mod</v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172</v>
      </c>
      <c r="P26" s="9" t="s">
        <v>820</v>
      </c>
      <c r="T26" s="9" t="s">
        <v>739</v>
      </c>
      <c r="U26" s="9" t="s">
        <v>179</v>
      </c>
      <c r="AQ26" s="9"/>
      <c r="AV26" t="s">
        <v>747</v>
      </c>
      <c r="AZ26" s="1" t="str">
        <f t="shared" si="2"/>
        <v>M4A1Mod</v>
      </c>
      <c r="BA26" s="1" t="str">
        <f t="shared" si="3"/>
        <v>Rico</v>
      </c>
      <c r="BB26" s="1" t="str">
        <f t="shared" si="4"/>
        <v/>
      </c>
      <c r="BC26" s="1" t="str">
        <f t="shared" si="5"/>
        <v>StechkinMod</v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>ClaesMeteorite</v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>ClaesMeteorite</v>
      </c>
      <c r="BP26" s="1" t="str">
        <f t="shared" si="18"/>
        <v>ClaesMeteorite</v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P27" s="9" t="s">
        <v>797</v>
      </c>
      <c r="T27" s="9" t="s">
        <v>1653</v>
      </c>
      <c r="U27" t="s">
        <v>1431</v>
      </c>
      <c r="AQ27" s="9"/>
      <c r="AV27" t="s">
        <v>749</v>
      </c>
      <c r="AZ27" s="1" t="str">
        <f t="shared" si="2"/>
        <v>MDR</v>
      </c>
      <c r="BA27" s="1" t="str">
        <f t="shared" si="3"/>
        <v>Savage 99</v>
      </c>
      <c r="BB27" s="1" t="str">
        <f t="shared" si="4"/>
        <v/>
      </c>
      <c r="BC27" s="1" t="str">
        <f t="shared" si="5"/>
        <v>Theresa</v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>ClaesSpectacles</v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ClaesSpectacles</v>
      </c>
      <c r="BP27" s="1" t="str">
        <f t="shared" si="18"/>
        <v>ClaesSpectacles</v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5546</v>
      </c>
      <c r="K28" s="9" t="s">
        <v>264</v>
      </c>
      <c r="P28" s="9" t="s">
        <v>737</v>
      </c>
      <c r="T28" s="9" t="s">
        <v>180</v>
      </c>
      <c r="U28" s="9" t="s">
        <v>1660</v>
      </c>
      <c r="AV28" t="s">
        <v>718</v>
      </c>
      <c r="AZ28" s="1" t="str">
        <f t="shared" si="2"/>
        <v>Medusa</v>
      </c>
      <c r="BA28" s="1" t="str">
        <f t="shared" si="3"/>
        <v>SL8</v>
      </c>
      <c r="BB28" s="1" t="str">
        <f t="shared" si="4"/>
        <v/>
      </c>
      <c r="BC28" s="1" t="str">
        <f t="shared" si="5"/>
        <v>Webley</v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>ClaesWristwatch</v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ClaesWristwatch</v>
      </c>
      <c r="BP28" s="1" t="str">
        <f t="shared" si="18"/>
        <v>ClaesWristwatch</v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5777</v>
      </c>
      <c r="AV29" t="s">
        <v>152</v>
      </c>
      <c r="AZ29" s="1" t="str">
        <f t="shared" si="2"/>
        <v>OTs14</v>
      </c>
      <c r="BA29" s="1" t="str">
        <f t="shared" si="3"/>
        <v>Stella</v>
      </c>
      <c r="BB29" s="1" t="str">
        <f t="shared" si="4"/>
        <v/>
      </c>
      <c r="BC29" s="1" t="str">
        <f t="shared" si="5"/>
        <v>Welrod MkII</v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>Clear</v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Clear</v>
      </c>
      <c r="BP29" s="1" t="str">
        <f t="shared" si="18"/>
        <v>Clear</v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1272</v>
      </c>
      <c r="U30" s="9" t="s">
        <v>793</v>
      </c>
      <c r="AV30" t="s">
        <v>736</v>
      </c>
      <c r="AZ30" s="1" t="str">
        <f t="shared" si="2"/>
        <v>QBZ191</v>
      </c>
      <c r="BA30" s="1" t="str">
        <f t="shared" si="3"/>
        <v>SVCh</v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>CZ75</v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CZ75</v>
      </c>
      <c r="BP30" s="1" t="str">
        <f t="shared" si="18"/>
        <v>CZ75</v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1704</v>
      </c>
      <c r="U31" s="9" t="s">
        <v>230</v>
      </c>
      <c r="AV31" t="s">
        <v>1639</v>
      </c>
      <c r="AZ31" s="1" t="str">
        <f t="shared" si="2"/>
        <v>R5</v>
      </c>
      <c r="BA31" s="1" t="str">
        <f t="shared" si="3"/>
        <v>TAC50</v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>Dana</v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Dana</v>
      </c>
      <c r="BP31" s="1" t="str">
        <f t="shared" si="18"/>
        <v>Dana</v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1790</v>
      </c>
      <c r="AV32" t="s">
        <v>722</v>
      </c>
      <c r="AZ32" s="1" t="str">
        <f t="shared" si="2"/>
        <v>RFB</v>
      </c>
      <c r="BA32" s="1" t="str">
        <f t="shared" si="3"/>
        <v>VSK94</v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>Defender</v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Defender</v>
      </c>
      <c r="BP32" s="1" t="str">
        <f t="shared" si="18"/>
        <v>Defender</v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939</v>
      </c>
      <c r="U33" s="9" t="s">
        <v>1705</v>
      </c>
      <c r="AV33" t="s">
        <v>109</v>
      </c>
      <c r="AZ33" s="1" t="str">
        <f t="shared" si="2"/>
        <v>Ribeyrolles1918Mod</v>
      </c>
      <c r="BA33" s="1" t="str">
        <f t="shared" si="3"/>
        <v>WA2000</v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>Dorothy</v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Dorothy</v>
      </c>
      <c r="BP33" s="1" t="str">
        <f t="shared" si="18"/>
        <v>Dorothy</v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6483</v>
      </c>
      <c r="AV34" t="s">
        <v>829</v>
      </c>
      <c r="AZ34" s="1" t="str">
        <f t="shared" si="2"/>
        <v>SACR</v>
      </c>
      <c r="BA34" s="1" t="str">
        <f t="shared" si="3"/>
        <v>XM3Mod</v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>DP28</v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DP28</v>
      </c>
      <c r="BP34" s="1" t="str">
        <f t="shared" si="18"/>
        <v>DP28</v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900</v>
      </c>
      <c r="AV35" t="s">
        <v>1218</v>
      </c>
      <c r="AZ35" s="1" t="str">
        <f t="shared" si="2"/>
        <v>SCR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>F1Mod</v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F1Mod</v>
      </c>
      <c r="BP35" s="1" t="str">
        <f t="shared" si="18"/>
        <v>F1Mod</v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719</v>
      </c>
      <c r="AZ36" s="1" t="str">
        <f t="shared" si="2"/>
        <v>SIG MCX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>F2000</v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F2000</v>
      </c>
      <c r="BP36" s="1" t="str">
        <f t="shared" si="18"/>
        <v>F2000</v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1718</v>
      </c>
      <c r="AV37" t="s">
        <v>711</v>
      </c>
      <c r="AZ37" s="1" t="str">
        <f t="shared" si="2"/>
        <v>SIG556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>Fail</v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Fail</v>
      </c>
      <c r="BP37" s="1" t="str">
        <f t="shared" si="18"/>
        <v>Fail</v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125</v>
      </c>
      <c r="AZ38" s="1" t="str">
        <f t="shared" si="2"/>
        <v>ST AR15Mod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>FAMAS</v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FAMAS</v>
      </c>
      <c r="BP38" s="1" t="str">
        <f t="shared" si="18"/>
        <v>FAMAS</v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1714</v>
      </c>
      <c r="AV39" t="s">
        <v>1452</v>
      </c>
      <c r="AZ39" s="1" t="str">
        <f t="shared" si="2"/>
        <v>T91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>FG42</v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FG42</v>
      </c>
      <c r="BP39" s="1" t="str">
        <f t="shared" si="18"/>
        <v>FG42</v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1482</v>
      </c>
      <c r="AZ40" s="1" t="str">
        <f t="shared" si="2"/>
        <v>TKB408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>FN49Mod</v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FN49Mod</v>
      </c>
      <c r="BP40" s="1" t="str">
        <f t="shared" si="18"/>
        <v>FN49Mod</v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75</v>
      </c>
      <c r="AZ41" s="1" t="str">
        <f t="shared" si="2"/>
        <v>Type89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>G11Mod</v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G11Mod</v>
      </c>
      <c r="BP41" s="1" t="str">
        <f t="shared" si="18"/>
        <v>G11Mod</v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1784</v>
      </c>
      <c r="AZ42" s="1" t="str">
        <f t="shared" si="2"/>
        <v>Type95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>G17</v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G17</v>
      </c>
      <c r="BP42" s="1" t="str">
        <f t="shared" si="18"/>
        <v>G17</v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809</v>
      </c>
      <c r="AV43" t="s">
        <v>1464</v>
      </c>
      <c r="AZ43" s="1" t="str">
        <f t="shared" si="2"/>
        <v>Type97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>G36CMod</v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G36CMod</v>
      </c>
      <c r="BP43" s="1" t="str">
        <f t="shared" si="18"/>
        <v>G36CMod</v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5806</v>
      </c>
      <c r="AV44" t="s">
        <v>1462</v>
      </c>
      <c r="AZ44" s="1" t="str">
        <f t="shared" si="2"/>
        <v>VHS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>G36Mod</v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G36Mod</v>
      </c>
      <c r="BP44" s="1" t="str">
        <f t="shared" si="18"/>
        <v>G36Mod</v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735</v>
      </c>
      <c r="AZ45" s="1" t="str">
        <f t="shared" si="2"/>
        <v>XM8Mod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>G3Mod</v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G3Mod</v>
      </c>
      <c r="BP45" s="1" t="str">
        <f t="shared" si="18"/>
        <v>G3Mod</v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834</v>
      </c>
      <c r="AZ46" s="1" t="str">
        <f t="shared" si="2"/>
        <v>Zas M21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>G41</v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G41</v>
      </c>
      <c r="BP46" s="1" t="str">
        <f t="shared" si="18"/>
        <v>G41</v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1791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>Galil Mod</v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Galil Mod</v>
      </c>
      <c r="BP47" s="1" t="str">
        <f t="shared" si="18"/>
        <v>Galil Mod</v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120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>Gepard M1Mod</v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Gepard M1Mod</v>
      </c>
      <c r="BP48" s="1" t="str">
        <f t="shared" si="18"/>
        <v>Gepard M1Mod</v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1721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>Grizzly</v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Grizzly</v>
      </c>
      <c r="BP49" s="1" t="str">
        <f t="shared" si="18"/>
        <v>Grizzly</v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248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>GSh18Mod</v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GSh18Mod</v>
      </c>
      <c r="BP50" s="1" t="str">
        <f t="shared" si="18"/>
        <v>GSh18Mod</v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223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>Henrietta</v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Henrietta</v>
      </c>
      <c r="BP51" s="1" t="str">
        <f t="shared" si="18"/>
        <v>Henrietta</v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259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>HK416</v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HK416</v>
      </c>
      <c r="BP52" s="1" t="str">
        <f t="shared" si="18"/>
        <v>HK416</v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>HK416Mod</v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HK416Mod</v>
      </c>
      <c r="BP53" s="1" t="str">
        <f t="shared" si="18"/>
        <v>HK416Mod</v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262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>Honey Badger</v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Honey Badger</v>
      </c>
      <c r="BP54" s="1" t="str">
        <f t="shared" si="18"/>
        <v>Honey Badger</v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78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>IDWMod</v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IDWMod</v>
      </c>
      <c r="BP55" s="1" t="str">
        <f t="shared" si="18"/>
        <v>IDWMod</v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1727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>Ingram</v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Ingram</v>
      </c>
      <c r="BP56" s="1" t="str">
        <f t="shared" si="18"/>
        <v>Ingram</v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192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>Jashin</v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Jashin</v>
      </c>
      <c r="BP57" s="1" t="str">
        <f t="shared" si="18"/>
        <v>Jashin</v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756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>Jericho</v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Jericho</v>
      </c>
      <c r="BP58" s="1" t="str">
        <f t="shared" si="18"/>
        <v>Jericho</v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759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>JillAdelhyde1</v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JillAdelhyde1</v>
      </c>
      <c r="BP59" s="1" t="str">
        <f t="shared" si="18"/>
        <v>JillAdelhyde1</v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760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>JillAdelhyde2</v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JillAdelhyde2</v>
      </c>
      <c r="BP60" s="1" t="str">
        <f t="shared" si="18"/>
        <v>JillAdelhyde2</v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757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>JillBronsonExtract</v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JillBronsonExtract</v>
      </c>
      <c r="BP61" s="1" t="str">
        <f t="shared" si="18"/>
        <v>JillBronsonExtract</v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755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>JillFlanergide</v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JillFlanergide</v>
      </c>
      <c r="BP62" s="1" t="str">
        <f t="shared" si="18"/>
        <v>JillFlanergide</v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>JillKarmotrine1</v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JillKarmotrine1</v>
      </c>
      <c r="BP63" s="1" t="str">
        <f t="shared" si="18"/>
        <v>JillKarmotrine1</v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761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>JillKarmotrine2</v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JillKarmotrine2</v>
      </c>
      <c r="BP64" s="1" t="str">
        <f t="shared" si="18"/>
        <v>JillKarmotrine2</v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844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>JillKarmotrine3</v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JillKarmotrine3</v>
      </c>
      <c r="BP65" s="1" t="str">
        <f t="shared" si="18"/>
        <v>JillKarmotrine3</v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93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>JillPowderedDelta</v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JillPowderedDelta</v>
      </c>
      <c r="BP66" s="1" t="str">
        <f t="shared" si="18"/>
        <v>JillPowderedDelta</v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723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>Kar98k</v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Kar98k</v>
      </c>
      <c r="BP67" s="1" t="str">
        <f t="shared" si="18"/>
        <v>Kar98k</v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266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>KS23</v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KS23</v>
      </c>
      <c r="BP68" s="1" t="str">
        <f t="shared" ref="BP68:BP131" si="38">IF(INDEX($AH67:$AV67,MATCH(BP$2,$AH$1:$AV$1,0))="","",INDEX($AH67:$AV67,MATCH(BP$2,$AH$1:$AV$1,0)))</f>
        <v>KS23</v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96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>KSVKMod</v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KSVKMod</v>
      </c>
      <c r="BP69" s="1" t="str">
        <f t="shared" si="38"/>
        <v>KSVKMod</v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261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>Lee Enfield</v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Lee Enfield</v>
      </c>
      <c r="BP70" s="1" t="str">
        <f t="shared" si="38"/>
        <v>Lee Enfield</v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86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>LWMMGMod</v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LWMMGMod</v>
      </c>
      <c r="BP71" s="1" t="str">
        <f t="shared" si="38"/>
        <v>LWMMGMod</v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255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>M1 Garand</v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M1 Garand</v>
      </c>
      <c r="BP72" s="1" t="str">
        <f t="shared" si="38"/>
        <v>M1 Garand</v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98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>M14Mod</v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M14Mod</v>
      </c>
      <c r="BP73" s="1" t="str">
        <f t="shared" si="38"/>
        <v>M14Mod</v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787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>M16A1</v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M16A1</v>
      </c>
      <c r="BP74" s="1" t="str">
        <f t="shared" si="38"/>
        <v>M16A1</v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725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>M1895Mod</v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M1895Mod</v>
      </c>
      <c r="BP75" s="1" t="str">
        <f t="shared" si="38"/>
        <v>M1895Mod</v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253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>M1897Mod</v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M1897Mod</v>
      </c>
      <c r="BP76" s="1" t="str">
        <f t="shared" si="38"/>
        <v>M1897Mod</v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105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>M1911Mod</v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M1911Mod</v>
      </c>
      <c r="BP77" s="1" t="str">
        <f t="shared" si="38"/>
        <v>M1911Mod</v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260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>M1918</v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M1918</v>
      </c>
      <c r="BP78" s="1" t="str">
        <f t="shared" si="38"/>
        <v>M1918</v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107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>M1918Mod</v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M1918Mod</v>
      </c>
      <c r="BP79" s="1" t="str">
        <f t="shared" si="38"/>
        <v>M1918Mod</v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89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>M1919A4</v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M1919A4</v>
      </c>
      <c r="BP80" s="1" t="str">
        <f t="shared" si="38"/>
        <v>M1919A4</v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1206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>M21</v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M21</v>
      </c>
      <c r="BP81" s="1" t="str">
        <f t="shared" si="38"/>
        <v>M21</v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77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>M249SAW</v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M249SAW</v>
      </c>
      <c r="BP82" s="1" t="str">
        <f t="shared" si="38"/>
        <v>M249SAW</v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147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>M3</v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M3</v>
      </c>
      <c r="BP83" s="1" t="str">
        <f t="shared" si="38"/>
        <v>M3</v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715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>M37</v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M37</v>
      </c>
      <c r="BP84" s="1" t="str">
        <f t="shared" si="38"/>
        <v>M37</v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257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>M38Mod</v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M38Mod</v>
      </c>
      <c r="BP85" s="1" t="str">
        <f t="shared" si="38"/>
        <v>M38Mod</v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>M4 SOPMOD IIMod</v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M4 SOPMOD IIMod</v>
      </c>
      <c r="BP86" s="1" t="str">
        <f t="shared" si="38"/>
        <v>M4 SOPMOD IIMod</v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716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>M4A1Mod</v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M4A1Mod</v>
      </c>
      <c r="BP87" s="1" t="str">
        <f t="shared" si="38"/>
        <v>M4A1Mod</v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185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>M500Mod</v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M500Mod</v>
      </c>
      <c r="BP88" s="1" t="str">
        <f t="shared" si="38"/>
        <v>M500Mod</v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63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>M82A1</v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M82A1</v>
      </c>
      <c r="BP89" s="1" t="str">
        <f t="shared" si="38"/>
        <v>M82A1</v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263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>M9</v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M9</v>
      </c>
      <c r="BP90" s="1" t="str">
        <f t="shared" si="38"/>
        <v>M9</v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68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>M950AMod</v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M950AMod</v>
      </c>
      <c r="BP91" s="1" t="str">
        <f t="shared" si="38"/>
        <v>M950AMod</v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948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>Makarov</v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Makarov</v>
      </c>
      <c r="BP92" s="1" t="str">
        <f t="shared" si="38"/>
        <v>Makarov</v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179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>MakarovMod</v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MakarovMod</v>
      </c>
      <c r="BP93" s="1" t="str">
        <f t="shared" si="38"/>
        <v>MakarovMod</v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1431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>MDR</v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MDR</v>
      </c>
      <c r="BP94" s="1" t="str">
        <f t="shared" si="38"/>
        <v>MDR</v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114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>Medusa</v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Medusa</v>
      </c>
      <c r="BP95" s="1" t="str">
        <f t="shared" si="38"/>
        <v>Medusa</v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300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>MG3</v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MG3</v>
      </c>
      <c r="BP96" s="1" t="str">
        <f t="shared" si="38"/>
        <v>MG3</v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937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>MG4</v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MG4</v>
      </c>
      <c r="BP97" s="1" t="str">
        <f t="shared" si="38"/>
        <v>MG4</v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254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>MG4Mod</v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MG4Mod</v>
      </c>
      <c r="BP98" s="1" t="str">
        <f t="shared" si="38"/>
        <v>MG4Mod</v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1435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>Micro UziMod</v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Micro UziMod</v>
      </c>
      <c r="BP99" s="1" t="str">
        <f t="shared" si="38"/>
        <v>Micro UziMod</v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1213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>Minos</v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Minos</v>
      </c>
      <c r="BP100" s="1" t="str">
        <f t="shared" si="38"/>
        <v>Minos</v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808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>Mk23</v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Mk23</v>
      </c>
      <c r="BP101" s="1" t="str">
        <f t="shared" si="38"/>
        <v>Mk23</v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729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>MondragonM1908</v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MondragonM1908</v>
      </c>
      <c r="BP102" s="1" t="str">
        <f t="shared" si="38"/>
        <v>MondragonM1908</v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1715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>MosinNagant</v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MosinNagant</v>
      </c>
      <c r="BP103" s="1" t="str">
        <f t="shared" si="38"/>
        <v>MosinNagant</v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1789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>MosinNagantMod</v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MosinNagantMod</v>
      </c>
      <c r="BP104" s="1" t="str">
        <f t="shared" si="38"/>
        <v>MosinNagantMod</v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1719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>MP443Mod</v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MP443Mod</v>
      </c>
      <c r="BP105" s="1" t="str">
        <f t="shared" si="38"/>
        <v>MP443Mod</v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730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>MP446Mod</v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MP446Mod</v>
      </c>
      <c r="BP106" s="1" t="str">
        <f t="shared" si="38"/>
        <v>MP446Mod</v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1444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>MP5</v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MP5</v>
      </c>
      <c r="BP107" s="1" t="str">
        <f t="shared" si="38"/>
        <v>MP5</v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1717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>MP5Mod</v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MP5Mod</v>
      </c>
      <c r="BP108" s="1" t="str">
        <f t="shared" si="38"/>
        <v>MP5Mod</v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131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>NTW20Mod</v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NTW20Mod</v>
      </c>
      <c r="BP109" s="1" t="str">
        <f t="shared" si="38"/>
        <v>NTW20Mod</v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1729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>NZ75</v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NZ75</v>
      </c>
      <c r="BP110" s="1" t="str">
        <f t="shared" si="38"/>
        <v>NZ75</v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1730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>Ots12</v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Ots12</v>
      </c>
      <c r="BP111" s="1" t="str">
        <f t="shared" si="38"/>
        <v>Ots12</v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197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>Ots44</v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Ots44</v>
      </c>
      <c r="BP112" s="1" t="str">
        <f t="shared" si="38"/>
        <v>Ots44</v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69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>P22</v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P22</v>
      </c>
      <c r="BP113" s="1" t="str">
        <f t="shared" si="38"/>
        <v>P22</v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122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>P38</v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P38</v>
      </c>
      <c r="BP114" s="1" t="str">
        <f t="shared" si="38"/>
        <v>P38</v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190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>P7</v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P7</v>
      </c>
      <c r="BP115" s="1" t="str">
        <f t="shared" si="38"/>
        <v>P7</v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1428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>P90</v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P90</v>
      </c>
      <c r="BP116" s="1" t="str">
        <f t="shared" si="38"/>
        <v>P90</v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111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>Pekola</v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Pekola</v>
      </c>
      <c r="BP117" s="1" t="str">
        <f t="shared" si="38"/>
        <v>Pekola</v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1720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>PK</v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PK</v>
      </c>
      <c r="BP118" s="1" t="str">
        <f t="shared" si="38"/>
        <v>PK</v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1168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>PP19Mod</v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PP19Mod</v>
      </c>
      <c r="BP119" s="1" t="str">
        <f t="shared" si="38"/>
        <v>PP19Mod</v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70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>PP2000</v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PP2000</v>
      </c>
      <c r="BP120" s="1" t="str">
        <f t="shared" si="38"/>
        <v>PP2000</v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914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>PPK</v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PPK</v>
      </c>
      <c r="BP121" s="1" t="str">
        <f t="shared" si="38"/>
        <v>PPK</v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5791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>PPSh41</v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PPSh41</v>
      </c>
      <c r="BP122" s="1" t="str">
        <f t="shared" si="38"/>
        <v>PPSh41</v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91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>PPsh41Mod</v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PPsh41Mod</v>
      </c>
      <c r="BP123" s="1" t="str">
        <f t="shared" si="38"/>
        <v>PPsh41Mod</v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186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>PTRD</v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PTRD</v>
      </c>
      <c r="BP124" s="1" t="str">
        <f t="shared" si="38"/>
        <v>PTRD</v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64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>Px4 Storm</v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Px4 Storm</v>
      </c>
      <c r="BP125" s="1" t="str">
        <f t="shared" si="38"/>
        <v>Px4 Storm</v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159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>Python</v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Python</v>
      </c>
      <c r="BP126" s="1" t="str">
        <f t="shared" si="38"/>
        <v>Python</v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230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>PzB39</v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PzB39</v>
      </c>
      <c r="BP127" s="1" t="str">
        <f t="shared" si="38"/>
        <v>PzB39</v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1790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>RFB</v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RFB</v>
      </c>
      <c r="BP128" s="1" t="str">
        <f t="shared" si="38"/>
        <v>RFB</v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249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>Ribeyrolles1918Mod</v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Ribeyrolles1918Mod</v>
      </c>
      <c r="BP129" s="1" t="str">
        <f t="shared" si="38"/>
        <v>Ribeyrolles1918Mod</v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938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>Rico</v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Rico</v>
      </c>
      <c r="BP130" s="1" t="str">
        <f t="shared" si="38"/>
        <v>Rico</v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828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>RMB93Mod</v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RMB93Mod</v>
      </c>
      <c r="BP131" s="1" t="str">
        <f t="shared" si="38"/>
        <v>RMB93Mod</v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110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>RO635Mod</v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RO635Mod</v>
      </c>
      <c r="BP132" s="1" t="str">
        <f t="shared" ref="BP132:BP195" si="58">IF(INDEX($AH131:$AV131,MATCH(BP$2,$AH$1:$AV$1,0))="","",INDEX($AH131:$AV131,MATCH(BP$2,$AH$1:$AV$1,0)))</f>
        <v>RO635Mod</v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267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>RPD</v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RPD</v>
      </c>
      <c r="BP133" s="1" t="str">
        <f t="shared" si="58"/>
        <v>RPD</v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751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>SAAMod</v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SAAMod</v>
      </c>
      <c r="BP134" s="1" t="str">
        <f t="shared" si="58"/>
        <v>SAAMod</v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732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>SCW</v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SCW</v>
      </c>
      <c r="BP135" s="1" t="str">
        <f t="shared" si="58"/>
        <v>SCW</v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750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>Sei</v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Sei</v>
      </c>
      <c r="BP136" s="1" t="str">
        <f t="shared" si="58"/>
        <v>Sei</v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745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>Serdyukov</v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Serdyukov</v>
      </c>
      <c r="BP137" s="1" t="str">
        <f t="shared" si="58"/>
        <v>Serdyukov</v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81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>SIG510</v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SIG510</v>
      </c>
      <c r="BP138" s="1" t="str">
        <f t="shared" si="58"/>
        <v>SIG510</v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116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>Skorpion</v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Skorpion</v>
      </c>
      <c r="BP139" s="1" t="str">
        <f t="shared" si="58"/>
        <v>Skorpion</v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87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>Spectre M4</v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Spectre M4</v>
      </c>
      <c r="BP140" s="1" t="str">
        <f t="shared" si="58"/>
        <v>Spectre M4</v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1662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>Springfield</v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Springfield</v>
      </c>
      <c r="BP141" s="1" t="str">
        <f t="shared" si="58"/>
        <v>Springfield</v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100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>SR3MP</v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SR3MP</v>
      </c>
      <c r="BP142" s="1" t="str">
        <f t="shared" si="58"/>
        <v>SR3MP</v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1718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>ST AR-15</v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ST AR-15</v>
      </c>
      <c r="BP143" s="1" t="str">
        <f t="shared" si="58"/>
        <v>ST AR-15</v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67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>ST AR15Mod</v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ST AR15Mod</v>
      </c>
      <c r="BP144" s="1" t="str">
        <f t="shared" si="58"/>
        <v>ST AR15Mod</v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740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>Stechkin</v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Stechkin</v>
      </c>
      <c r="BP145" s="1" t="str">
        <f t="shared" si="58"/>
        <v>Stechkin</v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737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>StechkinMod</v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StechkinMod</v>
      </c>
      <c r="BP146" s="1" t="str">
        <f t="shared" si="58"/>
        <v>StechkinMod</v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831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>Stella</v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Stella</v>
      </c>
      <c r="BP147" s="1" t="str">
        <f t="shared" si="58"/>
        <v>Stella</v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726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>STEN MkIIMod</v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STEN MkIIMod</v>
      </c>
      <c r="BP148" s="1" t="str">
        <f t="shared" si="58"/>
        <v>STEN MkIIMod</v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127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>Stg44Mod</v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Stg44Mod</v>
      </c>
      <c r="BP149" s="1" t="str">
        <f t="shared" si="58"/>
        <v>Stg44Mod</v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835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>Suomi</v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Suomi</v>
      </c>
      <c r="BP150" s="1" t="str">
        <f t="shared" si="58"/>
        <v>Suomi</v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1716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>Super SASSMod</v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Super SASSMod</v>
      </c>
      <c r="BP151" s="1" t="str">
        <f t="shared" si="58"/>
        <v>Super SASSMod</v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92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>SV98Mod</v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SV98Mod</v>
      </c>
      <c r="BP152" s="1" t="str">
        <f t="shared" si="58"/>
        <v>SV98Mod</v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1647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>SVD</v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SVD</v>
      </c>
      <c r="BP153" s="1" t="str">
        <f t="shared" si="58"/>
        <v>SVD</v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181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>SVT38</v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SVT38</v>
      </c>
      <c r="BP154" s="1" t="str">
        <f t="shared" si="58"/>
        <v>SVT38</v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1272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>T77</v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T77</v>
      </c>
      <c r="BP155" s="1" t="str">
        <f t="shared" si="58"/>
        <v>T77</v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739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>TAC50</v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TAC50</v>
      </c>
      <c r="BP156" s="1" t="str">
        <f t="shared" si="58"/>
        <v>TAC50</v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76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>TAR21</v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TAR21</v>
      </c>
      <c r="BP157" s="1" t="str">
        <f t="shared" si="58"/>
        <v>TAR21</v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250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>Thompson</v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Thompson</v>
      </c>
      <c r="BP158" s="1" t="str">
        <f t="shared" si="58"/>
        <v>Thompson</v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243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>Triela</v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Triela</v>
      </c>
      <c r="BP159" s="1" t="str">
        <f t="shared" si="58"/>
        <v>Triela</v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832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>Type 4</v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Type 4</v>
      </c>
      <c r="BP160" s="1" t="str">
        <f t="shared" si="58"/>
        <v>Type 4</v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224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>Type 56 RMod</v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Type 56 RMod</v>
      </c>
      <c r="BP161" s="1" t="str">
        <f t="shared" si="58"/>
        <v>Type 56 RMod</v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239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>Type 79</v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Type 79</v>
      </c>
      <c r="BP162" s="1" t="str">
        <f t="shared" si="58"/>
        <v>Type 79</v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136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>Type03</v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Type03</v>
      </c>
      <c r="BP163" s="1" t="str">
        <f t="shared" si="58"/>
        <v>Type03</v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118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>Type63</v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Type63</v>
      </c>
      <c r="BP164" s="1" t="str">
        <f t="shared" si="58"/>
        <v>Type63</v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741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>Type64</v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Type64</v>
      </c>
      <c r="BP165" s="1" t="str">
        <f t="shared" si="58"/>
        <v>Type64</v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836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>Type64Mod</v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Type64Mod</v>
      </c>
      <c r="BP166" s="1" t="str">
        <f t="shared" si="58"/>
        <v>Type64Mod</v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119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>Type80Mod</v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Type80Mod</v>
      </c>
      <c r="BP167" s="1" t="str">
        <f t="shared" si="58"/>
        <v>Type80Mod</v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841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>Type88</v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Type88</v>
      </c>
      <c r="BP168" s="1" t="str">
        <f t="shared" si="58"/>
        <v>Type88</v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712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>Type88Mod</v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Type88Mod</v>
      </c>
      <c r="BP169" s="1" t="str">
        <f t="shared" si="58"/>
        <v>Type88Mod</v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734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>Type95/97</v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Type95/97</v>
      </c>
      <c r="BP170" s="1" t="str">
        <f t="shared" si="58"/>
        <v>Type95/97</v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731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>Type97SMod</v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Type97SMod</v>
      </c>
      <c r="BP171" s="1" t="str">
        <f t="shared" si="58"/>
        <v>Type97SMod</v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265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>UMP</v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UMP</v>
      </c>
      <c r="BP172" s="1" t="str">
        <f t="shared" si="58"/>
        <v>UMP</v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264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>UMP45Mod</v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UMP45Mod</v>
      </c>
      <c r="BP173" s="1" t="str">
        <f t="shared" si="58"/>
        <v>UMP45Mod</v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97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>UMP9Mod</v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UMP9Mod</v>
      </c>
      <c r="BP174" s="1" t="str">
        <f t="shared" si="58"/>
        <v>UMP9Mod</v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95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>VM59</v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VM59</v>
      </c>
      <c r="BP175" s="1" t="str">
        <f t="shared" si="58"/>
        <v>VM59</v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837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>WA2000</v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WA2000</v>
      </c>
      <c r="BP176" s="1" t="str">
        <f t="shared" si="58"/>
        <v>WA2000</v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939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>Welrod MkIIMod</v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Welrod MkIIMod</v>
      </c>
      <c r="BP177" s="1" t="str">
        <f t="shared" si="58"/>
        <v>Welrod MkIIMod</v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5806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>XM3Mod</v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XM3Mod</v>
      </c>
      <c r="BP178" s="1" t="str">
        <f t="shared" si="58"/>
        <v>XM3Mod</v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1726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>XM8Mod</v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XM8Mod</v>
      </c>
      <c r="BP179" s="1" t="str">
        <f t="shared" si="58"/>
        <v>XM8Mod</v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>Yurine</v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Yurine</v>
      </c>
      <c r="BP180" s="1" t="str">
        <f t="shared" si="58"/>
        <v>Yurine</v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/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/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/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/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/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/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/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/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/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179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BD911E-71F5-46C5-9185-BA3C0F2341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2022-04-29T01:56:07Z</dcterms:modified>
</cp:coreProperties>
</file>