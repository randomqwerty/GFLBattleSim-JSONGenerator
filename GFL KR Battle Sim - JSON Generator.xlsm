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0EF1FCF-0673-4630-BF2D-EC6CD7B0F20E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<sst xmlns="http://schemas.openxmlformats.org/spreadsheetml/2006/main" count="23803" uniqueCount="7155">
  <si>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</si>
  <si>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</si>
  <si>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</si>
  <si>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</si>
  <si>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</si>
  <si>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</si>
  <si>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</si>
  <si>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</si>
  <si>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</si>
  <si>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</si>
  <si>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</si>
  <si>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</si>
  <si>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</si>
  <si>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</si>
  <si>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</si>
  <si>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</si>
  <si>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</si>
  <si>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</si>
  <si>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</si>
  <si>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</si>
  <si>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</si>
  <si>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</si>
  <si>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</si>
  <si>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</si>
  <si>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</si>
  <si>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</si>
  <si>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</si>
  <si>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</si>
  <si>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</si>
  <si>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</si>
  <si>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</si>
  <si>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</si>
  <si>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</si>
  <si>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</si>
  <si>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</si>
  <si>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</si>
  <si>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</si>
  <si>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</si>
  <si>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</si>
  <si>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</si>
  <si>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</si>
  <si>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</si>
  <si>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</si>
  <si>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</si>
  <si>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</si>
  <si>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</si>
  <si>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</si>
  <si>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</si>
  <si>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</si>
  <si>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</si>
  <si>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</si>
  <si>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</si>
  <si>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</si>
  <si>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</si>
  <si>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</si>
  <si>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</si>
  <si>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</si>
  <si>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</si>
  <si>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</si>
  <si>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</si>
  <si>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</si>
  <si>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</si>
  <si>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</si>
  <si>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</si>
  <si>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</si>
  <si>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</si>
  <si>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</si>
  <si>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</si>
  <si>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</si>
  <si>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</si>
  <si>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</si>
  <si>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</si>
  <si>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</si>
  <si>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</si>
  <si>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</si>
  <si>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</si>
  <si>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</si>
  <si>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</si>
  <si>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</si>
  <si>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</si>
  <si>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</si>
  <si>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</si>
  <si>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</si>
  <si>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</si>
  <si>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</si>
  <si>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</si>
  <si>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</si>
  <si>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</si>
  <si>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</si>
  <si>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</si>
  <si>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</si>
  <si>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</si>
  <si>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</si>
  <si>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</si>
  <si>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</si>
  <si>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</si>
  <si>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</si>
  <si>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</si>
  <si>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</si>
  <si>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</si>
  <si>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</si>
  <si>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</si>
  <si>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</si>
  <si>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</si>
  <si>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</si>
  <si>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</si>
  <si>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</si>
  <si>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</si>
  <si>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</si>
  <si>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</si>
  <si>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</si>
  <si>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</si>
  <si>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</si>
  <si>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</si>
  <si>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</si>
  <si>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</si>
  <si>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</si>
  <si>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</si>
  <si>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</si>
  <si>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</si>
  <si>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</si>
  <si>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</si>
  <si>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</si>
  <si>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</si>
  <si>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</si>
  <si>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</si>
  <si>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</si>
  <si>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</si>
  <si>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</si>
  <si>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</si>
  <si>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</si>
  <si>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</si>
  <si>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</si>
  <si>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</si>
  <si>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</si>
  <si>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</si>
  <si>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</si>
  <si>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</si>
  <si>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</si>
  <si>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</si>
  <si>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</si>
  <si>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</si>
  <si>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</si>
  <si>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</si>
  <si>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</si>
  <si>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</si>
  <si>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</si>
  <si>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</si>
  <si>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</si>
  <si>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</si>
  <si>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</si>
  <si>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</si>
  <si>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</si>
  <si>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</si>
  <si>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</si>
  <si>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</si>
  <si>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</si>
  <si>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</si>
  <si>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</si>
  <si>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</si>
  <si>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</si>
  <si>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</si>
  <si>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</si>
  <si>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</si>
  <si>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</si>
  <si>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</si>
  <si>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</si>
  <si>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</si>
  <si>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</si>
  <si>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</si>
  <si>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</si>
  <si>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</si>
  <si>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</si>
  <si>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</si>
  <si>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</si>
  <si>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</si>
  <si>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</si>
  <si>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</si>
  <si>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</si>
  <si>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</si>
  <si>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</si>
  <si>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</si>
  <si>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</si>
  <si>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</si>
  <si>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</si>
  <si>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</si>
  <si>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</si>
  <si>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</si>
  <si>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</si>
  <si>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</si>
  <si>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</si>
  <si>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</si>
  <si>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</si>
  <si>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</si>
  <si>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</si>
  <si>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</si>
  <si>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</si>
  <si>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</si>
  <si>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</si>
  <si>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</si>
  <si>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</si>
  <si>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</si>
  <si>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</si>
  <si>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</si>
  <si>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</si>
  <si>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</si>
  <si>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</si>
  <si>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</si>
  <si>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</si>
  <si>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</si>
  <si>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</si>
  <si>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</si>
  <si>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</si>
  <si>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</si>
  <si>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</si>
  <si>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</si>
  <si>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</si>
  <si>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</si>
  <si>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</si>
  <si>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</si>
  <si>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</si>
  <si>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</si>
  <si>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</si>
  <si>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</si>
  <si>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</si>
  <si>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</si>
  <si>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</si>
  <si>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</si>
  <si>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</si>
  <si>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</si>
  <si>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</si>
  <si>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</si>
  <si>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</si>
  <si>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</si>
  <si>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</si>
  <si>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</si>
  <si>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</si>
  <si>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</si>
  <si>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</si>
  <si>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</si>
  <si>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</si>
  <si>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</si>
  <si>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</si>
  <si>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</si>
  <si>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</si>
  <si>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</si>
  <si>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</si>
  <si>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</si>
  <si>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</si>
  <si>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</si>
  <si>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</si>
  <si>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</si>
  <si>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</si>
  <si>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</si>
  <si>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</si>
  <si>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</si>
  <si>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</si>
  <si>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</si>
  <si>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</si>
  <si>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</si>
  <si>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</si>
  <si>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</si>
  <si>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</si>
  <si>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</si>
  <si>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</si>
  <si>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</si>
  <si>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</si>
  <si>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</si>
  <si>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</si>
  <si>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</si>
  <si>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</si>
  <si>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</si>
  <si>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</si>
  <si>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</si>
  <si>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</si>
  <si>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</si>
  <si>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</si>
  <si>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</si>
  <si>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</si>
  <si>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</si>
  <si>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</si>
  <si>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</si>
  <si>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</si>
  <si>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</si>
  <si>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</si>
  <si>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</si>
  <si>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</si>
  <si>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</si>
  <si>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</si>
  <si>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</si>
  <si>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</si>
  <si>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</si>
  <si>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</si>
  <si>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</si>
  <si>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</si>
  <si>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</si>
  <si>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</si>
  <si>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</si>
  <si>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</si>
  <si>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</si>
  <si>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</si>
  <si>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</si>
  <si>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</si>
  <si>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</si>
  <si>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</si>
  <si>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</si>
  <si>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</si>
  <si>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</si>
  <si>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</si>
  <si>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</si>
  <si>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</si>
  <si>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</si>
  <si>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</si>
  <si>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</si>
  <si>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</si>
  <si>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</si>
  <si>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</si>
  <si>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</si>
  <si>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</si>
  <si>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</si>
  <si>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</si>
  <si>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</si>
  <si>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</si>
  <si>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</si>
  <si>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</si>
  <si>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</si>
  <si>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</si>
  <si>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</si>
  <si>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</si>
  <si>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</si>
  <si>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</si>
  <si>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</si>
  <si>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</si>
  <si>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</si>
  <si>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</si>
  <si>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</si>
  <si>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</si>
  <si>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</si>
  <si>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</si>
  <si>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</si>
  <si>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</si>
  <si>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</si>
  <si>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</si>
  <si>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</si>
  <si>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</si>
  <si>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</si>
  <si>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</si>
  <si>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</si>
  <si>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</si>
  <si>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</si>
  <si>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</si>
  <si>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</si>
  <si>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</si>
  <si>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</si>
  <si>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</si>
  <si>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</si>
  <si>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</si>
  <si>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</si>
  <si>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</si>
  <si>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</si>
  <si>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</si>
  <si>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</si>
  <si>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</si>
  <si>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</si>
  <si>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</si>
  <si>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</si>
  <si>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</si>
  <si>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</si>
  <si>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</si>
  <si>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</si>
  <si>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</si>
  <si>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</si>
  <si>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</si>
  <si>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</si>
  <si>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</si>
  <si>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</si>
  <si>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</si>
  <si>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</si>
  <si>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</si>
  <si>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</si>
  <si>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</si>
  <si>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</si>
  <si>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</si>
  <si>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</si>
  <si>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</si>
  <si>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</si>
  <si>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</si>
  <si>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</si>
  <si>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</si>
  <si>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</si>
  <si>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</si>
  <si>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</si>
  <si>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</si>
  <si>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</si>
  <si>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</si>
  <si>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</si>
  <si>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</si>
  <si>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</si>
  <si>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</si>
  <si>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</si>
  <si>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</si>
  <si>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</si>
  <si>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</si>
  <si>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</si>
  <si>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</si>
  <si>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</si>
  <si>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</si>
  <si>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</si>
  <si>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</si>
  <si>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</si>
  <si>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</si>
  <si>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</si>
  <si>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</si>
  <si>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</si>
  <si>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</si>
  <si>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</si>
  <si>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</si>
  <si>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</si>
  <si>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</si>
  <si>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</si>
  <si>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</si>
  <si>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</si>
  <si>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</si>
  <si>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</si>
  <si>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</si>
  <si>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</si>
  <si>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</si>
  <si>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</si>
  <si>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</si>
  <si>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</si>
  <si>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</si>
  <si>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</si>
  <si>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</si>
  <si>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</si>
  <si>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</si>
  <si>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</si>
  <si>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</si>
  <si>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</si>
  <si>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</si>
  <si>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</si>
  <si>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</si>
  <si>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</si>
  <si>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</si>
  <si>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</si>
  <si>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</si>
  <si>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</si>
  <si>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</si>
  <si>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</si>
  <si>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</si>
  <si>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</si>
  <si>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</si>
  <si>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</si>
  <si>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</si>
  <si>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</si>
  <si>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</si>
  <si>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</si>
  <si>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</si>
  <si>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</si>
  <si>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</si>
  <si>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</si>
  <si>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</si>
  <si>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</si>
  <si>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</si>
  <si>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</si>
  <si>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</si>
  <si>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</si>
  <si>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</si>
  <si>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</si>
  <si>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</si>
  <si>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</si>
  <si>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</si>
  <si>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</si>
  <si>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</si>
  <si>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</si>
  <si>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</si>
  <si>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</si>
  <si>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</si>
  <si>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</si>
  <si>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</si>
  <si>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</si>
  <si>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</si>
  <si>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</si>
  <si>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</si>
  <si>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</si>
  <si>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</si>
  <si>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</si>
  <si>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</si>
  <si>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</si>
  <si>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</si>
  <si>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</si>
  <si>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</si>
  <si>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</si>
  <si>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</si>
  <si>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</si>
  <si>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</si>
  <si>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</si>
  <si>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</si>
  <si>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</si>
  <si>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</si>
  <si>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</si>
  <si>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</si>
  <si>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</si>
  <si>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</si>
  <si>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</si>
  <si>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</si>
  <si>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</si>
  <si>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</si>
  <si>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</si>
  <si>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</si>
  <si>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</si>
  <si>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</si>
  <si>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</si>
  <si>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</si>
  <si>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</si>
  <si>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</si>
  <si>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</si>
  <si>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</si>
  <si>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</si>
  <si>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</si>
  <si>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</si>
  <si>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</si>
  <si>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</si>
  <si>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</si>
  <si>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</si>
  <si>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</si>
  <si>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</si>
  <si>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</si>
  <si>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</si>
  <si>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</si>
  <si>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</si>
  <si>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</si>
  <si>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</si>
  <si>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</si>
  <si>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</si>
  <si>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</si>
  <si>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</si>
  <si>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</si>
  <si>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</si>
  <si>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</si>
  <si>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</si>
  <si>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</si>
  <si>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</si>
  <si>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</si>
  <si>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</si>
  <si>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</si>
  <si>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</si>
  <si>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</si>
  <si>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</si>
  <si>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</si>
  <si>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</si>
  <si>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</si>
  <si>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</si>
  <si>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</si>
  <si>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</si>
  <si>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</si>
  <si>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</si>
  <si>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</si>
  <si>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</si>
  <si>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</si>
  <si>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</si>
  <si>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</si>
  <si>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</si>
  <si>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</si>
  <si>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</si>
  <si>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</si>
  <si>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</si>
  <si>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</si>
  <si>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</si>
  <si>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</si>
  <si>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</si>
  <si>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</si>
  <si>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</si>
  <si>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</si>
  <si>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</si>
  <si>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</si>
  <si>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</si>
  <si>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</si>
  <si>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</si>
  <si>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</si>
  <si>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</si>
  <si>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</si>
  <si>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</si>
  <si>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</si>
  <si>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</si>
  <si>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</si>
  <si>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</si>
  <si>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</si>
  <si>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</si>
  <si>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</si>
  <si>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</si>
  <si>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</si>
  <si>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</si>
  <si>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</si>
  <si>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</si>
  <si>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</si>
  <si>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</si>
  <si>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</si>
  <si>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</si>
  <si>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</si>
  <si>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</si>
  <si>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</si>
  <si>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</si>
  <si>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</si>
  <si>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</si>
  <si>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</si>
  <si>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</si>
  <si>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</si>
  <si>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</si>
  <si>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</si>
  <si>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</si>
  <si>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</si>
  <si>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</si>
  <si>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</si>
  <si>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</si>
  <si>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</si>
  <si>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</si>
  <si>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</si>
  <si>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</si>
  <si>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</si>
  <si>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</si>
  <si>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</si>
  <si>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</si>
  <si>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</si>
  <si>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</si>
  <si>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</si>
  <si>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</si>
  <si>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</si>
  <si>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</si>
  <si>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</si>
  <si>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</si>
  <si>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</si>
  <si>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</si>
  <si>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</si>
  <si>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</si>
  <si>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</si>
  <si>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</si>
  <si>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</si>
  <si>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</si>
  <si>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</si>
  <si>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</si>
  <si>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</si>
  <si>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</si>
  <si>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</si>
  <si>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</si>
  <si>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</si>
  <si>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</si>
  <si>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</si>
  <si>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</si>
  <si>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</si>
  <si>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</si>
  <si>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</si>
  <si>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</si>
  <si>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</si>
  <si>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</si>
  <si>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</si>
  <si>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</si>
  <si>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</si>
  <si>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</si>
  <si>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</si>
  <si>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</si>
  <si>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</si>
  <si>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</si>
  <si>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</si>
  <si>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</si>
  <si>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</si>
  <si>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</si>
  <si>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</si>
  <si>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</si>
  <si>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</si>
  <si>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</si>
  <si>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</si>
  <si>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</si>
  <si>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</si>
  <si>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</si>
  <si>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</si>
  <si>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</si>
  <si>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</si>
  <si>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</si>
  <si>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</si>
  <si>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</si>
  <si>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</si>
  <si>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</si>
  <si>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</si>
  <si>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</si>
  <si>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</si>
  <si>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</si>
  <si>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</si>
  <si>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</si>
  <si>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</si>
  <si>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</si>
  <si>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</si>
  <si>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</si>
  <si>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</si>
  <si>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</si>
  <si>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</si>
  <si>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</si>
  <si>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</si>
  <si>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</si>
  <si>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</si>
  <si>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</si>
  <si>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</si>
  <si>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</si>
  <si>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</si>
  <si>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</si>
  <si>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</si>
  <si>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</si>
  <si>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</si>
  <si>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</si>
  <si>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</si>
  <si>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</si>
  <si>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</si>
  <si>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</si>
  <si>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</si>
  <si>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</si>
  <si>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</si>
  <si>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</si>
  <si>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</si>
  <si>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</si>
  <si>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</si>
  <si>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</si>
  <si>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</si>
  <si>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</si>
  <si>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</si>
  <si>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</si>
  <si>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</si>
  <si>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</si>
  <si>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</si>
  <si>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</si>
  <si>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</si>
  <si>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</si>
  <si>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</si>
  <si>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</si>
  <si>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</si>
  <si>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</si>
  <si>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</si>
  <si>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</si>
  <si>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</si>
  <si>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</si>
  <si>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</si>
  <si>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</si>
  <si>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</si>
  <si>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</si>
  <si>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</si>
  <si>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</si>
  <si>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</si>
  <si>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</si>
  <si>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</si>
  <si>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</si>
  <si>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</si>
  <si>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</si>
  <si>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</si>
  <si>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</si>
  <si>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</si>
  <si>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</si>
  <si>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</si>
  <si>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</si>
  <si>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</si>
  <si>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</si>
  <si>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</si>
  <si>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</si>
  <si>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</si>
  <si>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</si>
  <si>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</si>
  <si>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</si>
  <si>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</si>
  <si>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</si>
  <si>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</si>
  <si>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</si>
  <si>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</si>
  <si>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</si>
  <si>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</si>
  <si>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</si>
  <si>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</si>
  <si>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</si>
  <si>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</si>
  <si>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</si>
  <si>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</si>
  <si>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</si>
  <si>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</si>
  <si>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</si>
  <si>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</si>
  <si>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</si>
  <si>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</si>
  <si>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</si>
  <si>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</si>
  <si>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</si>
  <si>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</si>
  <si>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</si>
  <si>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</si>
  <si>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</si>
  <si>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</si>
  <si>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</si>
  <si>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</si>
  <si>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</si>
  <si>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</si>
  <si>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</si>
  <si>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</si>
  <si>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</si>
  <si>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</si>
  <si>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</si>
  <si>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</si>
  <si>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</si>
  <si>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</si>
  <si>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</si>
  <si>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</si>
  <si>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</si>
  <si>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</si>
  <si>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</si>
  <si>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</si>
  <si>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</si>
  <si>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</si>
  <si>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</si>
  <si>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</si>
  <si>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</si>
  <si>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</si>
  <si>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</si>
  <si>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</si>
  <si>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</si>
  <si>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</si>
  <si>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</si>
  <si>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</si>
  <si>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</si>
  <si>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</si>
  <si>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</si>
  <si>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</si>
  <si>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</si>
  <si>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</si>
  <si>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</si>
  <si>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</si>
  <si>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</si>
  <si>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</si>
  <si>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</si>
  <si>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</si>
  <si>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</si>
  <si>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</si>
  <si>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</si>
  <si>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</si>
  <si>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</si>
  <si>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</si>
  <si>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</si>
  <si>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</si>
  <si>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</si>
  <si>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</si>
  <si>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</si>
  <si>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</si>
  <si>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</si>
  <si>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</si>
  <si>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</si>
  <si>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</si>
  <si>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</si>
  <si>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</si>
  <si>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</si>
  <si>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</si>
  <si>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</si>
  <si>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</si>
  <si>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</si>
  <si>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</si>
  <si>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</si>
  <si>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</si>
  <si>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</si>
  <si>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</si>
  <si>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</si>
  <si>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</si>
  <si>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</si>
  <si>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</si>
  <si>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</si>
  <si>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</si>
  <si>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</si>
  <si>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</si>
  <si>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</si>
  <si>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</si>
  <si>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</si>
  <si>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</si>
  <si>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</si>
  <si>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</si>
  <si>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</si>
  <si>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</si>
  <si>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</si>
  <si>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</si>
  <si>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</si>
  <si>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</si>
  <si>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</si>
  <si>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</si>
  <si>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</si>
  <si>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</si>
  <si>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</si>
  <si>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</si>
  <si>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</si>
  <si>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</si>
  <si>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</si>
  <si>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</si>
  <si>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</si>
  <si>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</si>
  <si>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</si>
  <si>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</si>
  <si>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</si>
  <si>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</si>
  <si>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</si>
  <si>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</si>
  <si>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</si>
  <si>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</si>
  <si>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</si>
  <si>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</si>
  <si>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</si>
  <si>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</si>
  <si>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</si>
  <si>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</si>
  <si>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</si>
  <si>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</si>
  <si>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</si>
  <si>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</si>
  <si>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</si>
  <si>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</si>
  <si>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</si>
  <si>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</si>
  <si>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</si>
  <si>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</si>
  <si>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</si>
  <si>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</si>
  <si>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</si>
  <si>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</si>
  <si>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</si>
  <si>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</si>
  <si>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</si>
  <si>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</si>
  <si>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</si>
  <si>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</si>
  <si>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</si>
  <si>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</si>
  <si>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</si>
  <si>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</si>
  <si>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</si>
  <si>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</si>
  <si>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</si>
  <si>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</si>
  <si>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</si>
  <si>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</si>
  <si>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</si>
  <si>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</si>
  <si>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</si>
  <si>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</si>
  <si>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</si>
  <si>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</si>
  <si>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</si>
  <si>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</si>
  <si>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</si>
  <si>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</si>
  <si>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</si>
  <si>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</si>
  <si>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</si>
  <si>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</si>
  <si>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</si>
  <si>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</si>
  <si>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</si>
  <si>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</si>
  <si>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</si>
  <si>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</si>
  <si>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</si>
  <si>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</si>
  <si>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</si>
  <si>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</si>
  <si>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</si>
  <si>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</si>
  <si>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</si>
  <si>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</si>
  <si>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</si>
  <si>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</si>
  <si>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</si>
  <si>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</si>
  <si>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</si>
  <si>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</si>
  <si>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</si>
  <si>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</si>
  <si>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</si>
  <si>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</si>
  <si>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</si>
  <si>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</si>
  <si>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</si>
  <si>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</si>
  <si>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</si>
  <si>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</si>
  <si>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</si>
  <si>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</si>
  <si>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</si>
  <si>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</si>
  <si>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</si>
  <si>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</si>
  <si>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</si>
  <si>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</si>
  <si>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</si>
  <si>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</si>
  <si>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</si>
  <si>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</si>
  <si>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</si>
  <si>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</si>
  <si>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</si>
  <si>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</si>
  <si>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</si>
  <si>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</si>
  <si>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</si>
  <si>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</si>
  <si>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</si>
  <si>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</si>
  <si>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</si>
  <si>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</si>
  <si>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</si>
  <si>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</si>
  <si>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</si>
  <si>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</si>
  <si>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</si>
  <si>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</si>
  <si>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</si>
  <si>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</si>
  <si>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</si>
  <si>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</si>
  <si>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</si>
  <si>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</si>
  <si>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</si>
  <si>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</si>
  <si>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</si>
  <si>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</si>
  <si>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</si>
  <si>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</si>
  <si>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</si>
  <si>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</si>
  <si>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</si>
  <si>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</si>
  <si>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</si>
  <si>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</si>
  <si>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</si>
  <si>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</si>
  <si>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</si>
  <si>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</si>
  <si>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</si>
  <si>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</si>
  <si>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</si>
  <si>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</si>
  <si>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</si>
  <si>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</si>
  <si>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</si>
  <si>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</si>
  <si>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</si>
  <si>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</si>
  <si>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</si>
  <si>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</si>
  <si>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</si>
  <si>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</si>
  <si>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</si>
  <si>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</si>
  <si>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</si>
  <si>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</si>
  <si>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</si>
  <si>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</si>
  <si>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</si>
  <si>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</si>
  <si>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</si>
  <si>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</si>
  <si>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</si>
  <si>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</si>
  <si>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</si>
  <si>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</si>
  <si>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</si>
  <si>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</si>
  <si>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</si>
  <si>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</si>
  <si>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</si>
  <si>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</si>
  <si>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</si>
  <si>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</si>
  <si>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</si>
  <si>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</si>
  <si>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</si>
  <si>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</si>
  <si>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</si>
  <si>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</si>
  <si>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</si>
  <si>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</si>
  <si>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</si>
  <si>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</si>
  <si>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</si>
  <si>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</si>
  <si>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</si>
  <si>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</si>
  <si>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</si>
  <si>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</si>
  <si>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</si>
  <si>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</si>
  <si>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</si>
  <si>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</si>
  <si>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</si>
  <si>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</si>
  <si>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</si>
  <si>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</si>
  <si>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</si>
  <si>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</si>
  <si>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</si>
  <si>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</si>
  <si>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</si>
  <si>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</si>
  <si>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</si>
  <si>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</si>
  <si>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</si>
  <si>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</si>
  <si>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</si>
  <si>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</si>
  <si>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</si>
  <si>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</si>
  <si>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</si>
  <si>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</si>
  <si>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</si>
  <si>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</si>
  <si>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</si>
  <si>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</si>
  <si>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</si>
  <si>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</si>
  <si>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</si>
  <si>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</si>
  <si>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</si>
  <si>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</si>
  <si>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</si>
  <si>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</si>
  <si>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</si>
  <si>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</si>
  <si>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</si>
  <si>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</si>
  <si>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</si>
  <si>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</si>
  <si>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</si>
  <si>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</si>
  <si>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</si>
  <si>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</si>
  <si>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</si>
  <si>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</si>
  <si>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</si>
  <si>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</si>
  <si>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</si>
  <si>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</si>
  <si>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</si>
  <si>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</si>
  <si>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</si>
  <si>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</si>
  <si>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</si>
  <si>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</si>
  <si>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</si>
  <si>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</si>
  <si>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</si>
  <si>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</si>
  <si>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</si>
  <si>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</si>
  <si>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</si>
  <si>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</si>
  <si>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</si>
  <si>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</si>
  <si>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</si>
  <si>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</si>
  <si>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</si>
  <si>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</si>
  <si>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</si>
  <si>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</si>
  <si>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</si>
  <si>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</si>
  <si>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</si>
  <si>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</si>
  <si>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</si>
  <si>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</si>
  <si>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</si>
  <si>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</si>
  <si>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</si>
  <si>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</si>
  <si>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</si>
  <si>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</si>
  <si>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</si>
  <si>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</si>
  <si>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</si>
  <si>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</si>
  <si>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</si>
  <si>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</si>
  <si>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</si>
  <si>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</si>
  <si>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</si>
  <si>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</si>
  <si>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</si>
  <si>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</si>
  <si>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</si>
  <si>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</si>
  <si>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</si>
  <si>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</si>
  <si>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</si>
  <si>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</si>
  <si>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</si>
  <si>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</si>
  <si>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</si>
  <si>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</si>
  <si>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</si>
  <si>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</si>
  <si>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</si>
  <si>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</si>
  <si>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</si>
  <si>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</si>
  <si>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</si>
  <si>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</si>
  <si>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</si>
  <si>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</si>
  <si>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</si>
  <si>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</si>
  <si>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</si>
  <si>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</si>
  <si>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</si>
  <si>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</si>
  <si>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</si>
  <si>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</si>
  <si>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</si>
  <si>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</si>
  <si>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</si>
  <si>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</si>
  <si>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</si>
  <si>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</si>
  <si>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</si>
  <si>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</si>
  <si>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</si>
  <si>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</si>
  <si>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</si>
  <si>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</si>
  <si>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</si>
  <si>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</si>
  <si>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</si>
  <si>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</si>
  <si>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</si>
  <si>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</si>
  <si>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</si>
  <si>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</si>
  <si>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</si>
  <si>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</si>
  <si>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</si>
  <si>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</si>
  <si>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</si>
  <si>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</si>
  <si>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</si>
  <si>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</si>
  <si>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</si>
  <si>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</si>
  <si>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</si>
  <si>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</si>
  <si>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</si>
  <si>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</si>
  <si>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</si>
  <si>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</si>
  <si>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</si>
  <si>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</si>
  <si>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</si>
  <si>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</si>
  <si>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</si>
  <si>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</si>
  <si>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</si>
  <si>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</si>
  <si>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</si>
  <si>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</si>
  <si>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</si>
  <si>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</si>
  <si>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</si>
  <si>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</si>
  <si>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</si>
  <si>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</si>
  <si>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</si>
  <si>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</si>
  <si>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</si>
  <si>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</si>
  <si>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</si>
  <si>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</si>
  <si>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</si>
  <si>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</si>
  <si>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</si>
  <si>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</si>
  <si>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</si>
  <si>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</si>
  <si>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</si>
  <si>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</si>
  <si>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</si>
  <si>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</si>
  <si>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</si>
  <si>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</si>
  <si>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</si>
  <si>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</si>
  <si>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</si>
  <si>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</si>
  <si>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</si>
  <si>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</si>
  <si>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</si>
  <si>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</si>
  <si>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</si>
  <si>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</si>
  <si>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</si>
  <si>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</si>
  <si>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</si>
  <si>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</si>
  <si>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</si>
  <si>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</si>
  <si>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</si>
  <si>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</si>
  <si>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</si>
  <si>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</si>
  <si>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</si>
  <si>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</si>
  <si>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</si>
  <si>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</si>
  <si>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</si>
  <si>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</si>
  <si>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</si>
  <si>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</si>
  <si>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</si>
  <si>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</si>
  <si>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</si>
  <si>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</si>
  <si>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</si>
  <si>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</si>
  <si>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</si>
  <si>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</si>
  <si>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</si>
  <si>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</si>
  <si>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</si>
  <si>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</si>
  <si>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</si>
  <si>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</si>
  <si>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</si>
  <si>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</si>
  <si>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</si>
  <si>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</si>
  <si>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</si>
  <si>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</si>
  <si>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</si>
  <si>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</si>
  <si>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</si>
  <si>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</si>
  <si>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</si>
  <si>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</si>
  <si>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</si>
  <si>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</si>
  <si>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</si>
  <si>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</si>
  <si>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</si>
  <si>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</si>
  <si>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</si>
  <si>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</si>
  <si>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</si>
  <si>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</si>
  <si>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</si>
  <si>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</si>
  <si>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</si>
  <si>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</si>
  <si>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</si>
  <si>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</si>
  <si>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</si>
  <si>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</si>
  <si>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</si>
  <si>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</si>
  <si>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</si>
  <si>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</si>
  <si>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</si>
  <si>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</si>
  <si>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</si>
  <si>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</si>
  <si>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</si>
  <si>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</si>
  <si>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</si>
  <si>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</si>
  <si>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</si>
  <si>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</si>
  <si>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</si>
  <si>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</si>
  <si>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</si>
  <si>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</si>
  <si>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</si>
  <si>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</si>
  <si>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</si>
  <si>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</si>
  <si>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</si>
  <si>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</si>
  <si>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</si>
  <si>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</si>
  <si>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</si>
  <si>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</si>
  <si>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</si>
  <si>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</si>
  <si>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</si>
  <si>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</si>
  <si>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</si>
  <si>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</si>
  <si>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</si>
  <si>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</si>
  <si>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</si>
  <si>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</si>
  <si>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</si>
  <si>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</si>
  <si>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</si>
  <si>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</si>
  <si>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</si>
  <si>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</si>
  <si>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</si>
  <si>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</si>
  <si>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</si>
  <si>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</si>
  <si>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</si>
  <si>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</si>
  <si>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</si>
  <si>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</si>
  <si>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</si>
  <si>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</si>
  <si>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</si>
  <si>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</si>
  <si>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</si>
  <si>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</si>
  <si>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</si>
  <si>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</si>
  <si>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</si>
  <si>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</si>
  <si>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</si>
  <si>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</si>
  <si>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</si>
  <si>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</si>
  <si>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</si>
  <si>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</si>
  <si>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</si>
  <si>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</si>
  <si>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</si>
  <si>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</si>
  <si>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</si>
  <si>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</si>
  <si>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</si>
  <si>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</si>
  <si>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</si>
  <si>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</si>
  <si>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</si>
  <si>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</si>
  <si>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</si>
  <si>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</si>
  <si>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</si>
  <si>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</si>
  <si>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</si>
  <si>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</si>
  <si>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</si>
  <si>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</si>
  <si>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</si>
  <si>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</si>
  <si>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</si>
  <si>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</si>
  <si>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</si>
  <si>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</si>
  <si>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</si>
  <si>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</si>
  <si>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</si>
  <si>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</si>
  <si>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</si>
  <si>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</si>
  <si>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</si>
  <si>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</si>
  <si>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</si>
  <si>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</si>
  <si>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</si>
  <si>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</si>
  <si>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</si>
  <si>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</si>
  <si>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</si>
  <si>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</si>
  <si>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</si>
  <si>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</si>
  <si>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</si>
  <si>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</si>
  <si>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</si>
  <si>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</si>
  <si>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</si>
  <si>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</si>
  <si>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</si>
  <si>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</si>
  <si>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</si>
  <si>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</si>
  <si>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</si>
  <si>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</si>
  <si>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</si>
  <si>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</si>
  <si>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</si>
  <si>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</si>
  <si>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</si>
  <si>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</si>
  <si>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</si>
  <si>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</si>
  <si>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</si>
  <si>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</si>
  <si>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</si>
  <si>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</si>
  <si>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</si>
  <si>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</si>
  <si>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</si>
  <si>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</si>
  <si>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</si>
  <si>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</si>
  <si>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</si>
  <si>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</si>
  <si>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</si>
  <si>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</si>
  <si>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</si>
  <si>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</si>
  <si>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</si>
  <si>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</si>
  <si>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</si>
  <si>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</si>
  <si>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</si>
  <si>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</si>
  <si>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</si>
  <si>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</si>
  <si>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</si>
  <si>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</si>
  <si>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</si>
  <si>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</si>
  <si>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</si>
  <si>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</si>
  <si>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</si>
  <si>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</si>
  <si>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</si>
  <si>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</si>
  <si>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</si>
  <si>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</si>
  <si>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</si>
  <si>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</si>
  <si>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</si>
  <si>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</si>
  <si>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</si>
  <si>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</si>
  <si>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</si>
  <si>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</si>
  <si>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</si>
  <si>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</si>
  <si>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</si>
  <si>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</si>
  <si>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</si>
  <si>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</si>
  <si>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</si>
  <si>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</si>
  <si>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</si>
  <si>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</si>
  <si>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</si>
  <si>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</si>
  <si>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</si>
  <si>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</si>
  <si>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</si>
  <si>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</si>
  <si>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</si>
  <si>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</si>
  <si>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</si>
  <si>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</si>
  <si>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</si>
  <si>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</si>
  <si>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</si>
  <si>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</si>
  <si>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</si>
  <si>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</si>
  <si>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</si>
  <si>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</si>
  <si>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</si>
  <si>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</si>
  <si>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</si>
  <si>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</si>
  <si>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</si>
  <si>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</si>
  <si>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</si>
  <si>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</si>
  <si>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</si>
  <si>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</si>
  <si>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</si>
  <si>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</si>
  <si>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</si>
  <si>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</si>
  <si>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</si>
  <si>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</si>
  <si>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</si>
  <si>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</si>
  <si>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</si>
  <si>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</si>
  <si>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</si>
  <si>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</si>
  <si>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</si>
  <si>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</si>
  <si>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</si>
  <si>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</si>
  <si>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</si>
  <si>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</si>
  <si>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</si>
  <si>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</si>
  <si>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</si>
  <si>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</si>
  <si>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</si>
  <si>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</si>
  <si>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</si>
  <si>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</si>
  <si>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</si>
  <si>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</si>
  <si>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</si>
  <si>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</si>
  <si>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</si>
  <si>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</si>
  <si>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</si>
  <si>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</si>
  <si>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</si>
  <si>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</si>
  <si>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</si>
  <si>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</si>
  <si>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</si>
  <si>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</si>
  <si>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</si>
  <si>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</si>
  <si>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</si>
  <si>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</si>
  <si>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</si>
  <si>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</si>
  <si>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</si>
  <si>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</si>
  <si>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</si>
  <si>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</si>
  <si>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</si>
  <si>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</si>
  <si>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</si>
  <si>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</si>
  <si>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</si>
  <si>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</si>
  <si>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</si>
  <si>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</si>
  <si>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</si>
  <si>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</si>
  <si>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</si>
  <si>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</si>
  <si>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</si>
  <si>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</si>
  <si>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</si>
  <si>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</si>
  <si>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</si>
  <si>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</si>
  <si>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</si>
  <si>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</si>
  <si>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</si>
  <si>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</si>
  <si>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</si>
  <si>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</si>
  <si>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</si>
  <si>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</si>
  <si>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</si>
  <si>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</si>
  <si>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</si>
  <si>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</si>
  <si>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</si>
  <si>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</si>
  <si>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</si>
  <si>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</si>
  <si>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</si>
  <si>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</si>
  <si>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</si>
  <si>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</si>
  <si>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</si>
  <si>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</si>
  <si>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</si>
  <si>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</si>
  <si>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</si>
  <si>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</si>
  <si>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</si>
  <si>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</si>
  <si>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</si>
  <si>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</si>
  <si>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</si>
  <si>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</si>
  <si>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</si>
  <si>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</si>
  <si>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</si>
  <si>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</si>
  <si>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</si>
  <si>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</si>
  <si>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</si>
  <si>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</si>
  <si>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</si>
  <si>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</si>
  <si>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</si>
  <si>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</si>
  <si>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</si>
  <si>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</si>
  <si>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</si>
  <si>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</si>
  <si>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</si>
  <si>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</si>
  <si>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</si>
  <si>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</si>
  <si>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</si>
  <si>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</si>
  <si>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</si>
  <si>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</si>
  <si>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</si>
  <si>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</si>
  <si>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</si>
  <si>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</si>
  <si>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</si>
  <si>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</si>
  <si>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</si>
  <si>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</si>
  <si>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</si>
  <si>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</si>
  <si>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</si>
  <si>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</si>
  <si>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</si>
  <si>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</si>
  <si>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</si>
  <si>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</si>
  <si>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</si>
  <si>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</si>
  <si>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</si>
  <si>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</si>
  <si>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</si>
  <si>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</si>
  <si>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</si>
  <si>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</si>
  <si>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</si>
  <si>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</si>
  <si>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</si>
  <si>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</si>
  <si>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</si>
  <si>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</si>
  <si>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</si>
  <si>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</si>
  <si>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</si>
  <si>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</si>
  <si>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</si>
  <si>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</si>
  <si>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</si>
  <si>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</si>
  <si>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</si>
  <si>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</si>
  <si>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</si>
  <si>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</si>
  <si>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</si>
  <si>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</si>
  <si>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</si>
  <si>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</si>
  <si>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</si>
  <si>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</si>
  <si>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</si>
  <si>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</si>
  <si>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</si>
  <si>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</si>
  <si>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</si>
  <si>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</si>
  <si>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</si>
  <si>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</si>
  <si>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</si>
  <si>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</si>
  <si>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</si>
  <si>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</si>
  <si>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</si>
  <si>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</si>
  <si>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</si>
  <si>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</si>
  <si>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</si>
  <si>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</si>
  <si>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</si>
  <si>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</si>
  <si>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</si>
  <si>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</si>
  <si>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</si>
  <si>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</si>
  <si>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</si>
  <si>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</si>
  <si>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</si>
  <si>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</si>
  <si>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</si>
  <si>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</si>
  <si>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</si>
  <si>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</si>
  <si>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</si>
  <si>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</si>
  <si>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</si>
  <si>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</si>
  <si>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</si>
  <si>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</si>
  <si>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</si>
  <si>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</si>
  <si>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</si>
  <si>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</si>
  <si>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</si>
  <si>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</si>
  <si>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</si>
  <si>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</si>
  <si>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</si>
  <si>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</si>
  <si>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</si>
  <si>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</si>
  <si>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</si>
  <si>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</si>
  <si>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</si>
  <si>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</si>
  <si>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</si>
  <si>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</si>
  <si>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</si>
  <si>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</si>
  <si>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</si>
  <si>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</si>
  <si>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</si>
  <si>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</si>
  <si>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</si>
  <si>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</si>
  <si>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</si>
  <si>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</si>
  <si>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</si>
  <si>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</si>
  <si>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</si>
  <si>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</si>
  <si>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</si>
  <si>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</si>
  <si>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</si>
  <si>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</si>
  <si>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</si>
  <si>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</si>
  <si>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</si>
  <si>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</si>
  <si>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</si>
  <si>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</si>
  <si>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</si>
  <si>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</si>
  <si>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</si>
  <si>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</si>
  <si>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</si>
  <si>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</si>
  <si>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</si>
  <si>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</si>
  <si>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</si>
  <si>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</si>
  <si>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</si>
  <si>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</si>
  <si>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</si>
  <si>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</si>
  <si>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</si>
  <si>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</si>
  <si>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</si>
  <si>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</si>
  <si>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</si>
  <si>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</si>
  <si>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</si>
  <si>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</si>
  <si>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</si>
  <si>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</si>
  <si>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</si>
  <si>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</si>
  <si>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</si>
  <si>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</si>
  <si>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</si>
  <si>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</si>
  <si>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</si>
  <si>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</si>
  <si>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</si>
  <si>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</si>
  <si>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</si>
  <si>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</si>
  <si>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</si>
  <si>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</si>
  <si>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</si>
  <si>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</si>
  <si>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</si>
  <si>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</si>
  <si>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</si>
  <si>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</si>
  <si>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</si>
  <si>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</si>
  <si>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</si>
  <si>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</si>
  <si>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</si>
  <si>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</si>
  <si>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</si>
  <si>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</si>
  <si>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</si>
  <si>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</si>
  <si>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</si>
  <si>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</si>
  <si>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</si>
  <si>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</si>
  <si>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</si>
  <si>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</si>
  <si>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</si>
  <si>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</si>
  <si>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</si>
  <si>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</si>
  <si>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</si>
  <si>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</si>
  <si>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</si>
  <si>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</si>
  <si>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</si>
  <si>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</si>
  <si>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</si>
  <si>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</si>
  <si>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</si>
  <si>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</si>
  <si>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</si>
  <si>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</si>
  <si>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</si>
  <si>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</si>
  <si>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</si>
  <si>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</si>
  <si>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</si>
  <si>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</si>
  <si>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</si>
  <si>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</si>
  <si>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</si>
  <si>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</si>
  <si>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</si>
  <si>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</si>
  <si>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</si>
  <si>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</si>
  <si>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</si>
  <si>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</si>
  <si>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</si>
  <si>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</si>
  <si>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</si>
  <si>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</si>
  <si>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</si>
  <si>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</si>
  <si>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</si>
  <si>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</si>
  <si>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</si>
  <si>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</si>
  <si>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</si>
  <si>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</si>
  <si>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</si>
  <si>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</si>
  <si>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</si>
  <si>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</si>
  <si>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</si>
  <si>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</si>
  <si>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</si>
  <si>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</si>
  <si>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</si>
  <si>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</si>
  <si>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</si>
  <si>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</si>
  <si>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</si>
  <si>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</si>
  <si>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</si>
  <si>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</si>
  <si>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</si>
  <si>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</si>
  <si>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</si>
  <si>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</si>
  <si>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</si>
  <si>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</si>
  <si>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</si>
  <si>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</si>
  <si>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</si>
  <si>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</si>
  <si>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</si>
  <si>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</si>
  <si>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</si>
  <si>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</si>
  <si>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</si>
  <si>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</si>
  <si>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</si>
  <si>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</si>
  <si>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</si>
  <si>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</si>
  <si>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</si>
  <si>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</si>
  <si>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</si>
  <si>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</si>
  <si>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</si>
  <si>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</si>
  <si>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</si>
  <si>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</si>
  <si>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</si>
  <si>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</si>
  <si>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</si>
  <si>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</si>
  <si>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</si>
  <si>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</si>
  <si>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</si>
  <si>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</si>
  <si>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</si>
  <si>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</si>
  <si>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</si>
  <si>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</si>
  <si>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</si>
  <si>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</si>
  <si>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</si>
  <si>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</si>
  <si>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</si>
  <si>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</si>
  <si>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</si>
  <si>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</si>
  <si>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</si>
  <si>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</si>
  <si>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</si>
  <si>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</si>
  <si>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</si>
  <si>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</si>
  <si>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</si>
  <si>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</si>
  <si>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</si>
  <si>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</si>
  <si>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</si>
  <si>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</si>
  <si>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</si>
  <si>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</si>
  <si>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</si>
  <si>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</si>
  <si>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</si>
  <si>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</si>
  <si>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</si>
  <si>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</si>
  <si>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</si>
  <si>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</si>
  <si>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</si>
  <si>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</si>
  <si>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</si>
  <si>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</si>
  <si>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</si>
  <si>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</si>
  <si>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</si>
  <si>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</si>
  <si>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</si>
  <si>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</si>
  <si>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</si>
  <si>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</si>
  <si>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</si>
  <si>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</si>
  <si>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</si>
  <si>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</si>
  <si>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</si>
  <si>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</si>
  <si>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</si>
  <si>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</si>
  <si>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</si>
  <si>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</si>
  <si>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</si>
  <si>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</si>
  <si>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</si>
  <si>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</si>
  <si>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</si>
  <si>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</si>
  <si>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</si>
  <si>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</si>
  <si>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</si>
  <si>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</si>
  <si>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</si>
  <si>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</si>
  <si>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</si>
  <si>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</si>
  <si>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</si>
  <si>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</si>
  <si>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</si>
  <si>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</si>
  <si>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</si>
  <si>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</si>
  <si>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</si>
  <si>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</si>
  <si>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</si>
  <si>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</si>
  <si>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</si>
  <si>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</si>
  <si>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</si>
  <si>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</si>
  <si>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</si>
  <si>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</si>
  <si>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</si>
  <si>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</si>
  <si>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</si>
  <si>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</si>
  <si>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</si>
  <si>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</si>
  <si>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</si>
  <si>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</si>
  <si>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</si>
  <si>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</si>
  <si>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</si>
  <si>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</si>
  <si>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</si>
  <si>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</si>
  <si>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</si>
  <si>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</si>
  <si>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</si>
  <si>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</si>
  <si>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</si>
  <si>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</si>
  <si>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</si>
  <si>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</si>
  <si>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</si>
  <si>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</si>
  <si>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</si>
  <si>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</si>
  <si>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</si>
  <si>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</si>
  <si>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</si>
  <si>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</si>
  <si>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</si>
  <si>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</si>
  <si>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</si>
  <si>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</si>
  <si>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</si>
  <si>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</si>
  <si>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</si>
  <si>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</si>
  <si>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</si>
  <si>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</si>
  <si>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</si>
  <si>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</si>
  <si>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</si>
  <si>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</si>
  <si>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</si>
  <si>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</si>
  <si>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</si>
  <si>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</si>
  <si>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</si>
  <si>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</si>
  <si>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</si>
  <si>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</si>
  <si>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</si>
  <si>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</si>
  <si>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</si>
  <si>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</si>
  <si>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</si>
  <si>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</si>
  <si>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</si>
  <si>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</si>
  <si>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</si>
  <si>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</si>
  <si>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</si>
  <si>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</si>
  <si>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</si>
  <si>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</si>
  <si>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</si>
  <si>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</si>
  <si>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</si>
  <si>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</si>
  <si>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</si>
  <si>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</si>
  <si>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</si>
  <si>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</si>
  <si>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</si>
  <si>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</si>
  <si>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</si>
  <si>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</si>
  <si>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</si>
  <si>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</si>
  <si>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</si>
  <si>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</si>
  <si>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</si>
  <si>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</si>
  <si>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</si>
  <si>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</si>
  <si>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</si>
  <si>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</si>
  <si>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</si>
  <si>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</si>
  <si>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</si>
  <si>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</si>
  <si>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</si>
  <si>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</si>
  <si>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</si>
  <si>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</si>
  <si>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</si>
  <si>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</si>
  <si>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</si>
  <si>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</si>
  <si>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</si>
  <si>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</si>
  <si>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</si>
  <si>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</si>
  <si>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</si>
  <si>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</si>
  <si>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</si>
  <si>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</si>
  <si>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</si>
  <si>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</si>
  <si>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</si>
  <si>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</si>
  <si>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</si>
  <si>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</si>
  <si>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</si>
  <si>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</si>
  <si>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</si>
  <si>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</si>
  <si>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</si>
  <si>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</si>
  <si>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</si>
  <si>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</si>
  <si>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</si>
  <si>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</si>
  <si>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</si>
  <si>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</si>
  <si>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</si>
  <si>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</si>
  <si>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</si>
  <si>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</si>
  <si>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</si>
  <si>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</si>
  <si>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</si>
  <si>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</si>
  <si>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</si>
  <si>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</si>
  <si>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</si>
  <si>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</si>
  <si>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</si>
  <si>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</si>
  <si>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</si>
  <si>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</si>
  <si>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</si>
  <si>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</si>
  <si>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</si>
  <si>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</si>
  <si>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</si>
  <si>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</si>
  <si>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</si>
  <si>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</si>
  <si>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</si>
  <si>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</si>
  <si>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</si>
  <si>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</si>
  <si>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</si>
  <si>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</si>
  <si>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</si>
  <si>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</si>
  <si>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</si>
  <si>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</si>
  <si>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</si>
  <si>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</si>
  <si>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</si>
  <si>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</si>
  <si>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</si>
  <si>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</si>
  <si>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</si>
  <si>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</si>
  <si>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</si>
  <si>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</si>
  <si>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</si>
  <si>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</si>
  <si>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</si>
  <si>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</si>
  <si>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</si>
  <si>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</si>
  <si>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</si>
  <si>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</si>
  <si>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</si>
  <si>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</si>
  <si>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</si>
  <si>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</si>
  <si>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</si>
  <si>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</si>
  <si>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</si>
  <si>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</si>
  <si>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</si>
  <si>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</si>
  <si>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</si>
  <si>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</si>
  <si>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</si>
  <si>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</si>
  <si>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</si>
  <si>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</si>
  <si>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</si>
  <si>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</si>
  <si>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</si>
  <si>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</si>
  <si>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</si>
  <si>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</si>
  <si>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</si>
  <si>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</si>
  <si>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</si>
  <si>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</si>
  <si>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</si>
  <si>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</si>
  <si>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</si>
  <si>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</si>
  <si>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</si>
  <si>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</si>
  <si>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</si>
  <si>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</si>
  <si>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</si>
  <si>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</si>
  <si>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</si>
  <si>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</si>
  <si>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</si>
  <si>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</si>
  <si>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</si>
  <si>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</si>
  <si>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</si>
  <si>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</si>
  <si>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</si>
  <si>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</si>
  <si>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</si>
  <si>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</si>
  <si>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</si>
  <si>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</si>
  <si>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</si>
  <si>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</si>
  <si>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</si>
  <si>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</si>
  <si>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</si>
  <si>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</si>
  <si>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</si>
  <si>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</si>
  <si>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</si>
  <si>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</si>
  <si>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</si>
  <si>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</si>
  <si>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</si>
  <si>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</si>
  <si>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</si>
  <si>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</si>
  <si>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</si>
  <si>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</si>
  <si>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</si>
  <si>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</si>
  <si>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</si>
  <si>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</si>
  <si>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</si>
  <si>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</si>
  <si>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</si>
  <si>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</si>
  <si>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</si>
  <si>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</si>
  <si>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</si>
  <si>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</si>
  <si>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</si>
  <si>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</si>
  <si>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</si>
  <si>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</si>
  <si>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</si>
  <si>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</si>
  <si>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</si>
  <si>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</si>
  <si>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</si>
  <si>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</si>
  <si>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</si>
  <si>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</si>
  <si>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</si>
  <si>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</si>
  <si>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</si>
  <si>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</si>
  <si>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</si>
  <si>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</si>
  <si>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</si>
  <si>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</si>
  <si>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</si>
  <si>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</si>
  <si>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</si>
  <si>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</si>
  <si>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</si>
  <si>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</si>
  <si>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</si>
  <si>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</si>
  <si>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</si>
  <si>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</si>
  <si>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</si>
  <si>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</si>
  <si>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</si>
  <si>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</si>
  <si>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</si>
  <si>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</si>
  <si>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</si>
  <si>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</si>
  <si>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</si>
  <si>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</si>
  <si>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</si>
  <si>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</si>
  <si>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</si>
  <si>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</si>
  <si>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</si>
  <si>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</si>
  <si>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</si>
  <si>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</si>
  <si>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</si>
  <si>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</si>
  <si>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</si>
  <si>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</si>
  <si>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</si>
  <si>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</si>
  <si>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</si>
  <si>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</si>
  <si>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</si>
  <si>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</si>
  <si>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</si>
  <si>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</si>
  <si>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</si>
  <si>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</si>
  <si>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</si>
  <si>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</si>
  <si>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</si>
  <si>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</si>
  <si>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</si>
  <si>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</si>
  <si>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</si>
  <si>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</si>
  <si>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</si>
  <si>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</si>
  <si>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</si>
  <si>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</si>
  <si>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</si>
  <si>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</si>
  <si>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</si>
  <si>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</si>
  <si>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</si>
  <si>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</si>
  <si>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</si>
  <si>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</si>
  <si>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</si>
  <si>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</si>
  <si>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</si>
  <si>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</si>
  <si>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</si>
  <si>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</si>
  <si>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</si>
  <si>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</si>
  <si>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</si>
  <si>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</si>
  <si>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</si>
  <si>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</si>
  <si>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</si>
  <si>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</si>
  <si>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</si>
  <si>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</si>
  <si>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</si>
  <si>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</si>
  <si>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</si>
  <si>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</si>
  <si>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</si>
  <si>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</si>
  <si>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</si>
  <si>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</si>
  <si>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</si>
  <si>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</si>
  <si>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</si>
  <si>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</si>
  <si>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</si>
  <si>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</si>
  <si>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</si>
  <si>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</si>
  <si>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</si>
  <si>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</si>
  <si>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</si>
  <si>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</si>
  <si>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</si>
  <si>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</si>
  <si>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</si>
  <si>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</si>
  <si>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</si>
  <si>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</si>
  <si>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</si>
  <si>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</si>
  <si>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</si>
  <si>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</si>
  <si>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</si>
  <si>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</si>
  <si>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</si>
  <si>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</si>
  <si>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</si>
  <si>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</si>
  <si>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</si>
  <si>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</si>
  <si>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</si>
  <si>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</si>
  <si>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</si>
  <si>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</si>
  <si>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</si>
  <si>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</si>
  <si>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</si>
  <si>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</si>
  <si>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</si>
  <si>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</si>
  <si>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</si>
  <si>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</si>
  <si>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</si>
  <si>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</si>
  <si>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</si>
  <si>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</si>
  <si>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</si>
  <si>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</si>
  <si>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</si>
  <si>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</si>
  <si>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</si>
  <si>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</si>
  <si>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</si>
  <si>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</si>
  <si>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</si>
  <si>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</si>
  <si>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</si>
  <si>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</si>
  <si>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</si>
  <si>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</si>
  <si>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</si>
  <si>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</si>
  <si>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</si>
  <si>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</si>
  <si>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</si>
  <si>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</si>
  <si>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</si>
  <si>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</si>
  <si>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</si>
  <si>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</si>
  <si>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</si>
  <si>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</si>
  <si>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</si>
  <si>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</si>
  <si>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</si>
  <si>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</si>
  <si>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</si>
  <si>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</si>
  <si>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</si>
  <si>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</si>
  <si>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</si>
  <si>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</si>
  <si>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</si>
  <si>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</si>
  <si>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</si>
  <si>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</si>
  <si>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</si>
  <si>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</si>
  <si>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</si>
  <si>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</si>
  <si>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</si>
  <si>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</si>
  <si>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</si>
  <si>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</si>
  <si>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</si>
  <si>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</si>
  <si>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</si>
  <si>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</si>
  <si>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</si>
  <si>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</si>
  <si>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</si>
  <si>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</si>
  <si>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</si>
  <si>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</si>
  <si>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</si>
  <si>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</si>
  <si>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</si>
  <si>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</si>
  <si>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</si>
  <si>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</si>
  <si>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</si>
  <si>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</si>
  <si>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</si>
  <si>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</si>
  <si>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</si>
  <si>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</si>
  <si>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</si>
  <si>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</si>
  <si>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</si>
  <si>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</si>
  <si>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</si>
  <si>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</si>
  <si>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</si>
  <si>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</si>
  <si>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</si>
  <si>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</si>
  <si>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</si>
  <si>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</si>
  <si>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</si>
  <si>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</si>
  <si>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</si>
  <si>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</si>
  <si>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</si>
  <si>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</si>
  <si>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</si>
  <si>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</si>
  <si>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</si>
  <si>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</si>
  <si>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</si>
  <si>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</si>
  <si>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</si>
  <si>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</si>
  <si>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</si>
  <si>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</si>
  <si>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</si>
  <si>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</si>
  <si>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</si>
  <si>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</si>
  <si>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</si>
  <si>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</si>
  <si>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</si>
  <si>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</si>
  <si>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</si>
  <si>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</si>
  <si>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</si>
  <si>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</si>
  <si>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</si>
  <si>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</si>
  <si>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</si>
  <si>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</si>
  <si>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</si>
  <si>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</si>
  <si>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</si>
  <si>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</si>
  <si>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</si>
  <si>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</si>
  <si>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</si>
  <si>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</si>
  <si>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</si>
  <si>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</si>
  <si>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</si>
  <si>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</si>
  <si>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</si>
  <si>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</si>
  <si>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</si>
  <si>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</si>
  <si>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</si>
  <si>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</si>
  <si>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</si>
  <si>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</si>
  <si>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</si>
  <si>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</si>
  <si>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</si>
  <si>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</si>
  <si>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</si>
  <si>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</si>
  <si>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</si>
  <si>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</si>
  <si>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</si>
  <si>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</si>
  <si>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</si>
  <si>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</si>
  <si>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</si>
  <si>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</si>
  <si>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</si>
  <si>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</si>
  <si>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</si>
  <si>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</si>
  <si>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</si>
  <si>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</si>
  <si>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</si>
  <si>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</si>
  <si>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</si>
  <si>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</si>
  <si>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</si>
  <si>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</si>
  <si>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</si>
  <si>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</si>
  <si>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</si>
  <si>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</si>
  <si>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</si>
  <si>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</si>
  <si>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</si>
  <si>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</si>
  <si>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</si>
  <si>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</si>
  <si>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</si>
  <si>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</si>
  <si>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</si>
  <si>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</si>
  <si>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</si>
  <si>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</si>
  <si>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</si>
  <si>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</si>
  <si>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</si>
  <si>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</si>
  <si>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</si>
  <si>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</si>
  <si>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</si>
  <si>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</si>
  <si>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</si>
  <si>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</si>
  <si>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</si>
  <si>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</si>
  <si>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</si>
  <si>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</si>
  <si>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</si>
  <si>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</si>
  <si>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</si>
  <si>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</si>
  <si>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</si>
  <si>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</si>
  <si>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</si>
  <si>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</si>
  <si>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</si>
  <si>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</si>
  <si>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</si>
  <si>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</si>
  <si>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</si>
  <si>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</si>
  <si>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</si>
  <si>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</si>
  <si>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</si>
  <si>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</si>
  <si>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</si>
  <si>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</si>
  <si>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</si>
  <si>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</si>
  <si>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</si>
  <si>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</si>
  <si>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</si>
  <si>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</si>
  <si>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</si>
  <si>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</si>
  <si>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</si>
  <si>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</si>
  <si>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</si>
  <si>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</si>
  <si>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</si>
  <si>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</si>
  <si>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</si>
  <si>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</si>
  <si>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</si>
  <si>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</si>
  <si>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</si>
  <si>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</si>
  <si>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</si>
  <si>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</si>
  <si>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</si>
  <si>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</si>
  <si>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</si>
  <si>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</si>
  <si>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</si>
  <si>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</si>
  <si>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</si>
  <si>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</si>
  <si>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</si>
  <si>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</si>
  <si>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</si>
  <si>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</si>
  <si>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</si>
  <si>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</si>
  <si>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</si>
  <si>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</si>
  <si>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</si>
  <si>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</si>
  <si>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</si>
  <si>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</si>
  <si>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</si>
  <si>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</si>
  <si>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</si>
  <si>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</si>
  <si>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</si>
  <si>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</si>
  <si>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</si>
  <si>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</si>
  <si>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</si>
  <si>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</si>
  <si>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</si>
  <si>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</si>
  <si>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</si>
  <si>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</si>
  <si>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</si>
  <si>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</si>
  <si>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</si>
  <si>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</si>
  <si>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</si>
  <si>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</si>
  <si>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</si>
  <si>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</si>
  <si>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</si>
  <si>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</si>
  <si>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</si>
  <si>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</si>
  <si>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</si>
  <si>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</si>
  <si>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</si>
  <si>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</si>
  <si>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</si>
  <si>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</si>
  <si>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</si>
  <si>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</si>
  <si>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</si>
  <si>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</si>
  <si>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</si>
  <si>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</si>
  <si>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</si>
  <si>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</si>
  <si>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</si>
  <si>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</si>
  <si>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</si>
  <si>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</si>
  <si>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</si>
  <si>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</si>
  <si>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</si>
  <si>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</si>
  <si>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</si>
  <si>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</si>
  <si>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</si>
  <si>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</si>
  <si>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</si>
  <si>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</si>
  <si>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</si>
  <si>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</si>
  <si>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</si>
  <si>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</si>
  <si>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</si>
  <si>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</si>
  <si>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</si>
  <si>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</si>
  <si>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</si>
  <si>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</si>
  <si>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</si>
  <si>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</si>
  <si>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</si>
  <si>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</si>
  <si>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</si>
  <si>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</si>
  <si>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</si>
  <si>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</si>
  <si>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</si>
  <si>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</si>
  <si>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</si>
  <si>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</si>
  <si>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</si>
  <si>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</si>
  <si>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</si>
  <si>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</si>
  <si>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</si>
  <si>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</si>
  <si>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</si>
  <si>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</si>
  <si>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</si>
  <si>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</si>
  <si>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</si>
  <si>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</si>
  <si>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</si>
  <si>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</si>
  <si>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</si>
  <si>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</si>
  <si>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</si>
  <si>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</si>
  <si>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</si>
  <si>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</si>
  <si>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</si>
  <si>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</si>
  <si>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</si>
  <si>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</si>
  <si>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</si>
  <si>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</si>
  <si>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</si>
  <si>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</si>
  <si>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</si>
  <si>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</si>
  <si>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</si>
  <si>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</si>
  <si>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</si>
  <si>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</si>
  <si>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</si>
  <si>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</si>
  <si>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</si>
  <si>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</si>
  <si>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</si>
  <si>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</si>
  <si>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</si>
  <si>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</si>
  <si>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</si>
  <si>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</si>
  <si>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</si>
  <si>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</si>
  <si>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</si>
  <si>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</si>
  <si>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</si>
  <si>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</si>
  <si>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</si>
  <si>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</si>
  <si>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</si>
  <si>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</si>
  <si>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</si>
  <si>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</si>
  <si>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</si>
  <si>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</si>
  <si>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</si>
  <si>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</si>
  <si>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</si>
  <si>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</si>
  <si>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</si>
  <si>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</si>
  <si>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</si>
  <si>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</si>
  <si>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</si>
  <si>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</si>
  <si>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</si>
  <si>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</si>
  <si>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</si>
  <si>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</si>
  <si>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</si>
  <si>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</si>
  <si>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</si>
  <si>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</si>
  <si>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</si>
  <si>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</si>
  <si>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</si>
  <si>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</si>
  <si>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</si>
  <si>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</si>
  <si>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</si>
  <si>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</si>
  <si>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</si>
  <si>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</si>
  <si>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</si>
  <si>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</si>
  <si>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</si>
  <si>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</si>
  <si>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</si>
  <si>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</si>
  <si>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</si>
  <si>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</si>
  <si>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</si>
  <si>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</si>
  <si>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</si>
  <si>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</si>
  <si>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</si>
  <si>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</si>
  <si>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</si>
  <si>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</si>
  <si>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</si>
  <si>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</si>
  <si>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</si>
  <si>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</si>
  <si>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</si>
  <si>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</si>
  <si>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</si>
  <si>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</si>
  <si>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</si>
  <si>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</si>
  <si>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</si>
  <si>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</si>
  <si>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</si>
  <si>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</si>
  <si>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</si>
  <si>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</si>
  <si>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</si>
  <si>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</si>
  <si>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</si>
  <si>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</si>
  <si>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</si>
  <si>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</si>
  <si>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</si>
  <si>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</si>
  <si>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</si>
  <si>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</si>
  <si>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</si>
  <si>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</si>
  <si>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</si>
  <si>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</si>
  <si>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</si>
  <si>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</si>
  <si>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</si>
  <si>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</si>
  <si>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</si>
  <si>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</si>
  <si>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</si>
  <si>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</si>
  <si>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</si>
  <si>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</si>
  <si>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</si>
  <si>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</si>
  <si>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</si>
  <si>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</si>
  <si>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</si>
  <si>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</si>
  <si>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</si>
  <si>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</si>
  <si>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</si>
  <si>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</si>
  <si>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</si>
  <si>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</si>
  <si>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</si>
  <si>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</si>
  <si>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</si>
  <si>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</si>
  <si>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</si>
  <si>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</si>
  <si>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</si>
  <si>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</si>
  <si>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</si>
  <si>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</si>
  <si>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</si>
  <si>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</si>
  <si>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</si>
  <si>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</si>
  <si>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</si>
  <si>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</si>
  <si>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</si>
  <si>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</si>
  <si>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</si>
  <si>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</si>
  <si>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</si>
  <si>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</si>
  <si>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</si>
  <si>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</si>
  <si>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</si>
  <si>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</si>
  <si>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</si>
  <si>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</si>
  <si>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</si>
  <si>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</si>
  <si>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</si>
  <si>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</si>
  <si>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</si>
  <si>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</si>
  <si>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</si>
  <si>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</si>
  <si>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</si>
  <si>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</si>
  <si>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</si>
  <si>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</si>
  <si>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</si>
  <si>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</si>
  <si>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</si>
  <si>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</si>
  <si>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</si>
  <si>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</si>
  <si>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</si>
  <si>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</si>
  <si>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</si>
  <si>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</si>
  <si>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</si>
  <si>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</si>
  <si>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</si>
  <si>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</si>
  <si>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</si>
  <si>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</si>
  <si>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</si>
  <si>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</si>
  <si>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</si>
  <si>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</si>
  <si>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</si>
  <si>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</si>
  <si>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</si>
  <si>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</si>
  <si>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</si>
  <si>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</si>
  <si>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</si>
  <si>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</si>
  <si>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</si>
  <si>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</si>
  <si>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</si>
  <si>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</si>
  <si>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</si>
  <si>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</si>
  <si>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</si>
  <si>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</si>
  <si>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</si>
  <si>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</si>
  <si>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</si>
  <si>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</si>
  <si>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</si>
  <si>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</si>
  <si>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</si>
  <si>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</si>
  <si>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</si>
  <si>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</si>
  <si>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</si>
  <si>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</si>
  <si>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</si>
  <si>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</si>
  <si>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</si>
  <si>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</si>
  <si>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</si>
  <si>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</si>
  <si>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</si>
  <si>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</si>
  <si>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</si>
  <si>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</si>
  <si>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</si>
  <si>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</si>
  <si>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</si>
  <si>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</si>
  <si>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</si>
  <si>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</si>
  <si>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</si>
  <si>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</si>
  <si>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</si>
  <si>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</si>
  <si>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</si>
  <si>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</si>
  <si>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</si>
  <si>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</si>
  <si>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</si>
  <si>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</si>
  <si>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</si>
  <si>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</si>
  <si>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</si>
  <si>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</si>
  <si>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</si>
  <si>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</si>
  <si>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</si>
  <si>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</si>
  <si>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</si>
  <si>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</si>
  <si>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</si>
  <si>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</si>
  <si>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</si>
  <si>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</si>
  <si>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</si>
  <si>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</si>
  <si>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</si>
  <si>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</si>
  <si>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</si>
  <si>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</si>
  <si>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</si>
  <si>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</si>
  <si>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</si>
  <si>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</si>
  <si>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</si>
  <si>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</si>
  <si>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</si>
  <si>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</si>
  <si>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</si>
  <si>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</si>
  <si>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</si>
  <si>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</si>
  <si>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</si>
  <si>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</si>
  <si>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</si>
  <si>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</si>
  <si>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</si>
  <si>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</si>
  <si>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</si>
  <si>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</si>
  <si>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</si>
  <si>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</si>
  <si>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</si>
  <si>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</si>
  <si>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</si>
  <si>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</si>
  <si>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</si>
  <si>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</si>
  <si>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</si>
  <si>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</si>
  <si>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</si>
  <si>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</si>
  <si>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</si>
  <si>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</si>
  <si>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</si>
  <si>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</si>
  <si>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</si>
  <si>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</si>
  <si>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</si>
  <si>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</si>
  <si>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</si>
  <si>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</si>
  <si>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</si>
  <si>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</si>
  <si>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</si>
  <si>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</si>
  <si>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</si>
  <si>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</si>
  <si>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</si>
  <si>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</si>
  <si>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</si>
  <si>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</si>
  <si>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</si>
  <si>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</si>
  <si>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</si>
  <si>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</si>
  <si>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</si>
  <si>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</si>
  <si>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</si>
  <si>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</si>
  <si>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</si>
  <si>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</si>
  <si>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</si>
  <si>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</si>
  <si>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</si>
  <si>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</si>
  <si>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</si>
  <si>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</si>
  <si>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</si>
  <si>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</si>
  <si>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</si>
  <si>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</si>
  <si>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</si>
  <si>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</si>
  <si>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</si>
  <si>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</si>
  <si>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</si>
  <si>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</si>
  <si>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</si>
  <si>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</si>
  <si>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</si>
  <si>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</si>
  <si>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</si>
  <si>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</si>
  <si>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</si>
  <si>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</si>
  <si>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</si>
  <si>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</si>
  <si>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</si>
  <si>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</si>
  <si>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</si>
  <si>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</si>
  <si>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</si>
  <si>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</si>
  <si>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</si>
  <si>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</si>
  <si>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</si>
  <si>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</si>
  <si>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</si>
  <si>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</si>
  <si>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</si>
  <si>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</si>
  <si>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</si>
  <si>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</si>
  <si>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</si>
  <si>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</si>
  <si>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</si>
  <si>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</si>
  <si>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</si>
  <si>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</si>
  <si>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</si>
  <si>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</si>
  <si>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</si>
  <si>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</si>
  <si>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</si>
  <si>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</si>
  <si>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</si>
  <si>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</si>
  <si>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</si>
  <si>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</si>
  <si>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</si>
  <si>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</si>
  <si>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</si>
  <si>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</si>
  <si>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</si>
  <si>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</si>
  <si>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</si>
  <si>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</si>
  <si>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</si>
  <si>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</si>
  <si>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</si>
  <si>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</si>
  <si>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</si>
  <si>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</si>
  <si>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</si>
  <si>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</si>
  <si>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</si>
  <si>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</si>
  <si>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</si>
  <si>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</si>
  <si>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</si>
  <si>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</si>
  <si>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</si>
  <si>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</si>
  <si>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</si>
  <si>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</si>
  <si>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</si>
  <si>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</si>
  <si>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</si>
  <si>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</si>
  <si>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</si>
  <si>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</si>
  <si>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</si>
  <si>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</si>
  <si>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</si>
  <si>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</si>
  <si>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</si>
  <si>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</si>
  <si>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</si>
  <si>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</si>
  <si>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</si>
  <si>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</si>
  <si>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</si>
  <si>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</si>
  <si>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</si>
  <si>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</si>
  <si>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</si>
  <si>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</si>
  <si>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</si>
  <si>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</si>
  <si>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</si>
  <si>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</si>
  <si>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</si>
  <si>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</si>
  <si>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</si>
  <si>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</si>
  <si>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</si>
  <si>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</si>
  <si>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</si>
  <si>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</si>
  <si>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</si>
  <si>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</si>
  <si>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</si>
  <si>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</si>
  <si>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</si>
  <si>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</si>
  <si>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</si>
  <si>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</si>
  <si>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</si>
  <si>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</si>
  <si>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</si>
  <si>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</si>
  <si>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</si>
  <si>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</si>
  <si>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</si>
  <si>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</si>
  <si>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</si>
  <si>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</si>
  <si>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</si>
  <si>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</si>
  <si>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</si>
  <si>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</si>
  <si>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</si>
  <si>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</si>
  <si>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</si>
  <si>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</si>
  <si>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</si>
  <si>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</si>
  <si>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</si>
  <si>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</si>
  <si>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</si>
  <si>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</si>
  <si>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</si>
  <si>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</si>
  <si>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</si>
  <si>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</si>
  <si>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</si>
  <si>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</si>
  <si>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</si>
  <si>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</si>
  <si>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</si>
  <si>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</si>
  <si>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</si>
  <si>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</si>
  <si>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</si>
  <si>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</si>
  <si>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</si>
  <si>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</si>
  <si>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</si>
  <si>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</si>
  <si>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</si>
  <si>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</si>
  <si>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</si>
  <si>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</si>
  <si>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</si>
  <si>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</si>
  <si>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</si>
  <si>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</si>
  <si>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</si>
  <si>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</si>
  <si>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</si>
  <si>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</si>
  <si>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</si>
  <si>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</si>
  <si>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</si>
  <si>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</si>
  <si>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</si>
  <si>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</si>
  <si>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</si>
  <si>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</si>
  <si>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</si>
  <si>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</si>
  <si>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</si>
  <si>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</si>
  <si>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</si>
  <si>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</si>
  <si>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</si>
  <si>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</si>
  <si>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</si>
  <si>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</si>
  <si>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</si>
  <si>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</si>
  <si>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</si>
  <si>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</si>
  <si>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</si>
  <si>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</si>
  <si>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</si>
  <si>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</si>
  <si>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</si>
  <si>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</si>
  <si>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</si>
  <si>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</si>
  <si>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</si>
  <si>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</si>
  <si>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</si>
  <si>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</si>
  <si>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</si>
  <si>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</si>
  <si>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</si>
  <si>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</si>
  <si>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</si>
  <si>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</si>
  <si>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</si>
  <si>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</si>
  <si>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</si>
  <si>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</si>
  <si>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</si>
  <si>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</si>
  <si>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</si>
  <si>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</si>
  <si>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</si>
  <si>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</si>
  <si>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</si>
  <si>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</si>
  <si>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</si>
  <si>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</si>
  <si>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</si>
  <si>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</si>
  <si>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</si>
  <si>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</si>
  <si>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</si>
  <si>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</si>
  <si>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</si>
  <si>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</si>
  <si>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</si>
  <si>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</si>
  <si>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</si>
  <si>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</si>
  <si>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</si>
  <si>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</si>
  <si>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</si>
  <si>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</si>
  <si>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</si>
  <si>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</si>
  <si>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</si>
  <si>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</si>
  <si>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</si>
  <si>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</si>
  <si>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</si>
  <si>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</si>
  <si>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</si>
  <si>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</si>
  <si>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</si>
  <si>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</si>
  <si>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</si>
  <si>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</si>
  <si>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</si>
  <si>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</si>
  <si>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</si>
  <si>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</si>
  <si>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</si>
  <si>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</si>
  <si>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</si>
  <si>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</si>
  <si>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</si>
  <si>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</si>
  <si>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</si>
  <si>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</si>
  <si>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</si>
  <si>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</si>
  <si>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</si>
  <si>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</si>
  <si>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</si>
  <si>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</si>
  <si>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</si>
  <si>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</si>
  <si>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</si>
  <si>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</si>
  <si>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</si>
  <si>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</si>
  <si>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</si>
  <si>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</si>
  <si>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</si>
  <si>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</si>
  <si>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</si>
  <si>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</si>
  <si>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</si>
  <si>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</si>
  <si>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</si>
  <si>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</si>
  <si>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</si>
  <si>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</si>
  <si>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</si>
  <si>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</si>
  <si>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</si>
  <si>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</si>
  <si>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</si>
  <si>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</si>
  <si>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</si>
  <si>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</si>
  <si>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</si>
  <si>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</si>
  <si>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</si>
  <si>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</si>
  <si>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</si>
  <si>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</si>
  <si>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</si>
  <si>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</si>
  <si>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</si>
  <si>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</si>
  <si>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</si>
  <si>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</si>
  <si>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</si>
  <si>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</si>
  <si>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</si>
  <si>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</si>
  <si>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</si>
  <si>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</si>
  <si>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</si>
  <si>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</si>
  <si>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</si>
  <si>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</si>
  <si>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</si>
  <si>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</si>
  <si>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</si>
  <si>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</si>
  <si>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</si>
  <si>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</si>
  <si>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</si>
  <si>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</si>
  <si>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</si>
  <si>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</si>
  <si>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</si>
  <si>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</si>
  <si>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</si>
  <si>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</si>
  <si>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</si>
  <si>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</si>
  <si>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</si>
  <si>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</si>
  <si>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</si>
  <si>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</si>
  <si>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</si>
  <si>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</si>
  <si>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</si>
  <si>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</si>
  <si>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</si>
  <si>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</si>
  <si>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</si>
  <si>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</si>
  <si>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</si>
  <si>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</si>
  <si>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</si>
  <si>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</si>
  <si>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</si>
  <si>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</si>
  <si>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</si>
  <si>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</si>
  <si>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</si>
  <si>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</si>
  <si>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</si>
  <si>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</si>
  <si>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</si>
  <si>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</si>
  <si>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</si>
  <si>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</si>
  <si>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</si>
  <si>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</si>
  <si>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</si>
  <si>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</si>
  <si>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</si>
  <si>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</si>
  <si>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</si>
  <si>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</si>
  <si>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</si>
  <si>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</si>
  <si>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</si>
  <si>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</si>
  <si>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</si>
  <si>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</si>
  <si>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</si>
  <si>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</si>
  <si>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</si>
  <si>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</si>
  <si>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</si>
  <si>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</si>
  <si>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</si>
  <si>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</si>
  <si>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</si>
  <si>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</si>
  <si>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</si>
  <si>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</si>
  <si>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</si>
  <si>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</si>
  <si>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</si>
  <si>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</si>
  <si>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</si>
  <si>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</si>
  <si>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</si>
  <si>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</si>
  <si>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</si>
  <si>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</si>
  <si>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</si>
  <si>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</si>
  <si>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</si>
  <si>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</si>
  <si>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</si>
  <si>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</si>
  <si>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</si>
  <si>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</si>
  <si>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</si>
  <si>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</si>
  <si>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</si>
  <si>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</si>
  <si>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</si>
  <si>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</si>
  <si>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</si>
  <si>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</si>
  <si>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</si>
  <si>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</si>
  <si>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</si>
  <si>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</si>
  <si>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</si>
  <si>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</si>
  <si>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</si>
  <si>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</si>
  <si>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</si>
  <si>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</si>
  <si>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</si>
  <si>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</si>
  <si>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</si>
  <si>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</si>
  <si>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</si>
  <si>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</si>
  <si>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</si>
  <si>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</si>
  <si>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</si>
  <si>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</si>
  <si>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</si>
  <si>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</si>
  <si>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</si>
  <si>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</si>
  <si>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</si>
  <si>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</si>
  <si>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</si>
  <si>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</si>
  <si>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</si>
  <si>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</si>
  <si>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</si>
  <si>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</si>
  <si>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</si>
  <si>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</si>
  <si>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</si>
  <si>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</si>
  <si>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</si>
  <si>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</si>
  <si>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</si>
  <si>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</si>
  <si>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</si>
  <si>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</si>
  <si>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</si>
  <si>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</si>
  <si>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</si>
  <si>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</si>
  <si>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</si>
  <si>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</si>
  <si>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</si>
  <si>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</si>
  <si>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</si>
  <si>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</si>
  <si>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</si>
  <si>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</si>
  <si>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</si>
  <si>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</si>
  <si>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</si>
  <si>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</si>
  <si>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</si>
  <si>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</si>
  <si>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</si>
  <si>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</si>
  <si>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</si>
  <si>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</si>
  <si>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</si>
  <si>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</si>
  <si>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</si>
  <si>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</si>
  <si>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</si>
  <si>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</si>
  <si>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</si>
  <si>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</si>
  <si>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</si>
  <si>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</si>
  <si>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</si>
  <si>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</si>
  <si>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</si>
  <si>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</si>
  <si>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</si>
  <si>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</si>
  <si>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</si>
  <si>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</si>
  <si>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</si>
  <si>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</si>
  <si>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</si>
  <si>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</si>
  <si>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</si>
  <si>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</si>
  <si>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</si>
  <si>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</si>
  <si>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</si>
  <si>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</si>
  <si>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</si>
  <si>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</si>
  <si>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</si>
  <si>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</si>
  <si>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</si>
  <si>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</si>
  <si>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</si>
  <si>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</si>
  <si>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</si>
  <si>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</si>
  <si>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</si>
  <si>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</si>
  <si>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</si>
  <si>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</si>
  <si>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</si>
  <si>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</si>
  <si>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</si>
  <si>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</si>
  <si>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</si>
  <si>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</si>
  <si>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</si>
  <si>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</si>
  <si>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</si>
  <si>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</si>
  <si>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</si>
  <si>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</si>
  <si>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</si>
  <si>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</si>
  <si>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</si>
  <si>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</si>
  <si>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</si>
  <si>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</si>
  <si>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</si>
  <si>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</si>
  <si>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</si>
  <si>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</si>
  <si>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</si>
  <si>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</si>
  <si>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</si>
  <si>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</si>
  <si>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</si>
  <si>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</si>
  <si>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</si>
  <si>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</si>
  <si>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</si>
  <si>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</si>
  <si>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</si>
  <si>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</si>
  <si>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</si>
  <si>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</si>
  <si>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</si>
  <si>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</si>
  <si>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</si>
  <si>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</si>
  <si>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</si>
  <si>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</si>
  <si>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</si>
  <si>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</si>
  <si>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</si>
  <si>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</si>
  <si>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</si>
  <si>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</si>
  <si>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</si>
  <si>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</si>
  <si>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</si>
  <si>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</si>
  <si>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</si>
  <si>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</si>
  <si>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</si>
  <si>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</si>
  <si>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</si>
  <si>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</si>
  <si>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</si>
  <si>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</si>
  <si>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</si>
  <si>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</si>
  <si>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</si>
  <si>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</si>
  <si>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</si>
  <si>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</si>
  <si>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</si>
  <si>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</si>
  <si>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</si>
  <si>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</si>
  <si>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</si>
  <si>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</si>
  <si>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</si>
  <si>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</si>
  <si>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</si>
  <si>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</si>
  <si>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</si>
  <si>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</si>
  <si>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</si>
  <si>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</si>
  <si>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</si>
  <si>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</si>
  <si>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</si>
  <si>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</si>
  <si>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</si>
  <si>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</si>
  <si>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</si>
  <si>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</si>
  <si>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</si>
  <si>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</si>
  <si>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</si>
  <si>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</si>
  <si>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</si>
  <si>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</si>
  <si>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</si>
  <si>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</si>
  <si>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</si>
  <si>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</si>
  <si>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</si>
  <si>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</si>
  <si>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</si>
  <si>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</si>
  <si>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</si>
  <si>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</si>
  <si>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</si>
  <si>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</si>
  <si>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</si>
  <si>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</si>
  <si>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</si>
  <si>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</si>
  <si>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</si>
  <si>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</si>
  <si>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</si>
  <si>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</si>
  <si>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</si>
  <si>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</si>
  <si>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</si>
  <si>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</si>
  <si>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</si>
  <si>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</si>
  <si>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</si>
  <si>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</si>
  <si>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</si>
  <si>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</si>
  <si>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</si>
  <si>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</si>
  <si>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</si>
  <si>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</si>
  <si>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</si>
  <si>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</si>
  <si>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</si>
  <si>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</si>
  <si>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</si>
  <si>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</si>
  <si>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</si>
  <si>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</si>
  <si>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</si>
  <si>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</si>
  <si>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</si>
  <si>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</si>
  <si>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</si>
  <si>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</si>
  <si>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</si>
  <si>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</si>
  <si>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</si>
  <si>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</si>
  <si>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</si>
  <si>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</si>
  <si>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</si>
  <si>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</si>
  <si>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</si>
  <si>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</si>
  <si>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</si>
  <si>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</si>
  <si>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</si>
  <si>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</si>
  <si>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</si>
  <si>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</si>
  <si>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</si>
  <si>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</si>
  <si>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</si>
  <si>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</si>
  <si>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</si>
  <si>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</si>
  <si>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</si>
  <si>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</si>
  <si>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</si>
  <si>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</si>
  <si>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</si>
  <si>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</si>
  <si>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</si>
  <si>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</si>
  <si>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</si>
  <si>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</si>
  <si>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</si>
  <si>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</si>
  <si>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</si>
  <si>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</si>
  <si>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</si>
  <si>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</si>
  <si>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</si>
  <si>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</si>
  <si>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</si>
  <si>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</si>
  <si>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</si>
  <si>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</si>
  <si>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</si>
  <si>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</si>
  <si>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</si>
  <si>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</si>
  <si>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</si>
  <si>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</si>
  <si>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</si>
  <si>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</si>
  <si>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</si>
  <si>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</si>
  <si>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</si>
  <si>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</si>
  <si>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</si>
  <si>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</si>
  <si>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</si>
  <si>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</si>
  <si>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</si>
  <si>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</si>
  <si>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</si>
  <si>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</si>
  <si>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</si>
  <si>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</si>
  <si>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</si>
  <si>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</si>
  <si>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</si>
  <si>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</si>
  <si>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</si>
  <si>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</si>
  <si>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</si>
  <si>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</si>
  <si>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</si>
  <si>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</si>
  <si>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</si>
  <si>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</si>
  <si>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</si>
  <si>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</si>
  <si>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</si>
  <si>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</si>
  <si>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</si>
  <si>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</si>
  <si>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</si>
  <si>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</si>
  <si>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</si>
  <si>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</si>
  <si>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</si>
  <si>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</si>
  <si>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</si>
  <si>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</si>
  <si>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</si>
  <si>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</si>
  <si>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</si>
  <si>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</si>
  <si>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</si>
  <si>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</si>
  <si>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</si>
  <si>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</si>
  <si>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</si>
  <si>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</si>
  <si>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</si>
  <si>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</si>
  <si>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</si>
  <si>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</si>
  <si>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</si>
  <si>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</si>
  <si>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</si>
  <si>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</si>
  <si>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</si>
  <si>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</si>
  <si>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</si>
  <si>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</si>
  <si>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</si>
  <si>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</si>
  <si>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</si>
  <si>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</si>
  <si>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</si>
  <si>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</si>
  <si>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</si>
  <si>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</si>
  <si>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</si>
  <si>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</si>
  <si>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</si>
  <si>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</si>
  <si>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</si>
  <si>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</si>
  <si>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</si>
  <si>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</si>
  <si>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</si>
  <si>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</si>
  <si>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</si>
  <si>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</si>
  <si>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</si>
  <si>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</si>
  <si>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</si>
  <si>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</si>
  <si>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</si>
  <si>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</si>
  <si>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</si>
  <si>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</si>
  <si>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</si>
  <si>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</si>
  <si>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</si>
  <si>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</si>
  <si>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</si>
  <si>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</si>
  <si>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</si>
  <si>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</si>
  <si>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</si>
  <si>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</si>
  <si>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</si>
  <si>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</si>
  <si>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</si>
  <si>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</si>
  <si>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</si>
  <si>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</si>
  <si>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</si>
  <si>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</si>
  <si>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</si>
  <si>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</si>
  <si>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</si>
  <si>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</si>
  <si>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</si>
  <si>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</si>
  <si>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</si>
  <si>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</si>
  <si>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</si>
  <si>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</si>
  <si>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</si>
  <si>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</si>
  <si>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</si>
  <si>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</si>
  <si>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</si>
  <si>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</si>
  <si>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</si>
  <si>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</si>
  <si>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</si>
  <si>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</si>
  <si>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</si>
  <si>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</si>
  <si>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</si>
  <si>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</si>
  <si>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</si>
  <si>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</si>
  <si>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</si>
  <si>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</si>
  <si>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</si>
  <si>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</si>
  <si>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</si>
  <si>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</si>
  <si>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</si>
  <si>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</si>
  <si>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</si>
  <si>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</si>
  <si>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</si>
  <si>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</si>
  <si>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</si>
  <si>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</si>
  <si>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</si>
  <si>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</si>
  <si>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</si>
  <si>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</si>
  <si>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</si>
  <si>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</si>
  <si>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</si>
  <si>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</si>
  <si>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</si>
  <si>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</si>
  <si>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</si>
  <si>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</si>
  <si>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</si>
  <si>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</si>
  <si>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</si>
  <si>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</si>
  <si>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</si>
  <si>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</si>
  <si>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</si>
  <si>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</si>
  <si>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</si>
  <si>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</si>
  <si>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</si>
  <si>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</si>
  <si>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</si>
  <si>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</si>
  <si>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</si>
  <si>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</si>
  <si>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</si>
  <si>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</si>
  <si>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</si>
  <si>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</si>
  <si>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</si>
  <si>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</si>
  <si>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</si>
  <si>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</si>
  <si>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</si>
  <si>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</si>
  <si>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</si>
  <si>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</si>
  <si>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</si>
  <si>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</si>
  <si>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</si>
  <si>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</si>
  <si>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</si>
  <si>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</si>
  <si>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</si>
  <si>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</si>
  <si>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</si>
  <si>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</si>
  <si>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</si>
  <si>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</si>
  <si>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</si>
  <si>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</si>
  <si>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</si>
  <si>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</si>
  <si>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</si>
  <si>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</si>
  <si>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</si>
  <si>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</si>
  <si>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</si>
  <si>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</si>
  <si>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</si>
  <si>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</si>
  <si>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</si>
  <si>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</si>
  <si>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</si>
  <si>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</si>
  <si>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</si>
  <si>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</si>
  <si>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</si>
  <si>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</si>
  <si>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</si>
  <si>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</si>
  <si>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</si>
  <si>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</si>
  <si>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</si>
  <si>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</si>
  <si>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</si>
  <si>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</si>
  <si>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</si>
  <si>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</si>
  <si>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</si>
  <si>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</si>
  <si>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</si>
  <si>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</si>
  <si>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</si>
  <si>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</si>
  <si>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</si>
  <si>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</si>
  <si>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</si>
  <si>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</si>
  <si>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</si>
  <si>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</si>
  <si>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</si>
  <si>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</si>
  <si>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</si>
  <si>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</si>
  <si>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</si>
  <si>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</si>
  <si>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</si>
  <si>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</si>
  <si>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</si>
  <si>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</si>
  <si>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</si>
  <si>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</si>
  <si>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</si>
  <si>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</si>
  <si>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</si>
  <si>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</si>
  <si>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</si>
  <si>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</si>
  <si>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</si>
  <si>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</si>
  <si>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</si>
  <si>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</si>
  <si>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</si>
  <si>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</si>
  <si>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</si>
  <si>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</si>
  <si>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</si>
  <si>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</si>
  <si>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</si>
  <si>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</si>
  <si>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</si>
  <si>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</si>
  <si>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</si>
  <si>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</si>
  <si>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</si>
  <si>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</si>
  <si>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</si>
  <si>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</si>
  <si>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</si>
  <si>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</si>
  <si>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</si>
  <si>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</si>
  <si>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</si>
  <si>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</si>
  <si>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</si>
  <si>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</si>
  <si>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</si>
  <si>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</si>
  <si>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</si>
  <si>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</si>
  <si>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</si>
  <si>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</si>
  <si>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</si>
  <si>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</si>
  <si>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</si>
  <si>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</si>
  <si>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</si>
  <si>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</si>
  <si>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</si>
  <si>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</si>
  <si>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</si>
  <si>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</si>
  <si>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</si>
  <si>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</si>
  <si>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</si>
  <si>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</si>
  <si>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</si>
  <si>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</si>
  <si>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</si>
  <si>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</si>
  <si>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</si>
  <si>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</si>
  <si>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</si>
  <si>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</si>
  <si>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</si>
  <si>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</si>
  <si>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</si>
  <si>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</si>
  <si>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</si>
  <si>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</si>
  <si>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</si>
  <si>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</si>
  <si>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</si>
  <si>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</si>
  <si>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</si>
  <si>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</si>
  <si>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</si>
  <si>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</si>
  <si>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</si>
  <si>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</si>
  <si>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</si>
  <si>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</si>
  <si>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</si>
  <si>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</si>
  <si>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</si>
  <si>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</si>
  <si>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</si>
  <si>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</si>
  <si>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</si>
  <si>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</si>
  <si>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</si>
  <si>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</si>
  <si>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</si>
  <si>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</si>
  <si>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</si>
  <si>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</si>
  <si>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</si>
  <si>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</si>
  <si>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</si>
  <si>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</si>
  <si>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</si>
  <si>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</si>
  <si>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</si>
  <si>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</si>
  <si>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</si>
  <si>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</si>
  <si>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</si>
  <si>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</si>
  <si>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</si>
  <si>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</si>
  <si>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</si>
  <si>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</si>
  <si>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</si>
  <si>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</si>
  <si>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</si>
  <si>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</si>
  <si>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</si>
  <si>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</si>
  <si>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</si>
  <si>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</si>
  <si>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</si>
  <si>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</si>
  <si>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</si>
  <si>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</si>
  <si>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</si>
  <si>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</si>
  <si>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</si>
  <si>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</si>
  <si>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</si>
  <si>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</si>
  <si>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</si>
  <si>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</si>
  <si>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</si>
  <si>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</si>
  <si>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</si>
  <si>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</si>
  <si>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</si>
  <si>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</si>
  <si>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</si>
  <si>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</si>
  <si>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</si>
  <si>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</si>
  <si>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</si>
  <si>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</si>
  <si>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</si>
  <si>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</si>
  <si>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</si>
  <si>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</si>
  <si>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</si>
  <si>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</si>
  <si>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</si>
  <si>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</si>
  <si>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</si>
  <si>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</si>
  <si>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</si>
  <si>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</si>
  <si>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</si>
  <si>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</si>
  <si>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</si>
  <si>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</si>
  <si>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</si>
  <si>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</si>
  <si>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</si>
  <si>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</si>
  <si>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</si>
  <si>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</si>
  <si>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</si>
  <si>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</si>
  <si>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</si>
  <si>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</si>
  <si>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</si>
  <si>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</si>
  <si>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</si>
  <si>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</si>
  <si>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</si>
  <si>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</si>
  <si>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</si>
  <si>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</si>
  <si>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</si>
  <si>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</si>
  <si>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</si>
  <si>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</si>
  <si>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</si>
  <si>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</si>
  <si>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</si>
  <si>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</si>
  <si>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</si>
  <si>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</si>
  <si>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</si>
  <si>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</si>
  <si>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</si>
  <si>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</si>
  <si>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</si>
  <si>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</si>
  <si>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</si>
  <si>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</si>
  <si>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</si>
  <si>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</si>
  <si>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</si>
  <si>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</si>
  <si>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</si>
  <si>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</si>
  <si>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</si>
  <si>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</si>
  <si>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</si>
  <si>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</si>
  <si>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</si>
  <si>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</si>
  <si>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</si>
  <si>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</si>
  <si>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</si>
  <si>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</si>
  <si>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</si>
  <si>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</si>
  <si>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</si>
  <si>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</si>
  <si>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</si>
  <si>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</si>
  <si>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</si>
  <si>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</si>
  <si>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</si>
  <si>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</si>
  <si>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</si>
  <si>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</si>
  <si>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</si>
  <si>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</si>
  <si>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</si>
  <si>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</si>
  <si>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</si>
  <si>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</si>
  <si>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</si>
  <si>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</si>
  <si>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</si>
  <si>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</si>
  <si>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</si>
  <si>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</si>
  <si>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</si>
  <si>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</si>
  <si>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</si>
  <si>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</si>
  <si>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</si>
  <si>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</si>
  <si>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</si>
  <si>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</si>
  <si>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</si>
  <si>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</si>
  <si>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</si>
  <si>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</si>
  <si>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</si>
  <si>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</si>
  <si>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</si>
  <si>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</si>
  <si>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</si>
  <si>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</si>
  <si>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</si>
  <si>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</si>
  <si>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</si>
  <si>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</si>
  <si>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</si>
  <si>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</si>
  <si>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</si>
  <si>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</si>
  <si>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</si>
  <si>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</si>
  <si>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</si>
  <si>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</si>
  <si>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</si>
  <si>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</si>
  <si>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</si>
  <si>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</si>
  <si>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</si>
  <si>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</si>
  <si>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</si>
  <si>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</si>
  <si>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</si>
  <si>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</si>
  <si>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</si>
  <si>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</si>
  <si>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</si>
  <si>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</si>
  <si>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</si>
  <si>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</si>
  <si>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</si>
  <si>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</si>
  <si>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</si>
  <si>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</si>
  <si>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</si>
  <si>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</si>
  <si>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</si>
  <si>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</si>
  <si>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</si>
  <si>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</si>
  <si>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</si>
  <si>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</si>
  <si>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</si>
  <si>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</si>
  <si>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</si>
  <si>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</si>
  <si>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</si>
  <si>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</si>
  <si>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</si>
  <si>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</si>
  <si>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</si>
  <si>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</si>
  <si>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</si>
  <si>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</si>
  <si>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</si>
  <si>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</si>
  <si>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</si>
  <si>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</si>
  <si>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</si>
  <si>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</si>
  <si>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</si>
  <si>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</si>
  <si>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</si>
  <si>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</si>
  <si>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</si>
  <si>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</si>
  <si>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</si>
  <si>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</si>
  <si>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</si>
  <si>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</si>
  <si>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</si>
  <si>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</si>
  <si>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</si>
  <si>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</si>
  <si>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</si>
  <si>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</si>
  <si>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</si>
  <si>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</si>
  <si>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</si>
  <si>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</si>
  <si>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</si>
  <si>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</si>
  <si>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</si>
  <si>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</si>
  <si>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</si>
  <si>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</si>
  <si>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</si>
  <si>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</si>
  <si>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</si>
  <si>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</si>
  <si>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</si>
  <si>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</si>
  <si>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</si>
  <si>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</si>
  <si>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</si>
  <si>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</si>
  <si>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</si>
  <si>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</si>
  <si>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</si>
  <si>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</si>
  <si>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</si>
  <si>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</si>
  <si>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</si>
  <si>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</si>
  <si>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</si>
  <si>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</si>
  <si>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</si>
  <si>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</si>
  <si>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</si>
  <si>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</si>
  <si>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</si>
  <si>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</si>
  <si>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</si>
  <si>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</si>
  <si>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</si>
  <si>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</si>
  <si>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</si>
  <si>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</si>
  <si>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</si>
  <si>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</si>
  <si>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</si>
  <si>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</si>
  <si>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</si>
  <si>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</si>
  <si>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</si>
  <si>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</si>
  <si>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</si>
  <si>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</si>
  <si>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</si>
  <si>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</si>
  <si>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</si>
  <si>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</si>
  <si>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</si>
  <si>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</si>
  <si>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</si>
  <si>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</si>
  <si>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</si>
  <si>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</si>
  <si>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</si>
  <si>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</si>
  <si>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</si>
  <si>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</si>
  <si>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</si>
  <si>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</si>
  <si>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</si>
  <si>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</si>
  <si>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</si>
  <si>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</si>
  <si>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</si>
  <si>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</si>
  <si>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</si>
  <si>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</si>
  <si>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</si>
  <si>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</si>
  <si>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</si>
  <si>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</si>
  <si>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</si>
  <si>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</si>
  <si>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</si>
  <si>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</si>
  <si>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</si>
  <si>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</si>
  <si>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</si>
  <si>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</si>
  <si>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</si>
  <si>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</si>
  <si>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</si>
  <si>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</si>
  <si>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</si>
  <si>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</si>
  <si>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</si>
  <si>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</si>
  <si>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</si>
  <si>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</si>
  <si>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</si>
  <si>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</si>
  <si>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</si>
  <si>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</si>
  <si>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</si>
  <si>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</si>
  <si>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</si>
  <si>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</si>
  <si>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</si>
  <si>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</si>
  <si>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</si>
  <si>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</si>
  <si>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</si>
  <si>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</si>
  <si>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</si>
  <si>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</si>
  <si>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</si>
  <si>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</si>
  <si>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</si>
  <si>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</si>
  <si>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</si>
  <si>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</si>
  <si>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</si>
  <si>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</si>
  <si>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</si>
  <si>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</si>
  <si>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</si>
  <si>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</si>
  <si>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</si>
  <si>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</si>
  <si>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</si>
  <si>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</si>
  <si>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</si>
  <si>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</si>
  <si>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</si>
  <si>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</si>
  <si>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</si>
  <si>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</si>
  <si>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</si>
  <si>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</si>
  <si>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</si>
  <si>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</si>
  <si>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</si>
  <si>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</si>
  <si>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</si>
  <si>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</si>
  <si>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</si>
  <si>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</si>
  <si>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</si>
  <si>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</si>
  <si>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</si>
  <si>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</si>
  <si>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</si>
  <si>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</si>
  <si>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</si>
  <si>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</si>
  <si>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</si>
  <si>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</si>
  <si>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</si>
  <si>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</si>
  <si>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</si>
  <si>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</si>
  <si>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</si>
  <si>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</si>
  <si>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</si>
  <si>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</si>
  <si>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</si>
  <si>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</si>
  <si>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</si>
  <si>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</si>
  <si>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</si>
  <si>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</si>
  <si>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</si>
  <si>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</si>
  <si>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</si>
  <si>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</si>
  <si>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</si>
  <si>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</si>
  <si>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</si>
  <si>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</si>
  <si>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</si>
  <si>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</si>
  <si>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</si>
  <si>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</si>
  <si>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</si>
  <si>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</si>
  <si>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</si>
  <si>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</si>
  <si>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</si>
  <si>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</si>
  <si>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</si>
  <si>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</si>
  <si>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</si>
  <si>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</si>
  <si>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</si>
  <si>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</si>
  <si>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</si>
  <si>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</si>
  <si>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</si>
  <si>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</si>
  <si>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</si>
  <si>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</si>
  <si>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</si>
  <si>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</si>
  <si>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</si>
  <si>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</si>
  <si>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</si>
  <si>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</si>
  <si>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</si>
  <si>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</si>
  <si>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</si>
  <si>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</si>
  <si>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</si>
  <si>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</si>
  <si>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</si>
  <si>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</si>
  <si>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</si>
  <si>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</si>
  <si>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</si>
  <si>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</si>
  <si>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</si>
  <si>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</si>
  <si>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</si>
  <si>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</si>
  <si>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</si>
  <si>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</si>
  <si>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</si>
  <si>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</si>
  <si>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</si>
  <si>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</si>
  <si>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</si>
  <si>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</si>
  <si>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</si>
  <si>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</si>
  <si>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</si>
  <si>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</si>
  <si>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</si>
  <si>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</si>
  <si>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</si>
  <si>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</si>
  <si>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</si>
  <si>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</si>
  <si>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</si>
  <si>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</si>
  <si>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</si>
  <si>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</si>
  <si>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</si>
  <si>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</si>
  <si>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</si>
  <si>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</si>
  <si>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</si>
  <si>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</si>
  <si>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</si>
  <si>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</si>
  <si>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</si>
  <si>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</si>
  <si>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</si>
  <si>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</si>
  <si>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</si>
  <si>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</si>
  <si>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</si>
  <si>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</si>
  <si>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</si>
  <si>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</si>
  <si>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</si>
  <si>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</si>
  <si>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</si>
  <si>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</si>
  <si>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</si>
  <si>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</si>
  <si>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</si>
  <si>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</si>
  <si>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</si>
  <si>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</si>
  <si>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</si>
  <si>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</si>
  <si>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</si>
  <si>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</si>
  <si>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</si>
  <si>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</si>
  <si>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</si>
  <si>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</si>
  <si>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</si>
  <si>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</si>
  <si>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</si>
  <si>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</si>
  <si>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</si>
  <si>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</si>
  <si>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</si>
  <si>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</si>
  <si>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</si>
  <si>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</si>
  <si>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</si>
  <si>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</si>
  <si>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</si>
  <si>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</si>
  <si>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</si>
  <si>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</si>
  <si>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</si>
  <si>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</si>
  <si>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</si>
  <si>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</si>
  <si>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</si>
  <si>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</si>
  <si>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</si>
  <si>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</si>
  <si>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</si>
  <si>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</si>
  <si>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</si>
  <si>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</si>
  <si>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</si>
  <si>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</si>
  <si>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</si>
  <si>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</si>
  <si>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</si>
  <si>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</si>
  <si>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</si>
  <si>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</si>
  <si>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</si>
  <si>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</si>
  <si>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</si>
  <si>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</si>
  <si>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</si>
  <si>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</si>
  <si>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</si>
  <si>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</si>
  <si>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</si>
  <si>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</si>
  <si>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</si>
  <si>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</si>
  <si>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</si>
  <si>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</si>
  <si>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</si>
  <si>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</si>
  <si>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</si>
  <si>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</si>
  <si>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</si>
  <si>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</si>
  <si>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</si>
  <si>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</si>
  <si>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</si>
  <si>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</si>
  <si>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</si>
  <si>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</si>
  <si>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</si>
  <si>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</si>
  <si>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</si>
  <si>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</si>
  <si>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</si>
  <si>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</si>
  <si>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</si>
  <si>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</si>
  <si>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</si>
  <si>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</si>
  <si>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</si>
  <si>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</si>
  <si>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</si>
  <si>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</si>
  <si>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</si>
  <si>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</si>
  <si>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</si>
  <si>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</si>
  <si>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</si>
  <si>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</si>
  <si>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</si>
  <si>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</si>
  <si>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</si>
  <si>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</si>
  <si>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</si>
  <si>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</si>
  <si>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</si>
  <si>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</si>
  <si>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</si>
  <si>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</si>
  <si>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</si>
  <si>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</si>
  <si>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</si>
  <si>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</si>
  <si>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</si>
  <si>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</si>
  <si>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</si>
  <si>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</si>
  <si>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</si>
  <si>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</si>
  <si>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</si>
  <si>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</si>
  <si>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</si>
  <si>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</si>
  <si>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</si>
  <si>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</si>
  <si>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</si>
  <si>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</si>
  <si>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</si>
  <si>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</si>
  <si>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</si>
  <si>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</si>
  <si>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</si>
  <si>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</si>
  <si>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</si>
  <si>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</si>
  <si>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</si>
  <si>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</si>
  <si>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</si>
  <si>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</si>
  <si>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</si>
  <si>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</si>
  <si>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</si>
  <si>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</si>
  <si>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</si>
  <si>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</si>
  <si>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</si>
  <si>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</si>
  <si>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</si>
  <si>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</si>
  <si>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</si>
  <si>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</si>
  <si>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</si>
  <si>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</si>
  <si>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</si>
  <si>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</si>
  <si>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</si>
  <si>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</si>
  <si>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</si>
  <si>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</si>
  <si>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</si>
  <si>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</si>
  <si>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</si>
  <si>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</si>
  <si>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</si>
  <si>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</si>
  <si>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</si>
  <si>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</si>
  <si>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</si>
  <si>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</si>
  <si>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</si>
  <si>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</si>
  <si>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</si>
  <si>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</si>
  <si>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</si>
  <si>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</si>
  <si>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</si>
  <si>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</si>
  <si>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</si>
  <si>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</si>
  <si>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</si>
  <si>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</si>
  <si>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</si>
  <si>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</si>
  <si>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</si>
  <si>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</si>
  <si>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</si>
  <si>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</si>
  <si>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</si>
  <si>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</si>
  <si>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</si>
  <si>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</si>
  <si>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</si>
  <si>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</si>
  <si>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</si>
  <si>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</si>
  <si>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</si>
  <si>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</si>
  <si>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</si>
  <si>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</si>
  <si>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</si>
  <si>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</si>
  <si>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</si>
  <si>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</si>
  <si>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</si>
  <si>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</si>
  <si>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</si>
  <si>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</si>
  <si>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</si>
  <si>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</si>
  <si>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</si>
  <si>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</si>
  <si>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</si>
  <si>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</si>
  <si>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</si>
  <si>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</si>
  <si>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</si>
  <si>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</si>
  <si>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</si>
  <si>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</si>
  <si>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</si>
  <si>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</si>
  <si>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</si>
  <si>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</si>
  <si>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</si>
  <si>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</si>
  <si>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</si>
  <si>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</si>
  <si>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</si>
  <si>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</si>
  <si>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</si>
  <si>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</si>
  <si>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</si>
  <si>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</si>
  <si>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</si>
  <si>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</si>
  <si>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</si>
  <si>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</si>
  <si>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</si>
  <si>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</si>
  <si>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</si>
  <si>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</si>
  <si>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</si>
  <si>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</si>
  <si>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</si>
  <si>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</si>
  <si>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</si>
  <si>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</si>
  <si>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</si>
  <si>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</si>
  <si>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</si>
  <si>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</si>
  <si>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</si>
  <si>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</si>
  <si>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</si>
  <si>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</si>
  <si>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</si>
  <si>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</si>
  <si>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</si>
  <si>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</si>
  <si>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</si>
  <si>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</si>
  <si>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</si>
  <si>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</si>
  <si>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</si>
  <si>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</si>
  <si>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</si>
  <si>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</si>
  <si>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</si>
  <si>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</si>
  <si>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</si>
  <si>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</si>
  <si>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</si>
  <si>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</si>
  <si>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</si>
  <si>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</si>
  <si>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</si>
  <si>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</si>
  <si>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</si>
  <si>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</si>
  <si>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</si>
  <si>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</si>
  <si>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</si>
  <si>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</si>
  <si>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</si>
  <si>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</si>
  <si>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</si>
  <si>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</si>
  <si>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</si>
  <si>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</si>
  <si>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</si>
  <si>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</si>
  <si>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</si>
  <si>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</si>
  <si>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</si>
  <si>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</si>
  <si>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</si>
  <si>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</si>
  <si>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</si>
  <si>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</si>
  <si>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</si>
  <si>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</si>
  <si>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</si>
  <si>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</si>
  <si>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</si>
  <si>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</si>
  <si>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</si>
  <si>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</si>
  <si>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</si>
  <si>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</si>
  <si>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</si>
  <si>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</si>
  <si>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</si>
  <si>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</si>
  <si>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</si>
  <si>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</si>
  <si>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</si>
  <si>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</si>
  <si>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</si>
  <si>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</si>
  <si>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</si>
  <si>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</si>
  <si>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</si>
  <si>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</si>
  <si>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</si>
  <si>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</si>
  <si>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</si>
  <si>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</si>
  <si>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</si>
  <si>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</si>
  <si>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</si>
  <si>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</si>
  <si>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</si>
  <si>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</si>
  <si>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</si>
  <si>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</si>
  <si>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</si>
  <si>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</si>
  <si>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</si>
  <si>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</si>
  <si>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</si>
  <si>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</si>
  <si>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</si>
  <si>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</si>
  <si>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</si>
  <si>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</si>
  <si>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</si>
  <si>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</si>
  <si>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</si>
  <si>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</si>
  <si>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</si>
  <si>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</si>
  <si>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</si>
  <si>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</si>
  <si>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</si>
  <si>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</si>
  <si>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</si>
  <si>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</si>
  <si>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</si>
  <si>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</si>
  <si>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</si>
  <si>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</si>
  <si>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</si>
  <si>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</si>
  <si>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</si>
  <si>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</si>
  <si>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</si>
  <si>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</si>
  <si>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</si>
  <si>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</si>
  <si>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</si>
  <si>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</si>
  <si>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</si>
  <si>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</si>
  <si>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</si>
  <si>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</si>
  <si>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</si>
  <si>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</si>
  <si>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</si>
  <si>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</si>
  <si>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</si>
  <si>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</si>
  <si>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</si>
  <si>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</si>
  <si>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</si>
  <si>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</si>
  <si>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</si>
  <si>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</si>
  <si>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</si>
  <si>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</si>
  <si>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</si>
  <si>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</si>
  <si>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</si>
  <si>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</si>
  <si>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</si>
  <si>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</si>
  <si>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</si>
  <si>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</si>
  <si>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</si>
  <si>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</si>
  <si>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</si>
  <si>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</si>
  <si>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</si>
  <si>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</si>
  <si>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</si>
  <si>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</si>
  <si>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</si>
  <si>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</si>
  <si>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</si>
  <si>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</si>
  <si>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</si>
  <si>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</si>
  <si>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</si>
  <si>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</si>
  <si>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</si>
  <si>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</si>
  <si>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</si>
  <si>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</si>
  <si>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</si>
  <si>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</si>
  <si>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</si>
  <si>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</si>
  <si>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</si>
  <si>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</si>
  <si>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</si>
  <si>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</si>
  <si>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</si>
  <si>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</si>
  <si>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</si>
  <si>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</si>
  <si>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</si>
  <si>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</si>
  <si>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</si>
  <si>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</si>
  <si>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</si>
  <si>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</si>
  <si>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</si>
  <si>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</si>
  <si>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</si>
  <si>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</si>
  <si>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</si>
  <si>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</si>
  <si>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</si>
  <si>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</si>
  <si>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</si>
  <si>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</si>
  <si>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</si>
  <si>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</si>
  <si>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</si>
  <si>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</si>
  <si>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</si>
  <si>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</si>
  <si>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</si>
  <si>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</si>
  <si>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</si>
  <si>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</si>
  <si>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</si>
  <si>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</si>
  <si>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</si>
  <si>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</si>
  <si>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</si>
  <si>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</si>
  <si>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</si>
  <si>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</si>
  <si>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</si>
  <si>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</si>
  <si>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</si>
  <si>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</si>
  <si>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</si>
  <si>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</si>
  <si>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</si>
  <si>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</si>
  <si>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</si>
  <si>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</si>
  <si>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</si>
  <si>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</si>
  <si>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</si>
  <si>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</si>
  <si>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</si>
  <si>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</si>
  <si>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</si>
  <si>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</si>
  <si>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</si>
  <si>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</si>
  <si>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</si>
  <si>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</si>
  <si>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</si>
  <si>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</si>
  <si>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</si>
  <si>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</si>
  <si>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</si>
  <si>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</si>
  <si>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</si>
  <si>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</si>
  <si>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</si>
  <si>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</si>
  <si>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</si>
  <si>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</si>
  <si>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</si>
  <si>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</si>
  <si>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</si>
  <si>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</si>
  <si>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</si>
  <si>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</si>
  <si>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</si>
  <si>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</si>
  <si>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</si>
  <si>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</si>
  <si>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</si>
  <si>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</si>
  <si>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</si>
  <si>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</si>
  <si>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</si>
  <si>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</si>
  <si>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</si>
  <si>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</si>
  <si>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</si>
  <si>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</si>
  <si>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</si>
  <si>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</si>
  <si>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</si>
  <si>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</si>
  <si>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</si>
  <si>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</si>
  <si>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</si>
  <si>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</si>
  <si>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</si>
  <si>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</si>
  <si>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</si>
  <si>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</si>
  <si>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</si>
  <si>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</si>
  <si>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</si>
  <si>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</si>
  <si>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</si>
  <si>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</si>
  <si>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</si>
  <si>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</si>
  <si>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</si>
  <si>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</si>
  <si>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</si>
  <si>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</si>
  <si>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</si>
  <si>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</si>
  <si>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</si>
  <si>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</si>
  <si>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</si>
  <si>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</si>
  <si>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</si>
  <si>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</si>
  <si>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</si>
  <si>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</si>
  <si>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</si>
  <si>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</si>
  <si>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</si>
  <si>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</si>
  <si>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</si>
  <si>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</si>
  <si>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</si>
  <si>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</si>
  <si>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</si>
  <si>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</si>
  <si>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</si>
  <si>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</si>
  <si>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</si>
  <si>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</si>
  <si>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</si>
  <si>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</si>
  <si>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</si>
  <si>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</si>
  <si>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</si>
  <si>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</si>
  <si>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</si>
  <si>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</si>
  <si>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</si>
  <si>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</si>
  <si>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</si>
  <si>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</si>
  <si>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</si>
  <si>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</si>
  <si>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</si>
  <si>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</si>
  <si>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</si>
  <si>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</si>
  <si>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</si>
  <si>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</si>
  <si>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</si>
  <si>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</si>
  <si>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</si>
  <si>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</si>
  <si>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</si>
  <si>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</si>
  <si>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</si>
  <si>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</si>
  <si>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</si>
  <si>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</si>
  <si>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</si>
  <si>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</si>
  <si>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</si>
  <si>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</si>
  <si>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</si>
  <si>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</si>
  <si>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</si>
  <si>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</si>
  <si>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</si>
  <si>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</si>
  <si>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</si>
  <si>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</si>
  <si>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</si>
  <si>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</si>
  <si>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</si>
  <si>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</si>
  <si>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</si>
  <si>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</si>
  <si>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</si>
  <si>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</si>
  <si>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</si>
  <si>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</si>
  <si>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</si>
  <si>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</si>
  <si>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</si>
  <si>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</si>
  <si>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</si>
  <si>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</si>
  <si>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</si>
  <si>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</si>
  <si>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</si>
  <si>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</si>
  <si>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</si>
  <si>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</si>
  <si>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</si>
  <si>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</si>
  <si>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</si>
  <si>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</si>
  <si>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</si>
  <si>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</si>
  <si>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</si>
  <si>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</si>
  <si>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</si>
  <si>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</si>
  <si>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</si>
  <si>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</si>
  <si>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</si>
  <si>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</si>
  <si>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</si>
  <si>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</si>
  <si>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</si>
  <si>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</si>
  <si>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</si>
  <si>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</si>
  <si>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</si>
  <si>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</si>
  <si>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</si>
  <si>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</si>
  <si>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</si>
  <si>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</si>
  <si>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</si>
  <si>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</si>
  <si>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</si>
  <si>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</si>
  <si>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</si>
  <si>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</si>
  <si>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</si>
  <si>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</si>
  <si>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</si>
  <si>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</si>
  <si>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</si>
  <si>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</si>
  <si>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</si>
  <si>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</si>
  <si>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</si>
  <si>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</si>
  <si>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</si>
  <si>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</si>
  <si>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</si>
  <si>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</si>
  <si>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</si>
  <si>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</si>
  <si>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</si>
  <si>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</si>
  <si>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</si>
  <si>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</si>
  <si>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</si>
  <si>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</si>
  <si>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</si>
  <si>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</si>
  <si>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</si>
  <si>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</si>
  <si>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</si>
  <si>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</si>
  <si>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</si>
  <si>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</si>
  <si>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</si>
  <si>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</si>
  <si>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</si>
  <si>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</si>
  <si>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</si>
  <si>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</si>
  <si>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</si>
  <si>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</si>
  <si>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</si>
  <si>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</si>
  <si>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</si>
  <si>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</si>
  <si>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</si>
  <si>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</si>
  <si>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</si>
  <si>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</si>
  <si>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</si>
  <si>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</si>
  <si>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</si>
  <si>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</si>
  <si>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</si>
  <si>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</si>
  <si>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</si>
  <si>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</si>
  <si>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</si>
  <si>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</si>
  <si>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</si>
  <si>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</si>
  <si>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</si>
  <si>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</si>
  <si>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</si>
  <si>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</si>
  <si>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</si>
  <si>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</si>
  <si>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</si>
  <si>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</si>
  <si>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</si>
  <si>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</si>
  <si>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</si>
  <si>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</si>
  <si>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</si>
  <si>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</si>
  <si>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</si>
  <si>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</si>
  <si>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</si>
  <si>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</si>
  <si>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</si>
  <si>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</si>
  <si>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</si>
  <si>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</si>
  <si>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</si>
  <si>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</si>
  <si>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</si>
  <si>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</si>
  <si>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</si>
  <si>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</si>
  <si>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</si>
  <si>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</si>
  <si>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</si>
  <si>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</si>
  <si>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</si>
  <si>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</si>
  <si>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</si>
  <si>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</si>
  <si>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</si>
  <si>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</si>
  <si>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</si>
  <si>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</si>
  <si>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</si>
  <si>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</si>
  <si>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</si>
  <si>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</si>
  <si>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</si>
  <si>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</si>
  <si>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</si>
  <si>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</si>
  <si>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</si>
  <si>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</si>
  <si>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</si>
  <si>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</si>
  <si>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</si>
  <si>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</si>
  <si>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</si>
  <si>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</si>
  <si>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</si>
  <si>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</si>
  <si>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</si>
  <si>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</si>
  <si>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</si>
  <si>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</si>
  <si>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</si>
  <si>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</si>
  <si>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</si>
  <si>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</si>
  <si>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</si>
  <si>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</si>
  <si>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</si>
  <si>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</si>
  <si>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</si>
  <si>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</si>
  <si>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</si>
  <si>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</si>
  <si>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</si>
  <si>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</si>
  <si>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</si>
  <si>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</si>
  <si>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</si>
  <si>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</si>
  <si>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</si>
  <si>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</si>
  <si>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</si>
  <si>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</si>
  <si>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</si>
  <si>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</si>
  <si>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</si>
  <si>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</si>
  <si>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</si>
  <si>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</si>
  <si>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</si>
  <si>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</si>
  <si>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</si>
  <si>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</si>
  <si>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</si>
  <si>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</si>
  <si>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</si>
  <si>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</si>
  <si>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</si>
  <si>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</si>
  <si>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</si>
  <si>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</si>
  <si>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</si>
  <si>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</si>
  <si>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</si>
  <si>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</si>
  <si>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</si>
  <si>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</si>
  <si>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</si>
  <si>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</si>
  <si>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</si>
  <si>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</si>
  <si>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</si>
  <si>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</si>
  <si>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</si>
  <si>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</si>
  <si>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</si>
  <si>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</si>
  <si>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</si>
  <si>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</si>
  <si>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</si>
  <si>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</si>
  <si>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</si>
  <si>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</si>
  <si>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</si>
  <si>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</si>
  <si>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</si>
  <si>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</si>
  <si>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</si>
  <si>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</si>
  <si>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</si>
  <si>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</si>
  <si>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</si>
  <si>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</si>
  <si>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</si>
  <si>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</si>
  <si>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</si>
  <si>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</si>
  <si>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</si>
  <si>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</si>
  <si>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</si>
  <si>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</si>
  <si>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</si>
  <si>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</si>
  <si>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</si>
  <si>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</si>
  <si>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</si>
  <si>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</si>
  <si>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</si>
  <si>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</si>
  <si>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</si>
  <si>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</si>
  <si>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</si>
  <si>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</si>
  <si>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</si>
  <si>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</si>
  <si>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</si>
  <si>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</si>
  <si>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</si>
  <si>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</si>
  <si>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</si>
  <si>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</si>
  <si>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</si>
  <si>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</si>
  <si>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</si>
  <si>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</si>
  <si>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</si>
  <si>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</si>
  <si>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</si>
  <si>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</si>
  <si>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</si>
  <si>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</si>
  <si>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</si>
  <si>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</si>
  <si>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</si>
  <si>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</si>
  <si>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</si>
  <si>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</si>
  <si>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</si>
  <si>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</si>
  <si>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</si>
  <si>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</si>
  <si>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</si>
  <si>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</si>
  <si>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</si>
  <si>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</si>
  <si>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</si>
  <si>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</si>
  <si>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</si>
  <si>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</si>
  <si>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</si>
  <si>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</si>
  <si>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</si>
  <si>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</si>
  <si>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</si>
  <si>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</si>
  <si>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</si>
  <si>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</si>
  <si>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</si>
  <si>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</si>
  <si>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</si>
  <si>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</si>
  <si>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</si>
  <si>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</si>
  <si>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</si>
  <si>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</si>
  <si>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</si>
  <si>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</si>
  <si>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</si>
  <si>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</si>
  <si>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</si>
  <si>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</si>
  <si>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</si>
  <si>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</si>
  <si>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</si>
  <si>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</si>
  <si>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</si>
  <si>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</si>
  <si>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</si>
  <si>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</si>
  <si>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</si>
  <si>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</si>
  <si>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</si>
  <si>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</si>
  <si>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</si>
  <si>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</si>
  <si>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</si>
  <si>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</si>
  <si>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</si>
  <si>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</si>
  <si>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</si>
  <si>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</si>
  <si>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</si>
  <si>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</si>
  <si>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</si>
  <si>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</si>
  <si>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</si>
  <si>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</si>
  <si>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</si>
  <si>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</si>
  <si>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</si>
  <si>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</si>
  <si>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</si>
  <si>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</si>
  <si>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</si>
  <si>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</si>
  <si>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</si>
  <si>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</si>
  <si>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</si>
  <si>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</si>
  <si>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</si>
  <si>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</si>
  <si>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</si>
  <si>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</si>
  <si>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</si>
  <si>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</si>
  <si>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</si>
  <si>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</si>
  <si>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</si>
  <si>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</si>
  <si>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</si>
  <si>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</si>
  <si>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</si>
  <si>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</si>
  <si>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</si>
  <si>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</si>
  <si>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</si>
  <si>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</si>
  <si>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</si>
  <si>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</si>
  <si>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</si>
  <si>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</si>
  <si>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</si>
  <si>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</si>
  <si>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</si>
  <si>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</si>
  <si>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</si>
  <si>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</si>
  <si>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</si>
  <si>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</si>
  <si>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</si>
  <si>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</si>
  <si>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</si>
  <si>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</si>
  <si>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</si>
  <si>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</si>
  <si>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</si>
  <si>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</si>
  <si>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</si>
  <si>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</si>
  <si>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</si>
  <si>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</si>
  <si>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</si>
  <si>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</si>
  <si>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</si>
  <si>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</si>
  <si>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</si>
  <si>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</si>
  <si>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</si>
  <si>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</si>
  <si>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</si>
  <si>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</si>
  <si>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</si>
  <si>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</si>
  <si>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</si>
  <si>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</si>
  <si>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</si>
  <si>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</si>
  <si>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</si>
  <si>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</si>
  <si>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</si>
  <si>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</si>
  <si>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</si>
  <si>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</si>
  <si>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</si>
  <si>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</si>
  <si>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</si>
  <si>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</si>
  <si>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</si>
  <si>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</si>
  <si>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</si>
  <si>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</si>
  <si>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</si>
  <si>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</si>
  <si>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</si>
  <si>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</si>
  <si>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</si>
  <si>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</si>
  <si>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</si>
  <si>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</si>
  <si>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</si>
  <si>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</si>
  <si>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</si>
  <si>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</si>
  <si>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</si>
  <si>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</si>
  <si>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</si>
  <si>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</si>
  <si>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</si>
  <si>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</si>
  <si>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</si>
  <si>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</si>
  <si>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</si>
  <si>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</si>
  <si>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</si>
  <si>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</si>
  <si>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</si>
  <si>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</si>
  <si>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</si>
  <si>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</si>
  <si>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</si>
  <si>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</si>
  <si>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</si>
  <si>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</si>
  <si>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</si>
  <si>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</si>
  <si>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</si>
  <si>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</si>
  <si>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</si>
  <si>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</si>
  <si>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</si>
  <si>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</si>
  <si>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</si>
  <si>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</si>
  <si>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</si>
  <si>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</si>
  <si>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</si>
  <si>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</si>
  <si>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</si>
  <si>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</si>
  <si>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</si>
  <si>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</si>
  <si>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</si>
  <si>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</si>
  <si>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</si>
  <si>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</si>
  <si>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</si>
  <si>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</si>
  <si>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</si>
  <si>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</si>
  <si>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</si>
  <si>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</si>
  <si>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</si>
  <si>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</si>
  <si>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</si>
  <si>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</si>
  <si>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</si>
  <si>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</si>
  <si>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</si>
  <si>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</si>
  <si>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</si>
  <si>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</si>
  <si>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</si>
  <si>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</si>
  <si>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</si>
  <si>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</si>
  <si>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</si>
  <si>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</si>
  <si>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</si>
  <si>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</si>
  <si>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</si>
  <si>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</si>
  <si>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</si>
  <si>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</si>
  <si>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</si>
  <si>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</si>
  <si>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</si>
  <si>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</si>
  <si>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</si>
  <si>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</si>
  <si>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</si>
  <si>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</si>
  <si>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</si>
  <si>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</si>
  <si>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</si>
  <si>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</si>
  <si>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</si>
  <si>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</si>
  <si>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</si>
  <si>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</si>
  <si>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</si>
  <si>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</si>
  <si>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</si>
  <si>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</si>
  <si>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</si>
  <si>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</si>
  <si>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</si>
  <si>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</si>
  <si>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</si>
  <si>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</si>
  <si>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</si>
  <si>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</si>
  <si>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</si>
  <si>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</si>
  <si>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</si>
  <si>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</si>
  <si>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</si>
  <si>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</si>
  <si>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</si>
  <si>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</si>
  <si>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</si>
  <si>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</si>
  <si>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</si>
  <si>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</si>
  <si>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</si>
  <si>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</si>
  <si>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</si>
  <si>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</si>
  <si>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</si>
  <si>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</si>
  <si>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</si>
  <si>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</si>
  <si>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</si>
  <si>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</si>
  <si>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</si>
  <si>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</si>
  <si>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</si>
  <si>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</si>
  <si>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</si>
  <si>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</si>
  <si>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</si>
  <si>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</si>
  <si>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</si>
  <si>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</si>
  <si>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</si>
  <si>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</si>
  <si>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</si>
  <si>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</si>
  <si>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</si>
  <si>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</si>
  <si>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</si>
  <si>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</si>
  <si>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</si>
  <si>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</si>
  <si>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</si>
  <si>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</si>
  <si>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</si>
  <si>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</si>
  <si>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</si>
  <si>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</si>
  <si>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</si>
  <si>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</si>
  <si>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</si>
  <si>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</si>
  <si>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</si>
  <si>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</si>
  <si>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</si>
  <si>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</si>
  <si>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</si>
  <si>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</si>
  <si>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</si>
  <si>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</si>
  <si>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</si>
  <si>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</si>
  <si>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</si>
  <si>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</si>
  <si>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</si>
  <si>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</si>
  <si>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</si>
  <si>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</si>
  <si>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</si>
  <si>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</si>
  <si>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</si>
  <si>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</si>
  <si>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</si>
  <si>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</si>
  <si>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</si>
  <si>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</si>
  <si>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</si>
  <si>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</si>
  <si>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</si>
  <si>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</si>
  <si>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</si>
  <si>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</si>
  <si>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</si>
  <si>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</si>
  <si>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</si>
  <si>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</si>
  <si>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</si>
  <si>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</si>
  <si>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</si>
  <si>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</si>
  <si>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</si>
  <si>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</si>
  <si>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</si>
  <si>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</si>
  <si>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</si>
  <si>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</si>
  <si>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</si>
  <si>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</si>
  <si>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</si>
  <si>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</si>
  <si>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</si>
  <si>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</si>
  <si>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</si>
  <si>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</si>
  <si>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</si>
  <si>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</si>
  <si>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</si>
  <si>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</si>
  <si>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</si>
  <si>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</si>
  <si>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</si>
  <si>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</si>
  <si>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</si>
  <si>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</si>
  <si>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</si>
  <si>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</si>
  <si>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</si>
  <si>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</si>
  <si>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</si>
  <si>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</si>
  <si>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</si>
  <si>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</si>
  <si>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</si>
  <si>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</si>
  <si>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</si>
  <si>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</si>
  <si>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</si>
  <si>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</si>
  <si>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</si>
  <si>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</si>
  <si>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</si>
  <si>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</si>
  <si>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</si>
  <si>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</si>
  <si>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</si>
  <si>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</si>
  <si>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</si>
  <si>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</si>
  <si>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</si>
  <si>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</si>
  <si>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</si>
  <si>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</si>
  <si>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</si>
  <si>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</si>
  <si>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</si>
  <si>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</si>
  <si>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</si>
  <si>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</si>
  <si>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</si>
  <si>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</si>
  <si>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</si>
  <si>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</si>
  <si>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</si>
  <si>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</si>
  <si>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</si>
  <si>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</si>
  <si>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</si>
  <si>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</si>
  <si>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</si>
  <si>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</si>
  <si>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</si>
  <si>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</si>
  <si>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</si>
  <si>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</si>
  <si>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</si>
  <si>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</si>
  <si>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</si>
  <si>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</si>
  <si>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</si>
  <si>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</si>
  <si>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</si>
  <si>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</si>
  <si>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</si>
  <si>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</si>
  <si>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</si>
  <si>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</si>
  <si>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</si>
  <si>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</si>
  <si>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</si>
  <si>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</si>
  <si>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</si>
  <si>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</si>
  <si>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</si>
  <si>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</si>
  <si>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</si>
  <si>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</si>
  <si>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</si>
  <si>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</si>
  <si>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</si>
  <si>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</si>
  <si>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</si>
  <si>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</si>
  <si>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</si>
  <si>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</si>
  <si>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</si>
  <si>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</si>
  <si>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</si>
  <si>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</si>
  <si>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</si>
  <si>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</si>
  <si>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</si>
  <si>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</si>
  <si>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</si>
  <si>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</si>
  <si>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</si>
  <si>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</si>
  <si>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</si>
  <si>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</si>
  <si>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</si>
  <si>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</si>
  <si>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</si>
  <si>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</si>
  <si>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</si>
  <si>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</si>
  <si>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</si>
  <si>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</si>
  <si>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</si>
  <si>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</si>
  <si>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</si>
  <si>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</si>
  <si>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</si>
  <si>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</si>
  <si>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</si>
  <si>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</si>
  <si>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</si>
  <si>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</si>
  <si>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</si>
  <si>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</si>
  <si>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</si>
  <si>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</si>
  <si>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</si>
  <si>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</si>
  <si>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</si>
  <si>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</si>
  <si>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</si>
  <si>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</si>
  <si>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</si>
  <si>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</si>
  <si>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</si>
  <si>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</si>
  <si>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</si>
  <si>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</si>
  <si>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</si>
  <si>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</si>
  <si>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</si>
  <si>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</si>
  <si>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</si>
  <si>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</si>
  <si>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</si>
  <si>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</si>
  <si>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</si>
  <si>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</si>
  <si>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</si>
  <si>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</si>
  <si>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</si>
  <si>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</si>
  <si>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</si>
  <si>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</si>
  <si>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</si>
  <si>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</si>
  <si>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</si>
  <si>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</si>
  <si>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</si>
  <si>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</si>
  <si>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</si>
  <si>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</si>
  <si>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</si>
  <si>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</si>
  <si>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</si>
  <si>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</si>
  <si>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</si>
  <si>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</si>
  <si>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</si>
  <si>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</si>
  <si>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</si>
  <si>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</si>
  <si>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</si>
  <si>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</si>
  <si>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</si>
  <si>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</si>
  <si>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</si>
  <si>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</si>
  <si>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</si>
  <si>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</si>
  <si>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</si>
  <si>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</si>
  <si>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</si>
  <si>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</si>
  <si>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</si>
  <si>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</si>
  <si>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</si>
  <si>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</si>
  <si>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</si>
  <si>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</si>
  <si>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</si>
  <si>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</si>
  <si>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</si>
  <si>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</si>
  <si>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</si>
  <si>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</si>
  <si>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</si>
  <si>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</si>
  <si>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</si>
  <si>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</si>
  <si>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</si>
  <si>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</si>
  <si>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</si>
  <si>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</si>
  <si>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</si>
  <si>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</si>
  <si>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</si>
  <si>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</si>
  <si>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</si>
  <si>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</si>
  <si>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</si>
  <si>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</si>
  <si>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</si>
  <si>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</si>
  <si>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</si>
  <si>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</si>
  <si>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</si>
  <si>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</si>
  <si>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</si>
  <si>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</si>
  <si>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</si>
  <si>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</si>
  <si>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</si>
  <si>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</si>
  <si>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</si>
  <si>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</si>
  <si>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</si>
  <si>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</si>
  <si>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</si>
  <si>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</si>
  <si>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</si>
  <si>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</si>
  <si>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</si>
  <si>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</si>
  <si>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</si>
  <si>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</si>
  <si>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</si>
  <si>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</si>
  <si>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</si>
  <si>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</si>
  <si>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</si>
  <si>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</si>
  <si>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</si>
  <si>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</si>
  <si>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</si>
  <si>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</si>
  <si>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</si>
  <si>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</si>
  <si>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</si>
  <si>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</si>
  <si>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</si>
  <si>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</si>
  <si>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</si>
  <si>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</si>
  <si>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</si>
  <si>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</si>
  <si>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</si>
  <si>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</si>
  <si>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</si>
  <si>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</si>
  <si>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</si>
  <si>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</si>
  <si>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</si>
  <si>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</si>
  <si>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</si>
  <si>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</si>
  <si>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</si>
  <si>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</si>
  <si>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</si>
  <si>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</si>
  <si>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</si>
  <si>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</si>
  <si>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</si>
  <si>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</si>
  <si>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</si>
  <si>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</si>
  <si>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</si>
  <si>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</si>
  <si>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</si>
  <si>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</si>
  <si>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</si>
  <si>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</si>
  <si>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</si>
  <si>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</si>
  <si>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</si>
  <si>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</si>
  <si>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</si>
  <si>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</si>
  <si>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</si>
  <si>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</si>
  <si>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</si>
  <si>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</si>
  <si>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</si>
  <si>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</si>
  <si>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</si>
  <si>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</si>
  <si>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</si>
  <si>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</si>
  <si>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</si>
  <si>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</si>
  <si>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</si>
  <si>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</si>
  <si>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</si>
  <si>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</si>
  <si>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</si>
  <si>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</si>
  <si>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</si>
  <si>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</si>
  <si>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</si>
  <si>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</si>
  <si>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</si>
  <si>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</si>
  <si>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</si>
  <si>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</si>
  <si>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</si>
  <si>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</si>
  <si>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</si>
  <si>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</si>
  <si>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</si>
  <si>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</si>
  <si>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</si>
  <si>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</si>
  <si>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</si>
  <si>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</si>
  <si>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</si>
  <si>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</si>
  <si>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</si>
  <si>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</si>
  <si>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</si>
  <si>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</si>
  <si>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</si>
  <si>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</si>
  <si>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</si>
  <si>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</si>
  <si>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</si>
  <si>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</si>
  <si>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</si>
  <si>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</si>
  <si>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</si>
  <si>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</si>
  <si>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</si>
  <si>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</si>
  <si>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</si>
  <si>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</si>
  <si>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</si>
  <si>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</si>
  <si>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</si>
  <si>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</si>
  <si>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</si>
  <si>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</si>
  <si>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</si>
  <si>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</si>
  <si>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</si>
  <si>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</si>
  <si>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</si>
  <si>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</si>
  <si>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</si>
  <si>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</si>
  <si>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</si>
  <si>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</si>
  <si>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</si>
  <si>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</si>
  <si>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</si>
  <si>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</si>
  <si>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</si>
  <si>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</si>
  <si>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</si>
  <si>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</si>
  <si>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</si>
  <si>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</si>
  <si>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</si>
  <si>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</si>
  <si>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</si>
  <si>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</si>
  <si>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</si>
  <si>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</si>
  <si>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</si>
  <si>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</si>
  <si>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</si>
  <si>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</si>
  <si>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</si>
  <si>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</si>
  <si>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</si>
  <si>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</si>
  <si>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</si>
  <si>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</si>
  <si>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</si>
  <si>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</si>
  <si>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</si>
  <si>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</si>
  <si>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</si>
  <si>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</si>
  <si>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</si>
  <si>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</si>
  <si>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</si>
  <si>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</si>
  <si>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</si>
  <si>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</si>
  <si>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</si>
  <si>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</si>
  <si>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</si>
  <si>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</si>
  <si>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</si>
  <si>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</si>
  <si>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</si>
  <si>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</si>
  <si>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</si>
  <si>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</si>
  <si>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</si>
  <si>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</si>
  <si>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</si>
  <si>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</si>
  <si>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</si>
  <si>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</si>
  <si>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</si>
  <si>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</si>
  <si>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</si>
  <si>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</si>
  <si>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</si>
  <si>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</si>
  <si>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</si>
  <si>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</si>
  <si>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</si>
  <si>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</si>
  <si>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</si>
  <si>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</si>
  <si>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</si>
  <si>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</si>
  <si>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</si>
  <si>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</si>
  <si>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</si>
  <si>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</si>
  <si>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</si>
  <si>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</si>
  <si>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</si>
  <si>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</si>
  <si>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</si>
  <si>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</si>
  <si>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</si>
  <si>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</si>
  <si>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</si>
  <si>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</si>
  <si>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</si>
  <si>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</si>
  <si>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</si>
  <si>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</si>
  <si>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</si>
  <si>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</si>
  <si>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</si>
  <si>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</si>
  <si>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</si>
  <si>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</si>
  <si>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</si>
  <si>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</si>
  <si>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</si>
  <si>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</si>
  <si>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</si>
  <si>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</si>
  <si>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</si>
  <si>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</si>
  <si>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</si>
  <si>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</si>
  <si>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</si>
  <si>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</si>
  <si>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</si>
  <si>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</si>
  <si>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</si>
  <si>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</si>
  <si>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</si>
  <si>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</si>
  <si>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</si>
  <si>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</si>
  <si>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</si>
  <si>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</si>
  <si>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</si>
  <si>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</si>
  <si>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</si>
  <si>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</si>
  <si>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</si>
  <si>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</si>
  <si>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</si>
  <si>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</si>
  <si>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</si>
  <si>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</si>
  <si>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</si>
  <si>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</si>
  <si>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</si>
  <si>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</si>
  <si>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</si>
  <si>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</si>
  <si>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</si>
  <si>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</si>
  <si>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</si>
  <si>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</si>
  <si>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</si>
  <si>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</si>
  <si>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</si>
  <si>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</si>
  <si>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</si>
  <si>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</si>
  <si>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</si>
  <si>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</si>
  <si>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</si>
  <si>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</si>
  <si>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</si>
  <si>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</si>
  <si>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</si>
  <si>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</si>
  <si>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</si>
  <si>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</si>
  <si>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</si>
  <si>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</si>
  <si>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</si>
  <si>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</si>
  <si>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</si>
  <si>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</si>
  <si>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</si>
  <si>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</si>
  <si>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</si>
  <si>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</si>
  <si>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</si>
  <si>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</si>
  <si>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</si>
  <si>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</si>
  <si>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</si>
  <si>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</si>
  <si>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</si>
  <si>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</si>
  <si>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</si>
  <si>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</si>
  <si>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</si>
  <si>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</si>
  <si>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</si>
  <si>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</si>
  <si>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</si>
  <si>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</si>
  <si>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</si>
  <si>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</si>
  <si>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</si>
  <si>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</si>
  <si>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</si>
  <si>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</si>
  <si>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</si>
  <si>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</si>
  <si>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</si>
  <si>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</si>
  <si>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</si>
  <si>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</si>
  <si>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</si>
  <si>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</si>
  <si>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</si>
  <si>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</si>
  <si>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</si>
  <si>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</si>
  <si>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</si>
  <si>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</si>
  <si>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</si>
  <si>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</si>
  <si>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</si>
  <si>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</si>
  <si>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</si>
  <si>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</si>
  <si>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</si>
  <si>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</si>
  <si>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</si>
  <si>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</si>
  <si>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</si>
  <si>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</si>
  <si>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</si>
  <si>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</si>
  <si>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</si>
  <si>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</si>
  <si>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</si>
  <si>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</si>
  <si>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</si>
  <si>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</si>
  <si>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</si>
  <si>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</si>
  <si>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</si>
  <si>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</si>
  <si>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</si>
  <si>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</si>
  <si>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</si>
  <si>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</si>
  <si>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</si>
  <si>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</si>
  <si>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</si>
  <si>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</si>
  <si>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</si>
  <si>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</si>
  <si>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</si>
  <si>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</si>
  <si>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</si>
  <si>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</si>
  <si>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</si>
  <si>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</si>
  <si>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</si>
  <si>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</si>
  <si>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</si>
  <si>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</si>
  <si>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</si>
  <si>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</si>
  <si>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</si>
  <si>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</si>
  <si>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</si>
  <si>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</si>
  <si>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</si>
  <si>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</si>
  <si>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</si>
  <si>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</si>
  <si>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</si>
  <si>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</si>
  <si>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</si>
  <si>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</si>
  <si>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</si>
  <si>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</si>
  <si>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</si>
  <si>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</si>
  <si>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</si>
  <si>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</si>
  <si>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</si>
  <si>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</si>
  <si>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</si>
  <si>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</si>
  <si>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</si>
  <si>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</si>
  <si>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</si>
  <si>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</si>
  <si>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</si>
  <si>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</si>
  <si>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</si>
  <si>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</si>
  <si>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</si>
  <si>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</si>
  <si>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</si>
  <si>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</si>
  <si>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</si>
  <si>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</si>
  <si>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</si>
  <si>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</si>
  <si>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</si>
  <si>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</si>
  <si>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</si>
  <si>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</si>
  <si>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</si>
  <si>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</si>
  <si>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</si>
  <si>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</si>
  <si>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</si>
  <si>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</si>
  <si>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</si>
  <si>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</si>
  <si>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</si>
  <si>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</si>
  <si>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</si>
  <si>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</si>
  <si>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</si>
  <si>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</si>
  <si>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</si>
  <si>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</si>
  <si>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</si>
  <si>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</si>
  <si>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</si>
  <si>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</si>
  <si>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</si>
  <si>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</si>
  <si>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</si>
  <si>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</si>
  <si>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</si>
  <si>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</si>
  <si>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</si>
  <si>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</si>
  <si>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</si>
  <si>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</si>
  <si>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</si>
  <si>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</si>
  <si>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</si>
  <si>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</si>
  <si>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</si>
  <si>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</si>
  <si>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</si>
  <si>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</si>
  <si>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</si>
  <si>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</si>
  <si>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</si>
  <si>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</si>
  <si>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</si>
  <si>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</si>
  <si>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</si>
  <si>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</si>
  <si>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</si>
  <si>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</si>
  <si>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</si>
  <si>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</si>
  <si>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</si>
  <si>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</si>
  <si>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</si>
  <si>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</si>
  <si>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</si>
  <si>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</si>
  <si>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</si>
  <si>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</si>
  <si>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</si>
  <si>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</si>
  <si>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</si>
  <si>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</si>
  <si>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</si>
  <si>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</si>
  <si>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</si>
  <si>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</si>
  <si>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</si>
  <si>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</si>
  <si>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</si>
  <si>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</si>
  <si>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</si>
  <si>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</si>
  <si>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</si>
  <si>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</si>
  <si>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</si>
  <si>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</si>
  <si>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</si>
  <si>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</si>
  <si>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</si>
  <si>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</si>
  <si>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</si>
  <si>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</si>
  <si>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</si>
  <si>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</si>
  <si>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</si>
  <si>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</si>
  <si>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</si>
  <si>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</si>
  <si>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</si>
  <si>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</si>
  <si>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</si>
  <si>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</si>
  <si>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</si>
  <si>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</si>
  <si>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</si>
  <si>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</si>
  <si>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</si>
  <si>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</si>
  <si>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</si>
  <si>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</si>
  <si>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</si>
  <si>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</si>
  <si>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</si>
  <si>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</si>
  <si>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</si>
  <si>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</si>
  <si>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</si>
  <si>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</si>
  <si>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</si>
  <si>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</si>
  <si>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</si>
  <si>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</si>
  <si>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</si>
  <si>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</si>
  <si>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</si>
  <si>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</si>
  <si>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</si>
  <si>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</si>
  <si>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</si>
  <si>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</si>
  <si>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</si>
  <si>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</si>
  <si>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</si>
  <si>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</si>
  <si>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</si>
  <si>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</si>
  <si>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</si>
  <si>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</si>
  <si>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</si>
  <si>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</si>
  <si>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</si>
  <si>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</si>
  <si>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</si>
  <si>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</si>
  <si>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</si>
  <si>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</si>
  <si>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</si>
  <si>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</si>
  <si>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</si>
  <si>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</si>
  <si>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</si>
  <si>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</si>
  <si>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</si>
  <si>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</si>
  <si>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</si>
  <si>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</si>
  <si>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</si>
  <si>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</si>
  <si>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</si>
  <si>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</si>
  <si>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</si>
  <si>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</si>
  <si>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</si>
  <si>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</si>
  <si>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</si>
  <si>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</si>
  <si>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</si>
  <si>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</si>
  <si>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</si>
  <si>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</si>
  <si>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</si>
  <si>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</si>
  <si>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</si>
  <si>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</si>
  <si>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</si>
  <si>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</si>
  <si>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</si>
  <si>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</si>
  <si>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</si>
  <si>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</si>
  <si>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</si>
  <si>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</si>
  <si>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</si>
  <si>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</si>
  <si>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</si>
  <si>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</si>
  <si>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</si>
  <si>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</si>
  <si>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</si>
  <si>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</si>
  <si>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</si>
  <si>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</si>
  <si>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</si>
  <si>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</si>
  <si>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</si>
  <si>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</si>
  <si>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</si>
  <si>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</si>
  <si>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</si>
  <si>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</si>
  <si>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</si>
  <si>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</si>
  <si>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</si>
  <si>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</si>
  <si>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</si>
  <si>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</si>
  <si>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</si>
  <si>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</si>
  <si>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</si>
  <si>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</si>
  <si>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</si>
  <si>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</si>
  <si>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</si>
  <si>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</si>
  <si>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</si>
  <si>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</si>
  <si>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</si>
  <si>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</si>
  <si>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</si>
  <si>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</si>
  <si>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</si>
  <si>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</si>
  <si>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</si>
  <si>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</si>
  <si>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</si>
  <si>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</si>
  <si>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</si>
  <si>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</si>
  <si>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</si>
  <si>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</si>
  <si>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</si>
  <si>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</si>
  <si>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</si>
  <si>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</si>
  <si>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</si>
  <si>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</si>
  <si>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</si>
  <si>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</si>
  <si>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</si>
  <si>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</si>
  <si>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</si>
  <si>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</si>
  <si>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</si>
  <si>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</si>
  <si>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</si>
  <si>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</si>
  <si>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</si>
  <si>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</si>
  <si>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</si>
  <si>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</si>
  <si>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</si>
  <si>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</si>
  <si>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</si>
  <si>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</si>
  <si>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</si>
  <si>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</si>
  <si>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</si>
  <si>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</si>
  <si>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</si>
  <si>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</si>
  <si>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</si>
  <si>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</si>
  <si>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</si>
  <si>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</si>
  <si>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</si>
  <si>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</si>
  <si>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</si>
  <si>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</si>
  <si>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</si>
  <si>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</si>
  <si>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</si>
  <si>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</si>
  <si>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</si>
  <si>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</si>
  <si>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</si>
  <si>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</si>
  <si>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</si>
  <si>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</si>
  <si>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</si>
  <si>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</si>
  <si>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</si>
  <si>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</si>
  <si>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</si>
  <si>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</si>
  <si>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</si>
  <si>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</si>
  <si>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</si>
  <si>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</si>
  <si>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</si>
  <si>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</si>
  <si>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</si>
  <si>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</si>
  <si>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</si>
  <si>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</si>
  <si>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</si>
  <si>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</si>
  <si>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</si>
  <si>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</si>
  <si>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</si>
  <si>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</si>
  <si>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</si>
  <si>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</si>
  <si>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</si>
  <si>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</si>
  <si>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</si>
  <si>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</si>
  <si>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</si>
  <si>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</si>
  <si>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</si>
  <si>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</si>
  <si>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</si>
  <si>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</si>
  <si>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</si>
  <si>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</si>
  <si>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</si>
  <si>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</si>
  <si>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</si>
  <si>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</si>
  <si>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</si>
  <si>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</si>
  <si>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</si>
  <si>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</si>
  <si>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</si>
  <si>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</si>
  <si>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</si>
  <si>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</si>
  <si>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</si>
  <si>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</si>
  <si>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</si>
  <si>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</si>
  <si>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</si>
  <si>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</si>
  <si>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</si>
  <si>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</si>
  <si>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</si>
  <si>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</si>
  <si>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</si>
  <si>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</si>
  <si>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</si>
  <si>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</si>
  <si>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</si>
  <si>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</si>
  <si>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</si>
  <si>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</si>
  <si>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</si>
  <si>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</si>
  <si>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</si>
  <si>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</si>
  <si>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</si>
  <si>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</si>
  <si>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</si>
  <si>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</si>
  <si>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</si>
  <si>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</si>
  <si>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</si>
  <si>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</si>
  <si>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</si>
  <si>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</si>
  <si>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</si>
  <si>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</si>
  <si>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</si>
  <si>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</si>
  <si>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</si>
  <si>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</si>
  <si>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</si>
  <si>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</si>
  <si>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</si>
  <si>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</si>
  <si>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</si>
  <si>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</si>
  <si>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</si>
  <si>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</si>
  <si>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</si>
  <si>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</si>
  <si>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</si>
  <si>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</si>
  <si>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</si>
  <si>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</si>
  <si>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</si>
  <si>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</si>
  <si>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</si>
  <si>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</si>
  <si>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</si>
  <si>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</si>
  <si>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</si>
  <si>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</si>
  <si>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</si>
  <si>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</si>
  <si>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</si>
  <si>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</si>
  <si>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</si>
  <si>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</si>
  <si>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</si>
  <si>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</si>
  <si>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</si>
  <si>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</si>
  <si>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</si>
  <si>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</si>
  <si>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</si>
  <si>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</si>
  <si>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</si>
  <si>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</si>
  <si>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</si>
  <si>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</si>
  <si>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</si>
  <si>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</si>
  <si>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</si>
  <si>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</si>
  <si>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</si>
  <si>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</si>
  <si>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</si>
  <si>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</si>
  <si>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</si>
  <si>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</si>
  <si>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</si>
  <si>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</si>
  <si>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</si>
  <si>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</si>
  <si>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</si>
  <si>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</si>
  <si>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</si>
  <si>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</si>
  <si>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</si>
  <si>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</si>
  <si>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</si>
  <si>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</si>
  <si>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</si>
  <si>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</si>
  <si>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</si>
  <si>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</si>
  <si>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</si>
  <si>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</si>
  <si>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</si>
  <si>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</si>
  <si>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</si>
  <si>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</si>
  <si>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</si>
  <si>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</si>
  <si>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</si>
  <si>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</si>
  <si>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</si>
  <si>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</si>
  <si>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</si>
  <si>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</si>
  <si>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</si>
  <si>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</si>
  <si>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</si>
  <si>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</si>
  <si>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</si>
  <si>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</si>
  <si>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</si>
  <si>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</si>
  <si>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</si>
  <si>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</si>
  <si>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</si>
  <si>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</si>
  <si>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</si>
  <si>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</si>
  <si>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</si>
  <si>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</si>
  <si>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</si>
  <si>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</si>
  <si>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</si>
  <si>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</si>
  <si>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</si>
  <si>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</si>
  <si>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</si>
  <si>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</si>
  <si>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</si>
  <si>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</si>
  <si>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</si>
  <si>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</si>
  <si>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</si>
  <si>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</si>
  <si>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</si>
  <si>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</si>
  <si>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</si>
  <si>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</si>
  <si>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</si>
  <si>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</si>
  <si>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</si>
  <si>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</si>
  <si>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</si>
  <si>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</si>
  <si>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</si>
  <si>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</si>
  <si>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</si>
  <si>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</si>
  <si>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</si>
  <si>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</si>
  <si>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</si>
  <si>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</si>
  <si>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</si>
  <si>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</si>
  <si>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</si>
  <si>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</si>
  <si>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</si>
  <si>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</si>
  <si>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</si>
  <si>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</si>
  <si>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</si>
  <si>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</si>
  <si>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</si>
  <si>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</si>
  <si>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</si>
  <si>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</si>
  <si>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</si>
  <si>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</si>
  <si>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</si>
  <si>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</si>
  <si>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</si>
  <si>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</si>
  <si>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</si>
  <si>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</si>
  <si>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</si>
  <si>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</si>
  <si>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</si>
  <si>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</si>
  <si>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</si>
  <si>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</si>
  <si>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</si>
  <si>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</si>
  <si>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</si>
  <si>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</si>
  <si>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</si>
  <si>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</si>
  <si>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</si>
  <si>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</si>
  <si>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</si>
  <si>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</si>
  <si>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</si>
  <si>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</si>
  <si>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</si>
  <si>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</si>
  <si>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</si>
  <si>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</si>
  <si>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</si>
  <si>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</si>
  <si>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</si>
  <si>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</si>
  <si>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</si>
  <si>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</si>
  <si>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</si>
  <si>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</si>
  <si>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</si>
  <si>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</si>
  <si>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</si>
  <si>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22,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</si>
</sst>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7154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6777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6523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6875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5680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6888</v>
      </c>
      <c r="F39" s="208" t="s">
        <v>6889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7124</v>
      </c>
    </row>
    <row r="88" spans="1:3" outlineLevel="1" x14ac:dyDescent="0.25">
      <c r="A88" s="198" t="s">
        <v>7110</v>
      </c>
      <c r="B88" s="186" t="s">
        <v>7109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6865</v>
      </c>
      <c r="B3" s="225" t="s">
        <v>6864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6863</v>
      </c>
      <c r="B11" s="225" t="s">
        <v>6862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6881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6880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6876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6879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6880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6866</v>
      </c>
      <c r="O4" s="180" t="s">
        <v>6867</v>
      </c>
      <c r="Q4" s="192"/>
      <c r="S4" s="161">
        <v>3</v>
      </c>
      <c r="T4" s="161"/>
      <c r="U4" s="161"/>
    </row>
    <row r="5" spans="1:21" x14ac:dyDescent="0.25">
      <c r="A5" t="s">
        <v>6890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6890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6866</v>
      </c>
      <c r="O13" s="180" t="s">
        <v>6867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6866</v>
      </c>
      <c r="O22" s="180" t="s">
        <v>6867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6866</v>
      </c>
      <c r="O31" s="180" t="s">
        <v>6867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6866</v>
      </c>
      <c r="O40" s="180" t="s">
        <v>6867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6866</v>
      </c>
      <c r="O49" s="180" t="s">
        <v>6867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6866</v>
      </c>
      <c r="O58" s="180" t="s">
        <v>6867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1"/>
  <sheetViews>
    <sheetView zoomScaleNormal="100" workbookViewId="0">
      <pane ySplit="1" topLeftCell="A2" activePane="bottomLeft" state="frozen"/>
      <selection pane="bottomLeft" activeCell="H8" sqref="H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11</v>
      </c>
      <c r="B26" t="s">
        <v>646</v>
      </c>
      <c r="C26" s="1">
        <v>5</v>
      </c>
      <c r="D26" t="s">
        <v>594</v>
      </c>
      <c r="E26" s="99">
        <v>0</v>
      </c>
      <c r="F26" s="99">
        <v>100</v>
      </c>
      <c r="G26" s="99">
        <v>500</v>
      </c>
      <c r="H26" s="99">
        <v>1500</v>
      </c>
      <c r="I26" s="99">
        <v>3000</v>
      </c>
      <c r="J26" s="1">
        <v>2</v>
      </c>
      <c r="K26" s="1">
        <v>0</v>
      </c>
    </row>
    <row r="27" spans="1:11" x14ac:dyDescent="0.25">
      <c r="A27" s="1">
        <v>1006</v>
      </c>
      <c r="B27" t="s">
        <v>664</v>
      </c>
      <c r="C27" s="1">
        <v>2</v>
      </c>
      <c r="D27" t="s">
        <v>622</v>
      </c>
      <c r="E27" s="99">
        <v>0</v>
      </c>
      <c r="F27" s="99">
        <v>100</v>
      </c>
      <c r="G27" s="99">
        <v>200</v>
      </c>
      <c r="H27" s="99">
        <v>350</v>
      </c>
      <c r="I27" s="99">
        <v>550</v>
      </c>
      <c r="J27" s="1">
        <v>1</v>
      </c>
      <c r="K27" s="1">
        <v>1</v>
      </c>
    </row>
    <row r="28" spans="1:11" x14ac:dyDescent="0.25">
      <c r="A28" s="1">
        <v>26</v>
      </c>
      <c r="B28" t="s">
        <v>659</v>
      </c>
      <c r="C28" s="1">
        <v>1</v>
      </c>
      <c r="D28" t="s">
        <v>611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1</v>
      </c>
      <c r="K28" s="1">
        <v>0</v>
      </c>
    </row>
    <row r="29" spans="1:11" x14ac:dyDescent="0.25">
      <c r="A29" s="1">
        <v>10</v>
      </c>
      <c r="B29" t="s">
        <v>645</v>
      </c>
      <c r="C29" s="1">
        <v>5</v>
      </c>
      <c r="D29" t="s">
        <v>593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2</v>
      </c>
      <c r="K29" s="1">
        <v>0</v>
      </c>
    </row>
    <row r="30" spans="1:11" x14ac:dyDescent="0.25">
      <c r="A30" s="1">
        <v>16</v>
      </c>
      <c r="B30" t="s">
        <v>651</v>
      </c>
      <c r="C30" s="1">
        <v>1</v>
      </c>
      <c r="D30" t="s">
        <v>600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13</v>
      </c>
      <c r="B31" t="s">
        <v>648</v>
      </c>
      <c r="C31" s="1">
        <v>6</v>
      </c>
      <c r="D31" t="s">
        <v>597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1001</v>
      </c>
      <c r="B32" t="s">
        <v>236</v>
      </c>
      <c r="C32" s="1">
        <v>4</v>
      </c>
      <c r="D32" t="s">
        <v>615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1005</v>
      </c>
      <c r="B33" t="s">
        <v>665</v>
      </c>
      <c r="C33" s="1">
        <v>2</v>
      </c>
      <c r="D33" t="s">
        <v>621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4</v>
      </c>
      <c r="B34" t="s">
        <v>639</v>
      </c>
      <c r="C34" s="1">
        <v>3</v>
      </c>
      <c r="D34" t="s">
        <v>587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7</v>
      </c>
      <c r="B35" t="s">
        <v>642</v>
      </c>
      <c r="C35" s="1">
        <v>4</v>
      </c>
      <c r="D35" t="s">
        <v>590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1004</v>
      </c>
      <c r="B36" t="s">
        <v>663</v>
      </c>
      <c r="C36" s="1">
        <v>6</v>
      </c>
      <c r="D36" t="s">
        <v>620</v>
      </c>
      <c r="E36" s="99">
        <v>0</v>
      </c>
      <c r="F36" s="99">
        <v>100</v>
      </c>
      <c r="G36" s="99">
        <v>200</v>
      </c>
      <c r="H36" s="99">
        <v>350</v>
      </c>
      <c r="I36" s="99">
        <v>550</v>
      </c>
      <c r="J36" s="1">
        <v>2</v>
      </c>
      <c r="K36" s="1">
        <v>1</v>
      </c>
    </row>
    <row r="37" spans="1:11" x14ac:dyDescent="0.25">
      <c r="A37" s="1">
        <v>6</v>
      </c>
      <c r="B37" t="s">
        <v>641</v>
      </c>
      <c r="C37" s="1">
        <v>3</v>
      </c>
      <c r="D37" t="s">
        <v>589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31</v>
      </c>
      <c r="B38" t="s">
        <v>5785</v>
      </c>
      <c r="C38" s="1">
        <v>6</v>
      </c>
      <c r="D38" t="s">
        <v>5784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0</v>
      </c>
    </row>
    <row r="39" spans="1:11" x14ac:dyDescent="0.25">
      <c r="A39" s="1">
        <v>25</v>
      </c>
      <c r="B39" t="s">
        <v>658</v>
      </c>
      <c r="C39" s="1">
        <v>3</v>
      </c>
      <c r="D39" t="s">
        <v>610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1</v>
      </c>
      <c r="B40" t="s">
        <v>647</v>
      </c>
      <c r="C40" s="1">
        <v>2</v>
      </c>
      <c r="D40" t="s">
        <v>584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30</v>
      </c>
      <c r="B41" t="s">
        <v>1724</v>
      </c>
      <c r="C41" s="1">
        <v>6</v>
      </c>
      <c r="D41" t="s">
        <v>1725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1</v>
      </c>
      <c r="K41" s="1">
        <v>1</v>
      </c>
    </row>
  </sheetData>
  <autoFilter ref="A1:K38" xr:uid="{E8DDA3D5-6745-4184-9D68-AAC802051D8B}">
    <sortState ref="A2:K41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6473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6617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31"/>
  <sheetViews>
    <sheetView topLeftCell="AC1" workbookViewId="0">
      <pane ySplit="1" topLeftCell="A310" activePane="bottomLeft" state="frozen"/>
      <selection activeCell="C23" sqref="C23"/>
      <selection pane="bottomLeft" activeCell="AG331" sqref="AG33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6780</v>
      </c>
      <c r="C300" t="s">
        <v>6781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6783</v>
      </c>
      <c r="C301" t="s">
        <v>6784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6785</v>
      </c>
      <c r="AJ301">
        <v>0</v>
      </c>
      <c r="AK301" s="1" t="s">
        <v>6786</v>
      </c>
      <c r="AL301" s="1" t="s">
        <v>6787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6788</v>
      </c>
      <c r="C302" t="s">
        <v>6789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6790</v>
      </c>
      <c r="AL302" s="1" t="s">
        <v>6791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6792</v>
      </c>
      <c r="C303" t="s">
        <v>6793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6794</v>
      </c>
      <c r="AJ303">
        <v>0</v>
      </c>
      <c r="AK303" s="1" t="s">
        <v>6795</v>
      </c>
      <c r="AL303" s="1" t="s">
        <v>6796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6797</v>
      </c>
      <c r="AS303">
        <v>0</v>
      </c>
      <c r="AT303" t="s">
        <v>6798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6809</v>
      </c>
      <c r="C304" t="s">
        <v>6810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6856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6814</v>
      </c>
      <c r="C305" t="s">
        <v>6815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6857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6817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6818</v>
      </c>
      <c r="C306" t="s">
        <v>6819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6858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6820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6821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6822</v>
      </c>
      <c r="C307" t="s">
        <v>6823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6859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6825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6826</v>
      </c>
      <c r="C308" t="s">
        <v>6827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6949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6830</v>
      </c>
      <c r="C309" t="s">
        <v>6831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6860</v>
      </c>
      <c r="AH309" s="1">
        <v>2580</v>
      </c>
      <c r="AI309" t="s">
        <v>6785</v>
      </c>
      <c r="AJ309">
        <v>0</v>
      </c>
      <c r="AK309" s="1" t="s">
        <v>329</v>
      </c>
      <c r="AL309" s="1" t="s">
        <v>6832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6834</v>
      </c>
      <c r="C310" t="s">
        <v>6835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6861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6838</v>
      </c>
      <c r="C311" t="s">
        <v>6839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6950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6840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6842</v>
      </c>
      <c r="C312" t="s">
        <v>6843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6951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6846</v>
      </c>
      <c r="C313" t="s">
        <v>6847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6952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6850</v>
      </c>
      <c r="C314" t="s">
        <v>6851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6852</v>
      </c>
      <c r="AL314" s="1" t="s">
        <v>6853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6854</v>
      </c>
      <c r="AS314">
        <v>0</v>
      </c>
      <c r="AT314" t="s">
        <v>6855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6882</v>
      </c>
      <c r="C315" t="s">
        <v>6883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6884</v>
      </c>
      <c r="AL315" s="1" t="s">
        <v>6885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6926</v>
      </c>
      <c r="C316" t="s">
        <v>6927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6920</v>
      </c>
      <c r="AH316" s="1">
        <v>3600</v>
      </c>
      <c r="AI316" t="s">
        <v>1851</v>
      </c>
      <c r="AJ316">
        <v>0</v>
      </c>
      <c r="AK316" s="1" t="s">
        <v>6928</v>
      </c>
      <c r="AL316" s="1" t="s">
        <v>6929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6930</v>
      </c>
      <c r="C317" t="s">
        <v>6931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6912</v>
      </c>
      <c r="AH317" s="1">
        <v>3600</v>
      </c>
      <c r="AI317" t="s">
        <v>1851</v>
      </c>
      <c r="AJ317">
        <v>0</v>
      </c>
      <c r="AK317" s="1" t="s">
        <v>6933</v>
      </c>
      <c r="AL317" s="1" t="s">
        <v>6934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6935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6945</v>
      </c>
      <c r="C318" t="s">
        <v>6946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6953</v>
      </c>
      <c r="C319" t="s">
        <v>6954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6955</v>
      </c>
      <c r="AL319" s="1" t="s">
        <v>6956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6957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6958</v>
      </c>
      <c r="C320" t="s">
        <v>6959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6960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6962</v>
      </c>
      <c r="AS320">
        <v>0</v>
      </c>
      <c r="AT320" t="s">
        <v>6963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6964</v>
      </c>
      <c r="C321" t="s">
        <v>6965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6966</v>
      </c>
      <c r="AL321" s="1" t="s">
        <v>6967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6968</v>
      </c>
      <c r="C322" t="s">
        <v>6969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6970</v>
      </c>
      <c r="AJ322">
        <v>0</v>
      </c>
      <c r="AK322" s="1" t="s">
        <v>6971</v>
      </c>
      <c r="AL322" s="1" t="s">
        <v>6972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6973</v>
      </c>
      <c r="C323" t="s">
        <v>6974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6975</v>
      </c>
      <c r="AL323" s="1" t="s">
        <v>6976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7071</v>
      </c>
      <c r="C324" t="s">
        <v>7072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7074</v>
      </c>
      <c r="AL324" s="1" t="s">
        <v>7075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7076</v>
      </c>
      <c r="C325" t="s">
        <v>7077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7030</v>
      </c>
      <c r="AH325" s="1">
        <v>2700</v>
      </c>
      <c r="AI325" t="s">
        <v>1851</v>
      </c>
      <c r="AJ325">
        <v>0</v>
      </c>
      <c r="AK325" s="1" t="s">
        <v>7078</v>
      </c>
      <c r="AL325" s="1" t="s">
        <v>7079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7080</v>
      </c>
      <c r="C326" t="s">
        <v>7081</v>
      </c>
      <c r="D326">
        <v>5</v>
      </c>
      <c r="E326">
        <v>2</v>
      </c>
      <c r="F326">
        <v>19</v>
      </c>
      <c r="G326" s="1" t="s">
        <v>390</v>
      </c>
      <c r="H326" s="1" t="s">
        <v>7082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6989</v>
      </c>
      <c r="AH326" s="1">
        <v>3600</v>
      </c>
      <c r="AI326" t="s">
        <v>1851</v>
      </c>
      <c r="AJ326">
        <v>0</v>
      </c>
      <c r="AK326" s="1" t="s">
        <v>7083</v>
      </c>
      <c r="AL326" s="1" t="s">
        <v>7084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7085</v>
      </c>
      <c r="C327" t="s">
        <v>7086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6999</v>
      </c>
      <c r="AH327" s="1">
        <v>3600</v>
      </c>
      <c r="AI327" t="s">
        <v>1851</v>
      </c>
      <c r="AJ327">
        <v>0</v>
      </c>
      <c r="AK327" s="1" t="s">
        <v>7087</v>
      </c>
      <c r="AL327" s="1" t="s">
        <v>7088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7089</v>
      </c>
      <c r="C328" t="s">
        <v>7090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7014</v>
      </c>
      <c r="AH328" s="1">
        <v>3060</v>
      </c>
      <c r="AI328" t="s">
        <v>1851</v>
      </c>
      <c r="AJ328">
        <v>0</v>
      </c>
      <c r="AK328" s="1" t="s">
        <v>7091</v>
      </c>
      <c r="AL328" s="1" t="s">
        <v>7092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7093</v>
      </c>
      <c r="C329" t="s">
        <v>7094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7023</v>
      </c>
      <c r="AH329" s="1">
        <v>3060</v>
      </c>
      <c r="AI329" t="s">
        <v>1851</v>
      </c>
      <c r="AJ329">
        <v>0</v>
      </c>
      <c r="AK329" s="1" t="s">
        <v>7095</v>
      </c>
      <c r="AL329" s="1" t="s">
        <v>7096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7097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7098</v>
      </c>
      <c r="C330" t="s">
        <v>7099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7038</v>
      </c>
      <c r="AH330" s="1">
        <v>3060</v>
      </c>
      <c r="AI330" t="s">
        <v>1851</v>
      </c>
      <c r="AJ330">
        <v>0</v>
      </c>
      <c r="AK330" s="1" t="s">
        <v>7100</v>
      </c>
      <c r="AL330" s="1" t="s">
        <v>7101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7102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7118</v>
      </c>
      <c r="C331" t="s">
        <v>7119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7120</v>
      </c>
      <c r="AJ331">
        <v>0</v>
      </c>
      <c r="AK331" s="1" t="s">
        <v>7121</v>
      </c>
      <c r="AL331" s="1" t="s">
        <v>7122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7123</v>
      </c>
      <c r="AU331">
        <v>10</v>
      </c>
      <c r="AV331">
        <v>18113</v>
      </c>
      <c r="AW331">
        <v>0</v>
      </c>
      <c r="AX33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89"/>
  <sheetViews>
    <sheetView workbookViewId="0">
      <pane ySplit="1" topLeftCell="A573" activePane="bottomLeft" state="frozen"/>
      <selection activeCell="C586" sqref="C586:C589"/>
      <selection pane="bottomLeft" activeCell="C586" sqref="C586:C589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6892</v>
      </c>
      <c r="C570" s="247" t="s">
        <v>6893</v>
      </c>
      <c r="D570" s="1" t="s">
        <v>6893</v>
      </c>
      <c r="E570" s="1" t="s">
        <v>329</v>
      </c>
      <c r="F570" s="1" t="s">
        <v>329</v>
      </c>
      <c r="G570" s="1" t="s">
        <v>6894</v>
      </c>
      <c r="H570" s="1" t="s">
        <v>6895</v>
      </c>
      <c r="I570" s="1" t="s">
        <v>6896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6897</v>
      </c>
      <c r="AK570" s="1" t="s">
        <v>6898</v>
      </c>
      <c r="AL570" s="1">
        <v>18</v>
      </c>
      <c r="AM570" s="1" t="s">
        <v>1814</v>
      </c>
      <c r="AN570" s="1" t="s">
        <v>6899</v>
      </c>
      <c r="AO570" s="1" t="s">
        <v>6900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6901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6902</v>
      </c>
      <c r="C571" s="247" t="s">
        <v>6903</v>
      </c>
      <c r="D571" s="1" t="s">
        <v>6903</v>
      </c>
      <c r="E571" s="1" t="s">
        <v>329</v>
      </c>
      <c r="F571" s="1" t="s">
        <v>329</v>
      </c>
      <c r="G571" s="1" t="s">
        <v>6904</v>
      </c>
      <c r="H571" s="1" t="s">
        <v>6905</v>
      </c>
      <c r="I571" s="1" t="s">
        <v>6906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6907</v>
      </c>
      <c r="AK571" s="1" t="s">
        <v>6908</v>
      </c>
      <c r="AL571" s="1">
        <v>14</v>
      </c>
      <c r="AM571" s="1" t="s">
        <v>1814</v>
      </c>
      <c r="AN571" s="1" t="s">
        <v>6909</v>
      </c>
      <c r="AO571" s="1" t="s">
        <v>6910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6911</v>
      </c>
      <c r="C572" s="247" t="s">
        <v>6912</v>
      </c>
      <c r="D572" s="1" t="s">
        <v>6913</v>
      </c>
      <c r="E572" s="1" t="s">
        <v>329</v>
      </c>
      <c r="F572" s="1" t="s">
        <v>329</v>
      </c>
      <c r="G572" s="1" t="s">
        <v>6914</v>
      </c>
      <c r="H572" s="1" t="s">
        <v>6915</v>
      </c>
      <c r="I572" s="1" t="s">
        <v>6916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6917</v>
      </c>
      <c r="AK572" s="1" t="s">
        <v>6918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6919</v>
      </c>
      <c r="C573" s="247" t="s">
        <v>6920</v>
      </c>
      <c r="D573" s="1" t="s">
        <v>6921</v>
      </c>
      <c r="E573" s="1" t="s">
        <v>329</v>
      </c>
      <c r="F573" s="1" t="s">
        <v>329</v>
      </c>
      <c r="G573" s="1" t="s">
        <v>6922</v>
      </c>
      <c r="H573" s="1" t="s">
        <v>6923</v>
      </c>
      <c r="I573" s="1" t="s">
        <v>6924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6925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6988</v>
      </c>
      <c r="C574" s="247" t="s">
        <v>6989</v>
      </c>
      <c r="D574" s="1" t="s">
        <v>6989</v>
      </c>
      <c r="E574" s="1" t="s">
        <v>329</v>
      </c>
      <c r="F574" s="1" t="s">
        <v>329</v>
      </c>
      <c r="G574" s="1" t="s">
        <v>6990</v>
      </c>
      <c r="H574" s="1" t="s">
        <v>6991</v>
      </c>
      <c r="I574" s="1" t="s">
        <v>6992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6993</v>
      </c>
      <c r="AK574" s="1" t="s">
        <v>6994</v>
      </c>
      <c r="AL574" s="1">
        <v>13</v>
      </c>
      <c r="AM574" s="1" t="s">
        <v>1814</v>
      </c>
      <c r="AN574" s="1" t="s">
        <v>6995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6996</v>
      </c>
      <c r="AX574" s="1" t="s">
        <v>6997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6998</v>
      </c>
      <c r="C575" s="247" t="s">
        <v>6999</v>
      </c>
      <c r="D575" s="1" t="s">
        <v>6999</v>
      </c>
      <c r="E575" s="1" t="s">
        <v>329</v>
      </c>
      <c r="F575" s="1" t="s">
        <v>329</v>
      </c>
      <c r="G575" s="1" t="s">
        <v>7000</v>
      </c>
      <c r="H575" s="1" t="s">
        <v>7001</v>
      </c>
      <c r="I575" s="1" t="s">
        <v>7002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7003</v>
      </c>
      <c r="AK575" s="1" t="s">
        <v>329</v>
      </c>
      <c r="AL575" s="1">
        <v>12</v>
      </c>
      <c r="AM575" s="1" t="s">
        <v>1814</v>
      </c>
      <c r="AN575" s="1" t="s">
        <v>7004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6996</v>
      </c>
      <c r="AX575" s="1" t="s">
        <v>6997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7006</v>
      </c>
      <c r="H576" s="1" t="s">
        <v>7007</v>
      </c>
      <c r="I576" s="1" t="s">
        <v>7008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7009</v>
      </c>
      <c r="AK576" s="1" t="s">
        <v>7010</v>
      </c>
      <c r="AL576" s="1">
        <v>18</v>
      </c>
      <c r="AM576" s="1" t="s">
        <v>1814</v>
      </c>
      <c r="AN576" s="1" t="s">
        <v>7011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6996</v>
      </c>
      <c r="AX576" s="1" t="s">
        <v>7012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7013</v>
      </c>
      <c r="C577" s="247" t="s">
        <v>7014</v>
      </c>
      <c r="D577" s="1" t="s">
        <v>7014</v>
      </c>
      <c r="E577" s="1" t="s">
        <v>329</v>
      </c>
      <c r="F577" s="1" t="s">
        <v>329</v>
      </c>
      <c r="G577" s="1" t="s">
        <v>7015</v>
      </c>
      <c r="H577" s="1" t="s">
        <v>7016</v>
      </c>
      <c r="I577" s="1" t="s">
        <v>7017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7018</v>
      </c>
      <c r="AK577" s="1" t="s">
        <v>7019</v>
      </c>
      <c r="AL577" s="1">
        <v>19</v>
      </c>
      <c r="AM577" s="1" t="s">
        <v>1814</v>
      </c>
      <c r="AN577" s="1" t="s">
        <v>7020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6996</v>
      </c>
      <c r="AX577" s="1" t="s">
        <v>7021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7022</v>
      </c>
      <c r="C578" s="247" t="s">
        <v>7023</v>
      </c>
      <c r="D578" s="1" t="s">
        <v>7023</v>
      </c>
      <c r="E578" s="1" t="s">
        <v>329</v>
      </c>
      <c r="F578" s="1" t="s">
        <v>329</v>
      </c>
      <c r="G578" s="1" t="s">
        <v>7024</v>
      </c>
      <c r="H578" s="1" t="s">
        <v>7025</v>
      </c>
      <c r="I578" s="1" t="s">
        <v>7026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7027</v>
      </c>
      <c r="AK578" s="1" t="s">
        <v>329</v>
      </c>
      <c r="AL578" s="1">
        <v>17</v>
      </c>
      <c r="AM578" s="1" t="s">
        <v>1814</v>
      </c>
      <c r="AN578" s="1" t="s">
        <v>7028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6996</v>
      </c>
      <c r="AX578" s="1" t="s">
        <v>7021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7029</v>
      </c>
      <c r="C579" s="247" t="s">
        <v>7030</v>
      </c>
      <c r="D579" s="1" t="s">
        <v>7030</v>
      </c>
      <c r="E579" s="1" t="s">
        <v>329</v>
      </c>
      <c r="F579" s="1" t="s">
        <v>329</v>
      </c>
      <c r="G579" s="1" t="s">
        <v>7031</v>
      </c>
      <c r="H579" s="1" t="s">
        <v>7032</v>
      </c>
      <c r="I579" s="1" t="s">
        <v>7033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7034</v>
      </c>
      <c r="AK579" s="1" t="s">
        <v>7035</v>
      </c>
      <c r="AL579" s="1">
        <v>14</v>
      </c>
      <c r="AM579" s="1" t="s">
        <v>1814</v>
      </c>
      <c r="AN579" s="1" t="s">
        <v>7036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6986</v>
      </c>
      <c r="AT579" s="1" t="s">
        <v>329</v>
      </c>
      <c r="AU579" s="1">
        <v>1040</v>
      </c>
      <c r="AV579" s="1">
        <v>1</v>
      </c>
      <c r="AW579" s="1" t="s">
        <v>6996</v>
      </c>
      <c r="AX579" s="1" t="s">
        <v>6997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7037</v>
      </c>
      <c r="C580" s="247" t="s">
        <v>7038</v>
      </c>
      <c r="D580" s="1" t="s">
        <v>7038</v>
      </c>
      <c r="E580" s="1" t="s">
        <v>329</v>
      </c>
      <c r="F580" s="1" t="s">
        <v>329</v>
      </c>
      <c r="G580" s="1" t="s">
        <v>7039</v>
      </c>
      <c r="H580" s="1" t="s">
        <v>7040</v>
      </c>
      <c r="I580" s="1" t="s">
        <v>7041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7042</v>
      </c>
      <c r="AK580" s="1" t="s">
        <v>329</v>
      </c>
      <c r="AL580" s="1">
        <v>8</v>
      </c>
      <c r="AM580" s="1" t="s">
        <v>1814</v>
      </c>
      <c r="AN580" s="1" t="s">
        <v>7043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6987</v>
      </c>
      <c r="AT580" s="1" t="s">
        <v>329</v>
      </c>
      <c r="AU580" s="1">
        <v>1041</v>
      </c>
      <c r="AV580" s="1">
        <v>1</v>
      </c>
      <c r="AW580" s="1" t="s">
        <v>6996</v>
      </c>
      <c r="AX580" s="1" t="s">
        <v>7012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7044</v>
      </c>
      <c r="C581" s="247" t="s">
        <v>7103</v>
      </c>
      <c r="D581" s="1" t="s">
        <v>7038</v>
      </c>
      <c r="E581" s="1" t="s">
        <v>329</v>
      </c>
      <c r="F581" s="1" t="s">
        <v>329</v>
      </c>
      <c r="G581" s="1" t="s">
        <v>7045</v>
      </c>
      <c r="H581" s="1" t="s">
        <v>7046</v>
      </c>
      <c r="I581" s="1" t="s">
        <v>7047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7048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7049</v>
      </c>
      <c r="C582" s="247" t="s">
        <v>7050</v>
      </c>
      <c r="D582" s="1" t="s">
        <v>7050</v>
      </c>
      <c r="E582" s="1" t="s">
        <v>329</v>
      </c>
      <c r="F582" s="1" t="s">
        <v>329</v>
      </c>
      <c r="G582" s="1" t="s">
        <v>7051</v>
      </c>
      <c r="H582" s="1" t="s">
        <v>7052</v>
      </c>
      <c r="I582" s="1" t="s">
        <v>7053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7054</v>
      </c>
      <c r="C583" s="247" t="s">
        <v>7104</v>
      </c>
      <c r="D583" s="1" t="s">
        <v>6989</v>
      </c>
      <c r="E583" s="1" t="s">
        <v>329</v>
      </c>
      <c r="F583" s="1" t="s">
        <v>329</v>
      </c>
      <c r="G583" s="1" t="s">
        <v>7055</v>
      </c>
      <c r="H583" s="1" t="s">
        <v>7056</v>
      </c>
      <c r="I583" s="1" t="s">
        <v>7057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7058</v>
      </c>
      <c r="AK583" s="1" t="s">
        <v>329</v>
      </c>
      <c r="AL583" s="1">
        <v>17</v>
      </c>
      <c r="AM583" s="1" t="s">
        <v>1814</v>
      </c>
      <c r="AN583" s="1" t="s">
        <v>7059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7060</v>
      </c>
      <c r="C584" s="247" t="s">
        <v>7105</v>
      </c>
      <c r="D584" s="1" t="s">
        <v>236</v>
      </c>
      <c r="E584" s="1" t="s">
        <v>329</v>
      </c>
      <c r="F584" s="1" t="s">
        <v>329</v>
      </c>
      <c r="G584" s="1" t="s">
        <v>7061</v>
      </c>
      <c r="H584" s="1" t="s">
        <v>7062</v>
      </c>
      <c r="I584" s="1" t="s">
        <v>7063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7064</v>
      </c>
      <c r="AK584" s="1" t="s">
        <v>329</v>
      </c>
      <c r="AL584" s="1">
        <v>19</v>
      </c>
      <c r="AM584" s="1" t="s">
        <v>1814</v>
      </c>
      <c r="AN584" s="1" t="s">
        <v>7065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7066</v>
      </c>
      <c r="C585" s="247" t="s">
        <v>7067</v>
      </c>
      <c r="D585" s="1" t="s">
        <v>7067</v>
      </c>
      <c r="E585" s="1" t="s">
        <v>329</v>
      </c>
      <c r="F585" s="1" t="s">
        <v>329</v>
      </c>
      <c r="G585" s="1" t="s">
        <v>7068</v>
      </c>
      <c r="H585" s="1" t="s">
        <v>7069</v>
      </c>
      <c r="I585" s="1" t="s">
        <v>7070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7125</v>
      </c>
      <c r="C586" s="247" t="s">
        <v>7126</v>
      </c>
      <c r="D586" s="1" t="s">
        <v>7126</v>
      </c>
      <c r="E586" s="1" t="s">
        <v>329</v>
      </c>
      <c r="F586" s="1" t="s">
        <v>329</v>
      </c>
      <c r="G586" s="1" t="s">
        <v>7127</v>
      </c>
      <c r="H586" s="1" t="s">
        <v>7128</v>
      </c>
      <c r="I586" s="1" t="s">
        <v>7129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7130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7131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7132</v>
      </c>
      <c r="C587" s="247" t="s">
        <v>7133</v>
      </c>
      <c r="D587" s="1" t="s">
        <v>7133</v>
      </c>
      <c r="E587" s="1" t="s">
        <v>329</v>
      </c>
      <c r="F587" s="1" t="s">
        <v>329</v>
      </c>
      <c r="G587" s="1" t="s">
        <v>7134</v>
      </c>
      <c r="H587" s="1" t="s">
        <v>7135</v>
      </c>
      <c r="I587" s="1" t="s">
        <v>7136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7137</v>
      </c>
      <c r="AK587" s="1" t="s">
        <v>7138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7131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7139</v>
      </c>
      <c r="C588" s="247" t="s">
        <v>7140</v>
      </c>
      <c r="D588" s="1" t="s">
        <v>7140</v>
      </c>
      <c r="E588" s="1" t="s">
        <v>329</v>
      </c>
      <c r="F588" s="1" t="s">
        <v>329</v>
      </c>
      <c r="G588" s="1" t="s">
        <v>7141</v>
      </c>
      <c r="H588" s="1" t="s">
        <v>7142</v>
      </c>
      <c r="I588" s="1" t="s">
        <v>7143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7144</v>
      </c>
      <c r="AK588" s="1" t="s">
        <v>329</v>
      </c>
      <c r="AL588" s="1">
        <v>17</v>
      </c>
      <c r="AM588" s="1" t="s">
        <v>4770</v>
      </c>
      <c r="AN588" s="1" t="s">
        <v>7145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7131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7146</v>
      </c>
      <c r="C589" s="247" t="s">
        <v>7147</v>
      </c>
      <c r="D589" s="1" t="s">
        <v>7147</v>
      </c>
      <c r="E589" s="1" t="s">
        <v>329</v>
      </c>
      <c r="F589" s="1" t="s">
        <v>329</v>
      </c>
      <c r="G589" s="1" t="s">
        <v>7148</v>
      </c>
      <c r="H589" s="1" t="s">
        <v>7149</v>
      </c>
      <c r="I589" s="1" t="s">
        <v>7150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7151</v>
      </c>
      <c r="AK589" s="1" t="s">
        <v>7152</v>
      </c>
      <c r="AL589" s="1">
        <v>12</v>
      </c>
      <c r="AM589" s="1" t="s">
        <v>399</v>
      </c>
      <c r="AN589" s="1" t="s">
        <v>7153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7131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6800</v>
      </c>
      <c r="C11" t="s">
        <v>6801</v>
      </c>
      <c r="D11" t="s">
        <v>6801</v>
      </c>
      <c r="E11" t="s">
        <v>6802</v>
      </c>
      <c r="F11" t="s">
        <v>6799</v>
      </c>
      <c r="G11" t="s">
        <v>4493</v>
      </c>
      <c r="H11" t="s">
        <v>6803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6804</v>
      </c>
      <c r="X11" t="s">
        <v>6805</v>
      </c>
      <c r="Y11" t="s">
        <v>6806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6807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6936</v>
      </c>
      <c r="C19" t="s">
        <v>6937</v>
      </c>
      <c r="D19" t="s">
        <v>6937</v>
      </c>
      <c r="E19" t="s">
        <v>6938</v>
      </c>
      <c r="F19" t="s">
        <v>6799</v>
      </c>
      <c r="G19" t="s">
        <v>4493</v>
      </c>
      <c r="H19" t="s">
        <v>6939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6940</v>
      </c>
      <c r="X19" t="s">
        <v>6941</v>
      </c>
      <c r="Y19" t="s">
        <v>6942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6943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6977</v>
      </c>
      <c r="C23" t="s">
        <v>6978</v>
      </c>
      <c r="D23" t="s">
        <v>6978</v>
      </c>
      <c r="E23" t="s">
        <v>6979</v>
      </c>
      <c r="F23" t="s">
        <v>6799</v>
      </c>
      <c r="G23" t="s">
        <v>4493</v>
      </c>
      <c r="H23" t="s">
        <v>6980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6981</v>
      </c>
      <c r="X23" t="s">
        <v>6982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6983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6984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6866</v>
      </c>
      <c r="C4" t="s">
        <v>1088</v>
      </c>
    </row>
    <row r="5" spans="1:3" x14ac:dyDescent="0.25">
      <c r="A5" s="1">
        <v>1004</v>
      </c>
      <c r="B5" t="s">
        <v>6867</v>
      </c>
      <c r="C5" t="s">
        <v>1089</v>
      </c>
    </row>
    <row r="6" spans="1:3" x14ac:dyDescent="0.25">
      <c r="A6" s="1">
        <v>1005</v>
      </c>
      <c r="B6" t="s">
        <v>6868</v>
      </c>
      <c r="C6" t="s">
        <v>1090</v>
      </c>
    </row>
    <row r="7" spans="1:3" x14ac:dyDescent="0.25">
      <c r="A7" s="1">
        <v>2003</v>
      </c>
      <c r="B7" t="s">
        <v>6869</v>
      </c>
      <c r="C7" t="s">
        <v>1091</v>
      </c>
    </row>
    <row r="8" spans="1:3" x14ac:dyDescent="0.25">
      <c r="A8" s="1">
        <v>2004</v>
      </c>
      <c r="B8" t="s">
        <v>6870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6871</v>
      </c>
      <c r="C10" t="s">
        <v>1094</v>
      </c>
    </row>
    <row r="11" spans="1:3" x14ac:dyDescent="0.25">
      <c r="A11" s="1">
        <v>3003</v>
      </c>
      <c r="B11" t="s">
        <v>6872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6873</v>
      </c>
      <c r="C13" t="s">
        <v>1097</v>
      </c>
    </row>
    <row r="14" spans="1:3" x14ac:dyDescent="0.25">
      <c r="A14" s="1">
        <v>3006</v>
      </c>
      <c r="B14" t="s">
        <v>6874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7111</v>
      </c>
    </row>
    <row r="29" spans="1:11" x14ac:dyDescent="0.25">
      <c r="A29"/>
      <c r="B29" s="256" t="s">
        <v>7112</v>
      </c>
      <c r="C29" t="str">
        <f>SUBSTITUTE(SUBSTITUTE(C28,"building1",Main!B89),"spot1",Main!C89)</f>
        <v>"building_info": "{}",</v>
      </c>
      <c r="F29" s="9" t="s">
        <v>7115</v>
      </c>
    </row>
    <row r="30" spans="1:11" x14ac:dyDescent="0.25">
      <c r="A30"/>
      <c r="B30" s="256" t="s">
        <v>7113</v>
      </c>
      <c r="C30" t="str">
        <f>SUBSTITUTE(SUBSTITUTE(C29,"building2",Main!B90),"spot2",Main!C90)</f>
        <v>"building_info": "{}",</v>
      </c>
      <c r="F30" s="9" t="s">
        <v>7116</v>
      </c>
    </row>
    <row r="31" spans="1:11" x14ac:dyDescent="0.25">
      <c r="A31"/>
      <c r="B31" s="256" t="s">
        <v>7114</v>
      </c>
      <c r="C31" t="str">
        <f>SUBSTITUTE(SUBSTITUTE(C30,"building3",Main!B91),"spot3",Main!C91)</f>
        <v>"building_info": "{}",</v>
      </c>
      <c r="F31" s="9" t="s">
        <v>7117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2" activePane="bottomLeft" state="frozen"/>
      <selection activeCell="C586" sqref="C586:C589"/>
      <selection pane="bottomLeft" activeCell="C586" sqref="C586:C589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7133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6893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6522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6857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t="s">
        <v>6694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6858</v>
      </c>
      <c r="AV8" t="s">
        <v>210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6859</v>
      </c>
      <c r="AV9" t="s">
        <v>923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s="9" t="s">
        <v>106</v>
      </c>
      <c r="Z10" s="9" t="s">
        <v>205</v>
      </c>
      <c r="AD10" t="s">
        <v>5469</v>
      </c>
      <c r="AE10" s="9" t="s">
        <v>811</v>
      </c>
      <c r="AU10" t="s">
        <v>917</v>
      </c>
      <c r="AV10" t="s">
        <v>922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114</v>
      </c>
      <c r="Z11" s="9" t="s">
        <v>6484</v>
      </c>
      <c r="AD11" t="s">
        <v>4739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189</v>
      </c>
      <c r="Z12" s="9" t="s">
        <v>300</v>
      </c>
      <c r="AD12" s="9" t="s">
        <v>931</v>
      </c>
      <c r="AE12" t="s">
        <v>4730</v>
      </c>
      <c r="AL12" s="40"/>
      <c r="AU12" t="s">
        <v>6949</v>
      </c>
      <c r="AV12" t="s">
        <v>919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6999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6860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7126</v>
      </c>
      <c r="F14" s="9" t="s">
        <v>820</v>
      </c>
      <c r="G14" s="9"/>
      <c r="I14" s="9" t="s">
        <v>1617</v>
      </c>
      <c r="J14" s="9" t="s">
        <v>730</v>
      </c>
      <c r="K14" s="9" t="s">
        <v>804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111</v>
      </c>
      <c r="Z14" s="9" t="s">
        <v>126</v>
      </c>
      <c r="AD14" s="9" t="s">
        <v>1639</v>
      </c>
      <c r="AE14" s="9" t="s">
        <v>5640</v>
      </c>
      <c r="AL14" s="40"/>
      <c r="AM14" s="40"/>
      <c r="AU14" t="s">
        <v>6861</v>
      </c>
      <c r="AV14" t="s">
        <v>920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815</v>
      </c>
      <c r="G15" s="9"/>
      <c r="I15" s="9" t="s">
        <v>81</v>
      </c>
      <c r="J15" s="9" t="s">
        <v>6400</v>
      </c>
      <c r="K15" s="9" t="s">
        <v>1416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7014</v>
      </c>
      <c r="AZ15" s="1" t="str">
        <f t="shared" si="2"/>
        <v>ART556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t="s">
        <v>6655</v>
      </c>
      <c r="G16" s="9"/>
      <c r="I16" s="9" t="s">
        <v>828</v>
      </c>
      <c r="J16" s="9" t="s">
        <v>2143</v>
      </c>
      <c r="K16" s="9" t="s">
        <v>82</v>
      </c>
      <c r="N16" s="9" t="s">
        <v>130</v>
      </c>
      <c r="O16" s="9" t="s">
        <v>187</v>
      </c>
      <c r="P16" s="9" t="s">
        <v>7140</v>
      </c>
      <c r="S16" s="9" t="s">
        <v>167</v>
      </c>
      <c r="T16" s="9" t="s">
        <v>1169</v>
      </c>
      <c r="U16" s="9" t="s">
        <v>104</v>
      </c>
      <c r="Y16" s="9" t="s">
        <v>787</v>
      </c>
      <c r="Z16" s="9" t="s">
        <v>786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5754</v>
      </c>
      <c r="AZ16" s="1" t="str">
        <f t="shared" si="2"/>
        <v>AS ValMod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Ai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s="9" t="s">
        <v>121</v>
      </c>
      <c r="G17" s="9"/>
      <c r="I17" s="9" t="s">
        <v>1680</v>
      </c>
      <c r="J17" s="9" t="s">
        <v>1634</v>
      </c>
      <c r="K17" s="9" t="s">
        <v>190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1658</v>
      </c>
      <c r="Z17" s="9" t="s">
        <v>1669</v>
      </c>
      <c r="AD17" t="s">
        <v>6594</v>
      </c>
      <c r="AE17" s="9" t="s">
        <v>1641</v>
      </c>
      <c r="AU17" t="s">
        <v>927</v>
      </c>
      <c r="AV17" t="s">
        <v>708</v>
      </c>
      <c r="AZ17" s="1" t="str">
        <f t="shared" si="2"/>
        <v>AUG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AK15Mod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193</v>
      </c>
      <c r="G18" s="9"/>
      <c r="I18" s="9" t="s">
        <v>181</v>
      </c>
      <c r="J18" s="9" t="s">
        <v>226</v>
      </c>
      <c r="K18" s="9" t="s">
        <v>1652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Z18" s="9" t="s">
        <v>1684</v>
      </c>
      <c r="AD18" s="9" t="s">
        <v>1679</v>
      </c>
      <c r="AE18" s="255" t="s">
        <v>7038</v>
      </c>
      <c r="AU18" t="s">
        <v>916</v>
      </c>
      <c r="AV18" t="s">
        <v>709</v>
      </c>
      <c r="AZ18" s="1" t="str">
        <f t="shared" si="2"/>
        <v>FAL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AK47-1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131</v>
      </c>
      <c r="G19" s="9"/>
      <c r="I19" s="9" t="s">
        <v>156</v>
      </c>
      <c r="J19" s="9" t="s">
        <v>1618</v>
      </c>
      <c r="K19" s="9" t="s">
        <v>1659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834</v>
      </c>
      <c r="AE19" s="216" t="s">
        <v>3429</v>
      </c>
      <c r="AU19" t="s">
        <v>915</v>
      </c>
      <c r="AV19" t="s">
        <v>710</v>
      </c>
      <c r="AZ19" s="1" t="str">
        <f t="shared" si="2"/>
        <v>G11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AK47-2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197</v>
      </c>
      <c r="G20" s="9"/>
      <c r="I20" s="9" t="s">
        <v>1629</v>
      </c>
      <c r="J20" s="9" t="s">
        <v>1683</v>
      </c>
      <c r="K20" s="9" t="s">
        <v>1691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t="s">
        <v>1697</v>
      </c>
      <c r="AE20" s="216" t="s">
        <v>825</v>
      </c>
      <c r="AU20" t="s">
        <v>5678</v>
      </c>
      <c r="AV20" t="s">
        <v>231</v>
      </c>
      <c r="AZ20" s="1" t="str">
        <f t="shared" si="2"/>
        <v>G36Mod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AK47-3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1660</v>
      </c>
      <c r="G21" s="9"/>
      <c r="J21" s="9" t="s">
        <v>5783</v>
      </c>
      <c r="K21" s="9" t="s">
        <v>141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s="9" t="s">
        <v>7030</v>
      </c>
      <c r="AE21" t="s">
        <v>6575</v>
      </c>
      <c r="AU21" t="s">
        <v>5677</v>
      </c>
      <c r="AV21" t="s">
        <v>738</v>
      </c>
      <c r="AZ21" s="1" t="str">
        <f t="shared" si="2"/>
        <v>G41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Ak5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186</v>
      </c>
      <c r="J22" s="9" t="s">
        <v>799</v>
      </c>
      <c r="K22" s="9" t="s">
        <v>1709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1674</v>
      </c>
      <c r="AE22" s="9" t="s">
        <v>250</v>
      </c>
      <c r="AU22" t="s">
        <v>6856</v>
      </c>
      <c r="AV22" t="s">
        <v>162</v>
      </c>
      <c r="AZ22" s="1" t="str">
        <f t="shared" si="2"/>
        <v>Himeko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Alma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64</v>
      </c>
      <c r="J23" s="9" t="s">
        <v>144</v>
      </c>
      <c r="K23" s="9" t="s">
        <v>1735</v>
      </c>
      <c r="N23" s="9" t="s">
        <v>218</v>
      </c>
      <c r="O23" s="9" t="s">
        <v>800</v>
      </c>
      <c r="P23" t="s">
        <v>1400</v>
      </c>
      <c r="T23" s="9" t="s">
        <v>7147</v>
      </c>
      <c r="U23" s="9" t="s">
        <v>7023</v>
      </c>
      <c r="AE23" s="216" t="s">
        <v>734</v>
      </c>
      <c r="AU23" t="s">
        <v>6950</v>
      </c>
      <c r="AV23" t="s">
        <v>5738</v>
      </c>
      <c r="AZ23" s="1" t="str">
        <f t="shared" si="2"/>
        <v>HK416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Triela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Ameli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t="s">
        <v>5682</v>
      </c>
      <c r="J24" s="9" t="s">
        <v>829</v>
      </c>
      <c r="K24" s="9" t="s">
        <v>1633</v>
      </c>
      <c r="O24" s="9" t="s">
        <v>5707</v>
      </c>
      <c r="P24" s="9" t="s">
        <v>1661</v>
      </c>
      <c r="T24" s="9" t="s">
        <v>229</v>
      </c>
      <c r="U24" s="9" t="s">
        <v>188</v>
      </c>
      <c r="AQ24" s="9"/>
      <c r="AU24" t="s">
        <v>6951</v>
      </c>
      <c r="AV24" t="s">
        <v>252</v>
      </c>
      <c r="AZ24" s="1" t="str">
        <f t="shared" si="2"/>
        <v>Junko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>Type97SMod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AN94Mod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s="9" t="s">
        <v>267</v>
      </c>
      <c r="J25" s="9" t="s">
        <v>741</v>
      </c>
      <c r="K25" s="9" t="s">
        <v>5699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6952</v>
      </c>
      <c r="AV25" t="s">
        <v>1632</v>
      </c>
      <c r="AZ25" s="1" t="str">
        <f t="shared" si="2"/>
        <v>K11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Angelica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732</v>
      </c>
      <c r="J26" s="9" t="s">
        <v>24</v>
      </c>
      <c r="K26" s="9" t="s">
        <v>127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258</v>
      </c>
      <c r="AZ26" s="1" t="str">
        <f t="shared" si="2"/>
        <v>K2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ARX160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5499</v>
      </c>
      <c r="F27" s="9" t="s">
        <v>740</v>
      </c>
      <c r="J27" s="9" t="s">
        <v>23</v>
      </c>
      <c r="K27" s="9" t="s">
        <v>76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74</v>
      </c>
      <c r="AZ27" s="1" t="str">
        <f t="shared" si="2"/>
        <v>KH2002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 ValMod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6989</v>
      </c>
      <c r="J28" s="9" t="s">
        <v>123</v>
      </c>
      <c r="K28" s="9" t="s">
        <v>224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104</v>
      </c>
      <c r="AZ28" s="1" t="str">
        <f t="shared" si="2"/>
        <v>M4 SOPMOD IIMod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Astra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823</v>
      </c>
      <c r="J29" t="s">
        <v>5486</v>
      </c>
      <c r="K29" s="9" t="s">
        <v>265</v>
      </c>
      <c r="P29" s="9" t="s">
        <v>6912</v>
      </c>
      <c r="T29" s="9" t="s">
        <v>6774</v>
      </c>
      <c r="U29" s="9" t="s">
        <v>179</v>
      </c>
      <c r="AV29" t="s">
        <v>744</v>
      </c>
      <c r="AZ29" s="1" t="str">
        <f t="shared" si="2"/>
        <v>M4A1Mod</v>
      </c>
      <c r="BA29" s="1" t="str">
        <f t="shared" si="3"/>
        <v>Tae</v>
      </c>
      <c r="BB29" s="1" t="str">
        <f t="shared" si="4"/>
        <v/>
      </c>
      <c r="BC29" s="1" t="str">
        <f t="shared" si="5"/>
        <v>Tae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AUG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793</v>
      </c>
      <c r="K30" s="9" t="s">
        <v>264</v>
      </c>
      <c r="P30" s="9" t="s">
        <v>795</v>
      </c>
      <c r="T30" s="9" t="s">
        <v>180</v>
      </c>
      <c r="U30" t="s">
        <v>1403</v>
      </c>
      <c r="AV30" t="s">
        <v>746</v>
      </c>
      <c r="AZ30" s="1" t="str">
        <f t="shared" si="2"/>
        <v>MDR</v>
      </c>
      <c r="BA30" s="1" t="str">
        <f t="shared" si="3"/>
        <v>Theresa</v>
      </c>
      <c r="BB30" s="1" t="str">
        <f t="shared" si="4"/>
        <v/>
      </c>
      <c r="BC30" s="1" t="str">
        <f t="shared" si="5"/>
        <v>Theresa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BrenMod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836</v>
      </c>
      <c r="K31" s="9" t="s">
        <v>79</v>
      </c>
      <c r="P31" s="9" t="s">
        <v>737</v>
      </c>
      <c r="U31" s="9" t="s">
        <v>1631</v>
      </c>
      <c r="AV31" t="s">
        <v>748</v>
      </c>
      <c r="AZ31" s="1" t="str">
        <f t="shared" si="2"/>
        <v>Medusa</v>
      </c>
      <c r="BA31" s="1" t="str">
        <f t="shared" si="3"/>
        <v>Webley</v>
      </c>
      <c r="BB31" s="1" t="str">
        <f t="shared" si="4"/>
        <v/>
      </c>
      <c r="BC31" s="1" t="str">
        <f t="shared" si="5"/>
        <v>Webley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C96Mod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817</v>
      </c>
      <c r="P32" s="9" t="s">
        <v>814</v>
      </c>
      <c r="U32" t="s">
        <v>5716</v>
      </c>
      <c r="AV32" t="s">
        <v>747</v>
      </c>
      <c r="AZ32" s="1" t="str">
        <f t="shared" si="2"/>
        <v>OTs14</v>
      </c>
      <c r="BA32" s="1" t="str">
        <f t="shared" si="3"/>
        <v>Welrod MkII</v>
      </c>
      <c r="BB32" s="1" t="str">
        <f t="shared" si="4"/>
        <v/>
      </c>
      <c r="BC32" s="1" t="str">
        <f t="shared" si="5"/>
        <v>Welrod MkII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ClaesMeteorite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198</v>
      </c>
      <c r="P33" s="9" t="s">
        <v>1244</v>
      </c>
      <c r="U33" s="9" t="s">
        <v>791</v>
      </c>
      <c r="AV33" t="s">
        <v>749</v>
      </c>
      <c r="AZ33" s="1" t="str">
        <f t="shared" si="2"/>
        <v>QBZ191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ClaesSpectacles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1675</v>
      </c>
      <c r="U34" s="9" t="s">
        <v>230</v>
      </c>
      <c r="AV34" t="s">
        <v>718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ClaesWristwatch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152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Clear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736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CZ75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6920</v>
      </c>
      <c r="AV37" t="s">
        <v>1611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Dana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722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Defender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109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Dorothy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3186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DP28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827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EVO3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1190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F1Mod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719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F2000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711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Fail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125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FAMAS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1635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FG42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1424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Fiveseven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1643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FN49Mod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5745</v>
      </c>
      <c r="AV49" t="s">
        <v>1454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FP6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169</v>
      </c>
      <c r="AV50" t="s">
        <v>75</v>
      </c>
      <c r="AZ50" s="1" t="str">
        <f t="shared" si="2"/>
        <v>XM8Mod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G11Mod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1755</v>
      </c>
      <c r="AZ51" s="1" t="str">
        <f t="shared" si="2"/>
        <v>Zas M21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G17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1436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G36CMod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1434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G36Mod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735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94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G41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832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G43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1762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Galil 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Gepard M1Mod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1692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Grizzly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248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GSh18Mod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223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Henrietta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259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HK416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1726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HK416Mod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262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Honey Badger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IDWMod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1698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Ingram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192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Jashin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Jericho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759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JillAdelhyde1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760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JillAdelhyde2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757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JillBronsonExtract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JillFlanergide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JillKarmotrine1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761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JillKarmotrine2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842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JillKarmotrine3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7023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JillPowderedDelta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168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Junko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K2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6772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Kar98k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723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Kar98kmod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KS23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KSVKMod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Lee Enfield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6999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Lee Enfieldmod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Lily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86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LWMMGMod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 Garand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M14Mod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785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M16A1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725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M1895Mod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M1897Mod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105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M1911Mod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260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M1918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107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M1918Mod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89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M1919A4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1178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M21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M249SAW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M3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M37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M38Mod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256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M4 SOPMOD IIMod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716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M4A1Mod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812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M500Mod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185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M6 ASW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63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M82A1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263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M9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M950AMod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941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Makarov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MakarovMod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1403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MDR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Medusa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6484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MG3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300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MG3Mod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MG4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930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MG42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MG4Mod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1407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Micro UziMod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1185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Minos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806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Mk23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729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MondragonM1908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MosinNagant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1760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MosinNagantMod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1690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MP443Mod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730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MP446Mod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1416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MP5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1688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MP5Mod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131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NTW20Mod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6497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NZ75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1700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OBRMod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1701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Ots12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71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Ots44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197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69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P22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122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P38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190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P7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129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P90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1400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P99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Pekola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154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1691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PKP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1140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PP19Mod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PP2000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6476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PPK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908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PPKMod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5730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PPSh41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PPsh41Mod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186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PTRD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64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Px4 Storm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159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Python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1661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PzB39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230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QBU88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1761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RFB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249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Ribeyrolles1918Mod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931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Rico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826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RMB93Mod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110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RO635Mod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267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RPD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1641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SAAMod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7038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Saiga12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236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Saki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6912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Sakura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6920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SCAR-H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751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SCAR-L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732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SCW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750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Sei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745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Serdyukov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SIG510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116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Skorpion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Spectre M4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1633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Springfield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100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SR3MP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1689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 AR-15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ST AR15Mod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Stechkin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StechkinMod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Stella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726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STEN MkIIMod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127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Stg44Mod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6522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Suomi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SuomiMod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1687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Super SASSMod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92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SV98Mod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1619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SVD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181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SVT38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1244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T77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6989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TAC50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739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Tae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TAR21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250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Thompson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243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Triela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 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224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 56 RMod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239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 79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6775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Type03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136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Type56-1mod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118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Type63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741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Type64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834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Type64Mod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119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Type80Mod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839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Type88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6771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Type88Mod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712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Type92mod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734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Type95/97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731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Type97SMod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265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UMP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264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UMP45Mod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97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UMP9Mod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95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VM59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835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WA2000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932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Welrod MkIIMod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5745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XM3Mod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1697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XM8Mod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7030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Yurine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Yuugiri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E2:E27">
    <sortCondition ref="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823DF-EA9F-4D3E-BBCF-269C6315C2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2023-03-22T15:06:54Z</dcterms:modified>
</cp:coreProperties>
</file>