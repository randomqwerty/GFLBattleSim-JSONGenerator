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314B152B-82FD-4C98-8847-1E8C68884BF2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Main!$E$9</definedName>
    <definedName name="gunScript">'Misc Inputs'!$C$50</definedName>
    <definedName name="HOCJSONPath">'Misc Inputs'!$C$38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6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<sst xmlns="http://schemas.openxmlformats.org/spreadsheetml/2006/main" count="23741" uniqueCount="7156">
  <si>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</si>
  <si>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</si>
  <si>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</si>
  <si>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</si>
  <si>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</si>
  <si>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</si>
  <si>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</si>
  <si>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</si>
  <si>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</si>
  <si>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</si>
  <si>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</si>
  <si>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</si>
  <si>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</si>
  <si>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</si>
  <si>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</si>
  <si>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</si>
  <si>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</si>
  <si>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</si>
  <si>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</si>
  <si>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</si>
  <si>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</si>
  <si>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</si>
  <si>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</si>
  <si>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</si>
  <si>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</si>
  <si>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</si>
  <si>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</si>
  <si>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</si>
  <si>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</si>
  <si>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</si>
  <si>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</si>
  <si>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</si>
  <si>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</si>
  <si>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</si>
  <si>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</si>
  <si>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</si>
  <si>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</si>
  <si>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</si>
  <si>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</si>
  <si>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</si>
  <si>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</si>
  <si>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</si>
  <si>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</si>
  <si>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</si>
  <si>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</si>
  <si>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</si>
  <si>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</si>
  <si>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</si>
  <si>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</si>
  <si>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</si>
  <si>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</si>
  <si>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</si>
  <si>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</si>
  <si>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</si>
  <si>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</si>
  <si>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</si>
  <si>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</si>
  <si>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</si>
  <si>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</si>
  <si>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</si>
  <si>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</si>
  <si>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</si>
  <si>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</si>
  <si>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</si>
  <si>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</si>
  <si>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</si>
  <si>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</si>
  <si>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</si>
  <si>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</si>
  <si>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</si>
  <si>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</si>
  <si>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</si>
  <si>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</si>
  <si>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</si>
  <si>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</si>
  <si>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</si>
  <si>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</si>
  <si>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</si>
  <si>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</si>
  <si>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</si>
  <si>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</si>
  <si>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</si>
  <si>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</si>
  <si>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</si>
  <si>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</si>
  <si>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</si>
  <si>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</si>
  <si>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</si>
  <si>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</si>
  <si>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</si>
  <si>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</si>
  <si>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</si>
  <si>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</si>
  <si>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</si>
  <si>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</si>
  <si>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</si>
  <si>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</si>
  <si>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</si>
  <si>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</si>
  <si>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</si>
  <si>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</si>
  <si>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</si>
  <si>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</si>
  <si>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</si>
  <si>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</si>
  <si>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</si>
  <si>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</si>
  <si>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</si>
  <si>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</si>
  <si>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</si>
  <si>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</si>
  <si>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</si>
  <si>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</si>
  <si>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</si>
  <si>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</si>
  <si>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</si>
  <si>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</si>
  <si>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</si>
  <si>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</si>
  <si>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</si>
  <si>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</si>
  <si>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</si>
  <si>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</si>
  <si>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</si>
  <si>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</si>
  <si>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</si>
  <si>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</si>
  <si>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</si>
  <si>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</si>
  <si>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</si>
  <si>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</si>
  <si>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</si>
  <si>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</si>
  <si>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</si>
  <si>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</si>
  <si>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</si>
  <si>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</si>
  <si>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</si>
  <si>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</si>
  <si>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</si>
  <si>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</si>
  <si>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</si>
  <si>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</si>
  <si>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</si>
  <si>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</si>
  <si>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</si>
  <si>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</si>
  <si>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</si>
  <si>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</si>
  <si>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</si>
  <si>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</si>
  <si>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</si>
  <si>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</si>
  <si>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</si>
  <si>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</si>
  <si>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</si>
  <si>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</si>
  <si>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</si>
  <si>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</si>
  <si>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</si>
  <si>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</si>
  <si>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</si>
  <si>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</si>
  <si>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</si>
  <si>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</si>
  <si>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</si>
  <si>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</si>
  <si>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</si>
  <si>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</si>
  <si>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</si>
  <si>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</si>
  <si>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</si>
  <si>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</si>
  <si>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</si>
  <si>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</si>
  <si>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</si>
  <si>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</si>
  <si>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</si>
  <si>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</si>
  <si>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</si>
  <si>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</si>
  <si>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</si>
  <si>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</si>
  <si>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</si>
  <si>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</si>
  <si>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</si>
  <si>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</si>
  <si>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</si>
  <si>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</si>
  <si>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</si>
  <si>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</si>
  <si>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</si>
  <si>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</si>
  <si>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</si>
  <si>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</si>
  <si>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</si>
  <si>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</si>
  <si>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</si>
  <si>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</si>
  <si>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</si>
  <si>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</si>
  <si>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</si>
  <si>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</si>
  <si>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</si>
  <si>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</si>
  <si>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</si>
  <si>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</si>
  <si>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</si>
  <si>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</si>
  <si>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</si>
  <si>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</si>
  <si>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</si>
  <si>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</si>
  <si>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</si>
  <si>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</si>
  <si>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</si>
  <si>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</si>
  <si>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</si>
  <si>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</si>
  <si>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</si>
  <si>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</si>
  <si>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</si>
  <si>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</si>
  <si>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</si>
  <si>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</si>
  <si>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</si>
  <si>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</si>
  <si>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</si>
  <si>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</si>
  <si>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</si>
  <si>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</si>
  <si>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</si>
  <si>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</si>
  <si>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</si>
  <si>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</si>
  <si>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</si>
  <si>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</si>
  <si>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</si>
  <si>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</si>
  <si>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</si>
  <si>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</si>
  <si>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</si>
  <si>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</si>
  <si>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</si>
  <si>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</si>
  <si>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</si>
  <si>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</si>
  <si>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</si>
  <si>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</si>
  <si>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</si>
  <si>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</si>
  <si>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</si>
  <si>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</si>
  <si>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</si>
  <si>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</si>
  <si>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</si>
  <si>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</si>
  <si>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</si>
  <si>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</si>
  <si>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</si>
  <si>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</si>
  <si>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</si>
  <si>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</si>
  <si>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</si>
  <si>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</si>
  <si>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</si>
  <si>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</si>
  <si>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</si>
  <si>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</si>
  <si>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</si>
  <si>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</si>
  <si>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</si>
  <si>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</si>
  <si>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</si>
  <si>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</si>
  <si>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</si>
  <si>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</si>
  <si>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</si>
  <si>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</si>
  <si>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</si>
  <si>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</si>
  <si>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</si>
  <si>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</si>
  <si>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</si>
  <si>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</si>
  <si>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</si>
  <si>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</si>
  <si>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</si>
  <si>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</si>
  <si>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</si>
  <si>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</si>
  <si>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</si>
  <si>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</si>
  <si>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</si>
  <si>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</si>
  <si>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</si>
  <si>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</si>
  <si>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</si>
  <si>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</si>
  <si>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</si>
  <si>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</si>
  <si>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</si>
  <si>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</si>
  <si>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</si>
  <si>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</si>
  <si>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</si>
  <si>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</si>
  <si>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</si>
  <si>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</si>
  <si>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</si>
  <si>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</si>
  <si>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</si>
  <si>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</si>
  <si>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</si>
  <si>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</si>
  <si>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</si>
  <si>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</si>
  <si>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</si>
  <si>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</si>
  <si>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</si>
  <si>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</si>
  <si>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</si>
  <si>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</si>
  <si>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</si>
  <si>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</si>
  <si>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</si>
  <si>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</si>
  <si>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</si>
  <si>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</si>
  <si>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</si>
  <si>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</si>
  <si>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</si>
  <si>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</si>
  <si>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</si>
  <si>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</si>
  <si>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</si>
  <si>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</si>
  <si>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</si>
  <si>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</si>
  <si>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</si>
  <si>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</si>
  <si>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</si>
  <si>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</si>
  <si>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</si>
  <si>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</si>
  <si>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</si>
  <si>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</si>
  <si>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</si>
  <si>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</si>
  <si>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</si>
  <si>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</si>
  <si>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</si>
  <si>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</si>
  <si>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</si>
  <si>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</si>
  <si>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</si>
  <si>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</si>
  <si>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</si>
  <si>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</si>
  <si>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</si>
  <si>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</si>
  <si>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</si>
  <si>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</si>
  <si>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</si>
  <si>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</si>
  <si>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</si>
  <si>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</si>
  <si>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</si>
  <si>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</si>
  <si>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</si>
  <si>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</si>
  <si>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</si>
  <si>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</si>
  <si>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</si>
  <si>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</si>
  <si>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</si>
  <si>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</si>
  <si>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</si>
  <si>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</si>
  <si>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</si>
  <si>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</si>
  <si>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</si>
  <si>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</si>
  <si>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</si>
  <si>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</si>
  <si>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</si>
  <si>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</si>
  <si>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</si>
  <si>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</si>
  <si>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</si>
  <si>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</si>
  <si>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</si>
  <si>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</si>
  <si>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</si>
  <si>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</si>
  <si>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</si>
  <si>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</si>
  <si>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</si>
  <si>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</si>
  <si>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</si>
  <si>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</si>
  <si>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</si>
  <si>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</si>
  <si>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</si>
  <si>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</si>
  <si>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</si>
  <si>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</si>
  <si>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</si>
  <si>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</si>
  <si>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</si>
  <si>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</si>
  <si>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</si>
  <si>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</si>
  <si>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</si>
  <si>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</si>
  <si>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</si>
  <si>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</si>
  <si>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</si>
  <si>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</si>
  <si>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</si>
  <si>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</si>
  <si>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</si>
  <si>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</si>
  <si>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</si>
  <si>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</si>
  <si>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</si>
  <si>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</si>
  <si>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</si>
  <si>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</si>
  <si>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</si>
  <si>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</si>
  <si>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</si>
  <si>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</si>
  <si>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</si>
  <si>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</si>
  <si>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</si>
  <si>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</si>
  <si>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</si>
  <si>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</si>
  <si>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</si>
  <si>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</si>
  <si>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</si>
  <si>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</si>
  <si>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</si>
  <si>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</si>
  <si>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</si>
  <si>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</si>
  <si>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</si>
  <si>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</si>
  <si>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</si>
  <si>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</si>
  <si>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</si>
  <si>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</si>
  <si>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</si>
  <si>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</si>
  <si>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</si>
  <si>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</si>
  <si>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</si>
  <si>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</si>
  <si>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</si>
  <si>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</si>
  <si>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</si>
  <si>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</si>
  <si>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</si>
  <si>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</si>
  <si>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</si>
  <si>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</si>
  <si>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</si>
  <si>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</si>
  <si>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</si>
  <si>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</si>
  <si>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</si>
  <si>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</si>
  <si>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</si>
  <si>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</si>
  <si>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</si>
  <si>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</si>
  <si>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</si>
  <si>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</si>
  <si>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</si>
  <si>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</si>
  <si>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</si>
  <si>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</si>
  <si>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</si>
  <si>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</si>
  <si>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</si>
  <si>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</si>
  <si>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</si>
  <si>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</si>
  <si>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</si>
  <si>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</si>
  <si>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</si>
  <si>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</si>
  <si>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</si>
  <si>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</si>
  <si>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</si>
  <si>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</si>
  <si>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</si>
  <si>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</si>
  <si>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</si>
  <si>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</si>
  <si>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</si>
  <si>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</si>
  <si>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</si>
  <si>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</si>
  <si>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</si>
  <si>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</si>
  <si>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</si>
  <si>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</si>
  <si>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</si>
  <si>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</si>
  <si>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</si>
  <si>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</si>
  <si>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</si>
  <si>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</si>
  <si>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</si>
  <si>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</si>
  <si>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</si>
  <si>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</si>
  <si>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</si>
  <si>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</si>
  <si>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</si>
  <si>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</si>
  <si>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</si>
  <si>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</si>
  <si>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</si>
  <si>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</si>
  <si>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</si>
  <si>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</si>
  <si>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</si>
  <si>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</si>
  <si>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</si>
  <si>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</si>
  <si>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</si>
  <si>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</si>
  <si>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</si>
  <si>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</si>
  <si>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</si>
  <si>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</si>
  <si>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</si>
  <si>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</si>
  <si>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</si>
  <si>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</si>
  <si>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</si>
  <si>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</si>
  <si>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</si>
  <si>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</si>
  <si>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</si>
  <si>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</si>
  <si>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</si>
  <si>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</si>
  <si>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</si>
  <si>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</si>
  <si>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</si>
  <si>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</si>
  <si>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</si>
  <si>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</si>
  <si>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</si>
  <si>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</si>
  <si>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</si>
  <si>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</si>
  <si>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</si>
  <si>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</si>
  <si>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</si>
  <si>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</si>
  <si>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</si>
  <si>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</si>
  <si>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</si>
  <si>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</si>
  <si>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</si>
  <si>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</si>
  <si>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</si>
  <si>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</si>
  <si>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</si>
  <si>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</si>
  <si>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</si>
  <si>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</si>
  <si>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</si>
  <si>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</si>
  <si>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</si>
  <si>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</si>
  <si>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</si>
  <si>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</si>
  <si>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</si>
  <si>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</si>
  <si>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</si>
  <si>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</si>
  <si>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</si>
  <si>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</si>
  <si>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</si>
  <si>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</si>
  <si>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</si>
  <si>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</si>
  <si>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</si>
  <si>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</si>
  <si>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</si>
  <si>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</si>
  <si>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</si>
  <si>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</si>
  <si>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</si>
  <si>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</si>
  <si>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</si>
  <si>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</si>
  <si>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</si>
  <si>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</si>
  <si>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</si>
  <si>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</si>
  <si>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</si>
  <si>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</si>
  <si>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</si>
  <si>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</si>
  <si>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</si>
  <si>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</si>
  <si>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</si>
  <si>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</si>
  <si>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</si>
  <si>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</si>
  <si>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</si>
  <si>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</si>
  <si>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</si>
  <si>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</si>
  <si>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</si>
  <si>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</si>
  <si>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</si>
  <si>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</si>
  <si>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</si>
  <si>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</si>
  <si>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</si>
  <si>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</si>
  <si>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</si>
  <si>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</si>
  <si>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</si>
  <si>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</si>
  <si>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</si>
  <si>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</si>
  <si>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</si>
  <si>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</si>
  <si>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</si>
  <si>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</si>
  <si>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</si>
  <si>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</si>
  <si>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</si>
  <si>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</si>
  <si>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</si>
  <si>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</si>
  <si>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</si>
  <si>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</si>
  <si>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</si>
  <si>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</si>
  <si>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</si>
  <si>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</si>
  <si>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</si>
  <si>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</si>
  <si>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</si>
  <si>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</si>
  <si>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</si>
  <si>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</si>
  <si>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</si>
  <si>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</si>
  <si>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</si>
  <si>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</si>
  <si>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</si>
  <si>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</si>
  <si>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</si>
  <si>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</si>
  <si>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</si>
  <si>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</si>
  <si>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</si>
  <si>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</si>
  <si>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</si>
  <si>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</si>
  <si>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</si>
  <si>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</si>
  <si>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</si>
  <si>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</si>
  <si>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</si>
  <si>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</si>
  <si>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</si>
  <si>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</si>
  <si>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</si>
  <si>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</si>
  <si>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</si>
  <si>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</si>
  <si>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</si>
  <si>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</si>
  <si>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</si>
  <si>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</si>
  <si>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</si>
  <si>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</si>
  <si>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</si>
  <si>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</si>
  <si>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</si>
  <si>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</si>
  <si>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</si>
  <si>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</si>
  <si>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</si>
  <si>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</si>
  <si>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</si>
  <si>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</si>
  <si>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</si>
  <si>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</si>
  <si>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</si>
  <si>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</si>
  <si>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</si>
  <si>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</si>
  <si>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</si>
  <si>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</si>
  <si>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</si>
  <si>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</si>
  <si>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</si>
  <si>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</si>
  <si>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</si>
  <si>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</si>
  <si>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</si>
  <si>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</si>
  <si>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</si>
  <si>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</si>
  <si>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</si>
  <si>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</si>
  <si>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</si>
  <si>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</si>
  <si>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</si>
  <si>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</si>
  <si>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</si>
  <si>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</si>
  <si>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</si>
  <si>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</si>
  <si>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</si>
  <si>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</si>
  <si>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</si>
  <si>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</si>
  <si>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</si>
  <si>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</si>
  <si>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</si>
  <si>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</si>
  <si>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</si>
  <si>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</si>
  <si>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</si>
  <si>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</si>
  <si>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</si>
  <si>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</si>
  <si>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</si>
  <si>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</si>
  <si>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</si>
  <si>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</si>
  <si>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</si>
  <si>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</si>
  <si>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</si>
  <si>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</si>
  <si>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</si>
  <si>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</si>
  <si>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</si>
  <si>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</si>
  <si>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</si>
  <si>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</si>
  <si>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</si>
  <si>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</si>
  <si>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</si>
  <si>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</si>
  <si>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</si>
  <si>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</si>
  <si>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</si>
  <si>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</si>
  <si>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</si>
  <si>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</si>
  <si>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</si>
  <si>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</si>
  <si>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</si>
  <si>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</si>
  <si>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</si>
  <si>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</si>
  <si>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</si>
  <si>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</si>
  <si>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</si>
  <si>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</si>
  <si>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</si>
  <si>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</si>
  <si>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</si>
  <si>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</si>
  <si>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</si>
  <si>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</si>
  <si>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</si>
  <si>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</si>
  <si>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</si>
  <si>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</si>
  <si>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</si>
  <si>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</si>
  <si>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</si>
  <si>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</si>
  <si>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</si>
  <si>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</si>
  <si>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</si>
  <si>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</si>
  <si>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</si>
  <si>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</si>
  <si>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</si>
  <si>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</si>
  <si>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</si>
  <si>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</si>
  <si>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</si>
  <si>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</si>
  <si>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</si>
  <si>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</si>
  <si>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</si>
  <si>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</si>
  <si>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</si>
  <si>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</si>
  <si>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</si>
  <si>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</si>
  <si>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</si>
  <si>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</si>
  <si>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</si>
  <si>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</si>
  <si>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</si>
  <si>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</si>
  <si>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</si>
  <si>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</si>
  <si>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</si>
  <si>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</si>
  <si>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</si>
  <si>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</si>
  <si>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</si>
  <si>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</si>
  <si>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</si>
  <si>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</si>
  <si>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</si>
  <si>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</si>
  <si>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</si>
  <si>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</si>
  <si>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</si>
  <si>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</si>
  <si>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</si>
  <si>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</si>
  <si>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</si>
  <si>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</si>
  <si>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</si>
  <si>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</si>
  <si>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</si>
  <si>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</si>
  <si>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</si>
  <si>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</si>
  <si>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</si>
  <si>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</si>
  <si>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</si>
  <si>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</si>
  <si>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</si>
  <si>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</si>
  <si>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</si>
  <si>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</si>
  <si>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</si>
  <si>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</si>
  <si>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</si>
  <si>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</si>
  <si>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</si>
  <si>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</si>
  <si>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</si>
  <si>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</si>
  <si>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</si>
  <si>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</si>
  <si>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</si>
  <si>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</si>
  <si>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</si>
  <si>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</si>
  <si>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</si>
  <si>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</si>
  <si>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</si>
  <si>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</si>
  <si>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</si>
  <si>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</si>
  <si>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</si>
  <si>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</si>
  <si>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</si>
  <si>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</si>
  <si>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</si>
  <si>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</si>
  <si>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</si>
  <si>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</si>
  <si>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</si>
  <si>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</si>
  <si>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</si>
  <si>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</si>
  <si>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</si>
  <si>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</si>
  <si>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</si>
  <si>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</si>
  <si>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</si>
  <si>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</si>
  <si>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</si>
  <si>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</si>
  <si>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</si>
  <si>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</si>
  <si>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</si>
  <si>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</si>
  <si>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</si>
  <si>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</si>
  <si>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</si>
  <si>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</si>
  <si>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</si>
  <si>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</si>
  <si>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</si>
  <si>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</si>
  <si>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</si>
  <si>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</si>
  <si>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</si>
  <si>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</si>
  <si>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</si>
  <si>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</si>
  <si>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</si>
  <si>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</si>
  <si>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</si>
  <si>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</si>
  <si>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</si>
  <si>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</si>
  <si>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</si>
  <si>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</si>
  <si>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</si>
  <si>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</si>
  <si>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</si>
  <si>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</si>
  <si>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</si>
  <si>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</si>
  <si>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</si>
  <si>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</si>
  <si>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</si>
  <si>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</si>
  <si>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</si>
  <si>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</si>
  <si>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</si>
  <si>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</si>
  <si>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</si>
  <si>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</si>
  <si>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</si>
  <si>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</si>
  <si>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</si>
  <si>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</si>
  <si>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</si>
  <si>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</si>
  <si>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</si>
  <si>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</si>
  <si>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</si>
  <si>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</si>
  <si>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</si>
  <si>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</si>
  <si>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</si>
  <si>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</si>
  <si>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</si>
  <si>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</si>
  <si>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</si>
  <si>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</si>
  <si>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</si>
  <si>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</si>
  <si>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</si>
  <si>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</si>
  <si>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</si>
  <si>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</si>
  <si>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</si>
  <si>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</si>
  <si>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</si>
  <si>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</si>
  <si>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</si>
  <si>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</si>
  <si>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</si>
  <si>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</si>
  <si>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</si>
  <si>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</si>
  <si>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</si>
  <si>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</si>
  <si>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</si>
  <si>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</si>
  <si>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</si>
  <si>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</si>
  <si>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</si>
  <si>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</si>
  <si>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</si>
  <si>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</si>
  <si>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</si>
  <si>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</si>
  <si>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</si>
  <si>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</si>
  <si>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</si>
  <si>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</si>
  <si>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</si>
  <si>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</si>
  <si>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</si>
  <si>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</si>
  <si>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</si>
  <si>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</si>
  <si>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</si>
  <si>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</si>
  <si>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</si>
  <si>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</si>
  <si>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</si>
  <si>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</si>
  <si>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</si>
  <si>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</si>
  <si>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</si>
  <si>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</si>
  <si>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</si>
  <si>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</si>
  <si>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</si>
  <si>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</si>
  <si>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</si>
  <si>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</si>
  <si>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</si>
  <si>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</si>
  <si>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</si>
  <si>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</si>
  <si>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</si>
  <si>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</si>
  <si>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</si>
  <si>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</si>
  <si>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</si>
  <si>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</si>
  <si>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</si>
  <si>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</si>
  <si>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</si>
  <si>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</si>
  <si>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</si>
  <si>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</si>
  <si>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</si>
  <si>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</si>
  <si>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</si>
  <si>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</si>
  <si>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</si>
  <si>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</si>
  <si>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</si>
  <si>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</si>
  <si>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</si>
  <si>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</si>
  <si>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</si>
  <si>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</si>
  <si>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</si>
  <si>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</si>
  <si>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</si>
  <si>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</si>
  <si>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</si>
  <si>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</si>
  <si>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</si>
  <si>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</si>
  <si>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</si>
  <si>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</si>
  <si>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</si>
  <si>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</si>
  <si>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</si>
  <si>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</si>
  <si>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</si>
  <si>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</si>
  <si>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</si>
  <si>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</si>
  <si>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</si>
  <si>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</si>
  <si>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</si>
  <si>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</si>
  <si>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</si>
  <si>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</si>
  <si>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</si>
  <si>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</si>
  <si>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</si>
  <si>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</si>
  <si>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</si>
  <si>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</si>
  <si>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</si>
  <si>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</si>
  <si>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</si>
  <si>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</si>
  <si>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</si>
  <si>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</si>
  <si>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</si>
  <si>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</si>
  <si>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</si>
  <si>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</si>
  <si>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</si>
  <si>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</si>
  <si>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</si>
  <si>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</si>
  <si>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</si>
  <si>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</si>
  <si>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</si>
  <si>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</si>
  <si>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</si>
  <si>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</si>
  <si>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</si>
  <si>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</si>
  <si>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</si>
  <si>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</si>
  <si>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</si>
  <si>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</si>
  <si>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</si>
  <si>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</si>
  <si>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</si>
  <si>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</si>
  <si>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</si>
  <si>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</si>
  <si>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</si>
  <si>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</si>
  <si>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</si>
  <si>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</si>
  <si>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</si>
  <si>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</si>
  <si>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</si>
  <si>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</si>
  <si>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</si>
  <si>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</si>
  <si>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</si>
  <si>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</si>
  <si>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</si>
  <si>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</si>
  <si>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</si>
  <si>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</si>
  <si>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</si>
  <si>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</si>
  <si>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</si>
  <si>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</si>
  <si>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</si>
  <si>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</si>
  <si>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</si>
  <si>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</si>
  <si>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</si>
  <si>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</si>
  <si>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</si>
  <si>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</si>
  <si>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</si>
  <si>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</si>
  <si>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</si>
  <si>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</si>
  <si>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</si>
  <si>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</si>
  <si>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</si>
  <si>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</si>
  <si>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</si>
  <si>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</si>
  <si>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</si>
  <si>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</si>
  <si>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</si>
  <si>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</si>
  <si>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</si>
  <si>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</si>
  <si>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</si>
  <si>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</si>
  <si>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</si>
  <si>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</si>
  <si>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</si>
  <si>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</si>
  <si>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</si>
  <si>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</si>
  <si>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</si>
  <si>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</si>
  <si>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</si>
  <si>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</si>
  <si>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</si>
  <si>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</si>
  <si>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</si>
  <si>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</si>
  <si>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</si>
  <si>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</si>
  <si>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</si>
  <si>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</si>
  <si>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</si>
  <si>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</si>
  <si>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</si>
  <si>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</si>
  <si>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</si>
  <si>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</si>
  <si>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</si>
  <si>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</si>
  <si>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</si>
  <si>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</si>
  <si>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</si>
  <si>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</si>
  <si>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</si>
  <si>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</si>
  <si>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</si>
  <si>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</si>
  <si>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</si>
  <si>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</si>
  <si>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</si>
  <si>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</si>
  <si>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</si>
  <si>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</si>
  <si>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</si>
  <si>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</si>
  <si>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</si>
  <si>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</si>
  <si>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</si>
  <si>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</si>
  <si>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</si>
  <si>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</si>
  <si>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</si>
  <si>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</si>
  <si>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</si>
  <si>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</si>
  <si>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</si>
  <si>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</si>
  <si>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</si>
  <si>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</si>
  <si>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</si>
  <si>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</si>
  <si>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</si>
  <si>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</si>
  <si>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</si>
  <si>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</si>
  <si>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</si>
  <si>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</si>
  <si>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</si>
  <si>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</si>
  <si>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</si>
  <si>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</si>
  <si>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</si>
  <si>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</si>
  <si>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</si>
  <si>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</si>
  <si>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</si>
  <si>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</si>
  <si>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</si>
  <si>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</si>
  <si>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</si>
  <si>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</si>
  <si>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</si>
  <si>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</si>
  <si>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</si>
  <si>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</si>
  <si>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</si>
  <si>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</si>
  <si>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</si>
  <si>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</si>
  <si>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</si>
  <si>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</si>
  <si>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</si>
  <si>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</si>
  <si>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</si>
  <si>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</si>
  <si>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</si>
  <si>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</si>
  <si>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</si>
  <si>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</si>
  <si>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</si>
  <si>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</si>
  <si>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</si>
  <si>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</si>
  <si>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</si>
  <si>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</si>
  <si>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</si>
  <si>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</si>
  <si>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</si>
  <si>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</si>
  <si>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</si>
  <si>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</si>
  <si>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</si>
  <si>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</si>
  <si>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</si>
  <si>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</si>
  <si>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</si>
  <si>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</si>
  <si>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</si>
  <si>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</si>
  <si>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</si>
  <si>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</si>
  <si>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</si>
  <si>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</si>
  <si>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</si>
  <si>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</si>
  <si>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</si>
  <si>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</si>
  <si>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</si>
  <si>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</si>
  <si>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</si>
  <si>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</si>
  <si>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</si>
  <si>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</si>
  <si>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</si>
  <si>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</si>
  <si>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</si>
  <si>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</si>
  <si>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</si>
  <si>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</si>
  <si>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</si>
  <si>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</si>
  <si>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</si>
  <si>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</si>
  <si>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</si>
  <si>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</si>
  <si>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</si>
  <si>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</si>
  <si>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</si>
  <si>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</si>
  <si>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</si>
  <si>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</si>
  <si>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</si>
  <si>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</si>
  <si>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</si>
  <si>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</si>
  <si>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</si>
  <si>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</si>
  <si>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</si>
  <si>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</si>
  <si>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</si>
  <si>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</si>
  <si>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</si>
  <si>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</si>
  <si>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</si>
  <si>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</si>
  <si>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</si>
  <si>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</si>
  <si>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</si>
  <si>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</si>
  <si>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</si>
  <si>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</si>
  <si>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</si>
  <si>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</si>
  <si>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</si>
  <si>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</si>
  <si>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</si>
  <si>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</si>
  <si>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</si>
  <si>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</si>
  <si>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</si>
  <si>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</si>
  <si>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</si>
  <si>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</si>
  <si>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</si>
  <si>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</si>
  <si>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</si>
  <si>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</si>
  <si>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</si>
  <si>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</si>
  <si>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</si>
  <si>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</si>
  <si>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</si>
  <si>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</si>
  <si>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</si>
  <si>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</si>
  <si>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</si>
  <si>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</si>
  <si>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</si>
  <si>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</si>
  <si>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</si>
  <si>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</si>
  <si>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</si>
  <si>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</si>
  <si>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</si>
  <si>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</si>
  <si>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</si>
  <si>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</si>
  <si>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</si>
  <si>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</si>
  <si>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</si>
  <si>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</si>
  <si>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</si>
  <si>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</si>
  <si>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</si>
  <si>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</si>
  <si>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</si>
  <si>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</si>
  <si>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</si>
  <si>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</si>
  <si>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</si>
  <si>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</si>
  <si>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</si>
  <si>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</si>
  <si>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</si>
  <si>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</si>
  <si>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</si>
  <si>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</si>
  <si>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</si>
  <si>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</si>
  <si>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</si>
  <si>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</si>
  <si>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</si>
  <si>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</si>
  <si>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</si>
  <si>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</si>
  <si>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</si>
  <si>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</si>
  <si>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</si>
  <si>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</si>
  <si>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</si>
  <si>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</si>
  <si>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</si>
  <si>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</si>
  <si>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</si>
  <si>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</si>
  <si>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</si>
  <si>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</si>
  <si>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</si>
  <si>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</si>
  <si>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</si>
  <si>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</si>
  <si>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</si>
  <si>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</si>
  <si>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</si>
  <si>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</si>
  <si>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</si>
  <si>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</si>
  <si>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</si>
  <si>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</si>
  <si>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</si>
  <si>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</si>
  <si>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</si>
  <si>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</si>
  <si>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</si>
  <si>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</si>
  <si>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</si>
  <si>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</si>
  <si>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</si>
  <si>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</si>
  <si>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</si>
  <si>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</si>
  <si>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</si>
  <si>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</si>
  <si>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</si>
  <si>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</si>
  <si>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</si>
  <si>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</si>
  <si>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</si>
  <si>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</si>
  <si>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</si>
  <si>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</si>
  <si>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</si>
  <si>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</si>
  <si>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</si>
  <si>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</si>
  <si>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</si>
  <si>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</si>
  <si>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</si>
  <si>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</si>
  <si>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</si>
  <si>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</si>
  <si>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</si>
  <si>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</si>
  <si>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</si>
  <si>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</si>
  <si>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</si>
  <si>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</si>
  <si>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</si>
  <si>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</si>
  <si>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</si>
  <si>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</si>
  <si>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</si>
  <si>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</si>
  <si>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</si>
  <si>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</si>
  <si>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</si>
  <si>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</si>
  <si>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</si>
  <si>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</si>
  <si>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</si>
  <si>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</si>
  <si>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</si>
  <si>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</si>
  <si>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</si>
  <si>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</si>
  <si>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</si>
  <si>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</si>
  <si>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</si>
  <si>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</si>
  <si>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</si>
  <si>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</si>
  <si>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</si>
  <si>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</si>
  <si>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</si>
  <si>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</si>
  <si>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</si>
  <si>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</si>
  <si>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</si>
  <si>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</si>
  <si>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</si>
  <si>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</si>
  <si>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</si>
  <si>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</si>
  <si>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</si>
  <si>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</si>
  <si>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</si>
  <si>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</si>
  <si>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</si>
  <si>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</si>
  <si>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</si>
  <si>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</si>
  <si>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</si>
  <si>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</si>
  <si>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</si>
  <si>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</si>
  <si>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</si>
  <si>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</si>
  <si>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</si>
  <si>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</si>
  <si>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</si>
  <si>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</si>
  <si>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</si>
  <si>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</si>
  <si>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</si>
  <si>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</si>
  <si>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</si>
  <si>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</si>
  <si>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</si>
  <si>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</si>
  <si>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</si>
  <si>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</si>
  <si>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</si>
  <si>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</si>
  <si>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</si>
  <si>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</si>
  <si>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</si>
  <si>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</si>
  <si>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</si>
  <si>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</si>
  <si>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</si>
  <si>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</si>
  <si>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</si>
  <si>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</si>
  <si>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</si>
  <si>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</si>
  <si>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</si>
  <si>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</si>
  <si>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</si>
  <si>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</si>
  <si>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</si>
  <si>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</si>
  <si>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</si>
  <si>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</si>
  <si>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</si>
  <si>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</si>
  <si>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</si>
  <si>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</si>
  <si>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</si>
  <si>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</si>
  <si>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</si>
  <si>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</si>
  <si>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</si>
  <si>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</si>
  <si>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</si>
  <si>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</si>
  <si>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</si>
  <si>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</si>
  <si>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</si>
  <si>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</si>
  <si>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</si>
  <si>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</si>
  <si>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</si>
  <si>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</si>
  <si>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</si>
  <si>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</si>
  <si>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</si>
  <si>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</si>
  <si>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</si>
  <si>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</si>
  <si>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</si>
  <si>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</si>
  <si>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</si>
  <si>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</si>
  <si>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</si>
  <si>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</si>
  <si>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</si>
  <si>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</si>
  <si>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</si>
  <si>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</si>
  <si>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</si>
  <si>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</si>
  <si>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</si>
  <si>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</si>
  <si>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</si>
  <si>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</si>
  <si>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</si>
  <si>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</si>
  <si>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</si>
  <si>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</si>
  <si>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</si>
  <si>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</si>
  <si>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</si>
  <si>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</si>
  <si>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</si>
  <si>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</si>
  <si>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</si>
  <si>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</si>
  <si>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</si>
  <si>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</si>
  <si>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</si>
  <si>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</si>
  <si>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</si>
  <si>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</si>
  <si>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</si>
  <si>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</si>
  <si>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</si>
  <si>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</si>
  <si>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</si>
  <si>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</si>
  <si>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</si>
  <si>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</si>
  <si>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</si>
  <si>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</si>
  <si>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</si>
  <si>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</si>
  <si>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</si>
  <si>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</si>
  <si>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</si>
  <si>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</si>
  <si>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</si>
  <si>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</si>
  <si>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</si>
  <si>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</si>
  <si>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</si>
  <si>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</si>
  <si>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</si>
  <si>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</si>
  <si>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</si>
  <si>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</si>
  <si>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</si>
  <si>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</si>
  <si>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</si>
  <si>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</si>
  <si>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</si>
  <si>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</si>
  <si>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</si>
  <si>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</si>
  <si>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</si>
  <si>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</si>
  <si>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</si>
  <si>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</si>
  <si>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</si>
  <si>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</si>
  <si>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</si>
  <si>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</si>
  <si>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</si>
  <si>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</si>
  <si>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</si>
  <si>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</si>
  <si>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</si>
  <si>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</si>
  <si>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</si>
  <si>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</si>
  <si>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</si>
  <si>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</si>
  <si>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</si>
  <si>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</si>
  <si>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</si>
  <si>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</si>
  <si>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</si>
  <si>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</si>
  <si>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</si>
  <si>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</si>
  <si>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</si>
  <si>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</si>
  <si>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</si>
  <si>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</si>
  <si>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</si>
  <si>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</si>
  <si>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</si>
  <si>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</si>
  <si>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</si>
  <si>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</si>
  <si>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</si>
  <si>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</si>
  <si>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</si>
  <si>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</si>
  <si>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</si>
  <si>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</si>
  <si>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</si>
  <si>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</si>
  <si>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</si>
  <si>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</si>
  <si>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</si>
  <si>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</si>
  <si>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</si>
  <si>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</si>
  <si>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</si>
  <si>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</si>
  <si>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</si>
  <si>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</si>
  <si>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</si>
  <si>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</si>
  <si>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</si>
  <si>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</si>
  <si>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</si>
  <si>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</si>
  <si>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</si>
  <si>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</si>
  <si>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</si>
  <si>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</si>
  <si>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</si>
  <si>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</si>
  <si>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</si>
  <si>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</si>
  <si>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</si>
  <si>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</si>
  <si>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</si>
  <si>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</si>
  <si>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</si>
  <si>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</si>
  <si>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</si>
  <si>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</si>
  <si>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</si>
  <si>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</si>
  <si>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</si>
  <si>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</si>
  <si>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</si>
  <si>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</si>
  <si>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</si>
  <si>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</si>
  <si>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</si>
  <si>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</si>
  <si>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</si>
  <si>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</si>
  <si>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</si>
  <si>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</si>
  <si>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</si>
  <si>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</si>
  <si>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</si>
  <si>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</si>
  <si>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</si>
  <si>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</si>
  <si>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</si>
  <si>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</si>
  <si>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</si>
  <si>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</si>
  <si>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</si>
  <si>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</si>
  <si>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</si>
  <si>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</si>
  <si>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</si>
  <si>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</si>
  <si>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</si>
  <si>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</si>
  <si>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</si>
  <si>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</si>
  <si>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</si>
  <si>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</si>
  <si>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</si>
  <si>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</si>
  <si>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</si>
  <si>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</si>
  <si>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</si>
  <si>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</si>
  <si>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</si>
  <si>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</si>
  <si>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</si>
  <si>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</si>
  <si>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</si>
  <si>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</si>
  <si>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</si>
  <si>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</si>
  <si>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</si>
  <si>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</si>
  <si>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</si>
  <si>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</si>
  <si>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</si>
  <si>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</si>
  <si>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</si>
  <si>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</si>
  <si>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</si>
  <si>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</si>
  <si>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</si>
  <si>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</si>
  <si>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</si>
  <si>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</si>
  <si>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</si>
  <si>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</si>
  <si>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</si>
  <si>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</si>
  <si>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</si>
  <si>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</si>
  <si>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</si>
  <si>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</si>
  <si>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</si>
  <si>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</si>
  <si>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</si>
  <si>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</si>
  <si>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</si>
  <si>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</si>
  <si>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</si>
  <si>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</si>
  <si>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</si>
  <si>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</si>
  <si>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</si>
  <si>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</si>
  <si>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</si>
  <si>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</si>
  <si>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</si>
  <si>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</si>
  <si>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</si>
  <si>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</si>
  <si>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</si>
  <si>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</si>
  <si>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</si>
  <si>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</si>
  <si>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</si>
  <si>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</si>
  <si>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</si>
  <si>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</si>
  <si>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</si>
  <si>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</si>
  <si>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</si>
  <si>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</si>
  <si>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</si>
  <si>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</si>
  <si>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</si>
  <si>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</si>
  <si>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</si>
  <si>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</si>
  <si>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</si>
  <si>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</si>
  <si>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</si>
  <si>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</si>
  <si>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</si>
  <si>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</si>
  <si>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</si>
  <si>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</si>
  <si>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</si>
  <si>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</si>
  <si>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</si>
  <si>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</si>
  <si>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</si>
  <si>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</si>
  <si>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</si>
  <si>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</si>
  <si>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</si>
  <si>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</si>
  <si>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</si>
  <si>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</si>
  <si>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</si>
  <si>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</si>
  <si>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</si>
  <si>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</si>
  <si>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</si>
  <si>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</si>
  <si>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</si>
  <si>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</si>
  <si>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</si>
  <si>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</si>
  <si>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</si>
  <si>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</si>
  <si>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</si>
  <si>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</si>
  <si>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</si>
  <si>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</si>
  <si>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</si>
  <si>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</si>
  <si>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</si>
  <si>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</si>
  <si>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</si>
  <si>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</si>
  <si>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</si>
  <si>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</si>
  <si>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</si>
  <si>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</si>
  <si>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</si>
  <si>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</si>
  <si>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</si>
  <si>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</si>
  <si>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</si>
  <si>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</si>
  <si>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</si>
  <si>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</si>
  <si>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</si>
  <si>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</si>
  <si>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</si>
  <si>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</si>
  <si>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</si>
  <si>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</si>
  <si>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</si>
  <si>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</si>
  <si>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</si>
  <si>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</si>
  <si>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</si>
  <si>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</si>
  <si>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</si>
  <si>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</si>
  <si>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</si>
  <si>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</si>
  <si>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</si>
  <si>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</si>
  <si>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</si>
  <si>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</si>
  <si>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</si>
  <si>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</si>
  <si>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</si>
  <si>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</si>
  <si>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</si>
  <si>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</si>
  <si>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</si>
  <si>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</si>
  <si>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</si>
  <si>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</si>
  <si>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</si>
  <si>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</si>
  <si>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</si>
  <si>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</si>
  <si>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</si>
  <si>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</si>
  <si>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</si>
  <si>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</si>
  <si>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</si>
  <si>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</si>
  <si>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</si>
  <si>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</si>
  <si>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</si>
  <si>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</si>
  <si>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</si>
  <si>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</si>
  <si>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</si>
  <si>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</si>
  <si>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</si>
  <si>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</si>
  <si>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</si>
  <si>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</si>
  <si>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</si>
  <si>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</si>
  <si>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</si>
  <si>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</si>
  <si>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</si>
  <si>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</si>
  <si>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</si>
  <si>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</si>
  <si>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</si>
  <si>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</si>
  <si>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</si>
  <si>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</si>
  <si>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</si>
  <si>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</si>
  <si>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</si>
  <si>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</si>
  <si>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</si>
  <si>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</si>
  <si>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</si>
  <si>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</si>
  <si>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</si>
  <si>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</si>
  <si>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</si>
  <si>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</si>
  <si>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</si>
  <si>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</si>
  <si>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</si>
  <si>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</si>
  <si>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</si>
  <si>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</si>
  <si>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</si>
  <si>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</si>
  <si>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</si>
  <si>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</si>
  <si>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</si>
  <si>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</si>
  <si>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</si>
  <si>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</si>
  <si>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</si>
  <si>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</si>
  <si>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</si>
  <si>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</si>
  <si>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</si>
  <si>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</si>
  <si>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</si>
  <si>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</si>
  <si>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</si>
  <si>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</si>
  <si>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</si>
  <si>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</si>
  <si>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</si>
  <si>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</si>
  <si>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</si>
  <si>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</si>
  <si>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</si>
  <si>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</si>
  <si>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</si>
  <si>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</si>
  <si>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</si>
  <si>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</si>
  <si>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</si>
  <si>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</si>
  <si>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</si>
  <si>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</si>
  <si>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</si>
  <si>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</si>
  <si>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</si>
  <si>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</si>
  <si>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</si>
  <si>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</si>
  <si>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</si>
  <si>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</si>
  <si>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</si>
  <si>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</si>
  <si>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</si>
  <si>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</si>
  <si>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</si>
  <si>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</si>
  <si>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</si>
  <si>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</si>
  <si>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</si>
  <si>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</si>
  <si>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</si>
  <si>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</si>
  <si>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</si>
  <si>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</si>
  <si>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</si>
  <si>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</si>
  <si>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</si>
  <si>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</si>
  <si>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</si>
  <si>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</si>
  <si>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</si>
  <si>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</si>
  <si>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</si>
  <si>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</si>
  <si>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</si>
  <si>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</si>
  <si>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</si>
  <si>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</si>
  <si>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</si>
  <si>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</si>
  <si>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</si>
  <si>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</si>
  <si>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</si>
  <si>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</si>
  <si>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</si>
  <si>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</si>
  <si>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</si>
  <si>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</si>
  <si>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</si>
  <si>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</si>
  <si>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</si>
  <si>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</si>
  <si>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</si>
  <si>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</si>
  <si>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</si>
  <si>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</si>
  <si>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</si>
  <si>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</si>
  <si>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</si>
  <si>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</si>
  <si>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</si>
  <si>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</si>
  <si>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</si>
  <si>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</si>
  <si>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</si>
  <si>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</si>
  <si>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</si>
  <si>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</si>
  <si>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</si>
  <si>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</si>
  <si>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</si>
  <si>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</si>
  <si>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</si>
  <si>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</si>
  <si>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</si>
  <si>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</si>
  <si>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</si>
  <si>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</si>
  <si>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</si>
  <si>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</si>
  <si>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</si>
  <si>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</si>
  <si>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</si>
  <si>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</si>
  <si>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</si>
  <si>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</si>
  <si>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</si>
  <si>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</si>
  <si>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</si>
  <si>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</si>
  <si>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</si>
  <si>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</si>
  <si>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</si>
  <si>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</si>
  <si>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</si>
  <si>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</si>
  <si>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</si>
  <si>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</si>
  <si>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</si>
  <si>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</si>
  <si>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</si>
  <si>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</si>
  <si>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</si>
  <si>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</si>
  <si>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</si>
  <si>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</si>
  <si>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</si>
  <si>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</si>
  <si>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</si>
  <si>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</si>
  <si>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</si>
  <si>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</si>
  <si>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</si>
  <si>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</si>
  <si>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</si>
  <si>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</si>
  <si>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</si>
  <si>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</si>
  <si>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</si>
  <si>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</si>
  <si>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</si>
  <si>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</si>
  <si>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</si>
  <si>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</si>
  <si>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</si>
  <si>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</si>
  <si>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</si>
  <si>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</si>
  <si>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</si>
  <si>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</si>
  <si>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</si>
  <si>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</si>
  <si>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</si>
  <si>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</si>
  <si>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</si>
  <si>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</si>
  <si>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</si>
  <si>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</si>
  <si>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</si>
  <si>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</si>
  <si>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</si>
  <si>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</si>
  <si>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</si>
  <si>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</si>
  <si>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</si>
  <si>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</si>
  <si>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</si>
  <si>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</si>
  <si>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</si>
  <si>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</si>
  <si>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</si>
  <si>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</si>
  <si>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</si>
  <si>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</si>
  <si>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</si>
  <si>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</si>
  <si>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</si>
  <si>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</si>
  <si>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</si>
  <si>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</si>
  <si>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</si>
  <si>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</si>
  <si>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</si>
  <si>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</si>
  <si>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</si>
  <si>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</si>
  <si>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</si>
  <si>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</si>
  <si>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</si>
  <si>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</si>
  <si>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</si>
  <si>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</si>
  <si>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</si>
  <si>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</si>
  <si>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</si>
  <si>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</si>
  <si>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</si>
  <si>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</si>
  <si>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</si>
  <si>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</si>
  <si>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</si>
  <si>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</si>
  <si>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</si>
  <si>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</si>
  <si>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</si>
  <si>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</si>
  <si>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</si>
  <si>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</si>
  <si>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</si>
  <si>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</si>
  <si>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</si>
  <si>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</si>
  <si>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</si>
  <si>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</si>
  <si>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</si>
  <si>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</si>
  <si>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</si>
  <si>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</si>
  <si>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</si>
  <si>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</si>
  <si>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</si>
  <si>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</si>
  <si>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</si>
  <si>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</si>
  <si>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</si>
  <si>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</si>
  <si>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</si>
  <si>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</si>
  <si>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</si>
  <si>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</si>
  <si>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</si>
  <si>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</si>
  <si>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</si>
  <si>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</si>
  <si>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</si>
  <si>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</si>
  <si>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</si>
  <si>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</si>
  <si>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</si>
  <si>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</si>
  <si>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</si>
  <si>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</si>
  <si>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</si>
  <si>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</si>
  <si>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</si>
  <si>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</si>
  <si>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</si>
  <si>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</si>
  <si>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</si>
  <si>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</si>
  <si>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</si>
  <si>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</si>
  <si>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</si>
  <si>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</si>
  <si>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</si>
  <si>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</si>
  <si>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</si>
  <si>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</si>
  <si>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</si>
  <si>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</si>
  <si>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</si>
  <si>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</si>
  <si>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</si>
  <si>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</si>
  <si>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</si>
  <si>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</si>
  <si>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</si>
  <si>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</si>
  <si>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</si>
  <si>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</si>
  <si>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</si>
  <si>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</si>
  <si>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</si>
  <si>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</si>
  <si>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</si>
  <si>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</si>
  <si>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</si>
  <si>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</si>
  <si>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</si>
  <si>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</si>
  <si>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</si>
  <si>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</si>
  <si>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</si>
  <si>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</si>
  <si>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</si>
  <si>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</si>
  <si>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</si>
  <si>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</si>
  <si>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</si>
  <si>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</si>
  <si>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</si>
  <si>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</si>
  <si>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</si>
  <si>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</si>
  <si>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</si>
  <si>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</si>
  <si>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</si>
  <si>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</si>
  <si>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</si>
  <si>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</si>
  <si>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</si>
  <si>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</si>
  <si>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</si>
  <si>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</si>
  <si>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</si>
  <si>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</si>
  <si>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</si>
  <si>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</si>
  <si>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</si>
  <si>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</si>
  <si>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</si>
  <si>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</si>
  <si>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</si>
  <si>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</si>
  <si>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</si>
  <si>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</si>
  <si>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</si>
  <si>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</si>
  <si>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</si>
  <si>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</si>
  <si>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</si>
  <si>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</si>
  <si>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</si>
  <si>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</si>
  <si>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</si>
  <si>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</si>
  <si>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</si>
  <si>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</si>
  <si>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</si>
  <si>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</si>
  <si>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</si>
  <si>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</si>
  <si>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</si>
  <si>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</si>
  <si>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</si>
  <si>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</si>
  <si>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</si>
  <si>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</si>
  <si>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</si>
  <si>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</si>
  <si>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</si>
  <si>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</si>
  <si>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</si>
  <si>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</si>
  <si>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</si>
  <si>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</si>
  <si>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</si>
  <si>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</si>
  <si>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</si>
  <si>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</si>
  <si>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</si>
  <si>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</si>
  <si>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</si>
  <si>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</si>
  <si>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</si>
  <si>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</si>
  <si>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</si>
  <si>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</si>
  <si>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</si>
  <si>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</si>
  <si>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</si>
  <si>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</si>
  <si>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</si>
  <si>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</si>
  <si>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</si>
  <si>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</si>
  <si>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</si>
  <si>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</si>
  <si>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</si>
  <si>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</si>
  <si>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</si>
  <si>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</si>
  <si>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</si>
  <si>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</si>
  <si>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</si>
  <si>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</si>
  <si>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</si>
  <si>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</si>
  <si>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</si>
  <si>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</si>
  <si>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</si>
  <si>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</si>
  <si>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</si>
  <si>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</si>
  <si>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</si>
  <si>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</si>
  <si>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</si>
  <si>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</si>
  <si>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</si>
  <si>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</si>
  <si>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</si>
  <si>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</si>
  <si>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</si>
  <si>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</si>
  <si>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</si>
  <si>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</si>
  <si>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</si>
  <si>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</si>
  <si>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</si>
  <si>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</si>
  <si>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</si>
  <si>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</si>
  <si>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</si>
  <si>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</si>
  <si>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</si>
  <si>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</si>
  <si>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</si>
  <si>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</si>
  <si>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</si>
  <si>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</si>
  <si>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</si>
  <si>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</si>
  <si>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</si>
  <si>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</si>
  <si>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</si>
  <si>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</si>
  <si>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</si>
  <si>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</si>
  <si>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</si>
  <si>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</si>
  <si>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</si>
  <si>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</si>
  <si>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</si>
  <si>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</si>
  <si>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</si>
  <si>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</si>
  <si>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</si>
  <si>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</si>
  <si>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</si>
  <si>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</si>
  <si>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</si>
  <si>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</si>
  <si>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</si>
  <si>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</si>
  <si>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</si>
  <si>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</si>
  <si>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</si>
  <si>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</si>
  <si>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</si>
  <si>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</si>
  <si>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</si>
  <si>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</si>
  <si>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</si>
  <si>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</si>
  <si>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</si>
  <si>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</si>
  <si>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</si>
  <si>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</si>
  <si>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</si>
  <si>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</si>
  <si>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</si>
  <si>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</si>
  <si>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</si>
  <si>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</si>
  <si>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</si>
  <si>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</si>
  <si>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</si>
  <si>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</si>
  <si>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</si>
  <si>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</si>
  <si>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</si>
  <si>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</si>
  <si>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</si>
  <si>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</si>
  <si>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</si>
  <si>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</si>
  <si>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</si>
  <si>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</si>
  <si>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</si>
  <si>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</si>
  <si>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</si>
  <si>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</si>
  <si>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</si>
  <si>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</si>
  <si>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</si>
  <si>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</si>
  <si>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</si>
  <si>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</si>
  <si>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</si>
  <si>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</si>
  <si>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</si>
  <si>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</si>
  <si>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</si>
  <si>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</si>
  <si>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</si>
  <si>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</si>
  <si>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</si>
  <si>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</si>
  <si>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</si>
  <si>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</si>
  <si>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</si>
  <si>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</si>
  <si>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</si>
  <si>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</si>
  <si>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</si>
  <si>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</si>
  <si>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</si>
  <si>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</si>
  <si>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</si>
  <si>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</si>
  <si>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</si>
  <si>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</si>
  <si>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</si>
  <si>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</si>
  <si>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</si>
  <si>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</si>
  <si>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</si>
  <si>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</si>
  <si>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</si>
  <si>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</si>
  <si>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</si>
  <si>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</si>
  <si>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</si>
  <si>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</si>
  <si>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</si>
  <si>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</si>
  <si>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</si>
  <si>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</si>
  <si>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</si>
  <si>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</si>
  <si>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</si>
  <si>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</si>
  <si>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</si>
  <si>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</si>
  <si>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</si>
  <si>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</si>
  <si>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</si>
  <si>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</si>
  <si>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</si>
  <si>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</si>
  <si>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</si>
  <si>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</si>
  <si>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</si>
  <si>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</si>
  <si>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</si>
  <si>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</si>
  <si>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</si>
  <si>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</si>
  <si>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</si>
  <si>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</si>
  <si>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</si>
  <si>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</si>
  <si>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</si>
  <si>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</si>
  <si>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</si>
  <si>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</si>
  <si>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</si>
  <si>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</si>
  <si>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</si>
  <si>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</si>
  <si>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</si>
  <si>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</si>
  <si>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</si>
  <si>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</si>
  <si>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</si>
  <si>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</si>
  <si>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</si>
  <si>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</si>
  <si>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</si>
  <si>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</si>
  <si>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</si>
  <si>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</si>
  <si>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</si>
  <si>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</si>
  <si>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</si>
  <si>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</si>
  <si>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</si>
  <si>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</si>
  <si>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</si>
  <si>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</si>
  <si>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</si>
  <si>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</si>
  <si>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</si>
  <si>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</si>
  <si>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</si>
  <si>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</si>
  <si>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</si>
  <si>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</si>
  <si>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</si>
  <si>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</si>
  <si>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</si>
  <si>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</si>
  <si>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</si>
  <si>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</si>
  <si>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</si>
  <si>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</si>
  <si>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</si>
  <si>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</si>
  <si>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</si>
  <si>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</si>
  <si>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</si>
  <si>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</si>
  <si>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</si>
  <si>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</si>
  <si>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</si>
  <si>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</si>
  <si>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</si>
  <si>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</si>
  <si>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</si>
  <si>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</si>
  <si>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</si>
  <si>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</si>
  <si>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</si>
  <si>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</si>
  <si>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</si>
  <si>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</si>
  <si>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</si>
  <si>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</si>
  <si>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</si>
  <si>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</si>
  <si>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</si>
  <si>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</si>
  <si>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</si>
  <si>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</si>
  <si>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</si>
  <si>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</si>
  <si>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</si>
  <si>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</si>
  <si>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</si>
  <si>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</si>
  <si>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</si>
  <si>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</si>
  <si>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</si>
  <si>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</si>
  <si>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</si>
  <si>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</si>
  <si>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</si>
  <si>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</si>
  <si>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</si>
  <si>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</si>
  <si>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</si>
  <si>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</si>
  <si>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</si>
  <si>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</si>
  <si>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</si>
  <si>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</si>
  <si>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</si>
  <si>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</si>
  <si>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</si>
  <si>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</si>
  <si>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</si>
  <si>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</si>
  <si>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</si>
  <si>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</si>
  <si>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</si>
  <si>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</si>
  <si>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</si>
  <si>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</si>
  <si>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</si>
  <si>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</si>
  <si>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</si>
  <si>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</si>
  <si>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</si>
  <si>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</si>
  <si>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</si>
  <si>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</si>
  <si>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</si>
  <si>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</si>
  <si>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</si>
  <si>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</si>
  <si>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</si>
  <si>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</si>
  <si>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</si>
  <si>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</si>
  <si>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</si>
  <si>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</si>
  <si>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</si>
  <si>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</si>
  <si>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</si>
  <si>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</si>
  <si>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</si>
  <si>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</si>
  <si>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</si>
  <si>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</si>
  <si>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</si>
  <si>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</si>
  <si>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</si>
  <si>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</si>
  <si>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</si>
  <si>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</si>
  <si>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</si>
  <si>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</si>
  <si>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</si>
  <si>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</si>
  <si>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</si>
  <si>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</si>
  <si>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</si>
  <si>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</si>
  <si>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</si>
  <si>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</si>
  <si>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</si>
  <si>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</si>
  <si>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</si>
  <si>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</si>
  <si>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</si>
  <si>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</si>
  <si>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</si>
  <si>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</si>
  <si>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</si>
  <si>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</si>
  <si>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</si>
  <si>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</si>
  <si>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</si>
  <si>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</si>
  <si>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</si>
  <si>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</si>
  <si>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</si>
  <si>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</si>
  <si>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</si>
  <si>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</si>
  <si>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</si>
  <si>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</si>
  <si>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</si>
  <si>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</si>
  <si>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</si>
  <si>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</si>
  <si>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</si>
  <si>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</si>
  <si>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</si>
  <si>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</si>
  <si>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</si>
  <si>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</si>
  <si>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</si>
  <si>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</si>
  <si>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</si>
  <si>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</si>
  <si>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</si>
  <si>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</si>
  <si>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</si>
  <si>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</si>
  <si>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</si>
  <si>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</si>
  <si>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</si>
  <si>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</si>
  <si>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</si>
  <si>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</si>
  <si>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</si>
  <si>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</si>
  <si>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</si>
  <si>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</si>
  <si>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</si>
  <si>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</si>
  <si>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</si>
  <si>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</si>
  <si>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</si>
  <si>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</si>
  <si>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</si>
  <si>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</si>
  <si>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</si>
  <si>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</si>
  <si>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</si>
  <si>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</si>
  <si>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</si>
  <si>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</si>
  <si>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</si>
  <si>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</si>
  <si>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</si>
  <si>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</si>
  <si>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</si>
  <si>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</si>
  <si>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</si>
  <si>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</si>
  <si>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</si>
  <si>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</si>
  <si>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</si>
  <si>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</si>
  <si>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</si>
  <si>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</si>
  <si>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</si>
  <si>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</si>
  <si>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</si>
  <si>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</si>
  <si>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</si>
  <si>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</si>
  <si>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</si>
  <si>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</si>
  <si>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</si>
  <si>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</si>
  <si>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</si>
  <si>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</si>
  <si>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</si>
  <si>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</si>
  <si>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</si>
  <si>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</si>
  <si>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</si>
  <si>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</si>
  <si>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</si>
  <si>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</si>
  <si>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</si>
  <si>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</si>
  <si>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</si>
  <si>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</si>
  <si>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</si>
  <si>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</si>
  <si>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</si>
  <si>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</si>
  <si>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</si>
  <si>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</si>
  <si>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</si>
  <si>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</si>
  <si>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</si>
  <si>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</si>
  <si>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</si>
  <si>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</si>
  <si>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</si>
  <si>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</si>
  <si>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</si>
  <si>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</si>
  <si>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</si>
  <si>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</si>
  <si>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</si>
  <si>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</si>
  <si>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</si>
  <si>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</si>
  <si>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</si>
  <si>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</si>
  <si>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</si>
  <si>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</si>
  <si>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</si>
  <si>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</si>
  <si>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</si>
  <si>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</si>
  <si>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</si>
  <si>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</si>
  <si>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</si>
  <si>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</si>
  <si>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</si>
  <si>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</si>
  <si>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</si>
  <si>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</si>
  <si>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</si>
  <si>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</si>
  <si>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</si>
  <si>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</si>
  <si>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</si>
  <si>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</si>
  <si>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</si>
  <si>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</si>
  <si>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</si>
  <si>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</si>
  <si>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</si>
  <si>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</si>
  <si>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</si>
  <si>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</si>
  <si>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</si>
  <si>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</si>
  <si>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</si>
  <si>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</si>
  <si>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</si>
  <si>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</si>
  <si>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</si>
  <si>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</si>
  <si>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</si>
  <si>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</si>
  <si>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</si>
  <si>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</si>
  <si>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</si>
  <si>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</si>
  <si>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</si>
  <si>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</si>
  <si>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</si>
  <si>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</si>
  <si>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</si>
  <si>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</si>
  <si>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</si>
  <si>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</si>
  <si>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</si>
  <si>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</si>
  <si>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</si>
  <si>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</si>
  <si>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</si>
  <si>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</si>
  <si>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</si>
  <si>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</si>
  <si>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</si>
  <si>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</si>
  <si>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</si>
  <si>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</si>
  <si>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</si>
  <si>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</si>
  <si>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</si>
  <si>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</si>
  <si>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</si>
  <si>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</si>
  <si>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</si>
  <si>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</si>
  <si>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</si>
  <si>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</si>
  <si>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</si>
  <si>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</si>
  <si>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</si>
  <si>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</si>
  <si>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</si>
  <si>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</si>
  <si>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</si>
  <si>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</si>
  <si>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</si>
  <si>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</si>
  <si>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</si>
  <si>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</si>
  <si>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</si>
  <si>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</si>
  <si>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</si>
  <si>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</si>
  <si>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</si>
  <si>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</si>
  <si>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</si>
  <si>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</si>
  <si>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</si>
  <si>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</si>
  <si>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</si>
  <si>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</si>
  <si>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</si>
  <si>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</si>
  <si>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</si>
  <si>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</si>
  <si>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</si>
  <si>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</si>
  <si>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</si>
  <si>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</si>
  <si>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</si>
  <si>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</si>
  <si>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</si>
  <si>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</si>
  <si>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</si>
  <si>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</si>
  <si>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</si>
  <si>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</si>
  <si>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</si>
  <si>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</si>
  <si>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</si>
  <si>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</si>
  <si>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</si>
  <si>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</si>
  <si>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</si>
  <si>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</si>
  <si>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</si>
  <si>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</si>
  <si>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</si>
  <si>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</si>
  <si>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</si>
  <si>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</si>
  <si>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</si>
  <si>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</si>
  <si>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</si>
  <si>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</si>
  <si>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</si>
  <si>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</si>
  <si>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</si>
  <si>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</si>
  <si>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</si>
  <si>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</si>
  <si>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</si>
  <si>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</si>
  <si>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</si>
  <si>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</si>
  <si>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</si>
  <si>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</si>
  <si>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</si>
  <si>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</si>
  <si>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</si>
  <si>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</si>
  <si>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</si>
  <si>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</si>
  <si>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</si>
  <si>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</si>
  <si>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</si>
  <si>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</si>
  <si>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</si>
  <si>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</si>
  <si>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</si>
  <si>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</si>
  <si>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</si>
  <si>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</si>
  <si>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</si>
  <si>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</si>
  <si>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</si>
  <si>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</si>
  <si>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</si>
  <si>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</si>
  <si>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</si>
  <si>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</si>
  <si>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</si>
  <si>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</si>
  <si>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</si>
  <si>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</si>
  <si>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</si>
  <si>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</si>
  <si>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</si>
  <si>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</si>
  <si>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</si>
  <si>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</si>
  <si>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</si>
  <si>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</si>
  <si>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</si>
  <si>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</si>
  <si>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</si>
  <si>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</si>
  <si>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</si>
  <si>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</si>
  <si>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</si>
  <si>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</si>
  <si>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</si>
  <si>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</si>
  <si>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</si>
  <si>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</si>
  <si>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</si>
  <si>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</si>
  <si>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</si>
  <si>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</si>
  <si>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</si>
  <si>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</si>
  <si>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</si>
  <si>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</si>
  <si>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</si>
  <si>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</si>
  <si>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</si>
  <si>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</si>
  <si>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</si>
  <si>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</si>
  <si>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</si>
  <si>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</si>
  <si>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</si>
  <si>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</si>
  <si>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</si>
  <si>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</si>
  <si>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</si>
  <si>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</si>
  <si>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</si>
  <si>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</si>
  <si>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</si>
  <si>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</si>
  <si>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</si>
  <si>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</si>
  <si>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</si>
  <si>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</si>
  <si>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</si>
  <si>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</si>
  <si>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</si>
  <si>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</si>
  <si>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</si>
  <si>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</si>
  <si>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</si>
  <si>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</si>
  <si>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</si>
  <si>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</si>
  <si>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</si>
  <si>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</si>
  <si>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</si>
  <si>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</si>
  <si>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</si>
  <si>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</si>
  <si>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</si>
  <si>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</si>
  <si>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</si>
  <si>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</si>
  <si>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</si>
  <si>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</si>
  <si>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</si>
  <si>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</si>
  <si>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</si>
  <si>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</si>
  <si>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</si>
  <si>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</si>
  <si>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</si>
  <si>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</si>
  <si>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</si>
  <si>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</si>
  <si>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</si>
  <si>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</si>
  <si>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</si>
  <si>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</si>
  <si>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</si>
  <si>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</si>
  <si>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</si>
  <si>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</si>
  <si>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</si>
  <si>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</si>
  <si>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</si>
  <si>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</si>
  <si>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</si>
  <si>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</si>
  <si>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</si>
  <si>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</si>
  <si>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</si>
  <si>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</si>
  <si>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</si>
  <si>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</si>
  <si>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</si>
  <si>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</si>
  <si>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</si>
  <si>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</si>
  <si>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</si>
  <si>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</si>
  <si>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</si>
  <si>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</si>
  <si>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</si>
  <si>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</si>
  <si>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</si>
  <si>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</si>
  <si>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</si>
  <si>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</si>
  <si>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</si>
  <si>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</si>
  <si>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</si>
  <si>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</si>
  <si>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</si>
  <si>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</si>
  <si>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</si>
  <si>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</si>
  <si>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</si>
  <si>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</si>
  <si>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</si>
  <si>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</si>
  <si>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</si>
  <si>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</si>
  <si>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</si>
  <si>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</si>
  <si>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</si>
  <si>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</si>
  <si>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</si>
  <si>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</si>
  <si>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</si>
  <si>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</si>
  <si>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</si>
  <si>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</si>
  <si>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</si>
  <si>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</si>
  <si>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</si>
  <si>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</si>
  <si>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</si>
  <si>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</si>
  <si>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</si>
  <si>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</si>
  <si>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</si>
  <si>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</si>
  <si>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</si>
  <si>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</si>
  <si>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</si>
  <si>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</si>
  <si>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</si>
  <si>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</si>
  <si>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</si>
  <si>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</si>
  <si>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</si>
  <si>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</si>
  <si>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</si>
  <si>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</si>
  <si>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</si>
  <si>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</si>
  <si>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</si>
  <si>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</si>
  <si>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</si>
  <si>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</si>
  <si>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</si>
  <si>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</si>
  <si>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</si>
  <si>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</si>
  <si>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</si>
  <si>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</si>
  <si>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</si>
  <si>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</si>
  <si>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</si>
  <si>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</si>
  <si>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</si>
  <si>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</si>
  <si>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</si>
  <si>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</si>
  <si>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</si>
  <si>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</si>
  <si>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</si>
  <si>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</si>
  <si>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</si>
  <si>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</si>
  <si>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</si>
  <si>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</si>
  <si>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</si>
  <si>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</si>
  <si>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</si>
  <si>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</si>
  <si>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</si>
  <si>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</si>
  <si>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</si>
  <si>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</si>
  <si>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</si>
  <si>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</si>
  <si>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</si>
  <si>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</si>
  <si>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</si>
  <si>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</si>
  <si>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</si>
  <si>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</si>
  <si>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</si>
  <si>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</si>
  <si>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</si>
  <si>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</si>
  <si>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</si>
  <si>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</si>
  <si>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</si>
  <si>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</si>
  <si>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</si>
  <si>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</si>
  <si>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</si>
  <si>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</si>
  <si>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</si>
  <si>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</si>
  <si>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</si>
  <si>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</si>
  <si>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</si>
  <si>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</si>
  <si>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</si>
  <si>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</si>
  <si>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</si>
  <si>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</si>
  <si>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</si>
  <si>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</si>
  <si>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</si>
  <si>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</si>
  <si>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</si>
  <si>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</si>
  <si>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</si>
  <si>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</si>
  <si>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</si>
  <si>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</si>
  <si>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</si>
  <si>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</si>
  <si>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</si>
  <si>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</si>
  <si>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</si>
  <si>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</si>
  <si>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</si>
  <si>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</si>
  <si>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</si>
  <si>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</si>
  <si>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</si>
  <si>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</si>
  <si>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</si>
  <si>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</si>
  <si>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</si>
  <si>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</si>
  <si>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</si>
  <si>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</si>
  <si>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</si>
  <si>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</si>
  <si>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</si>
  <si>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</si>
  <si>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</si>
  <si>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</si>
  <si>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</si>
  <si>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</si>
  <si>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</si>
  <si>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</si>
  <si>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</si>
  <si>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</si>
  <si>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</si>
  <si>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</si>
  <si>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</si>
  <si>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</si>
  <si>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</si>
  <si>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</si>
  <si>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</si>
  <si>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</si>
  <si>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</si>
  <si>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</si>
  <si>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</si>
  <si>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</si>
  <si>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</si>
  <si>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</si>
  <si>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</si>
  <si>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</si>
  <si>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</si>
  <si>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</si>
  <si>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</si>
  <si>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</si>
  <si>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</si>
  <si>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</si>
  <si>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</si>
  <si>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</si>
  <si>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</si>
  <si>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</si>
  <si>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</si>
  <si>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</si>
  <si>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</si>
  <si>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</si>
  <si>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</si>
  <si>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</si>
  <si>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</si>
  <si>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</si>
  <si>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</si>
  <si>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</si>
  <si>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</si>
  <si>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</si>
  <si>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</si>
  <si>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</si>
  <si>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</si>
  <si>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</si>
  <si>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</si>
  <si>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</si>
  <si>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</si>
  <si>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</si>
  <si>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</si>
  <si>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</si>
  <si>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</si>
  <si>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</si>
  <si>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</si>
  <si>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</si>
  <si>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</si>
  <si>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</si>
  <si>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</si>
  <si>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</si>
  <si>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</si>
  <si>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</si>
  <si>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</si>
  <si>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</si>
  <si>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</si>
  <si>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</si>
  <si>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</si>
  <si>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</si>
  <si>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</si>
  <si>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</si>
  <si>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</si>
  <si>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</si>
  <si>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</si>
  <si>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</si>
  <si>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</si>
  <si>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</si>
  <si>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</si>
  <si>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</si>
  <si>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</si>
  <si>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</si>
  <si>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</si>
  <si>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</si>
  <si>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</si>
  <si>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</si>
  <si>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</si>
  <si>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</si>
  <si>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</si>
  <si>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</si>
  <si>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</si>
  <si>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</si>
  <si>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</si>
  <si>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</si>
  <si>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</si>
  <si>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</si>
  <si>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</si>
  <si>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</si>
  <si>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</si>
  <si>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</si>
  <si>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</si>
  <si>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</si>
  <si>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</si>
  <si>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</si>
  <si>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</si>
  <si>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</si>
  <si>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</si>
  <si>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</si>
  <si>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</si>
  <si>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</si>
  <si>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</si>
  <si>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</si>
  <si>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</si>
  <si>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</si>
  <si>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</si>
  <si>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</si>
  <si>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</si>
  <si>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</si>
  <si>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</si>
  <si>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</si>
  <si>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</si>
  <si>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</si>
  <si>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</si>
  <si>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</si>
  <si>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</si>
  <si>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</si>
  <si>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</si>
  <si>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</si>
  <si>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</si>
  <si>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</si>
  <si>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</si>
  <si>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</si>
  <si>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</si>
  <si>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</si>
  <si>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</si>
  <si>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</si>
  <si>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</si>
  <si>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</si>
  <si>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</si>
  <si>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</si>
  <si>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</si>
  <si>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</si>
  <si>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</si>
  <si>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</si>
  <si>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</si>
  <si>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</si>
  <si>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</si>
  <si>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</si>
  <si>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</si>
  <si>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</si>
  <si>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</si>
  <si>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</si>
  <si>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</si>
  <si>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</si>
  <si>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</si>
  <si>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</si>
  <si>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</si>
  <si>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</si>
  <si>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</si>
  <si>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</si>
  <si>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</si>
  <si>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</si>
  <si>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</si>
  <si>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</si>
  <si>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</si>
  <si>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</si>
  <si>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</si>
  <si>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</si>
  <si>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</si>
  <si>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</si>
  <si>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</si>
  <si>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</si>
  <si>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</si>
  <si>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</si>
  <si>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</si>
  <si>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</si>
  <si>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</si>
  <si>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</si>
  <si>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</si>
  <si>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</si>
  <si>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</si>
  <si>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</si>
  <si>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</si>
  <si>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</si>
  <si>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</si>
  <si>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</si>
  <si>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</si>
  <si>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</si>
  <si>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</si>
  <si>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</si>
  <si>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</si>
  <si>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</si>
  <si>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</si>
  <si>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</si>
  <si>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</si>
  <si>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</si>
  <si>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</si>
  <si>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</si>
  <si>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</si>
  <si>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</si>
  <si>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</si>
  <si>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</si>
  <si>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</si>
  <si>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</si>
  <si>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</si>
  <si>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</si>
  <si>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</si>
  <si>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</si>
  <si>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</si>
  <si>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</si>
  <si>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</si>
  <si>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</si>
  <si>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</si>
  <si>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</si>
  <si>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</si>
  <si>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</si>
  <si>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</si>
  <si>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</si>
  <si>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</si>
  <si>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</si>
  <si>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</si>
  <si>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</si>
  <si>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</si>
  <si>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</si>
  <si>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</si>
  <si>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</si>
  <si>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</si>
  <si>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</si>
  <si>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</si>
  <si>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</si>
  <si>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</si>
  <si>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</si>
  <si>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</si>
  <si>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</si>
  <si>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</si>
  <si>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</si>
  <si>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</si>
  <si>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</si>
  <si>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</si>
  <si>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</si>
  <si>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</si>
  <si>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</si>
  <si>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</si>
  <si>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</si>
  <si>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</si>
  <si>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</si>
  <si>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</si>
  <si>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</si>
  <si>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</si>
  <si>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</si>
  <si>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</si>
  <si>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</si>
  <si>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</si>
  <si>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</si>
  <si>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</si>
  <si>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</si>
  <si>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</si>
  <si>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</si>
  <si>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</si>
  <si>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</si>
  <si>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</si>
  <si>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</si>
  <si>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</si>
  <si>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</si>
  <si>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</si>
  <si>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</si>
  <si>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</si>
  <si>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</si>
  <si>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</si>
  <si>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</si>
  <si>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</si>
  <si>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</si>
  <si>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</si>
  <si>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</si>
  <si>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</si>
  <si>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</si>
  <si>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</si>
  <si>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</si>
  <si>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</si>
  <si>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</si>
  <si>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</si>
  <si>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</si>
  <si>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</si>
  <si>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</si>
  <si>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</si>
  <si>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</si>
  <si>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</si>
  <si>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</si>
  <si>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</si>
  <si>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</si>
  <si>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</si>
  <si>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</si>
  <si>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</si>
  <si>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</si>
  <si>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</si>
  <si>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</si>
  <si>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</si>
  <si>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</si>
  <si>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</si>
  <si>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</si>
  <si>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</si>
  <si>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</si>
  <si>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</si>
  <si>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</si>
  <si>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</si>
  <si>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</si>
  <si>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</si>
  <si>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</si>
  <si>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</si>
  <si>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</si>
  <si>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</si>
  <si>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</si>
  <si>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</si>
  <si>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</si>
  <si>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</si>
  <si>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</si>
  <si>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</si>
  <si>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</si>
  <si>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</si>
  <si>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</si>
  <si>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</si>
  <si>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</si>
  <si>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</si>
  <si>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</si>
  <si>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</si>
  <si>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</si>
  <si>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</si>
  <si>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</si>
  <si>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</si>
  <si>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</si>
  <si>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</si>
  <si>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</si>
  <si>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</si>
  <si>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</si>
  <si>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</si>
  <si>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</si>
  <si>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</si>
  <si>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</si>
  <si>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</si>
  <si>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</si>
  <si>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</si>
  <si>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</si>
  <si>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</si>
  <si>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</si>
  <si>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</si>
  <si>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</si>
  <si>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</si>
  <si>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</si>
  <si>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</si>
  <si>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</si>
  <si>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</si>
  <si>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</si>
  <si>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</si>
  <si>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</si>
  <si>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</si>
  <si>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</si>
  <si>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</si>
  <si>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</si>
  <si>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</si>
  <si>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</si>
  <si>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</si>
  <si>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</si>
  <si>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</si>
  <si>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</si>
  <si>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</si>
  <si>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</si>
  <si>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</si>
  <si>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</si>
  <si>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</si>
  <si>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</si>
  <si>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</si>
  <si>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</si>
  <si>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</si>
  <si>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</si>
  <si>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</si>
  <si>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</si>
  <si>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</si>
  <si>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</si>
  <si>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</si>
  <si>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</si>
  <si>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</si>
  <si>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</si>
  <si>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</si>
  <si>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</si>
  <si>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</si>
  <si>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</si>
  <si>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</si>
  <si>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</si>
  <si>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</si>
  <si>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</si>
  <si>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</si>
  <si>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</si>
  <si>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</si>
  <si>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</si>
  <si>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</si>
  <si>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</si>
  <si>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</si>
  <si>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</si>
  <si>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</si>
  <si>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</si>
  <si>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</si>
  <si>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</si>
  <si>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</si>
  <si>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</si>
  <si>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</si>
  <si>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</si>
  <si>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</si>
  <si>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</si>
  <si>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</si>
  <si>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</si>
  <si>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</si>
  <si>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</si>
  <si>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</si>
  <si>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</si>
  <si>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</si>
  <si>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</si>
  <si>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</si>
  <si>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</si>
  <si>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</si>
  <si>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</si>
  <si>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</si>
  <si>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</si>
  <si>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</si>
  <si>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</si>
  <si>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</si>
  <si>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</si>
  <si>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</si>
  <si>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</si>
  <si>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</si>
  <si>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</si>
  <si>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</si>
  <si>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</si>
  <si>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</si>
  <si>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</si>
  <si>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</si>
  <si>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</si>
  <si>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</si>
  <si>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</si>
  <si>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</si>
  <si>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</si>
  <si>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</si>
  <si>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</si>
  <si>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</si>
  <si>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</si>
  <si>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</si>
  <si>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</si>
  <si>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</si>
  <si>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</si>
  <si>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</si>
  <si>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</si>
  <si>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</si>
  <si>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</si>
  <si>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</si>
  <si>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</si>
  <si>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</si>
  <si>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</si>
  <si>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</si>
  <si>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</si>
  <si>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</si>
  <si>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</si>
  <si>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</si>
  <si>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</si>
  <si>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</si>
  <si>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</si>
  <si>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</si>
  <si>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</si>
  <si>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</si>
  <si>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</si>
  <si>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</si>
  <si>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</si>
  <si>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</si>
  <si>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</si>
  <si>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</si>
  <si>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</si>
  <si>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</si>
  <si>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</si>
  <si>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</si>
  <si>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</si>
  <si>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</si>
  <si>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</si>
  <si>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</si>
  <si>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</si>
  <si>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</si>
  <si>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</si>
  <si>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</si>
  <si>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</si>
  <si>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</si>
  <si>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</si>
  <si>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</si>
  <si>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</si>
  <si>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</si>
  <si>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</si>
  <si>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</si>
  <si>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</si>
  <si>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</si>
  <si>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</si>
  <si>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</si>
  <si>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</si>
  <si>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</si>
  <si>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</si>
  <si>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</si>
  <si>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</si>
  <si>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</si>
  <si>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</si>
  <si>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</si>
  <si>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</si>
  <si>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</si>
  <si>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</si>
  <si>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</si>
  <si>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</si>
  <si>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</si>
  <si>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</si>
  <si>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</si>
  <si>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</si>
  <si>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</si>
  <si>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</si>
  <si>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</si>
  <si>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</si>
  <si>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</si>
  <si>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</si>
  <si>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</si>
  <si>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</si>
  <si>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</si>
  <si>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</si>
  <si>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</si>
  <si>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</si>
  <si>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</si>
  <si>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</si>
  <si>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</si>
  <si>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</si>
  <si>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</si>
  <si>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</si>
  <si>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</si>
  <si>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</si>
  <si>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</si>
  <si>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</si>
  <si>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</si>
  <si>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</si>
  <si>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</si>
  <si>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</si>
  <si>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</si>
  <si>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</si>
  <si>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</si>
  <si>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</si>
  <si>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</si>
  <si>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</si>
  <si>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</si>
  <si>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</si>
  <si>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</si>
  <si>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</si>
  <si>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</si>
  <si>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</si>
  <si>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</si>
  <si>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</si>
  <si>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</si>
  <si>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</si>
  <si>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</si>
  <si>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</si>
  <si>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</si>
  <si>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</si>
  <si>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</si>
  <si>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</si>
  <si>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</si>
  <si>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</si>
  <si>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</si>
  <si>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</si>
  <si>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</si>
  <si>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</si>
  <si>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</si>
  <si>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</si>
  <si>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</si>
  <si>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</si>
  <si>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</si>
  <si>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</si>
  <si>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</si>
  <si>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</si>
  <si>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</si>
  <si>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</si>
  <si>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</si>
  <si>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</si>
  <si>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</si>
  <si>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</si>
  <si>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</si>
  <si>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</si>
  <si>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</si>
  <si>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</si>
  <si>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</si>
  <si>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</si>
  <si>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</si>
  <si>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</si>
  <si>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</si>
  <si>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</si>
  <si>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</si>
  <si>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</si>
  <si>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</si>
  <si>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</si>
  <si>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</si>
  <si>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</si>
  <si>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</si>
  <si>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</si>
  <si>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</si>
  <si>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</si>
  <si>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</si>
  <si>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</si>
  <si>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</si>
  <si>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</si>
  <si>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</si>
  <si>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</si>
  <si>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</si>
  <si>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</si>
  <si>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</si>
  <si>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</si>
  <si>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</si>
  <si>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</si>
  <si>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</si>
  <si>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</si>
  <si>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</si>
  <si>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</si>
  <si>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</si>
  <si>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</si>
  <si>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</si>
  <si>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</si>
  <si>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</si>
  <si>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</si>
  <si>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</si>
  <si>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</si>
  <si>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</si>
  <si>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</si>
  <si>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</si>
  <si>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</si>
  <si>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</si>
  <si>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</si>
  <si>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</si>
  <si>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</si>
  <si>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</si>
  <si>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</si>
  <si>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</si>
  <si>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</si>
  <si>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</si>
  <si>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</si>
  <si>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</si>
  <si>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</si>
  <si>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</si>
  <si>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</si>
  <si>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</si>
  <si>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</si>
  <si>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</si>
  <si>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</si>
  <si>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</si>
  <si>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</si>
  <si>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</si>
  <si>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</si>
  <si>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</si>
  <si>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</si>
  <si>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</si>
  <si>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</si>
  <si>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</si>
  <si>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</si>
  <si>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</si>
  <si>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</si>
  <si>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</si>
  <si>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</si>
  <si>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</si>
  <si>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</si>
  <si>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</si>
  <si>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</si>
  <si>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</si>
  <si>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</si>
  <si>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</si>
  <si>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</si>
  <si>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</si>
  <si>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</si>
  <si>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</si>
  <si>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</si>
  <si>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</si>
  <si>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</si>
  <si>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</si>
  <si>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</si>
  <si>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</si>
  <si>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</si>
  <si>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</si>
  <si>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</si>
  <si>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</si>
  <si>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</si>
  <si>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</si>
  <si>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</si>
  <si>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</si>
  <si>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</si>
  <si>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</si>
  <si>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</si>
  <si>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</si>
  <si>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</si>
  <si>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</si>
  <si>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</si>
  <si>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</si>
  <si>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</si>
  <si>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</si>
  <si>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</si>
  <si>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</si>
  <si>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</si>
  <si>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</si>
  <si>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</si>
  <si>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</si>
  <si>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</si>
  <si>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</si>
  <si>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</si>
  <si>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</si>
  <si>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</si>
  <si>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</si>
  <si>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</si>
  <si>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</si>
  <si>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</si>
  <si>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</si>
  <si>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</si>
  <si>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</si>
  <si>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</si>
  <si>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</si>
  <si>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</si>
  <si>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</si>
  <si>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</si>
  <si>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</si>
  <si>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</si>
  <si>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</si>
  <si>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</si>
  <si>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</si>
  <si>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</si>
  <si>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</si>
  <si>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</si>
  <si>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</si>
  <si>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</si>
  <si>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</si>
  <si>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</si>
  <si>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</si>
  <si>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</si>
  <si>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</si>
  <si>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</si>
  <si>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</si>
  <si>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</si>
  <si>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</si>
  <si>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</si>
  <si>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</si>
  <si>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</si>
  <si>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</si>
  <si>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</si>
  <si>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</si>
  <si>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</si>
  <si>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</si>
  <si>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</si>
  <si>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</si>
  <si>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</si>
  <si>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</si>
  <si>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</si>
  <si>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</si>
  <si>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</si>
  <si>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</si>
  <si>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</si>
  <si>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</si>
  <si>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</si>
  <si>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</si>
  <si>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</si>
  <si>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</si>
  <si>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</si>
  <si>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</si>
  <si>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</si>
  <si>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</si>
  <si>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</si>
  <si>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</si>
  <si>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</si>
  <si>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</si>
  <si>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</si>
  <si>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</si>
  <si>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</si>
  <si>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</si>
  <si>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</si>
  <si>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</si>
  <si>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</si>
  <si>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</si>
  <si>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</si>
  <si>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</si>
  <si>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</si>
  <si>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</si>
  <si>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</si>
  <si>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</si>
  <si>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</si>
  <si>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</si>
  <si>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</si>
  <si>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</si>
  <si>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</si>
  <si>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</si>
  <si>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</si>
  <si>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</si>
  <si>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</si>
  <si>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</si>
  <si>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</si>
  <si>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</si>
  <si>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</si>
  <si>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</si>
  <si>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</si>
  <si>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</si>
  <si>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</si>
  <si>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</si>
  <si>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</si>
  <si>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</si>
  <si>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</si>
  <si>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</si>
  <si>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</si>
  <si>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</si>
  <si>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</si>
  <si>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</si>
  <si>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</si>
  <si>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</si>
  <si>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</si>
  <si>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</si>
  <si>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</si>
  <si>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</si>
  <si>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</si>
  <si>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</si>
  <si>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</si>
  <si>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</si>
  <si>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</si>
  <si>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</si>
  <si>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</si>
  <si>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</si>
  <si>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</si>
  <si>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</si>
  <si>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</si>
  <si>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</si>
  <si>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</si>
  <si>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</si>
  <si>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</si>
  <si>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</si>
  <si>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</si>
  <si>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</si>
  <si>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</si>
  <si>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</si>
  <si>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</si>
  <si>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</si>
  <si>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</si>
  <si>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</si>
  <si>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</si>
  <si>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</si>
  <si>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</si>
  <si>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</si>
  <si>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</si>
  <si>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</si>
  <si>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</si>
  <si>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</si>
  <si>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</si>
  <si>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</si>
  <si>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</si>
  <si>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</si>
  <si>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</si>
  <si>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</si>
  <si>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</si>
  <si>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</si>
  <si>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</si>
  <si>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</si>
  <si>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</si>
  <si>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</si>
  <si>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</si>
  <si>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</si>
  <si>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</si>
  <si>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</si>
  <si>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</si>
  <si>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</si>
  <si>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</si>
  <si>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</si>
  <si>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</si>
  <si>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</si>
  <si>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</si>
  <si>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</si>
  <si>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</si>
  <si>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</si>
  <si>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</si>
  <si>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</si>
  <si>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</si>
  <si>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</si>
  <si>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</si>
  <si>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</si>
  <si>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</si>
  <si>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</si>
  <si>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</si>
  <si>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</si>
  <si>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</si>
  <si>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</si>
  <si>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</si>
  <si>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</si>
  <si>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</si>
  <si>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</si>
  <si>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</si>
  <si>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</si>
  <si>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</si>
  <si>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</si>
  <si>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</si>
  <si>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</si>
  <si>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</si>
  <si>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</si>
  <si>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</si>
  <si>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</si>
  <si>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</si>
  <si>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</si>
  <si>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</si>
  <si>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</si>
  <si>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</si>
  <si>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</si>
  <si>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</si>
  <si>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</si>
  <si>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</si>
  <si>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</si>
  <si>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</si>
  <si>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</si>
  <si>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</si>
  <si>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</si>
  <si>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</si>
  <si>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</si>
  <si>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</si>
  <si>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</si>
  <si>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</si>
  <si>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</si>
  <si>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</si>
  <si>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</si>
  <si>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</si>
  <si>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</si>
  <si>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</si>
  <si>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</si>
  <si>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</si>
  <si>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</si>
  <si>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</si>
  <si>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</si>
  <si>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</si>
  <si>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</si>
  <si>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</si>
  <si>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</si>
  <si>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</si>
  <si>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</si>
  <si>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</si>
  <si>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</si>
  <si>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</si>
  <si>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</si>
  <si>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</si>
  <si>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</si>
  <si>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</si>
  <si>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</si>
  <si>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</si>
  <si>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</si>
  <si>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</si>
  <si>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</si>
  <si>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</si>
  <si>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</si>
  <si>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</si>
  <si>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</si>
  <si>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</si>
  <si>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</si>
  <si>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</si>
  <si>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</si>
  <si>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</si>
  <si>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</si>
  <si>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</si>
  <si>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</si>
  <si>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</si>
  <si>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</si>
  <si>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</si>
  <si>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</si>
  <si>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</si>
  <si>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</si>
  <si>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</si>
  <si>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</si>
  <si>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</si>
  <si>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</si>
  <si>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</si>
  <si>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</si>
  <si>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</si>
  <si>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</si>
  <si>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</si>
  <si>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</si>
  <si>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</si>
  <si>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</si>
  <si>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</si>
  <si>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</si>
  <si>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</si>
  <si>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</si>
  <si>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</si>
  <si>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</si>
  <si>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</si>
  <si>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</si>
  <si>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</si>
  <si>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</si>
  <si>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</si>
  <si>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</si>
  <si>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</si>
  <si>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</si>
  <si>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</si>
  <si>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</si>
  <si>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</si>
  <si>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</si>
  <si>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</si>
  <si>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</si>
  <si>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</si>
  <si>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</si>
  <si>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</si>
  <si>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</si>
  <si>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</si>
  <si>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</si>
  <si>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</si>
  <si>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</si>
  <si>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</si>
  <si>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</si>
  <si>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</si>
  <si>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</si>
  <si>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</si>
  <si>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</si>
  <si>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</si>
  <si>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</si>
  <si>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</si>
  <si>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</si>
  <si>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</si>
  <si>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</si>
  <si>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</si>
  <si>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</si>
  <si>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</si>
  <si>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</si>
  <si>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</si>
  <si>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</si>
  <si>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</si>
  <si>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</si>
  <si>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</si>
  <si>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</si>
  <si>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</si>
  <si>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</si>
  <si>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</si>
  <si>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</si>
  <si>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</si>
  <si>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</si>
  <si>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</si>
  <si>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</si>
  <si>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</si>
  <si>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</si>
  <si>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</si>
  <si>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</si>
  <si>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</si>
  <si>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</si>
  <si>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</si>
  <si>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</si>
  <si>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</si>
  <si>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</si>
  <si>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</si>
  <si>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</si>
  <si>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</si>
  <si>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</si>
  <si>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</si>
  <si>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</si>
  <si>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</si>
  <si>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</si>
  <si>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</si>
  <si>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</si>
  <si>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</si>
  <si>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</si>
  <si>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</si>
  <si>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</si>
  <si>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</si>
  <si>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</si>
  <si>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</si>
  <si>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</si>
  <si>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</si>
  <si>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</si>
  <si>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</si>
  <si>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</si>
  <si>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</si>
  <si>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</si>
  <si>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</si>
  <si>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</si>
  <si>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</si>
  <si>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</si>
  <si>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</si>
  <si>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</si>
  <si>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</si>
  <si>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</si>
  <si>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</si>
  <si>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</si>
  <si>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</si>
  <si>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</si>
  <si>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</si>
  <si>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</si>
  <si>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</si>
  <si>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</si>
  <si>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</si>
  <si>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</si>
  <si>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</si>
  <si>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</si>
  <si>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</si>
  <si>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</si>
  <si>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</si>
  <si>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</si>
  <si>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</si>
  <si>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</si>
  <si>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</si>
  <si>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</si>
  <si>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</si>
  <si>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</si>
  <si>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</si>
  <si>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</si>
  <si>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</si>
  <si>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</si>
  <si>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</si>
  <si>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</si>
  <si>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</si>
  <si>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</si>
  <si>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</si>
  <si>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</si>
  <si>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</si>
  <si>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</si>
  <si>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</si>
  <si>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</si>
  <si>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</si>
  <si>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</si>
  <si>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</si>
  <si>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</si>
  <si>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</si>
  <si>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</si>
  <si>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</si>
  <si>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</si>
  <si>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</si>
  <si>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</si>
  <si>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</si>
  <si>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</si>
  <si>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</si>
  <si>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</si>
  <si>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</si>
  <si>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</si>
  <si>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</si>
  <si>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</si>
  <si>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</si>
  <si>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</si>
  <si>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</si>
  <si>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</si>
  <si>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</si>
  <si>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</si>
  <si>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</si>
  <si>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</si>
  <si>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</si>
  <si>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</si>
  <si>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</si>
  <si>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</si>
  <si>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</si>
  <si>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</si>
  <si>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</si>
  <si>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</si>
  <si>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</si>
  <si>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</si>
  <si>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</si>
  <si>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</si>
  <si>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</si>
  <si>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</si>
  <si>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</si>
  <si>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</si>
  <si>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</si>
  <si>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</si>
  <si>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</si>
  <si>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</si>
  <si>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</si>
  <si>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</si>
  <si>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</si>
  <si>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</si>
  <si>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</si>
  <si>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</si>
  <si>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</si>
  <si>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</si>
  <si>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</si>
  <si>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</si>
  <si>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</si>
  <si>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</si>
  <si>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</si>
  <si>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</si>
  <si>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</si>
  <si>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</si>
  <si>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</si>
  <si>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</si>
  <si>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</si>
  <si>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</si>
  <si>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</si>
  <si>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</si>
  <si>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</si>
  <si>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</si>
  <si>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</si>
  <si>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</si>
  <si>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</si>
  <si>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</si>
  <si>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</si>
  <si>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</si>
  <si>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</si>
  <si>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</si>
  <si>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</si>
  <si>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</si>
  <si>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</si>
  <si>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</si>
  <si>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</si>
  <si>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</si>
  <si>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</si>
  <si>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</si>
  <si>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</si>
  <si>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</si>
  <si>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</si>
  <si>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</si>
  <si>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</si>
  <si>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</si>
  <si>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</si>
  <si>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</si>
  <si>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</si>
  <si>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</si>
  <si>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</si>
  <si>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</si>
  <si>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</si>
  <si>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</si>
  <si>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</si>
  <si>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</si>
  <si>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</si>
  <si>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</si>
  <si>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</si>
  <si>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</si>
  <si>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</si>
  <si>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</si>
  <si>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</si>
  <si>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</si>
  <si>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</si>
  <si>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</si>
  <si>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</si>
  <si>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</si>
  <si>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</si>
  <si>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</si>
  <si>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</si>
  <si>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</si>
  <si>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</si>
  <si>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</si>
  <si>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</si>
  <si>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</si>
  <si>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</si>
  <si>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</si>
  <si>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</si>
  <si>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</si>
  <si>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</si>
  <si>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</si>
  <si>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</si>
  <si>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</si>
  <si>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</si>
  <si>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</si>
  <si>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</si>
  <si>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</si>
  <si>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</si>
  <si>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</si>
  <si>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</si>
  <si>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</si>
  <si>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</si>
  <si>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</si>
  <si>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</si>
  <si>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</si>
  <si>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</si>
  <si>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</si>
  <si>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</si>
  <si>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</si>
  <si>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</si>
  <si>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</si>
  <si>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</si>
  <si>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</si>
  <si>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</si>
  <si>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</si>
  <si>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</si>
  <si>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</si>
  <si>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</si>
  <si>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</si>
  <si>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</si>
  <si>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</si>
  <si>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</si>
  <si>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</si>
  <si>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</si>
  <si>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</si>
  <si>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</si>
  <si>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</si>
  <si>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</si>
  <si>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</si>
  <si>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</si>
  <si>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</si>
  <si>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</si>
  <si>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</si>
  <si>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</si>
  <si>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</si>
  <si>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</si>
  <si>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</si>
  <si>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</si>
  <si>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</si>
  <si>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</si>
  <si>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</si>
  <si>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</si>
  <si>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</si>
  <si>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</si>
  <si>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</si>
  <si>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</si>
  <si>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</si>
  <si>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</si>
  <si>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</si>
  <si>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</si>
  <si>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</si>
  <si>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</si>
  <si>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</si>
  <si>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</si>
  <si>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</si>
  <si>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</si>
  <si>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</si>
  <si>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</si>
  <si>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</si>
  <si>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</si>
  <si>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</si>
  <si>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</si>
  <si>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</si>
  <si>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</si>
  <si>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</si>
  <si>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</si>
  <si>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</si>
  <si>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</si>
  <si>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</si>
  <si>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</si>
  <si>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</si>
  <si>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</si>
  <si>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</si>
  <si>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</si>
  <si>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</si>
  <si>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</si>
  <si>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</si>
  <si>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</si>
  <si>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</si>
  <si>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</si>
  <si>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</si>
  <si>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</si>
  <si>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</si>
  <si>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</si>
  <si>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</si>
  <si>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</si>
  <si>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</si>
  <si>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</si>
  <si>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</si>
  <si>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</si>
  <si>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</si>
  <si>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</si>
  <si>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</si>
  <si>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</si>
  <si>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</si>
  <si>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</si>
  <si>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</si>
  <si>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</si>
  <si>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</si>
  <si>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</si>
  <si>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</si>
  <si>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</si>
  <si>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</si>
  <si>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</si>
  <si>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</si>
  <si>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</si>
  <si>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</si>
  <si>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</si>
  <si>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</si>
  <si>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</si>
  <si>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</si>
  <si>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</si>
  <si>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</si>
  <si>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</si>
  <si>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</si>
  <si>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</si>
  <si>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</si>
  <si>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</si>
  <si>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</si>
  <si>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</si>
  <si>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</si>
  <si>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</si>
  <si>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</si>
  <si>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</si>
  <si>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</si>
  <si>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</si>
  <si>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</si>
  <si>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</si>
  <si>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</si>
  <si>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</si>
  <si>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</si>
  <si>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</si>
  <si>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</si>
  <si>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</si>
  <si>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</si>
  <si>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</si>
  <si>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</si>
  <si>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</si>
  <si>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</si>
  <si>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</si>
  <si>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</si>
  <si>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</si>
  <si>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</si>
  <si>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</si>
  <si>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</si>
  <si>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</si>
  <si>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</si>
  <si>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</si>
  <si>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</si>
  <si>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</si>
  <si>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</si>
  <si>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</si>
  <si>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</si>
  <si>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</si>
  <si>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</si>
  <si>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</si>
  <si>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</si>
  <si>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</si>
  <si>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</si>
  <si>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</si>
  <si>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</si>
  <si>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</si>
  <si>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</si>
  <si>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</si>
  <si>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</si>
  <si>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</si>
  <si>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</si>
  <si>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</si>
  <si>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</si>
  <si>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</si>
  <si>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</si>
  <si>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</si>
  <si>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</si>
  <si>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</si>
  <si>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</si>
  <si>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</si>
  <si>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</si>
  <si>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</si>
  <si>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</si>
  <si>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</si>
  <si>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</si>
  <si>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</si>
  <si>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</si>
  <si>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</si>
  <si>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</si>
  <si>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</si>
  <si>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</si>
  <si>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</si>
  <si>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</si>
  <si>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</si>
  <si>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</si>
  <si>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</si>
  <si>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</si>
  <si>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</si>
  <si>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</si>
  <si>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</si>
  <si>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</si>
  <si>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</si>
  <si>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</si>
  <si>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</si>
  <si>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</si>
  <si>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</si>
  <si>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</si>
  <si>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</si>
  <si>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</si>
  <si>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</si>
  <si>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</si>
  <si>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</si>
  <si>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</si>
  <si>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</si>
  <si>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</si>
  <si>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</si>
  <si>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</si>
  <si>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</si>
  <si>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</si>
  <si>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</si>
  <si>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</si>
  <si>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</si>
  <si>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</si>
  <si>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</si>
  <si>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</si>
  <si>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</si>
  <si>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</si>
  <si>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</si>
  <si>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</si>
  <si>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</si>
  <si>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</si>
  <si>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</si>
  <si>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</si>
  <si>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</si>
  <si>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</si>
  <si>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</si>
  <si>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</si>
  <si>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</si>
  <si>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</si>
  <si>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</si>
  <si>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</si>
  <si>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</si>
  <si>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</si>
  <si>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</si>
  <si>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</si>
  <si>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</si>
  <si>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</si>
  <si>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</si>
  <si>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</si>
  <si>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</si>
  <si>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</si>
  <si>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</si>
  <si>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</si>
  <si>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</si>
  <si>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</si>
  <si>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</si>
  <si>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</si>
  <si>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</si>
  <si>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</si>
  <si>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</si>
  <si>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</si>
  <si>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</si>
  <si>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</si>
  <si>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</si>
  <si>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</si>
  <si>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</si>
  <si>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</si>
  <si>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</si>
  <si>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</si>
  <si>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</si>
  <si>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</si>
  <si>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</si>
  <si>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</si>
  <si>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</si>
  <si>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</si>
  <si>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</si>
  <si>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</si>
  <si>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</si>
  <si>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</si>
  <si>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</si>
  <si>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</si>
  <si>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</si>
  <si>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</si>
  <si>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</si>
  <si>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</si>
  <si>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</si>
  <si>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</si>
  <si>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</si>
  <si>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</si>
  <si>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</si>
  <si>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</si>
  <si>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</si>
  <si>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</si>
  <si>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</si>
  <si>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</si>
  <si>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</si>
  <si>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</si>
  <si>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</si>
  <si>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</si>
  <si>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</si>
  <si>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</si>
  <si>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</si>
  <si>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</si>
  <si>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</si>
  <si>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</si>
  <si>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</si>
  <si>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</si>
  <si>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</si>
  <si>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</si>
  <si>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</si>
  <si>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</si>
  <si>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</si>
  <si>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</si>
  <si>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</si>
  <si>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</si>
  <si>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</si>
  <si>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</si>
  <si>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</si>
  <si>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</si>
  <si>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</si>
  <si>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</si>
  <si>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</si>
  <si>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</si>
  <si>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</si>
  <si>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</si>
  <si>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</si>
  <si>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</si>
  <si>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</si>
  <si>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</si>
  <si>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</si>
  <si>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</si>
  <si>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</si>
  <si>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</si>
  <si>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</si>
  <si>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</si>
  <si>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</si>
  <si>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</si>
  <si>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</si>
  <si>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</si>
  <si>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</si>
  <si>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</si>
  <si>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</si>
  <si>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</si>
  <si>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</si>
  <si>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</si>
  <si>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</si>
  <si>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</si>
  <si>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</si>
  <si>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</si>
  <si>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</si>
  <si>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</si>
  <si>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</si>
  <si>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</si>
  <si>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</si>
  <si>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</si>
  <si>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</si>
  <si>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</si>
  <si>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</si>
  <si>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</si>
  <si>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</si>
  <si>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</si>
  <si>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</si>
  <si>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</si>
  <si>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</si>
  <si>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</si>
  <si>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</si>
  <si>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</si>
  <si>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</si>
  <si>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</si>
  <si>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</si>
  <si>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</si>
  <si>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</si>
  <si>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</si>
  <si>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</si>
  <si>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</si>
  <si>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</si>
  <si>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</si>
  <si>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</si>
  <si>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</si>
  <si>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</si>
  <si>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</si>
  <si>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</si>
  <si>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</si>
  <si>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</si>
  <si>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</si>
  <si>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</si>
  <si>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</si>
  <si>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</si>
  <si>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</si>
  <si>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</si>
  <si>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</si>
  <si>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</si>
  <si>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</si>
  <si>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</si>
  <si>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</si>
  <si>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</si>
  <si>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</si>
  <si>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</si>
  <si>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</si>
  <si>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</si>
  <si>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</si>
  <si>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</si>
  <si>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</si>
  <si>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</si>
  <si>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</si>
  <si>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</si>
  <si>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</si>
  <si>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</si>
  <si>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</si>
  <si>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</si>
  <si>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</si>
  <si>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</si>
  <si>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</si>
  <si>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</si>
  <si>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</si>
  <si>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</si>
  <si>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</si>
  <si>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</si>
  <si>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</si>
  <si>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</si>
  <si>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</si>
  <si>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</si>
  <si>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</si>
  <si>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</si>
  <si>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</si>
  <si>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</si>
  <si>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</si>
  <si>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</si>
  <si>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</si>
  <si>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</si>
  <si>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</si>
  <si>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</si>
  <si>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</si>
  <si>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</si>
  <si>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</si>
  <si>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</si>
  <si>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</si>
  <si>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</si>
  <si>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</si>
  <si>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</si>
  <si>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</si>
  <si>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</si>
  <si>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</si>
  <si>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</si>
  <si>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</si>
  <si>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</si>
  <si>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</si>
  <si>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</si>
  <si>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</si>
  <si>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</si>
  <si>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</si>
  <si>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</si>
  <si>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</si>
  <si>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</si>
  <si>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</si>
  <si>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</si>
  <si>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</si>
  <si>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</si>
  <si>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</si>
  <si>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</si>
  <si>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</si>
  <si>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</si>
  <si>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</si>
  <si>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</si>
  <si>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</si>
  <si>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</si>
  <si>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</si>
  <si>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</si>
  <si>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</si>
  <si>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</si>
  <si>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</si>
  <si>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</si>
  <si>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</si>
  <si>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</si>
  <si>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</si>
  <si>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</si>
  <si>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</si>
  <si>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</si>
  <si>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</si>
  <si>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</si>
  <si>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</si>
  <si>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</si>
  <si>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</si>
  <si>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</si>
  <si>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</si>
  <si>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</si>
  <si>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</si>
  <si>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</si>
  <si>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</si>
  <si>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</si>
  <si>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</si>
  <si>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</si>
  <si>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</si>
  <si>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</si>
  <si>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</si>
  <si>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</si>
  <si>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</si>
  <si>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</si>
  <si>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</si>
  <si>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</si>
  <si>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</si>
  <si>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</si>
  <si>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</si>
  <si>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</si>
  <si>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</si>
  <si>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</si>
  <si>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</si>
  <si>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</si>
  <si>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</si>
  <si>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</si>
  <si>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</si>
  <si>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</si>
  <si>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</si>
  <si>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</si>
  <si>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</si>
  <si>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</si>
  <si>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</si>
  <si>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</si>
  <si>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</si>
  <si>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</si>
  <si>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</si>
  <si>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</si>
  <si>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</si>
  <si>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</si>
  <si>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</si>
  <si>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</si>
  <si>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</si>
  <si>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</si>
  <si>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</si>
  <si>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</si>
  <si>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</si>
  <si>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</si>
  <si>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</si>
  <si>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</si>
  <si>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</si>
  <si>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</si>
  <si>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</si>
  <si>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</si>
  <si>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</si>
  <si>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</si>
  <si>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</si>
  <si>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</si>
  <si>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</si>
  <si>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</si>
  <si>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</si>
  <si>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</si>
  <si>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</si>
  <si>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</si>
  <si>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</si>
  <si>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</si>
  <si>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</si>
  <si>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</si>
  <si>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</si>
  <si>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</si>
  <si>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</si>
  <si>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</si>
  <si>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</si>
  <si>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</si>
  <si>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</si>
  <si>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</si>
  <si>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</si>
  <si>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</si>
  <si>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</si>
  <si>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</si>
  <si>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</si>
  <si>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</si>
  <si>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</si>
  <si>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</si>
  <si>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</si>
  <si>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</si>
  <si>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</si>
  <si>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</si>
  <si>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</si>
  <si>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</si>
  <si>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</si>
  <si>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</si>
  <si>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</si>
  <si>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</si>
  <si>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</si>
  <si>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</si>
  <si>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</si>
  <si>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</si>
  <si>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</si>
  <si>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</si>
  <si>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</si>
  <si>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</si>
  <si>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</si>
  <si>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</si>
  <si>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</si>
  <si>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</si>
  <si>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</si>
  <si>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</si>
  <si>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</si>
  <si>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</si>
  <si>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</si>
  <si>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</si>
  <si>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</si>
  <si>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</si>
  <si>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</si>
  <si>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</si>
  <si>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</si>
  <si>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</si>
  <si>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</si>
  <si>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</si>
  <si>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</si>
  <si>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</si>
  <si>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</si>
  <si>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</si>
  <si>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</si>
  <si>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</si>
  <si>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</si>
  <si>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</si>
  <si>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</si>
  <si>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</si>
  <si>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</si>
  <si>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</si>
  <si>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</si>
  <si>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</si>
  <si>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</si>
  <si>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</si>
  <si>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</si>
  <si>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</si>
  <si>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</si>
  <si>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</si>
  <si>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</si>
  <si>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</si>
  <si>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</si>
  <si>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</si>
  <si>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</si>
  <si>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</si>
  <si>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</si>
  <si>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</si>
  <si>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</si>
  <si>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</si>
  <si>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</si>
  <si>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</si>
  <si>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</si>
  <si>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</si>
  <si>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</si>
  <si>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</si>
  <si>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</si>
  <si>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</si>
  <si>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</si>
  <si>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</si>
  <si>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</si>
  <si>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</si>
  <si>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</si>
  <si>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</si>
  <si>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</si>
  <si>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</si>
  <si>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</si>
  <si>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</si>
  <si>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</si>
  <si>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</si>
  <si>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</si>
  <si>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</si>
  <si>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</si>
  <si>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</si>
  <si>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</si>
  <si>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</si>
  <si>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</si>
  <si>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</si>
  <si>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</si>
  <si>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</si>
  <si>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</si>
  <si>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</si>
  <si>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</si>
  <si>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</si>
  <si>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</si>
  <si>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</si>
  <si>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</si>
  <si>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</si>
  <si>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</si>
  <si>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</si>
  <si>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</si>
  <si>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</si>
  <si>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</si>
  <si>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</si>
  <si>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</si>
  <si>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</si>
  <si>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</si>
  <si>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</si>
  <si>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</si>
  <si>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</si>
  <si>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</si>
  <si>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</si>
  <si>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</si>
  <si>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</si>
  <si>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</si>
  <si>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</si>
  <si>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</si>
  <si>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</si>
  <si>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</si>
  <si>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</si>
  <si>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</si>
  <si>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</si>
  <si>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</si>
  <si>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</si>
  <si>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</si>
  <si>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</si>
  <si>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</si>
  <si>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</si>
  <si>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</si>
  <si>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</si>
  <si>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</si>
  <si>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</si>
  <si>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</si>
  <si>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</si>
  <si>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</si>
  <si>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</si>
  <si>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</si>
  <si>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</si>
  <si>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</si>
  <si>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</si>
  <si>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</si>
  <si>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</si>
  <si>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</si>
  <si>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</si>
  <si>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</si>
  <si>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</si>
  <si>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</si>
  <si>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</si>
  <si>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</si>
  <si>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</si>
  <si>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</si>
  <si>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</si>
  <si>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</si>
  <si>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</si>
  <si>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</si>
  <si>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</si>
  <si>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</si>
  <si>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</si>
  <si>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</si>
  <si>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</si>
  <si>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</si>
  <si>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</si>
  <si>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</si>
  <si>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</si>
  <si>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</si>
  <si>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</si>
  <si>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</si>
  <si>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</si>
  <si>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</si>
  <si>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</si>
  <si>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</si>
  <si>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</si>
  <si>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</si>
  <si>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</si>
  <si>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</si>
  <si>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</si>
  <si>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</si>
  <si>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</si>
  <si>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</si>
  <si>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</si>
  <si>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</si>
  <si>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</si>
  <si>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</si>
  <si>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</si>
  <si>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</si>
  <si>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</si>
  <si>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</si>
  <si>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</si>
  <si>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</si>
  <si>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</si>
  <si>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</si>
  <si>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</si>
  <si>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</si>
  <si>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</si>
  <si>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</si>
  <si>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</si>
  <si>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</si>
  <si>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</si>
  <si>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</si>
  <si>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</si>
  <si>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</si>
  <si>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</si>
  <si>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</si>
  <si>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</si>
  <si>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</si>
  <si>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</si>
  <si>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</si>
  <si>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</si>
  <si>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</si>
  <si>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</si>
  <si>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</si>
  <si>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</si>
  <si>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</si>
  <si>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</si>
  <si>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</si>
  <si>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</si>
  <si>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</si>
  <si>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</si>
  <si>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</si>
  <si>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</si>
  <si>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</si>
  <si>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</si>
  <si>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</si>
  <si>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</si>
  <si>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</si>
  <si>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</si>
  <si>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</si>
  <si>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</si>
  <si>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</si>
  <si>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</si>
  <si>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</si>
  <si>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</si>
  <si>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</si>
  <si>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</si>
  <si>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</si>
  <si>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</si>
  <si>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</si>
  <si>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</si>
  <si>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</si>
  <si>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</si>
  <si>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</si>
  <si>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</si>
  <si>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</si>
  <si>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</si>
  <si>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</si>
  <si>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</si>
  <si>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</si>
  <si>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</si>
  <si>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</si>
  <si>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</si>
  <si>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</si>
  <si>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</si>
  <si>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</si>
  <si>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</si>
  <si>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</si>
  <si>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</si>
  <si>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</si>
  <si>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</si>
  <si>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</si>
  <si>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</si>
  <si>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</si>
  <si>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</si>
  <si>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</si>
  <si>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</si>
  <si>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</si>
  <si>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</si>
  <si>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</si>
  <si>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</si>
  <si>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</si>
  <si>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</si>
  <si>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</si>
  <si>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</si>
  <si>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</si>
  <si>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</si>
  <si>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</si>
  <si>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</si>
  <si>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</si>
  <si>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</si>
  <si>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</si>
  <si>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</si>
  <si>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</si>
  <si>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</si>
  <si>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</si>
  <si>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</si>
  <si>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</si>
  <si>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</si>
  <si>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</si>
  <si>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</si>
  <si>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</si>
  <si>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</si>
  <si>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</si>
  <si>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</si>
  <si>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</si>
  <si>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</si>
  <si>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</si>
  <si>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</si>
  <si>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</si>
  <si>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</si>
  <si>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</si>
  <si>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</si>
  <si>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</si>
  <si>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</si>
  <si>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</si>
  <si>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</si>
  <si>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</si>
  <si>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</si>
  <si>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</si>
  <si>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</si>
  <si>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</si>
  <si>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</si>
  <si>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</si>
  <si>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</si>
  <si>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</si>
  <si>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</si>
  <si>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</si>
  <si>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</si>
  <si>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</si>
  <si>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</si>
  <si>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</si>
  <si>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</si>
  <si>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</si>
  <si>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</si>
  <si>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</si>
  <si>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</si>
  <si>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</si>
  <si>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</si>
  <si>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</si>
  <si>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</si>
  <si>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</si>
  <si>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</si>
  <si>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</si>
  <si>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</si>
  <si>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</si>
  <si>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</si>
  <si>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</si>
  <si>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</si>
  <si>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</si>
  <si>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</si>
  <si>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</si>
  <si>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</si>
  <si>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</si>
  <si>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</si>
  <si>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</si>
  <si>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</si>
  <si>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</si>
  <si>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</si>
  <si>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</si>
  <si>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</si>
  <si>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</si>
  <si>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</si>
  <si>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</si>
  <si>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</si>
  <si>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</si>
  <si>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</si>
  <si>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</si>
  <si>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</si>
  <si>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</si>
  <si>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</si>
  <si>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</si>
  <si>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</si>
  <si>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</si>
  <si>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</si>
  <si>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</si>
  <si>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</si>
  <si>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</si>
  <si>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</si>
  <si>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</si>
  <si>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</si>
  <si>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</si>
  <si>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</si>
  <si>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</si>
  <si>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</si>
  <si>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</si>
  <si>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</si>
  <si>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</si>
  <si>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</si>
  <si>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</si>
  <si>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</si>
  <si>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</si>
  <si>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</si>
  <si>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</si>
  <si>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</si>
  <si>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</si>
  <si>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</si>
  <si>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</si>
  <si>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</si>
  <si>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</si>
  <si>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</si>
  <si>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</si>
  <si>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</si>
  <si>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</si>
  <si>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</si>
  <si>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</si>
  <si>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</si>
  <si>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</si>
  <si>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</si>
  <si>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</si>
  <si>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</si>
  <si>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</si>
  <si>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</si>
  <si>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</si>
  <si>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</si>
  <si>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</si>
  <si>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</si>
  <si>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</si>
  <si>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</si>
  <si>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</si>
  <si>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</si>
  <si>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</si>
  <si>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</si>
  <si>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</si>
  <si>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</si>
  <si>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</si>
  <si>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</si>
  <si>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</si>
  <si>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</si>
  <si>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</si>
  <si>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</si>
  <si>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</si>
  <si>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</si>
  <si>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</si>
  <si>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</si>
  <si>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</si>
  <si>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</si>
  <si>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</si>
  <si>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</si>
  <si>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</si>
  <si>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</si>
  <si>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</si>
  <si>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</si>
  <si>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</si>
  <si>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</si>
  <si>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</si>
  <si>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</si>
  <si>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</si>
  <si>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</si>
  <si>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</si>
  <si>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</si>
  <si>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</si>
  <si>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</si>
  <si>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</si>
  <si>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</si>
  <si>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</si>
  <si>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</si>
  <si>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</si>
  <si>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</si>
  <si>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</si>
  <si>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</si>
  <si>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</si>
  <si>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</si>
  <si>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</si>
  <si>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</si>
  <si>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</si>
  <si>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</si>
  <si>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</si>
  <si>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</si>
  <si>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</si>
  <si>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</si>
  <si>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</si>
  <si>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</si>
  <si>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</si>
  <si>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</si>
  <si>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</si>
  <si>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</si>
  <si>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</si>
  <si>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</si>
  <si>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</si>
  <si>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</si>
  <si>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</si>
  <si>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</si>
  <si>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</si>
  <si>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</si>
  <si>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</si>
  <si>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</si>
  <si>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</si>
  <si>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</si>
  <si>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</si>
  <si>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</si>
  <si>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</si>
  <si>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</si>
  <si>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</si>
  <si>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</si>
  <si>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</si>
  <si>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</si>
  <si>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</si>
  <si>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</si>
  <si>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</si>
  <si>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</si>
  <si>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</si>
  <si>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</si>
  <si>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</si>
  <si>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</si>
  <si>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</si>
  <si>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</si>
  <si>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</si>
  <si>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</si>
  <si>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</si>
  <si>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</si>
  <si>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</si>
  <si>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</si>
  <si>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</si>
  <si>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</si>
  <si>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</si>
  <si>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</si>
  <si>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</si>
  <si>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</si>
  <si>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</si>
  <si>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</si>
  <si>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</si>
  <si>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</si>
  <si>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</si>
  <si>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</si>
  <si>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</si>
  <si>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</si>
  <si>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</si>
  <si>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</si>
  <si>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</si>
  <si>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</si>
  <si>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</si>
  <si>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</si>
  <si>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</si>
  <si>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</si>
  <si>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</si>
  <si>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</si>
  <si>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</si>
  <si>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</si>
  <si>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</si>
  <si>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</si>
  <si>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</si>
  <si>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</si>
  <si>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</si>
  <si>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</si>
  <si>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</si>
  <si>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</si>
  <si>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</si>
  <si>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</si>
  <si>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</si>
  <si>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</si>
  <si>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</si>
  <si>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</si>
  <si>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</si>
  <si>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</si>
  <si>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</si>
  <si>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</si>
  <si>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</si>
  <si>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</si>
  <si>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</si>
  <si>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</si>
  <si>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</si>
  <si>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</si>
  <si>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</si>
  <si>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</si>
  <si>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</si>
  <si>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</si>
  <si>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</si>
  <si>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</si>
  <si>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</si>
  <si>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</si>
  <si>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</si>
  <si>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</si>
  <si>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</si>
  <si>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</si>
  <si>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</si>
  <si>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</si>
  <si>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</si>
  <si>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</si>
  <si>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</si>
  <si>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</si>
  <si>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</si>
  <si>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</si>
  <si>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</si>
  <si>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</si>
  <si>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</si>
  <si>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</si>
  <si>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</si>
  <si>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</si>
  <si>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</si>
  <si>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</si>
  <si>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</si>
  <si>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</si>
  <si>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</si>
  <si>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</si>
  <si>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</si>
  <si>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</si>
  <si>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</si>
  <si>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</si>
  <si>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</si>
  <si>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</si>
  <si>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</si>
  <si>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</si>
  <si>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</si>
  <si>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</si>
  <si>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</si>
  <si>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</si>
  <si>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</si>
  <si>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</si>
  <si>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</si>
  <si>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</si>
  <si>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</si>
  <si>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</si>
  <si>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</si>
  <si>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</si>
  <si>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</si>
  <si>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</si>
  <si>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</si>
  <si>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</si>
  <si>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</si>
  <si>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</si>
  <si>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</si>
  <si>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</si>
  <si>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</si>
  <si>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</si>
  <si>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</si>
  <si>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</si>
  <si>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</si>
  <si>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</si>
  <si>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</si>
  <si>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</si>
  <si>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</si>
  <si>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</si>
  <si>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</si>
  <si>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</si>
  <si>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</si>
  <si>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</si>
  <si>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</si>
  <si>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</si>
  <si>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</si>
  <si>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</si>
  <si>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</si>
  <si>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</si>
  <si>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</si>
  <si>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</si>
  <si>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</si>
  <si>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</si>
  <si>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</si>
  <si>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</si>
  <si>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</si>
  <si>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</si>
  <si>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</si>
  <si>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</si>
  <si>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</si>
  <si>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</si>
  <si>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</si>
  <si>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</si>
  <si>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</si>
  <si>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</si>
  <si>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</si>
  <si>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</si>
  <si>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</si>
  <si>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</si>
  <si>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</si>
  <si>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</si>
  <si>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</si>
  <si>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</si>
  <si>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</si>
  <si>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</si>
  <si>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</si>
  <si>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</si>
  <si>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</si>
  <si>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</si>
  <si>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</si>
  <si>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</si>
  <si>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</si>
  <si>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</si>
  <si>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</si>
  <si>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</si>
  <si>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</si>
  <si>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</si>
  <si>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</si>
  <si>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</si>
  <si>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</si>
  <si>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</si>
  <si>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</si>
  <si>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</si>
  <si>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</si>
  <si>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</si>
  <si>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</si>
  <si>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</si>
  <si>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</si>
  <si>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</si>
  <si>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</si>
  <si>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</si>
  <si>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</si>
  <si>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</si>
  <si>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</si>
  <si>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</si>
  <si>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</si>
  <si>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</si>
  <si>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</si>
  <si>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</si>
  <si>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</si>
  <si>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</si>
  <si>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</si>
  <si>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</si>
  <si>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</si>
  <si>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</si>
  <si>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</si>
  <si>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</si>
  <si>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</si>
  <si>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</si>
  <si>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</si>
  <si>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</si>
  <si>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</si>
  <si>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</si>
  <si>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</si>
  <si>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</si>
  <si>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</si>
  <si>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</si>
  <si>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</si>
  <si>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</si>
  <si>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</si>
  <si>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</si>
  <si>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</si>
  <si>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</si>
  <si>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</si>
  <si>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</si>
  <si>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</si>
  <si>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</si>
  <si>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</si>
  <si>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</si>
  <si>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</si>
  <si>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</si>
  <si>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</si>
  <si>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</si>
  <si>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</si>
  <si>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</si>
  <si>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</si>
  <si>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</si>
  <si>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</si>
  <si>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</si>
  <si>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</si>
  <si>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</si>
  <si>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</si>
  <si>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</si>
  <si>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</si>
  <si>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</si>
  <si>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</si>
  <si>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</si>
  <si>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</si>
  <si>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</si>
  <si>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</si>
  <si>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</si>
  <si>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</si>
  <si>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</si>
  <si>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</si>
  <si>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</si>
  <si>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</si>
  <si>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</si>
  <si>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</si>
  <si>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</si>
  <si>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</si>
  <si>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</si>
  <si>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</si>
  <si>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</si>
  <si>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</si>
  <si>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</si>
  <si>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</si>
  <si>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</si>
  <si>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</si>
  <si>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</si>
  <si>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</si>
  <si>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</si>
  <si>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</si>
  <si>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</si>
  <si>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</si>
  <si>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</si>
  <si>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</si>
  <si>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</si>
  <si>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</si>
  <si>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</si>
  <si>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</si>
  <si>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</si>
  <si>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</si>
  <si>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</si>
  <si>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</si>
  <si>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</si>
  <si>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</si>
  <si>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</si>
  <si>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</si>
  <si>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</si>
  <si>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</si>
  <si>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</si>
  <si>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</si>
  <si>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</si>
  <si>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</si>
  <si>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</si>
  <si>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</si>
  <si>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</si>
  <si>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</si>
  <si>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</si>
  <si>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</si>
  <si>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</si>
  <si>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</si>
  <si>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</si>
  <si>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</si>
  <si>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</si>
  <si>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</si>
  <si>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</si>
  <si>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</si>
  <si>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</si>
  <si>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</si>
  <si>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</si>
  <si>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</si>
  <si>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</si>
  <si>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</si>
  <si>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</si>
  <si>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</si>
  <si>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</si>
  <si>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</si>
  <si>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</si>
  <si>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</si>
  <si>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</si>
  <si>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</si>
  <si>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</si>
  <si>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</si>
  <si>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</si>
  <si>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</si>
  <si>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</si>
  <si>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</si>
  <si>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</si>
  <si>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</si>
  <si>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</si>
  <si>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</si>
  <si>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</si>
  <si>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</si>
  <si>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</si>
  <si>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</si>
  <si>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</si>
  <si>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</si>
  <si>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</si>
  <si>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</si>
  <si>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</si>
  <si>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</si>
  <si>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</si>
  <si>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</si>
  <si>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</si>
  <si>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</si>
  <si>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</si>
  <si>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</si>
  <si>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</si>
  <si>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</si>
  <si>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</si>
  <si>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</si>
  <si>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</si>
  <si>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</si>
  <si>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</si>
  <si>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</si>
  <si>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</si>
  <si>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</si>
  <si>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</si>
  <si>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</si>
  <si>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</si>
  <si>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</si>
  <si>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</si>
  <si>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</si>
  <si>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</si>
  <si>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</si>
  <si>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</si>
  <si>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</si>
  <si>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</si>
  <si>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</si>
  <si>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</si>
  <si>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</si>
  <si>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</si>
  <si>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</si>
  <si>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</si>
  <si>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</si>
  <si>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</si>
  <si>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</si>
  <si>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</si>
  <si>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</si>
  <si>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</si>
  <si>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</si>
  <si>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</si>
  <si>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</si>
  <si>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</si>
  <si>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</si>
  <si>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</si>
  <si>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</si>
  <si>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</si>
  <si>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</si>
  <si>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</si>
  <si>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</si>
  <si>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</si>
  <si>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</si>
  <si>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</si>
  <si>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</si>
  <si>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</si>
  <si>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</si>
  <si>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</si>
  <si>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</si>
  <si>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</si>
  <si>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</si>
  <si>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</si>
  <si>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</si>
  <si>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</si>
  <si>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</si>
  <si>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</si>
  <si>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</si>
  <si>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</si>
  <si>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</si>
  <si>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</si>
  <si>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</si>
  <si>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</si>
  <si>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</si>
  <si>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</si>
  <si>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</si>
  <si>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</si>
  <si>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</si>
  <si>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</si>
  <si>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</si>
  <si>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</si>
  <si>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</si>
  <si>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</si>
  <si>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</si>
  <si>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</si>
  <si>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</si>
  <si>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</si>
  <si>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</si>
  <si>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</si>
  <si>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</si>
  <si>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</si>
  <si>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</si>
  <si>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</si>
  <si>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</si>
  <si>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</si>
  <si>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</si>
  <si>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</si>
  <si>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</si>
  <si>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</si>
  <si>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</si>
  <si>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</si>
  <si>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</si>
  <si>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</si>
  <si>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</si>
  <si>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</si>
  <si>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</si>
  <si>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</si>
  <si>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</si>
  <si>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</si>
  <si>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</si>
  <si>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</si>
  <si>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</si>
  <si>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</si>
  <si>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</si>
  <si>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</si>
  <si>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</si>
  <si>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</si>
  <si>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</si>
  <si>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</si>
  <si>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</si>
  <si>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</si>
  <si>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</si>
  <si>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</si>
  <si>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</si>
  <si>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</si>
  <si>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</si>
  <si>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</si>
  <si>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</si>
  <si>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</si>
  <si>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</si>
  <si>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</si>
  <si>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</si>
  <si>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</si>
  <si>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</si>
  <si>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</si>
  <si>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</si>
  <si>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</si>
  <si>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</si>
  <si>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</si>
  <si>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</si>
  <si>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</si>
  <si>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</si>
  <si>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</si>
  <si>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</si>
  <si>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</si>
  <si>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</si>
  <si>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</si>
  <si>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</si>
  <si>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</si>
  <si>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</si>
  <si>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</si>
  <si>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</si>
  <si>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</si>
  <si>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</si>
  <si>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</si>
  <si>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</si>
  <si>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</si>
  <si>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</si>
  <si>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</si>
  <si>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</si>
  <si>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</si>
  <si>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</si>
  <si>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</si>
  <si>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</si>
  <si>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</si>
  <si>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</si>
  <si>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</si>
  <si>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</si>
  <si>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</si>
  <si>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</si>
  <si>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</si>
  <si>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</si>
  <si>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</si>
  <si>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</si>
  <si>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</si>
  <si>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</si>
  <si>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</si>
  <si>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</si>
  <si>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</si>
  <si>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</si>
  <si>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</si>
  <si>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</si>
  <si>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</si>
  <si>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</si>
  <si>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</si>
  <si>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</si>
  <si>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</si>
  <si>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</si>
  <si>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</si>
  <si>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</si>
  <si>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</si>
  <si>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</si>
  <si>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</si>
  <si>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</si>
  <si>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</si>
  <si>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</si>
  <si>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</si>
  <si>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</si>
  <si>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</si>
  <si>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</si>
  <si>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</si>
  <si>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</si>
  <si>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</si>
  <si>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</si>
  <si>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</si>
  <si>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</si>
  <si>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</si>
  <si>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</si>
  <si>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</si>
  <si>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</si>
  <si>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</si>
  <si>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</si>
  <si>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</si>
  <si>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</si>
  <si>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</si>
  <si>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</si>
  <si>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</si>
  <si>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</si>
  <si>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</si>
  <si>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</si>
  <si>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</si>
  <si>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</si>
  <si>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</si>
  <si>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</si>
  <si>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</si>
  <si>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</si>
  <si>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</si>
  <si>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</si>
  <si>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</si>
  <si>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</si>
  <si>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</si>
  <si>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</si>
  <si>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</si>
  <si>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</si>
  <si>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</si>
  <si>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</si>
  <si>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</si>
  <si>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</si>
  <si>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</si>
  <si>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</si>
  <si>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</si>
  <si>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</si>
  <si>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</si>
  <si>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</si>
  <si>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</si>
  <si>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</si>
  <si>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</si>
  <si>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</si>
  <si>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</si>
  <si>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</si>
  <si>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</si>
  <si>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</si>
  <si>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</si>
  <si>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</si>
  <si>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</si>
  <si>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</si>
  <si>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</si>
  <si>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</si>
  <si>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</si>
  <si>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</si>
  <si>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</si>
  <si>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</si>
  <si>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</si>
  <si>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</si>
  <si>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</si>
  <si>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</si>
  <si>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</si>
  <si>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</si>
  <si>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</si>
  <si>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</si>
  <si>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</si>
  <si>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</si>
  <si>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</si>
  <si>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</si>
  <si>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</si>
  <si>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</si>
  <si>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</si>
  <si>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</si>
  <si>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</si>
  <si>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</si>
  <si>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</si>
  <si>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</si>
  <si>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</si>
  <si>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</si>
  <si>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</si>
  <si>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</si>
  <si>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</si>
  <si>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</si>
  <si>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</si>
  <si>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</si>
  <si>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</si>
  <si>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</si>
  <si>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</si>
  <si>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</si>
  <si>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</si>
  <si>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</si>
  <si>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</si>
  <si>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</si>
  <si>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</si>
  <si>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</si>
  <si>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</si>
  <si>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</si>
  <si>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</si>
  <si>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</si>
  <si>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</si>
  <si>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</si>
  <si>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</si>
  <si>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</si>
  <si>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</si>
  <si>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</si>
  <si>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</si>
  <si>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</si>
  <si>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</si>
  <si>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</si>
  <si>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</si>
  <si>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</si>
  <si>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</si>
  <si>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</si>
  <si>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</si>
  <si>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</si>
  <si>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</si>
  <si>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</si>
  <si>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</si>
  <si>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</si>
  <si>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</si>
  <si>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</si>
  <si>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</si>
  <si>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</si>
  <si>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</si>
  <si>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</si>
  <si>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</si>
  <si>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</si>
  <si>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</si>
  <si>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</si>
  <si>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</si>
  <si>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</si>
  <si>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</si>
  <si>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</si>
  <si>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</si>
  <si>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</si>
  <si>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</si>
  <si>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</si>
  <si>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</si>
  <si>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</si>
  <si>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</si>
  <si>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</si>
  <si>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</si>
  <si>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</si>
  <si>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</si>
  <si>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</si>
  <si>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</si>
  <si>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</si>
  <si>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</si>
  <si>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</si>
  <si>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</si>
  <si>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</si>
  <si>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</si>
  <si>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</si>
  <si>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</si>
  <si>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</si>
  <si>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</si>
  <si>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</si>
  <si>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</si>
  <si>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</si>
  <si>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</si>
  <si>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</si>
  <si>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</si>
  <si>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</si>
  <si>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</si>
  <si>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</si>
  <si>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</si>
  <si>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</si>
  <si>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</si>
  <si>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</si>
  <si>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</si>
  <si>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</si>
  <si>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</si>
  <si>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</si>
  <si>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</si>
  <si>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</si>
  <si>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</si>
  <si>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</si>
  <si>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</si>
  <si>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</si>
  <si>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</si>
  <si>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</si>
  <si>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</si>
  <si>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</si>
  <si>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</si>
  <si>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</si>
  <si>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</si>
  <si>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</si>
  <si>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</si>
  <si>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</si>
  <si>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</si>
  <si>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</si>
  <si>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</si>
  <si>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</si>
  <si>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</si>
  <si>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</si>
  <si>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</si>
  <si>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</si>
  <si>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</si>
  <si>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</si>
  <si>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</si>
  <si>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</si>
  <si>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</si>
  <si>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</si>
  <si>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</si>
  <si>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</si>
  <si>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</si>
  <si>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</si>
  <si>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</si>
  <si>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</si>
  <si>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</si>
  <si>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</si>
  <si>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</si>
  <si>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</si>
  <si>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</si>
  <si>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</si>
  <si>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</si>
  <si>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</si>
  <si>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</si>
  <si>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</si>
  <si>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</si>
  <si>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</si>
  <si>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</si>
  <si>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</si>
  <si>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</si>
  <si>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</si>
  <si>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</si>
  <si>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</si>
  <si>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</si>
  <si>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</si>
  <si>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</si>
  <si>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</si>
  <si>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</si>
  <si>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</si>
  <si>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</si>
  <si>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</si>
  <si>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</si>
  <si>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</si>
  <si>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</si>
  <si>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</si>
  <si>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</si>
  <si>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</si>
  <si>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</si>
  <si>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</si>
  <si>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</si>
  <si>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</si>
  <si>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</si>
  <si>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</si>
  <si>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</si>
  <si>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</si>
  <si>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</si>
  <si>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</si>
  <si>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</si>
  <si>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</si>
  <si>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</si>
  <si>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</si>
  <si>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</si>
  <si>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</si>
  <si>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</si>
  <si>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</si>
  <si>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</si>
  <si>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</si>
  <si>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</si>
  <si>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</si>
  <si>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</si>
  <si>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</si>
  <si>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</si>
  <si>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</si>
  <si>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</si>
  <si>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</si>
  <si>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</si>
  <si>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</si>
  <si>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</si>
  <si>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</si>
  <si>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</si>
  <si>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</si>
  <si>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</si>
  <si>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</si>
  <si>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</si>
  <si>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</si>
  <si>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</si>
  <si>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</si>
  <si>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</si>
  <si>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</si>
  <si>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</si>
  <si>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</si>
  <si>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</si>
  <si>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</si>
  <si>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</si>
  <si>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</si>
  <si>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</si>
  <si>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</si>
  <si>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</si>
  <si>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</si>
  <si>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</si>
  <si>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</si>
  <si>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</si>
  <si>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</si>
  <si>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</si>
  <si>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</si>
  <si>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</si>
  <si>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</si>
  <si>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</si>
  <si>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</si>
  <si>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</si>
  <si>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</si>
  <si>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</si>
  <si>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</si>
  <si>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</si>
  <si>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</si>
  <si>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</si>
  <si>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</si>
  <si>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</si>
  <si>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</si>
  <si>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</si>
  <si>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</si>
  <si>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</si>
  <si>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</si>
  <si>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</si>
  <si>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</si>
  <si>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</si>
  <si>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</si>
  <si>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</si>
  <si>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</si>
  <si>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</si>
  <si>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</si>
  <si>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</si>
  <si>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</si>
  <si>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</si>
  <si>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</si>
  <si>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</si>
  <si>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</si>
  <si>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</si>
  <si>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</si>
  <si>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</si>
  <si>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</si>
  <si>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</si>
  <si>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</si>
  <si>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</si>
  <si>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</si>
  <si>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</si>
  <si>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</si>
  <si>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</si>
  <si>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</si>
  <si>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</si>
  <si>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</si>
  <si>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</si>
  <si>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</si>
  <si>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</si>
  <si>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</si>
  <si>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</si>
  <si>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</si>
  <si>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</si>
  <si>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</si>
  <si>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</si>
  <si>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</si>
  <si>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</si>
  <si>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</si>
  <si>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</si>
  <si>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</si>
  <si>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</si>
  <si>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</si>
  <si>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</si>
  <si>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</si>
  <si>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</si>
  <si>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</si>
  <si>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</si>
  <si>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</si>
  <si>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</si>
  <si>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</si>
  <si>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</si>
  <si>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</si>
  <si>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</si>
  <si>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</si>
  <si>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</si>
  <si>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</si>
  <si>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</si>
  <si>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</si>
  <si>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</si>
  <si>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</si>
  <si>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</si>
  <si>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</si>
  <si>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</si>
  <si>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</si>
  <si>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</si>
  <si>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</si>
  <si>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</si>
  <si>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</si>
  <si>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</si>
  <si>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</si>
  <si>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</si>
  <si>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</si>
  <si>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</si>
  <si>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</si>
  <si>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</si>
  <si>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</si>
  <si>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</si>
  <si>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</si>
  <si>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</si>
  <si>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</si>
  <si>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</si>
  <si>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</si>
  <si>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</si>
  <si>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</si>
  <si>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</si>
  <si>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</si>
  <si>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</si>
  <si>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</si>
  <si>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</si>
  <si>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</si>
  <si>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</si>
  <si>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</si>
  <si>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</si>
  <si>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</si>
  <si>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</si>
  <si>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</si>
  <si>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</si>
  <si>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</si>
  <si>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</si>
  <si>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</si>
  <si>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</si>
  <si>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</si>
  <si>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</si>
  <si>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</si>
  <si>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</si>
  <si>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</si>
  <si>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</si>
  <si>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</si>
  <si>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</si>
  <si>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</si>
  <si>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</si>
  <si>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</si>
  <si>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</si>
  <si>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</si>
  <si>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</si>
  <si>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</si>
  <si>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</si>
  <si>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</si>
  <si>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</si>
  <si>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</si>
  <si>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</si>
  <si>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</si>
  <si>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</si>
  <si>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</si>
  <si>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</si>
  <si>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</si>
  <si>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</si>
  <si>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</si>
  <si>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</si>
  <si>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</si>
  <si>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</si>
  <si>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</si>
  <si>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</si>
  <si>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</si>
  <si>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</si>
  <si>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</si>
  <si>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</si>
  <si>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</si>
  <si>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</si>
  <si>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</si>
  <si>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</si>
  <si>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</si>
  <si>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</si>
  <si>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</si>
  <si>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</si>
  <si>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</si>
  <si>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</si>
  <si>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</si>
  <si>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</si>
  <si>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</si>
  <si>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</si>
  <si>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</si>
  <si>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</si>
  <si>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</si>
  <si>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</si>
  <si>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</si>
  <si>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</si>
  <si>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</si>
  <si>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</si>
  <si>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</si>
  <si>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</si>
  <si>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</si>
  <si>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</si>
  <si>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</si>
  <si>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</si>
  <si>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</si>
  <si>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</si>
  <si>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</si>
  <si>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</si>
  <si>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</si>
  <si>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</si>
  <si>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</si>
  <si>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</si>
  <si>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</si>
  <si>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</si>
  <si>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</si>
  <si>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</si>
  <si>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</si>
  <si>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</si>
  <si>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</si>
  <si>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</si>
  <si>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</si>
  <si>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</si>
  <si>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</si>
  <si>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</si>
  <si>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</si>
  <si>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</si>
  <si>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</si>
  <si>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</si>
  <si>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</si>
  <si>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</si>
  <si>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</si>
  <si>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</si>
  <si>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</si>
  <si>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</si>
  <si>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</si>
  <si>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</si>
  <si>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</si>
  <si>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</si>
  <si>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</si>
  <si>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</si>
  <si>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</si>
  <si>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</si>
  <si>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</si>
  <si>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</si>
  <si>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</si>
  <si>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</si>
  <si>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</si>
  <si>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</si>
  <si>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</si>
  <si>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</si>
  <si>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</si>
  <si>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</si>
  <si>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</si>
  <si>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</si>
  <si>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</si>
  <si>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</si>
  <si>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</si>
  <si>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</si>
  <si>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</si>
  <si>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</si>
  <si>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</si>
  <si>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</si>
  <si>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</si>
  <si>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</si>
  <si>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</si>
  <si>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</si>
  <si>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</si>
  <si>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</si>
  <si>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</si>
  <si>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</si>
  <si>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</si>
  <si>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</si>
  <si>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</si>
  <si>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</si>
  <si>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</si>
  <si>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</si>
  <si>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</si>
  <si>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</si>
  <si>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</si>
  <si>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</si>
  <si>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</si>
  <si>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</si>
  <si>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</si>
  <si>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</si>
  <si>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</si>
  <si>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</si>
  <si>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</si>
  <si>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</si>
  <si>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</si>
  <si>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</si>
  <si>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</si>
  <si>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</si>
  <si>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</si>
  <si>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</si>
  <si>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</si>
  <si>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</si>
  <si>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</si>
  <si>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</si>
  <si>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</si>
  <si>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</si>
  <si>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</si>
  <si>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</si>
  <si>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</si>
  <si>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</si>
  <si>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</si>
  <si>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</si>
  <si>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</si>
  <si>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</si>
  <si>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</si>
  <si>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</si>
  <si>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</si>
  <si>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</si>
  <si>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</si>
  <si>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</si>
  <si>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</si>
  <si>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</si>
  <si>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</si>
  <si>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</si>
  <si>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</si>
  <si>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</si>
  <si>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</si>
  <si>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</si>
  <si>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</si>
  <si>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</si>
  <si>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</si>
  <si>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</si>
  <si>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</si>
  <si>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</si>
  <si>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</si>
  <si>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</si>
  <si>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</si>
  <si>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</si>
  <si>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</si>
  <si>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</si>
  <si>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</si>
  <si>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</si>
  <si>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</si>
  <si>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</si>
  <si>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</si>
  <si>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</si>
  <si>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</si>
  <si>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</si>
  <si>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</si>
  <si>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</si>
  <si>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</si>
  <si>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</si>
  <si>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</si>
  <si>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</si>
  <si>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</si>
  <si>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</si>
  <si>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</si>
  <si>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</si>
  <si>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</si>
  <si>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</si>
  <si>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</si>
  <si>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</si>
  <si>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</si>
  <si>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</si>
  <si>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</si>
  <si>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</si>
  <si>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</si>
  <si>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</si>
  <si>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</si>
  <si>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</si>
  <si>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</si>
  <si>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</si>
  <si>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</si>
  <si>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</si>
  <si>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</si>
  <si>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</si>
  <si>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</si>
  <si>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</si>
  <si>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</si>
  <si>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</si>
  <si>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</si>
  <si>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</si>
  <si>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</si>
  <si>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</si>
  <si>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</si>
  <si>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</si>
  <si>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</si>
  <si>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</si>
  <si>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</si>
  <si>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</si>
  <si>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</si>
  <si>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</si>
  <si>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</si>
  <si>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</si>
  <si>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</si>
  <si>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</si>
  <si>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</si>
  <si>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</si>
  <si>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</si>
  <si>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</si>
  <si>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</si>
  <si>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</si>
  <si>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</si>
  <si>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</si>
  <si>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</si>
  <si>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</si>
  <si>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</si>
  <si>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</si>
  <si>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</si>
  <si>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</si>
  <si>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</si>
  <si>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</si>
  <si>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</si>
  <si>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</si>
  <si>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</si>
  <si>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</si>
  <si>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</si>
  <si>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</si>
  <si>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</si>
  <si>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</si>
  <si>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</si>
  <si>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</si>
  <si>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</si>
  <si>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</si>
  <si>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</si>
  <si>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</si>
  <si>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</si>
  <si>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</si>
  <si>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</si>
  <si>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</si>
  <si>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</si>
  <si>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</si>
  <si>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</si>
  <si>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</si>
  <si>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</si>
  <si>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</si>
  <si>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</si>
  <si>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</si>
  <si>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</si>
  <si>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</si>
  <si>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</si>
  <si>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</si>
  <si>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</si>
  <si>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</si>
  <si>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</si>
  <si>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</si>
  <si>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</si>
  <si>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</si>
  <si>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</si>
  <si>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</si>
  <si>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</si>
  <si>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</si>
  <si>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</si>
  <si>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</si>
  <si>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</si>
  <si>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</si>
  <si>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</si>
  <si>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</si>
  <si>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</si>
  <si>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</si>
  <si>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</si>
  <si>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</si>
  <si>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</si>
  <si>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</si>
  <si>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</si>
  <si>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</si>
  <si>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</si>
  <si>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</si>
  <si>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</si>
  <si>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</si>
  <si>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</si>
  <si>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</si>
  <si>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</si>
  <si>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</si>
  <si>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</si>
  <si>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</si>
  <si>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</si>
  <si>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</si>
  <si>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</si>
  <si>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</si>
  <si>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</si>
  <si>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</si>
  <si>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</si>
  <si>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</si>
  <si>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</si>
  <si>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</si>
  <si>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</si>
  <si>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</si>
  <si>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</si>
  <si>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</si>
  <si>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</si>
  <si>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</si>
  <si>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</si>
  <si>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</si>
  <si>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</si>
  <si>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</si>
  <si>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</si>
  <si>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</si>
  <si>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</si>
  <si>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</si>
  <si>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</si>
  <si>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</si>
  <si>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</si>
  <si>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</si>
  <si>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</si>
  <si>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</si>
  <si>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</si>
  <si>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</si>
  <si>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</si>
  <si>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</si>
  <si>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</si>
  <si>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</si>
  <si>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</si>
  <si>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</si>
  <si>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</si>
  <si>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</si>
  <si>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</si>
  <si>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</si>
  <si>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</si>
  <si>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</si>
  <si>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</si>
  <si>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</si>
  <si>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</si>
  <si>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</si>
  <si>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</si>
  <si>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</si>
  <si>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</si>
  <si>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</si>
  <si>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</si>
  <si>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</si>
  <si>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</si>
  <si>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</si>
  <si>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</si>
  <si>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</si>
  <si>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</si>
  <si>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</si>
  <si>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</si>
  <si>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</si>
  <si>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</si>
  <si>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</si>
  <si>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</si>
  <si>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</si>
  <si>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</si>
  <si>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</si>
  <si>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</si>
  <si>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</si>
  <si>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</si>
  <si>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</si>
  <si>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</si>
  <si>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</si>
  <si>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</si>
  <si>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</si>
  <si>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</si>
  <si>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</si>
  <si>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</si>
  <si>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</si>
  <si>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</si>
  <si>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</si>
  <si>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</si>
  <si>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</si>
  <si>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</si>
  <si>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</si>
  <si>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</si>
  <si>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</si>
  <si>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</si>
  <si>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</si>
  <si>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</si>
  <si>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</si>
  <si>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</si>
  <si>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</si>
  <si>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</si>
  <si>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</si>
  <si>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</si>
  <si>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</si>
  <si>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</si>
  <si>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</si>
  <si>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</si>
  <si>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</si>
  <si>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</si>
  <si>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</si>
  <si>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</si>
  <si>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</si>
  <si>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</si>
  <si>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</si>
  <si>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</si>
  <si>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</si>
  <si>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</si>
  <si>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</si>
  <si>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</si>
  <si>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</si>
  <si>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</si>
  <si>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</si>
  <si>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</si>
  <si>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</si>
  <si>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</si>
  <si>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</si>
  <si>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</si>
  <si>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</si>
  <si>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</si>
  <si>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</si>
  <si>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</si>
  <si>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</si>
  <si>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</si>
  <si>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</si>
  <si>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</si>
  <si>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</si>
  <si>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</si>
  <si>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</si>
  <si>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</si>
  <si>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</si>
  <si>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</si>
  <si>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</si>
  <si>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</si>
  <si>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</si>
  <si>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</si>
  <si>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</si>
  <si>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</si>
  <si>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</si>
  <si>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</si>
  <si>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</si>
  <si>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</si>
  <si>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</si>
  <si>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</si>
  <si>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</si>
  <si>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</si>
  <si>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</si>
  <si>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</si>
  <si>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</si>
  <si>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</si>
  <si>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</si>
  <si>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</si>
  <si>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</si>
  <si>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</si>
  <si>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</si>
  <si>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</si>
  <si>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</si>
  <si>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</si>
  <si>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</si>
  <si>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</si>
  <si>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</si>
  <si>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</si>
  <si>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</si>
  <si>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</si>
  <si>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</si>
  <si>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</si>
  <si>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</si>
  <si>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</si>
  <si>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</si>
  <si>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</si>
  <si>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</si>
  <si>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</si>
  <si>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</si>
  <si>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</si>
  <si>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</si>
  <si>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</si>
  <si>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</si>
  <si>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</si>
  <si>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</si>
  <si>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</si>
  <si>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</si>
  <si>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</si>
  <si>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</si>
  <si>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</si>
  <si>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</si>
  <si>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</si>
  <si>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</si>
  <si>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</si>
  <si>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</si>
  <si>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</si>
  <si>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</si>
  <si>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</si>
  <si>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</si>
  <si>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</si>
  <si>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</si>
  <si>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</si>
  <si>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</si>
  <si>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</si>
  <si>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</si>
  <si>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</si>
  <si>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</si>
  <si>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</si>
  <si>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</si>
  <si>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</si>
  <si>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</si>
  <si>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</si>
  <si>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</si>
  <si>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</si>
  <si>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</si>
  <si>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</si>
  <si>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</si>
  <si>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</si>
  <si>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</si>
  <si>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</si>
  <si>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</si>
  <si>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</si>
  <si>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</si>
  <si>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</si>
  <si>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</si>
  <si>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</si>
  <si>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</si>
  <si>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</si>
  <si>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</si>
  <si>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</si>
  <si>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</si>
  <si>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</si>
  <si>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</si>
  <si>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</si>
  <si>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</si>
  <si>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</si>
  <si>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</si>
  <si>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</si>
  <si>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</si>
  <si>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</si>
  <si>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</si>
  <si>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</si>
  <si>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</si>
  <si>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</si>
  <si>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</si>
  <si>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</si>
  <si>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</si>
  <si>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</si>
  <si>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</si>
  <si>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</si>
  <si>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</si>
  <si>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</si>
  <si>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</si>
  <si>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</si>
  <si>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</si>
  <si>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</si>
  <si>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</si>
  <si>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</si>
  <si>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</si>
  <si>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</si>
  <si>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</si>
  <si>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</si>
  <si>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</si>
  <si>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</si>
  <si>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</si>
  <si>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</si>
  <si>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</si>
  <si>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</si>
  <si>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</si>
  <si>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</si>
  <si>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</si>
  <si>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</si>
  <si>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</si>
  <si>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</si>
  <si>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</si>
  <si>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</si>
  <si>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</si>
  <si>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</si>
  <si>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</si>
  <si>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</si>
  <si>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</si>
  <si>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</si>
  <si>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</si>
  <si>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</si>
  <si>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</si>
  <si>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</si>
  <si>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</si>
  <si>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</si>
  <si>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</si>
  <si>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</si>
  <si>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</si>
  <si>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</si>
  <si>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</si>
  <si>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</si>
  <si>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</si>
  <si>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</si>
  <si>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</si>
  <si>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</si>
  <si>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</si>
  <si>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</si>
  <si>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</si>
  <si>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</si>
  <si>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</si>
  <si>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</si>
  <si>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</si>
  <si>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</si>
  <si>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</si>
  <si>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</si>
  <si>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</si>
  <si>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</si>
  <si>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</si>
  <si>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</si>
  <si>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</si>
  <si>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</si>
  <si>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</si>
  <si>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</si>
  <si>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</si>
  <si>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</si>
  <si>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</si>
  <si>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</si>
  <si>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</si>
  <si>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</si>
  <si>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</si>
  <si>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</si>
  <si>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</si>
  <si>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</si>
  <si>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</si>
  <si>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</si>
  <si>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</si>
  <si>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</si>
  <si>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</si>
  <si>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</si>
  <si>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</si>
  <si>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</si>
  <si>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</si>
  <si>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</si>
  <si>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</si>
  <si>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</si>
  <si>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</si>
  <si>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</si>
  <si>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</si>
  <si>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</si>
  <si>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</si>
  <si>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</si>
  <si>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</si>
  <si>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</si>
  <si>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</si>
  <si>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</si>
  <si>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</si>
  <si>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</si>
  <si>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</si>
  <si>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</si>
  <si>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February 23, 2023)</t>
    </r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</si>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</sst>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7148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5198</v>
      </c>
    </row>
    <row r="8" spans="1:5" x14ac:dyDescent="0.25">
      <c r="A8" s="158" t="s">
        <v>6555</v>
      </c>
      <c r="B8" s="159" t="s">
        <v>6807</v>
      </c>
      <c r="D8" s="158" t="s">
        <v>848</v>
      </c>
      <c r="E8" s="159">
        <v>220000</v>
      </c>
    </row>
    <row r="9" spans="1:5" x14ac:dyDescent="0.25">
      <c r="A9" s="158" t="s">
        <v>6554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7" t="s">
        <v>6905</v>
      </c>
      <c r="C15" s="258"/>
    </row>
    <row r="16" spans="1:5" outlineLevel="1" x14ac:dyDescent="0.25">
      <c r="A16" s="160"/>
      <c r="B16" s="163"/>
    </row>
    <row r="17" spans="1:29" outlineLevel="1" x14ac:dyDescent="0.25">
      <c r="A17" s="164" t="s">
        <v>6486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6489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7" t="s">
        <v>5710</v>
      </c>
      <c r="C35" s="258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6918</v>
      </c>
      <c r="F39" s="208" t="s">
        <v>6919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6809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1809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6967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6639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6644</v>
      </c>
    </row>
    <row r="82" spans="1:3" outlineLevel="1" x14ac:dyDescent="0.25">
      <c r="A82" s="198" t="s">
        <v>6635</v>
      </c>
      <c r="B82" s="186" t="s">
        <v>6630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7155</v>
      </c>
    </row>
    <row r="88" spans="1:3" outlineLevel="1" x14ac:dyDescent="0.25">
      <c r="A88" s="198" t="s">
        <v>7140</v>
      </c>
      <c r="B88" s="186" t="s">
        <v>7139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126B7EAF-4A7D-4EEA-8AB2-28E3E9068D06}">
          <x14:formula1>
            <xm:f>IF($B$8="Night",Spot_Act_Info_Night!$A$2:$A$31,Spot_Act_Info_Day!$A$2:$A$9)</xm:f>
          </x14:formula1>
          <xm:sqref>C89:C91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6895</v>
      </c>
      <c r="B3" s="225" t="s">
        <v>6894</v>
      </c>
    </row>
    <row r="4" spans="1:2" x14ac:dyDescent="0.25">
      <c r="A4" t="s">
        <v>6352</v>
      </c>
      <c r="B4" s="225" t="s">
        <v>5672</v>
      </c>
    </row>
    <row r="5" spans="1:2" x14ac:dyDescent="0.25">
      <c r="A5" t="s">
        <v>6353</v>
      </c>
      <c r="B5" s="226" t="s">
        <v>6354</v>
      </c>
    </row>
    <row r="6" spans="1:2" x14ac:dyDescent="0.25">
      <c r="A6" t="s">
        <v>6355</v>
      </c>
      <c r="B6" s="225" t="s">
        <v>6356</v>
      </c>
    </row>
    <row r="7" spans="1:2" x14ac:dyDescent="0.25">
      <c r="A7" t="s">
        <v>6357</v>
      </c>
      <c r="B7" s="225" t="s">
        <v>6358</v>
      </c>
    </row>
    <row r="8" spans="1:2" x14ac:dyDescent="0.25">
      <c r="A8" t="s">
        <v>6359</v>
      </c>
      <c r="B8" s="225" t="s">
        <v>6360</v>
      </c>
    </row>
    <row r="9" spans="1:2" x14ac:dyDescent="0.25">
      <c r="A9" t="s">
        <v>6361</v>
      </c>
      <c r="B9" s="225" t="s">
        <v>6362</v>
      </c>
    </row>
    <row r="10" spans="1:2" x14ac:dyDescent="0.25">
      <c r="A10" t="s">
        <v>6363</v>
      </c>
      <c r="B10" s="225" t="s">
        <v>6364</v>
      </c>
    </row>
    <row r="11" spans="1:2" x14ac:dyDescent="0.25">
      <c r="A11" t="s">
        <v>6893</v>
      </c>
      <c r="B11" s="225" t="s">
        <v>6892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6420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6419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6908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6488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6557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6649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6911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6909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6905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6910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6907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6906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6905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6906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6909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6910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6911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6907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6418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6419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6908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6420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6488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6557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6649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6917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6896</v>
      </c>
      <c r="O4" s="180" t="s">
        <v>6897</v>
      </c>
      <c r="Q4" s="192"/>
      <c r="S4" s="161">
        <v>3</v>
      </c>
      <c r="T4" s="161"/>
      <c r="U4" s="161"/>
    </row>
    <row r="5" spans="1:21" x14ac:dyDescent="0.25">
      <c r="A5" t="s">
        <v>6920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6921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6920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6896</v>
      </c>
      <c r="O13" s="180" t="s">
        <v>6897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6896</v>
      </c>
      <c r="O22" s="180" t="s">
        <v>6897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6896</v>
      </c>
      <c r="O31" s="180" t="s">
        <v>6897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6896</v>
      </c>
      <c r="O40" s="180" t="s">
        <v>6897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6896</v>
      </c>
      <c r="O49" s="180" t="s">
        <v>6897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6896</v>
      </c>
      <c r="O58" s="180" t="s">
        <v>6897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6921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6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7137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16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6558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[310]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1"/>
  <sheetViews>
    <sheetView zoomScaleNormal="100" workbookViewId="0">
      <pane ySplit="1" topLeftCell="A2" activePane="bottomLeft" state="frozen"/>
      <selection pane="bottomLeft" activeCell="H8" sqref="H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7136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11</v>
      </c>
      <c r="B26" t="s">
        <v>646</v>
      </c>
      <c r="C26" s="1">
        <v>5</v>
      </c>
      <c r="D26" t="s">
        <v>594</v>
      </c>
      <c r="E26" s="99">
        <v>0</v>
      </c>
      <c r="F26" s="99">
        <v>100</v>
      </c>
      <c r="G26" s="99">
        <v>500</v>
      </c>
      <c r="H26" s="99">
        <v>1500</v>
      </c>
      <c r="I26" s="99">
        <v>3000</v>
      </c>
      <c r="J26" s="1">
        <v>2</v>
      </c>
      <c r="K26" s="1">
        <v>0</v>
      </c>
    </row>
    <row r="27" spans="1:11" x14ac:dyDescent="0.25">
      <c r="A27" s="1">
        <v>1006</v>
      </c>
      <c r="B27" t="s">
        <v>664</v>
      </c>
      <c r="C27" s="1">
        <v>2</v>
      </c>
      <c r="D27" t="s">
        <v>622</v>
      </c>
      <c r="E27" s="99">
        <v>0</v>
      </c>
      <c r="F27" s="99">
        <v>100</v>
      </c>
      <c r="G27" s="99">
        <v>200</v>
      </c>
      <c r="H27" s="99">
        <v>350</v>
      </c>
      <c r="I27" s="99">
        <v>550</v>
      </c>
      <c r="J27" s="1">
        <v>1</v>
      </c>
      <c r="K27" s="1">
        <v>1</v>
      </c>
    </row>
    <row r="28" spans="1:11" x14ac:dyDescent="0.25">
      <c r="A28" s="1">
        <v>26</v>
      </c>
      <c r="B28" t="s">
        <v>659</v>
      </c>
      <c r="C28" s="1">
        <v>1</v>
      </c>
      <c r="D28" t="s">
        <v>611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1</v>
      </c>
      <c r="K28" s="1">
        <v>0</v>
      </c>
    </row>
    <row r="29" spans="1:11" x14ac:dyDescent="0.25">
      <c r="A29" s="1">
        <v>10</v>
      </c>
      <c r="B29" t="s">
        <v>645</v>
      </c>
      <c r="C29" s="1">
        <v>5</v>
      </c>
      <c r="D29" t="s">
        <v>593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2</v>
      </c>
      <c r="K29" s="1">
        <v>0</v>
      </c>
    </row>
    <row r="30" spans="1:11" x14ac:dyDescent="0.25">
      <c r="A30" s="1">
        <v>16</v>
      </c>
      <c r="B30" t="s">
        <v>651</v>
      </c>
      <c r="C30" s="1">
        <v>1</v>
      </c>
      <c r="D30" t="s">
        <v>600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13</v>
      </c>
      <c r="B31" t="s">
        <v>648</v>
      </c>
      <c r="C31" s="1">
        <v>6</v>
      </c>
      <c r="D31" t="s">
        <v>597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1001</v>
      </c>
      <c r="B32" t="s">
        <v>236</v>
      </c>
      <c r="C32" s="1">
        <v>4</v>
      </c>
      <c r="D32" t="s">
        <v>615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1005</v>
      </c>
      <c r="B33" t="s">
        <v>665</v>
      </c>
      <c r="C33" s="1">
        <v>2</v>
      </c>
      <c r="D33" t="s">
        <v>621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4</v>
      </c>
      <c r="B34" t="s">
        <v>639</v>
      </c>
      <c r="C34" s="1">
        <v>3</v>
      </c>
      <c r="D34" t="s">
        <v>587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7</v>
      </c>
      <c r="B35" t="s">
        <v>642</v>
      </c>
      <c r="C35" s="1">
        <v>4</v>
      </c>
      <c r="D35" t="s">
        <v>590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1004</v>
      </c>
      <c r="B36" t="s">
        <v>663</v>
      </c>
      <c r="C36" s="1">
        <v>6</v>
      </c>
      <c r="D36" t="s">
        <v>620</v>
      </c>
      <c r="E36" s="99">
        <v>0</v>
      </c>
      <c r="F36" s="99">
        <v>100</v>
      </c>
      <c r="G36" s="99">
        <v>200</v>
      </c>
      <c r="H36" s="99">
        <v>350</v>
      </c>
      <c r="I36" s="99">
        <v>550</v>
      </c>
      <c r="J36" s="1">
        <v>2</v>
      </c>
      <c r="K36" s="1">
        <v>1</v>
      </c>
    </row>
    <row r="37" spans="1:11" x14ac:dyDescent="0.25">
      <c r="A37" s="1">
        <v>6</v>
      </c>
      <c r="B37" t="s">
        <v>641</v>
      </c>
      <c r="C37" s="1">
        <v>3</v>
      </c>
      <c r="D37" t="s">
        <v>589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31</v>
      </c>
      <c r="B38" t="s">
        <v>5815</v>
      </c>
      <c r="C38" s="1">
        <v>6</v>
      </c>
      <c r="D38" t="s">
        <v>5814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0</v>
      </c>
    </row>
    <row r="39" spans="1:11" x14ac:dyDescent="0.25">
      <c r="A39" s="1">
        <v>25</v>
      </c>
      <c r="B39" t="s">
        <v>658</v>
      </c>
      <c r="C39" s="1">
        <v>3</v>
      </c>
      <c r="D39" t="s">
        <v>610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1</v>
      </c>
      <c r="B40" t="s">
        <v>647</v>
      </c>
      <c r="C40" s="1">
        <v>2</v>
      </c>
      <c r="D40" t="s">
        <v>584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30</v>
      </c>
      <c r="B41" t="s">
        <v>1724</v>
      </c>
      <c r="C41" s="1">
        <v>6</v>
      </c>
      <c r="D41" t="s">
        <v>1725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1</v>
      </c>
      <c r="K41" s="1">
        <v>1</v>
      </c>
    </row>
  </sheetData>
  <autoFilter ref="A1:K38" xr:uid="{E8DDA3D5-6745-4184-9D68-AAC802051D8B}">
    <sortState ref="A2:K41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6631</v>
      </c>
      <c r="B1" s="43" t="s">
        <v>942</v>
      </c>
      <c r="C1" s="43" t="s">
        <v>943</v>
      </c>
      <c r="E1" s="43" t="s">
        <v>6632</v>
      </c>
      <c r="F1" s="43" t="s">
        <v>942</v>
      </c>
      <c r="G1" s="43" t="s">
        <v>943</v>
      </c>
    </row>
    <row r="2" spans="1:7" x14ac:dyDescent="0.25">
      <c r="A2" s="9" t="s">
        <v>6645</v>
      </c>
      <c r="B2" s="1">
        <v>50008</v>
      </c>
      <c r="C2" s="1">
        <v>30011</v>
      </c>
      <c r="E2" s="9" t="s">
        <v>6648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31"/>
  <sheetViews>
    <sheetView topLeftCell="AC1" workbookViewId="0">
      <pane ySplit="1" topLeftCell="A308" activePane="bottomLeft" state="frozen"/>
      <selection activeCell="C23" sqref="C23"/>
      <selection pane="bottomLeft" activeCell="AG331" sqref="AG33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6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6417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6444</v>
      </c>
      <c r="C277" s="1" t="s">
        <v>6445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6447</v>
      </c>
      <c r="C278" s="1" t="s">
        <v>6448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6449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6450</v>
      </c>
      <c r="C279" s="1" t="s">
        <v>6451</v>
      </c>
      <c r="D279" s="1">
        <v>5</v>
      </c>
      <c r="E279" s="1">
        <v>2</v>
      </c>
      <c r="F279" s="1">
        <v>19</v>
      </c>
      <c r="G279" s="1" t="s">
        <v>6452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6453</v>
      </c>
      <c r="AJ279" s="1">
        <v>0</v>
      </c>
      <c r="AK279" s="1" t="s">
        <v>5267</v>
      </c>
      <c r="AL279" s="1" t="s">
        <v>6454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6455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6456</v>
      </c>
      <c r="C280" s="1" t="s">
        <v>6457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1881</v>
      </c>
      <c r="AJ280" s="1">
        <v>0</v>
      </c>
      <c r="AK280" s="1" t="s">
        <v>6458</v>
      </c>
      <c r="AL280" s="1" t="s">
        <v>6459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6460</v>
      </c>
      <c r="C281" s="1" t="s">
        <v>6461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6490</v>
      </c>
      <c r="C282" s="1" t="s">
        <v>6491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6536</v>
      </c>
      <c r="C283" s="1" t="s">
        <v>6537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6506</v>
      </c>
      <c r="AH283" s="1">
        <v>3600</v>
      </c>
      <c r="AI283" s="1" t="s">
        <v>1881</v>
      </c>
      <c r="AJ283" s="1">
        <v>0</v>
      </c>
      <c r="AK283" s="1" t="s">
        <v>6534</v>
      </c>
      <c r="AL283" s="1" t="s">
        <v>6538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6539</v>
      </c>
      <c r="C284" s="1" t="s">
        <v>6540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6514</v>
      </c>
      <c r="AH284" s="1">
        <v>3600</v>
      </c>
      <c r="AI284" s="1" t="s">
        <v>1881</v>
      </c>
      <c r="AJ284" s="1">
        <v>0</v>
      </c>
      <c r="AK284" s="1" t="s">
        <v>6533</v>
      </c>
      <c r="AL284" s="1" t="s">
        <v>6541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6542</v>
      </c>
      <c r="C285" s="1" t="s">
        <v>6543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6552</v>
      </c>
      <c r="AH285" s="1">
        <v>3600</v>
      </c>
      <c r="AI285" s="1" t="s">
        <v>6544</v>
      </c>
      <c r="AJ285" s="1">
        <v>0</v>
      </c>
      <c r="AK285" s="1" t="s">
        <v>6535</v>
      </c>
      <c r="AL285" s="1" t="s">
        <v>6545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6547</v>
      </c>
      <c r="C286" s="1" t="s">
        <v>6548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6527</v>
      </c>
      <c r="AH286" s="1">
        <v>2700</v>
      </c>
      <c r="AI286" s="1" t="s">
        <v>6549</v>
      </c>
      <c r="AJ286" s="1">
        <v>0</v>
      </c>
      <c r="AK286" s="1" t="s">
        <v>6550</v>
      </c>
      <c r="AL286" s="1" t="s">
        <v>6551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6559</v>
      </c>
      <c r="C287" s="1" t="s">
        <v>6560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6561</v>
      </c>
      <c r="AL287" s="1" t="s">
        <v>6562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6563</v>
      </c>
      <c r="AS287" s="1">
        <v>0</v>
      </c>
      <c r="AT287" s="1" t="s">
        <v>6564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6582</v>
      </c>
      <c r="C288" t="s">
        <v>6583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2245</v>
      </c>
      <c r="AJ288">
        <v>0</v>
      </c>
      <c r="AK288" s="1" t="s">
        <v>6584</v>
      </c>
      <c r="AL288" s="1" t="s">
        <v>6585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6586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6587</v>
      </c>
      <c r="C289" t="s">
        <v>6588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6589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1881</v>
      </c>
      <c r="AJ289">
        <v>0</v>
      </c>
      <c r="AK289" s="1" t="s">
        <v>6590</v>
      </c>
      <c r="AL289" s="1" t="s">
        <v>6591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6592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6593</v>
      </c>
      <c r="C290" t="s">
        <v>6594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1881</v>
      </c>
      <c r="AJ290">
        <v>0</v>
      </c>
      <c r="AK290" s="1" t="s">
        <v>6595</v>
      </c>
      <c r="AL290" s="1" t="s">
        <v>6596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6597</v>
      </c>
      <c r="C291" t="s">
        <v>6598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6599</v>
      </c>
      <c r="AJ291">
        <v>0</v>
      </c>
      <c r="AK291" s="1" t="s">
        <v>6600</v>
      </c>
      <c r="AL291" s="1" t="s">
        <v>6601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6656</v>
      </c>
      <c r="C292" t="s">
        <v>6657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1881</v>
      </c>
      <c r="AJ292">
        <v>0</v>
      </c>
      <c r="AK292" s="1" t="s">
        <v>6658</v>
      </c>
      <c r="AL292" s="1" t="s">
        <v>6659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6660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6661</v>
      </c>
      <c r="C293" t="s">
        <v>6662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1881</v>
      </c>
      <c r="AJ293">
        <v>0</v>
      </c>
      <c r="AK293" s="1" t="s">
        <v>6663</v>
      </c>
      <c r="AL293" s="1" t="s">
        <v>6664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6668</v>
      </c>
      <c r="C294" t="s">
        <v>6669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6671</v>
      </c>
      <c r="AJ294">
        <v>0</v>
      </c>
      <c r="AK294" s="1" t="s">
        <v>6672</v>
      </c>
      <c r="AL294" s="1" t="s">
        <v>6673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6674</v>
      </c>
      <c r="AS294">
        <v>0</v>
      </c>
      <c r="AT294" t="s">
        <v>6675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6778</v>
      </c>
      <c r="C295" t="s">
        <v>6779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6801</v>
      </c>
      <c r="AH295" s="1">
        <v>3600</v>
      </c>
      <c r="AI295" t="s">
        <v>1881</v>
      </c>
      <c r="AJ295">
        <v>0</v>
      </c>
      <c r="AK295" s="1" t="s">
        <v>6780</v>
      </c>
      <c r="AL295" s="1" t="s">
        <v>6781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6782</v>
      </c>
      <c r="C296" t="s">
        <v>6783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6802</v>
      </c>
      <c r="AH296" s="1">
        <v>3360</v>
      </c>
      <c r="AI296" t="s">
        <v>1881</v>
      </c>
      <c r="AJ296">
        <v>0</v>
      </c>
      <c r="AK296" s="1" t="s">
        <v>6776</v>
      </c>
      <c r="AL296" s="1" t="s">
        <v>6784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6785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6786</v>
      </c>
      <c r="C297" t="s">
        <v>6787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6803</v>
      </c>
      <c r="AH297" s="1">
        <v>3300</v>
      </c>
      <c r="AI297" t="s">
        <v>1881</v>
      </c>
      <c r="AJ297">
        <v>0</v>
      </c>
      <c r="AK297" s="1" t="s">
        <v>6777</v>
      </c>
      <c r="AL297" s="1" t="s">
        <v>6789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6790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6791</v>
      </c>
      <c r="C298" t="s">
        <v>6792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6805</v>
      </c>
      <c r="AH298" s="1">
        <v>3060</v>
      </c>
      <c r="AI298" t="s">
        <v>1881</v>
      </c>
      <c r="AJ298">
        <v>0</v>
      </c>
      <c r="AK298" s="1" t="s">
        <v>6793</v>
      </c>
      <c r="AL298" s="1" t="s">
        <v>6794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6795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6796</v>
      </c>
      <c r="C299" t="s">
        <v>6797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6798</v>
      </c>
      <c r="AJ299">
        <v>0</v>
      </c>
      <c r="AK299" s="1" t="s">
        <v>6799</v>
      </c>
      <c r="AL299" s="1" t="s">
        <v>6800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6810</v>
      </c>
      <c r="C300" t="s">
        <v>6811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6813</v>
      </c>
      <c r="C301" t="s">
        <v>6814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6815</v>
      </c>
      <c r="AJ301">
        <v>0</v>
      </c>
      <c r="AK301" s="1" t="s">
        <v>6816</v>
      </c>
      <c r="AL301" s="1" t="s">
        <v>6817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6818</v>
      </c>
      <c r="C302" t="s">
        <v>6819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3216</v>
      </c>
      <c r="AH302" s="1">
        <v>2820</v>
      </c>
      <c r="AI302" t="s">
        <v>2437</v>
      </c>
      <c r="AJ302">
        <v>0</v>
      </c>
      <c r="AK302" s="1" t="s">
        <v>6820</v>
      </c>
      <c r="AL302" s="1" t="s">
        <v>6821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6822</v>
      </c>
      <c r="C303" t="s">
        <v>6823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6824</v>
      </c>
      <c r="AJ303">
        <v>0</v>
      </c>
      <c r="AK303" s="1" t="s">
        <v>6825</v>
      </c>
      <c r="AL303" s="1" t="s">
        <v>6826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6827</v>
      </c>
      <c r="AS303">
        <v>0</v>
      </c>
      <c r="AT303" t="s">
        <v>6828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6839</v>
      </c>
      <c r="C304" t="s">
        <v>6840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6886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6844</v>
      </c>
      <c r="C305" t="s">
        <v>6845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6887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6847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6848</v>
      </c>
      <c r="C306" t="s">
        <v>6849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6888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6851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6852</v>
      </c>
      <c r="C307" t="s">
        <v>6853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6889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6855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6856</v>
      </c>
      <c r="C308" t="s">
        <v>6857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6979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6859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6860</v>
      </c>
      <c r="C309" t="s">
        <v>6861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6890</v>
      </c>
      <c r="AH309" s="1">
        <v>2580</v>
      </c>
      <c r="AI309" t="s">
        <v>6815</v>
      </c>
      <c r="AJ309">
        <v>0</v>
      </c>
      <c r="AK309" s="1" t="s">
        <v>329</v>
      </c>
      <c r="AL309" s="1" t="s">
        <v>6862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6864</v>
      </c>
      <c r="C310" t="s">
        <v>6865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6891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6868</v>
      </c>
      <c r="C311" t="s">
        <v>6869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6980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6872</v>
      </c>
      <c r="C312" t="s">
        <v>6873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6981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6876</v>
      </c>
      <c r="C313" t="s">
        <v>6877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6982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6879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6880</v>
      </c>
      <c r="C314" t="s">
        <v>6881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1881</v>
      </c>
      <c r="AJ314">
        <v>0</v>
      </c>
      <c r="AK314" s="1" t="s">
        <v>6882</v>
      </c>
      <c r="AL314" s="1" t="s">
        <v>6883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6884</v>
      </c>
      <c r="AS314">
        <v>0</v>
      </c>
      <c r="AT314" t="s">
        <v>6885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6912</v>
      </c>
      <c r="C315" t="s">
        <v>6913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2444</v>
      </c>
      <c r="AJ315">
        <v>0</v>
      </c>
      <c r="AK315" s="1" t="s">
        <v>6914</v>
      </c>
      <c r="AL315" s="1" t="s">
        <v>6915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6956</v>
      </c>
      <c r="C316" t="s">
        <v>6957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6950</v>
      </c>
      <c r="AH316" s="1">
        <v>3600</v>
      </c>
      <c r="AI316" t="s">
        <v>1881</v>
      </c>
      <c r="AJ316">
        <v>0</v>
      </c>
      <c r="AK316" s="1" t="s">
        <v>6958</v>
      </c>
      <c r="AL316" s="1" t="s">
        <v>6959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6960</v>
      </c>
      <c r="C317" t="s">
        <v>6961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6962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6942</v>
      </c>
      <c r="AH317" s="1">
        <v>3600</v>
      </c>
      <c r="AI317" t="s">
        <v>1881</v>
      </c>
      <c r="AJ317">
        <v>0</v>
      </c>
      <c r="AK317" s="1" t="s">
        <v>6963</v>
      </c>
      <c r="AL317" s="1" t="s">
        <v>6964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6965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6975</v>
      </c>
      <c r="C318" t="s">
        <v>6976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6977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6978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6983</v>
      </c>
      <c r="C319" t="s">
        <v>6984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1881</v>
      </c>
      <c r="AJ319">
        <v>0</v>
      </c>
      <c r="AK319" s="1" t="s">
        <v>6985</v>
      </c>
      <c r="AL319" s="1" t="s">
        <v>6986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6987</v>
      </c>
      <c r="AS319">
        <v>0</v>
      </c>
      <c r="AT319" t="s">
        <v>1844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6988</v>
      </c>
      <c r="C320" t="s">
        <v>6989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6990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1881</v>
      </c>
      <c r="AJ320">
        <v>0</v>
      </c>
      <c r="AK320" s="1" t="s">
        <v>5428</v>
      </c>
      <c r="AL320" s="1" t="s">
        <v>6991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6992</v>
      </c>
      <c r="AS320">
        <v>0</v>
      </c>
      <c r="AT320" t="s">
        <v>6993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6994</v>
      </c>
      <c r="C321" t="s">
        <v>6995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1881</v>
      </c>
      <c r="AJ321">
        <v>0</v>
      </c>
      <c r="AK321" s="1" t="s">
        <v>6996</v>
      </c>
      <c r="AL321" s="1" t="s">
        <v>6997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1844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6998</v>
      </c>
      <c r="C322" t="s">
        <v>6999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7000</v>
      </c>
      <c r="AJ322">
        <v>0</v>
      </c>
      <c r="AK322" s="1" t="s">
        <v>7001</v>
      </c>
      <c r="AL322" s="1" t="s">
        <v>7002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1844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7003</v>
      </c>
      <c r="C323" t="s">
        <v>7004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6589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1881</v>
      </c>
      <c r="AJ323">
        <v>0</v>
      </c>
      <c r="AK323" s="1" t="s">
        <v>7005</v>
      </c>
      <c r="AL323" s="1" t="s">
        <v>7006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6592</v>
      </c>
      <c r="AS323">
        <v>0</v>
      </c>
      <c r="AT323" t="s">
        <v>1844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7101</v>
      </c>
      <c r="C324" t="s">
        <v>7102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7103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1881</v>
      </c>
      <c r="AJ324">
        <v>0</v>
      </c>
      <c r="AK324" s="1" t="s">
        <v>7104</v>
      </c>
      <c r="AL324" s="1" t="s">
        <v>7105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1844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7106</v>
      </c>
      <c r="C325" t="s">
        <v>7107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7060</v>
      </c>
      <c r="AH325" s="1">
        <v>2700</v>
      </c>
      <c r="AI325" t="s">
        <v>1881</v>
      </c>
      <c r="AJ325">
        <v>0</v>
      </c>
      <c r="AK325" s="1" t="s">
        <v>7108</v>
      </c>
      <c r="AL325" s="1" t="s">
        <v>7109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1844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7110</v>
      </c>
      <c r="C326" t="s">
        <v>7111</v>
      </c>
      <c r="D326">
        <v>5</v>
      </c>
      <c r="E326">
        <v>2</v>
      </c>
      <c r="F326">
        <v>19</v>
      </c>
      <c r="G326" s="1" t="s">
        <v>390</v>
      </c>
      <c r="H326" s="1" t="s">
        <v>7112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7019</v>
      </c>
      <c r="AH326" s="1">
        <v>3600</v>
      </c>
      <c r="AI326" t="s">
        <v>1881</v>
      </c>
      <c r="AJ326">
        <v>0</v>
      </c>
      <c r="AK326" s="1" t="s">
        <v>7113</v>
      </c>
      <c r="AL326" s="1" t="s">
        <v>7114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1844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7115</v>
      </c>
      <c r="C327" t="s">
        <v>7116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7029</v>
      </c>
      <c r="AH327" s="1">
        <v>3600</v>
      </c>
      <c r="AI327" t="s">
        <v>1881</v>
      </c>
      <c r="AJ327">
        <v>0</v>
      </c>
      <c r="AK327" s="1" t="s">
        <v>7117</v>
      </c>
      <c r="AL327" s="1" t="s">
        <v>7118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2506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7119</v>
      </c>
      <c r="C328" t="s">
        <v>7120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7044</v>
      </c>
      <c r="AH328" s="1">
        <v>3060</v>
      </c>
      <c r="AI328" t="s">
        <v>1881</v>
      </c>
      <c r="AJ328">
        <v>0</v>
      </c>
      <c r="AK328" s="1" t="s">
        <v>7121</v>
      </c>
      <c r="AL328" s="1" t="s">
        <v>7122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1844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7123</v>
      </c>
      <c r="C329" t="s">
        <v>7124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7053</v>
      </c>
      <c r="AH329" s="1">
        <v>3060</v>
      </c>
      <c r="AI329" t="s">
        <v>1881</v>
      </c>
      <c r="AJ329">
        <v>0</v>
      </c>
      <c r="AK329" s="1" t="s">
        <v>7125</v>
      </c>
      <c r="AL329" s="1" t="s">
        <v>7126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7127</v>
      </c>
      <c r="AS329">
        <v>0</v>
      </c>
      <c r="AT329" t="s">
        <v>1844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7128</v>
      </c>
      <c r="C330" t="s">
        <v>7129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7068</v>
      </c>
      <c r="AH330" s="1">
        <v>3060</v>
      </c>
      <c r="AI330" t="s">
        <v>1881</v>
      </c>
      <c r="AJ330">
        <v>0</v>
      </c>
      <c r="AK330" s="1" t="s">
        <v>7130</v>
      </c>
      <c r="AL330" s="1" t="s">
        <v>7131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7132</v>
      </c>
      <c r="AS330">
        <v>0</v>
      </c>
      <c r="AT330" t="s">
        <v>1844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7149</v>
      </c>
      <c r="C331" t="s">
        <v>7150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7151</v>
      </c>
      <c r="AJ331">
        <v>0</v>
      </c>
      <c r="AK331" s="1" t="s">
        <v>7152</v>
      </c>
      <c r="AL331" s="1" t="s">
        <v>7153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7154</v>
      </c>
      <c r="AU331">
        <v>10</v>
      </c>
      <c r="AV331">
        <v>18113</v>
      </c>
      <c r="AW331">
        <v>0</v>
      </c>
      <c r="AX33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85"/>
  <sheetViews>
    <sheetView workbookViewId="0">
      <pane ySplit="1" topLeftCell="A125" activePane="bottomLeft" state="frozen"/>
      <selection activeCell="AZ2" sqref="AZ2"/>
      <selection pane="bottomLeft" activeCell="C138" sqref="C138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6" t="s">
        <v>6806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6666</v>
      </c>
      <c r="BF1" t="s">
        <v>6667</v>
      </c>
    </row>
    <row r="2" spans="1:60" x14ac:dyDescent="0.25">
      <c r="A2" s="1">
        <v>1</v>
      </c>
      <c r="B2" s="1" t="s">
        <v>2674</v>
      </c>
      <c r="C2" s="247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7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7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7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7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7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7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7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7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7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7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7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7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7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7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7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7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7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7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7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7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7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7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7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7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7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7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7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7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7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7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7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7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7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7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7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7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7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7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7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7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7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7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7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7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7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7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7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7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7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7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7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7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7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7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7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7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7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7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7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7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7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7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7" t="s">
        <v>6804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7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7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7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7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7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7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7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7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7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7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7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7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7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7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7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7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7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7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7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7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7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7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7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7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7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7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7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7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7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7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7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7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7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7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7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7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7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7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7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7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7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7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7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7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7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7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7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7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7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7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7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7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7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7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7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7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7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7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7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7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7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7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7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7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7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7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7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7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7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7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7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7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7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7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7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7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7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7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7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7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7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7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7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7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7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7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7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7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7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7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7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7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7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7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7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7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7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7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7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7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7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7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7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7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7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7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7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7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7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7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7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7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7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7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7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7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7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7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7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7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7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7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7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7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7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7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7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7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7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7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7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7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7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7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7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7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7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7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7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7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7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7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7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7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7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7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7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7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7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7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7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7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7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7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7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7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7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7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7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7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7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7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7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7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7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7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7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7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7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7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7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7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7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7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7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7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7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7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7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7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7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7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7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7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7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7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7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7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7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7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7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7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7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7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7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7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7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7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7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7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7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7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7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7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7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7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7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7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7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7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7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7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7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7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7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7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7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7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7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7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7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7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7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7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7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7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7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7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7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7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7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7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7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7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7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7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7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7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7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7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7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7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7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7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7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7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7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7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7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7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7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7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7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7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7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7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7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7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7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7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7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7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7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7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7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7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7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7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7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7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7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7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7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7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7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7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7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7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7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7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7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7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7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7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7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7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7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7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7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7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7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6421</v>
      </c>
      <c r="C357" s="247" t="s">
        <v>2173</v>
      </c>
      <c r="D357" s="1" t="s">
        <v>2173</v>
      </c>
      <c r="E357" s="1" t="s">
        <v>329</v>
      </c>
      <c r="F357" s="1" t="s">
        <v>329</v>
      </c>
      <c r="G357" s="1" t="s">
        <v>6422</v>
      </c>
      <c r="H357" s="1" t="s">
        <v>6423</v>
      </c>
      <c r="I357" s="1" t="s">
        <v>6424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6425</v>
      </c>
      <c r="AK357" s="1" t="s">
        <v>6426</v>
      </c>
      <c r="AL357" s="1">
        <v>13</v>
      </c>
      <c r="AM357" s="1" t="s">
        <v>399</v>
      </c>
      <c r="AN357" s="1" t="s">
        <v>6427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6429</v>
      </c>
      <c r="C358" s="247" t="s">
        <v>6430</v>
      </c>
      <c r="D358" s="1" t="s">
        <v>6430</v>
      </c>
      <c r="E358" s="1" t="s">
        <v>329</v>
      </c>
      <c r="F358" s="1" t="s">
        <v>329</v>
      </c>
      <c r="G358" s="1" t="s">
        <v>6431</v>
      </c>
      <c r="H358" s="1" t="s">
        <v>6432</v>
      </c>
      <c r="I358" s="1" t="s">
        <v>6433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6434</v>
      </c>
      <c r="AK358" s="1" t="s">
        <v>6435</v>
      </c>
      <c r="AL358" s="1">
        <v>8</v>
      </c>
      <c r="AM358" s="1" t="s">
        <v>399</v>
      </c>
      <c r="AN358" s="1" t="s">
        <v>6436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6437</v>
      </c>
      <c r="C359" s="247" t="s">
        <v>6438</v>
      </c>
      <c r="D359" s="1" t="s">
        <v>6438</v>
      </c>
      <c r="E359" s="1" t="s">
        <v>329</v>
      </c>
      <c r="F359" s="1" t="s">
        <v>329</v>
      </c>
      <c r="G359" s="1" t="s">
        <v>6439</v>
      </c>
      <c r="H359" s="1" t="s">
        <v>6440</v>
      </c>
      <c r="I359" s="1" t="s">
        <v>6441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6442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6604</v>
      </c>
      <c r="C360" s="248" t="s">
        <v>6605</v>
      </c>
      <c r="D360" t="s">
        <v>6605</v>
      </c>
      <c r="E360" t="s">
        <v>329</v>
      </c>
      <c r="F360" t="s">
        <v>329</v>
      </c>
      <c r="G360" t="s">
        <v>6606</v>
      </c>
      <c r="H360" t="s">
        <v>6607</v>
      </c>
      <c r="I360" t="s">
        <v>6608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6609</v>
      </c>
      <c r="AK360" t="s">
        <v>6610</v>
      </c>
      <c r="AL360">
        <v>8</v>
      </c>
      <c r="AM360" t="s">
        <v>388</v>
      </c>
      <c r="AN360" t="s">
        <v>6611</v>
      </c>
      <c r="AO360" t="s">
        <v>6612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6613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6614</v>
      </c>
      <c r="C361" s="248" t="s">
        <v>6615</v>
      </c>
      <c r="D361" t="s">
        <v>6615</v>
      </c>
      <c r="E361" t="s">
        <v>329</v>
      </c>
      <c r="F361" t="s">
        <v>329</v>
      </c>
      <c r="G361" t="s">
        <v>6616</v>
      </c>
      <c r="H361" t="s">
        <v>6617</v>
      </c>
      <c r="I361" t="s">
        <v>6618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6619</v>
      </c>
      <c r="AK361" t="s">
        <v>6620</v>
      </c>
      <c r="AL361">
        <v>9</v>
      </c>
      <c r="AM361" t="s">
        <v>4754</v>
      </c>
      <c r="AN361" t="s">
        <v>6621</v>
      </c>
      <c r="AO361" t="s">
        <v>6622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6613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6623</v>
      </c>
      <c r="C362" s="248" t="s">
        <v>6624</v>
      </c>
      <c r="D362" t="s">
        <v>6624</v>
      </c>
      <c r="E362" t="s">
        <v>329</v>
      </c>
      <c r="F362" t="s">
        <v>329</v>
      </c>
      <c r="G362" t="s">
        <v>6625</v>
      </c>
      <c r="H362" t="s">
        <v>6626</v>
      </c>
      <c r="I362" t="s">
        <v>6627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6628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6613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7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7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7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7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7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7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7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7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7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7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7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7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7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7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7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7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7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7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7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7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7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7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7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7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7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7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7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7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7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7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7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7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7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7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7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7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7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7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7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7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7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7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7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7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7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7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7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7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7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7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7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7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7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7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7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7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7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7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7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7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7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7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7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7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7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7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7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7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7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7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7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7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7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7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7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7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7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7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7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7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7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7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7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7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7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7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7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7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7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7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7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7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7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7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7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7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7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7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7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7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7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7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7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7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7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7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7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7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7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7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7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7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7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7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7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7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7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7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7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7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7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7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7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7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7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7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7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6650</v>
      </c>
      <c r="C490" s="248" t="s">
        <v>6651</v>
      </c>
      <c r="D490" t="s">
        <v>6651</v>
      </c>
      <c r="E490" t="s">
        <v>329</v>
      </c>
      <c r="F490" t="s">
        <v>329</v>
      </c>
      <c r="G490" t="s">
        <v>6652</v>
      </c>
      <c r="H490" t="s">
        <v>6653</v>
      </c>
      <c r="I490" t="s">
        <v>6654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6655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7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7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7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7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7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6505</v>
      </c>
      <c r="C496" s="247" t="s">
        <v>6506</v>
      </c>
      <c r="D496" s="1" t="s">
        <v>6506</v>
      </c>
      <c r="E496" s="1"/>
      <c r="F496" s="1"/>
      <c r="G496" s="1" t="s">
        <v>6507</v>
      </c>
      <c r="H496" s="1" t="s">
        <v>6508</v>
      </c>
      <c r="I496" s="1" t="s">
        <v>6509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6510</v>
      </c>
      <c r="AL496" s="1">
        <v>13</v>
      </c>
      <c r="AM496" s="1" t="s">
        <v>1844</v>
      </c>
      <c r="AN496" s="1" t="s">
        <v>6511</v>
      </c>
      <c r="AO496" s="1" t="s">
        <v>6512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7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7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7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7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7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7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7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7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7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7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7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7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7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7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7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7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7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7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7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7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7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7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7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6513</v>
      </c>
      <c r="C520" s="247" t="s">
        <v>6514</v>
      </c>
      <c r="D520" s="1" t="s">
        <v>6514</v>
      </c>
      <c r="E520" s="1"/>
      <c r="F520" s="1"/>
      <c r="G520" s="1" t="s">
        <v>6515</v>
      </c>
      <c r="H520" s="1" t="s">
        <v>6516</v>
      </c>
      <c r="I520" s="1" t="s">
        <v>6517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6504</v>
      </c>
      <c r="AK520" s="1" t="s">
        <v>6518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7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7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7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7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7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7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7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7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7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7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6519</v>
      </c>
      <c r="C531" s="247" t="s">
        <v>6552</v>
      </c>
      <c r="D531" s="1" t="s">
        <v>6520</v>
      </c>
      <c r="E531" s="1"/>
      <c r="F531" s="1"/>
      <c r="G531" s="1" t="s">
        <v>6521</v>
      </c>
      <c r="H531" s="1" t="s">
        <v>6522</v>
      </c>
      <c r="I531" s="1" t="s">
        <v>6523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6524</v>
      </c>
      <c r="AK531" s="1" t="s">
        <v>6525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7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7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7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7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7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7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7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7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7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7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7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7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7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7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7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7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7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7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6526</v>
      </c>
      <c r="C550" s="247" t="s">
        <v>6527</v>
      </c>
      <c r="D550" s="1" t="s">
        <v>6527</v>
      </c>
      <c r="E550" s="1"/>
      <c r="F550" s="1"/>
      <c r="G550" s="1" t="s">
        <v>6528</v>
      </c>
      <c r="H550" s="1" t="s">
        <v>6529</v>
      </c>
      <c r="I550" s="1" t="s">
        <v>6530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6531</v>
      </c>
      <c r="AK550" s="1" t="s">
        <v>6532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7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7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7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7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7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7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6684</v>
      </c>
      <c r="C557" s="247" t="s">
        <v>6685</v>
      </c>
      <c r="D557" s="1" t="s">
        <v>6685</v>
      </c>
      <c r="E557" s="1" t="s">
        <v>329</v>
      </c>
      <c r="F557" s="1" t="s">
        <v>329</v>
      </c>
      <c r="G557" s="1" t="s">
        <v>6686</v>
      </c>
      <c r="H557" s="1" t="s">
        <v>6687</v>
      </c>
      <c r="I557" s="1" t="s">
        <v>6688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6689</v>
      </c>
      <c r="AK557" s="1" t="s">
        <v>6690</v>
      </c>
      <c r="AL557" s="1">
        <v>14</v>
      </c>
      <c r="AM557" s="1" t="s">
        <v>1844</v>
      </c>
      <c r="AN557" s="1" t="s">
        <v>6691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6692</v>
      </c>
      <c r="AX557" s="1" t="s">
        <v>6693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6694</v>
      </c>
      <c r="C558" s="247" t="s">
        <v>6695</v>
      </c>
      <c r="D558" s="1" t="s">
        <v>6695</v>
      </c>
      <c r="E558" s="1" t="s">
        <v>329</v>
      </c>
      <c r="F558" s="1" t="s">
        <v>329</v>
      </c>
      <c r="G558" s="1" t="s">
        <v>6696</v>
      </c>
      <c r="H558" s="1" t="s">
        <v>6697</v>
      </c>
      <c r="I558" s="1" t="s">
        <v>6698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6699</v>
      </c>
      <c r="AK558" s="1" t="s">
        <v>6700</v>
      </c>
      <c r="AL558" s="1">
        <v>13</v>
      </c>
      <c r="AM558" s="1" t="s">
        <v>1844</v>
      </c>
      <c r="AN558" s="1" t="s">
        <v>5766</v>
      </c>
      <c r="AO558" s="1" t="s">
        <v>6701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6692</v>
      </c>
      <c r="AX558" s="1" t="s">
        <v>6693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6702</v>
      </c>
      <c r="C559" s="247" t="s">
        <v>6703</v>
      </c>
      <c r="D559" s="1" t="s">
        <v>6703</v>
      </c>
      <c r="E559" s="1" t="s">
        <v>329</v>
      </c>
      <c r="F559" s="1" t="s">
        <v>329</v>
      </c>
      <c r="G559" s="1" t="s">
        <v>6704</v>
      </c>
      <c r="H559" s="1" t="s">
        <v>6705</v>
      </c>
      <c r="I559" s="1" t="s">
        <v>6706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6707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6692</v>
      </c>
      <c r="AX559" s="1" t="s">
        <v>6708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6709</v>
      </c>
      <c r="C560" s="247" t="s">
        <v>6710</v>
      </c>
      <c r="D560" s="1" t="s">
        <v>6710</v>
      </c>
      <c r="E560" s="1" t="s">
        <v>329</v>
      </c>
      <c r="F560" s="1" t="s">
        <v>329</v>
      </c>
      <c r="G560" s="1" t="s">
        <v>6711</v>
      </c>
      <c r="H560" s="1" t="s">
        <v>6712</v>
      </c>
      <c r="I560" s="1" t="s">
        <v>6713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6714</v>
      </c>
      <c r="AK560" s="1" t="s">
        <v>6715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6692</v>
      </c>
      <c r="AX560" s="1" t="s">
        <v>6716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6717</v>
      </c>
      <c r="C561" s="247" t="s">
        <v>6718</v>
      </c>
      <c r="D561" s="1" t="s">
        <v>6718</v>
      </c>
      <c r="E561" s="1" t="s">
        <v>329</v>
      </c>
      <c r="F561" s="1" t="s">
        <v>329</v>
      </c>
      <c r="G561" s="1" t="s">
        <v>6719</v>
      </c>
      <c r="H561" s="1" t="s">
        <v>6720</v>
      </c>
      <c r="I561" s="1" t="s">
        <v>6721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6722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6692</v>
      </c>
      <c r="AX561" s="1" t="s">
        <v>6708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6723</v>
      </c>
      <c r="C562" s="247" t="s">
        <v>6724</v>
      </c>
      <c r="D562" s="1" t="s">
        <v>6724</v>
      </c>
      <c r="E562" s="1" t="s">
        <v>329</v>
      </c>
      <c r="F562" s="1" t="s">
        <v>329</v>
      </c>
      <c r="G562" s="1" t="s">
        <v>6725</v>
      </c>
      <c r="H562" s="1" t="s">
        <v>6726</v>
      </c>
      <c r="I562" s="1" t="s">
        <v>6727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6728</v>
      </c>
      <c r="AK562" s="1" t="s">
        <v>6729</v>
      </c>
      <c r="AL562" s="1">
        <v>19</v>
      </c>
      <c r="AM562" s="1" t="s">
        <v>388</v>
      </c>
      <c r="AN562" s="1" t="s">
        <v>6730</v>
      </c>
      <c r="AO562" s="1" t="s">
        <v>6731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6692</v>
      </c>
      <c r="AX562" s="1" t="s">
        <v>6708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6732</v>
      </c>
      <c r="C563" s="247" t="s">
        <v>6733</v>
      </c>
      <c r="D563" s="1" t="s">
        <v>6733</v>
      </c>
      <c r="E563" s="1" t="s">
        <v>329</v>
      </c>
      <c r="F563" s="1" t="s">
        <v>329</v>
      </c>
      <c r="G563" s="1" t="s">
        <v>6734</v>
      </c>
      <c r="H563" s="1" t="s">
        <v>6735</v>
      </c>
      <c r="I563" s="1" t="s">
        <v>6736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6737</v>
      </c>
      <c r="C564" s="247" t="s">
        <v>6738</v>
      </c>
      <c r="D564" s="1" t="s">
        <v>6738</v>
      </c>
      <c r="E564" s="1" t="s">
        <v>329</v>
      </c>
      <c r="F564" s="1" t="s">
        <v>329</v>
      </c>
      <c r="G564" s="1" t="s">
        <v>6739</v>
      </c>
      <c r="H564" s="1" t="s">
        <v>6740</v>
      </c>
      <c r="I564" s="1" t="s">
        <v>6741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6742</v>
      </c>
      <c r="C565" s="247" t="s">
        <v>6743</v>
      </c>
      <c r="D565" s="1" t="s">
        <v>6743</v>
      </c>
      <c r="E565" s="1" t="s">
        <v>329</v>
      </c>
      <c r="F565" s="1" t="s">
        <v>329</v>
      </c>
      <c r="G565" s="1" t="s">
        <v>6744</v>
      </c>
      <c r="H565" s="1" t="s">
        <v>6745</v>
      </c>
      <c r="I565" s="1" t="s">
        <v>6746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6747</v>
      </c>
      <c r="C566" s="247" t="s">
        <v>6801</v>
      </c>
      <c r="D566" s="1" t="s">
        <v>6748</v>
      </c>
      <c r="E566" s="1" t="s">
        <v>6676</v>
      </c>
      <c r="F566" s="1" t="s">
        <v>6677</v>
      </c>
      <c r="G566" s="1" t="s">
        <v>6749</v>
      </c>
      <c r="H566" s="1" t="s">
        <v>6750</v>
      </c>
      <c r="I566" s="1" t="s">
        <v>6751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6752</v>
      </c>
      <c r="AK566" s="1" t="s">
        <v>6753</v>
      </c>
      <c r="AL566" s="1">
        <v>13</v>
      </c>
      <c r="AM566" s="1" t="s">
        <v>1844</v>
      </c>
      <c r="AN566" s="1" t="s">
        <v>4818</v>
      </c>
      <c r="AO566" s="1" t="s">
        <v>6754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6755</v>
      </c>
      <c r="C567" s="247" t="s">
        <v>6802</v>
      </c>
      <c r="D567" s="1" t="s">
        <v>6756</v>
      </c>
      <c r="E567" s="1" t="s">
        <v>6678</v>
      </c>
      <c r="F567" s="1" t="s">
        <v>6679</v>
      </c>
      <c r="G567" s="1" t="s">
        <v>6757</v>
      </c>
      <c r="H567" s="1" t="s">
        <v>6758</v>
      </c>
      <c r="I567" s="1" t="s">
        <v>6759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6760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6761</v>
      </c>
      <c r="C568" s="247" t="s">
        <v>6803</v>
      </c>
      <c r="D568" s="1" t="s">
        <v>6762</v>
      </c>
      <c r="E568" s="1" t="s">
        <v>6680</v>
      </c>
      <c r="F568" s="1" t="s">
        <v>6681</v>
      </c>
      <c r="G568" s="1" t="s">
        <v>6763</v>
      </c>
      <c r="H568" s="1" t="s">
        <v>6764</v>
      </c>
      <c r="I568" s="1" t="s">
        <v>6765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6766</v>
      </c>
      <c r="AK568" s="1" t="s">
        <v>6767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6768</v>
      </c>
      <c r="C569" s="247" t="s">
        <v>6805</v>
      </c>
      <c r="D569" s="1" t="s">
        <v>6769</v>
      </c>
      <c r="E569" s="1" t="s">
        <v>6682</v>
      </c>
      <c r="F569" s="1" t="s">
        <v>6683</v>
      </c>
      <c r="G569" s="1" t="s">
        <v>6770</v>
      </c>
      <c r="H569" s="1" t="s">
        <v>6771</v>
      </c>
      <c r="I569" s="1" t="s">
        <v>6772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6773</v>
      </c>
      <c r="AK569" s="1" t="s">
        <v>6774</v>
      </c>
      <c r="AL569" s="1">
        <v>13</v>
      </c>
      <c r="AM569" s="1" t="s">
        <v>4757</v>
      </c>
      <c r="AN569" s="1" t="s">
        <v>4902</v>
      </c>
      <c r="AO569" s="1" t="s">
        <v>6775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6922</v>
      </c>
      <c r="C570" s="247" t="s">
        <v>6923</v>
      </c>
      <c r="D570" s="1" t="s">
        <v>6923</v>
      </c>
      <c r="E570" s="1" t="s">
        <v>329</v>
      </c>
      <c r="F570" s="1" t="s">
        <v>329</v>
      </c>
      <c r="G570" s="1" t="s">
        <v>6924</v>
      </c>
      <c r="H570" s="1" t="s">
        <v>6925</v>
      </c>
      <c r="I570" s="1" t="s">
        <v>6926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6927</v>
      </c>
      <c r="AK570" s="1" t="s">
        <v>6928</v>
      </c>
      <c r="AL570" s="1">
        <v>18</v>
      </c>
      <c r="AM570" s="1" t="s">
        <v>1844</v>
      </c>
      <c r="AN570" s="1" t="s">
        <v>6929</v>
      </c>
      <c r="AO570" s="1" t="s">
        <v>6930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6931</v>
      </c>
      <c r="AX570" s="1" t="s">
        <v>4800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4758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6932</v>
      </c>
      <c r="C571" s="247" t="s">
        <v>6933</v>
      </c>
      <c r="D571" s="1" t="s">
        <v>6933</v>
      </c>
      <c r="E571" s="1" t="s">
        <v>329</v>
      </c>
      <c r="F571" s="1" t="s">
        <v>329</v>
      </c>
      <c r="G571" s="1" t="s">
        <v>6934</v>
      </c>
      <c r="H571" s="1" t="s">
        <v>6935</v>
      </c>
      <c r="I571" s="1" t="s">
        <v>6936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6937</v>
      </c>
      <c r="AK571" s="1" t="s">
        <v>6938</v>
      </c>
      <c r="AL571" s="1">
        <v>14</v>
      </c>
      <c r="AM571" s="1" t="s">
        <v>1844</v>
      </c>
      <c r="AN571" s="1" t="s">
        <v>6939</v>
      </c>
      <c r="AO571" s="1" t="s">
        <v>6940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6931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4807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6941</v>
      </c>
      <c r="C572" s="247" t="s">
        <v>6942</v>
      </c>
      <c r="D572" s="1" t="s">
        <v>6943</v>
      </c>
      <c r="E572" s="1" t="s">
        <v>329</v>
      </c>
      <c r="F572" s="1" t="s">
        <v>329</v>
      </c>
      <c r="G572" s="1" t="s">
        <v>6944</v>
      </c>
      <c r="H572" s="1" t="s">
        <v>6945</v>
      </c>
      <c r="I572" s="1" t="s">
        <v>6946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6947</v>
      </c>
      <c r="AK572" s="1" t="s">
        <v>6948</v>
      </c>
      <c r="AL572" s="1">
        <v>13</v>
      </c>
      <c r="AM572" s="1" t="s">
        <v>355</v>
      </c>
      <c r="AN572" s="1" t="s">
        <v>5422</v>
      </c>
      <c r="AO572" s="1" t="s">
        <v>5101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6931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4891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6949</v>
      </c>
      <c r="C573" s="247" t="s">
        <v>6950</v>
      </c>
      <c r="D573" s="1" t="s">
        <v>6951</v>
      </c>
      <c r="E573" s="1" t="s">
        <v>329</v>
      </c>
      <c r="F573" s="1" t="s">
        <v>329</v>
      </c>
      <c r="G573" s="1" t="s">
        <v>6952</v>
      </c>
      <c r="H573" s="1" t="s">
        <v>6953</v>
      </c>
      <c r="I573" s="1" t="s">
        <v>6954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6955</v>
      </c>
      <c r="AK573" s="1" t="s">
        <v>329</v>
      </c>
      <c r="AL573" s="1">
        <v>13</v>
      </c>
      <c r="AM573" s="1" t="s">
        <v>355</v>
      </c>
      <c r="AN573" s="1" t="s">
        <v>5422</v>
      </c>
      <c r="AO573" s="1" t="s">
        <v>5101</v>
      </c>
      <c r="AP573" s="1">
        <v>0</v>
      </c>
      <c r="AQ573" s="1" t="s">
        <v>1137</v>
      </c>
      <c r="AR573" s="1" t="s">
        <v>4906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6931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4891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7018</v>
      </c>
      <c r="C574" s="247" t="s">
        <v>7019</v>
      </c>
      <c r="D574" s="1" t="s">
        <v>7019</v>
      </c>
      <c r="E574" s="1" t="s">
        <v>329</v>
      </c>
      <c r="F574" s="1" t="s">
        <v>329</v>
      </c>
      <c r="G574" s="1" t="s">
        <v>7020</v>
      </c>
      <c r="H574" s="1" t="s">
        <v>7021</v>
      </c>
      <c r="I574" s="1" t="s">
        <v>7022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7023</v>
      </c>
      <c r="AK574" s="1" t="s">
        <v>7024</v>
      </c>
      <c r="AL574" s="1">
        <v>13</v>
      </c>
      <c r="AM574" s="1" t="s">
        <v>1844</v>
      </c>
      <c r="AN574" s="1" t="s">
        <v>7025</v>
      </c>
      <c r="AO574" s="1" t="s">
        <v>4789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7026</v>
      </c>
      <c r="AX574" s="1" t="s">
        <v>7027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5424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7028</v>
      </c>
      <c r="C575" s="247" t="s">
        <v>7029</v>
      </c>
      <c r="D575" s="1" t="s">
        <v>7029</v>
      </c>
      <c r="E575" s="1" t="s">
        <v>329</v>
      </c>
      <c r="F575" s="1" t="s">
        <v>329</v>
      </c>
      <c r="G575" s="1" t="s">
        <v>7030</v>
      </c>
      <c r="H575" s="1" t="s">
        <v>7031</v>
      </c>
      <c r="I575" s="1" t="s">
        <v>7032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7033</v>
      </c>
      <c r="AK575" s="1" t="s">
        <v>329</v>
      </c>
      <c r="AL575" s="1">
        <v>12</v>
      </c>
      <c r="AM575" s="1" t="s">
        <v>1844</v>
      </c>
      <c r="AN575" s="1" t="s">
        <v>7034</v>
      </c>
      <c r="AO575" s="1" t="s">
        <v>4847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7026</v>
      </c>
      <c r="AX575" s="1" t="s">
        <v>7027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5424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7035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7036</v>
      </c>
      <c r="H576" s="1" t="s">
        <v>7037</v>
      </c>
      <c r="I576" s="1" t="s">
        <v>7038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7039</v>
      </c>
      <c r="AK576" s="1" t="s">
        <v>7040</v>
      </c>
      <c r="AL576" s="1">
        <v>18</v>
      </c>
      <c r="AM576" s="1" t="s">
        <v>1844</v>
      </c>
      <c r="AN576" s="1" t="s">
        <v>7041</v>
      </c>
      <c r="AO576" s="1" t="s">
        <v>5057</v>
      </c>
      <c r="AP576" s="1">
        <v>0</v>
      </c>
      <c r="AQ576" s="1" t="s">
        <v>1147</v>
      </c>
      <c r="AR576" s="1" t="s">
        <v>4873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7026</v>
      </c>
      <c r="AX576" s="1" t="s">
        <v>7042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5424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7043</v>
      </c>
      <c r="C577" s="247" t="s">
        <v>7044</v>
      </c>
      <c r="D577" s="1" t="s">
        <v>7044</v>
      </c>
      <c r="E577" s="1" t="s">
        <v>329</v>
      </c>
      <c r="F577" s="1" t="s">
        <v>329</v>
      </c>
      <c r="G577" s="1" t="s">
        <v>7045</v>
      </c>
      <c r="H577" s="1" t="s">
        <v>7046</v>
      </c>
      <c r="I577" s="1" t="s">
        <v>7047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7048</v>
      </c>
      <c r="AK577" s="1" t="s">
        <v>7049</v>
      </c>
      <c r="AL577" s="1">
        <v>19</v>
      </c>
      <c r="AM577" s="1" t="s">
        <v>1844</v>
      </c>
      <c r="AN577" s="1" t="s">
        <v>7050</v>
      </c>
      <c r="AO577" s="1" t="s">
        <v>5296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7026</v>
      </c>
      <c r="AX577" s="1" t="s">
        <v>7051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5424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7052</v>
      </c>
      <c r="C578" s="247" t="s">
        <v>7053</v>
      </c>
      <c r="D578" s="1" t="s">
        <v>7053</v>
      </c>
      <c r="E578" s="1" t="s">
        <v>329</v>
      </c>
      <c r="F578" s="1" t="s">
        <v>329</v>
      </c>
      <c r="G578" s="1" t="s">
        <v>7054</v>
      </c>
      <c r="H578" s="1" t="s">
        <v>7055</v>
      </c>
      <c r="I578" s="1" t="s">
        <v>7056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7057</v>
      </c>
      <c r="AK578" s="1" t="s">
        <v>329</v>
      </c>
      <c r="AL578" s="1">
        <v>17</v>
      </c>
      <c r="AM578" s="1" t="s">
        <v>1844</v>
      </c>
      <c r="AN578" s="1" t="s">
        <v>7058</v>
      </c>
      <c r="AO578" s="1" t="s">
        <v>5296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7026</v>
      </c>
      <c r="AX578" s="1" t="s">
        <v>7051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5424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7059</v>
      </c>
      <c r="C579" s="247" t="s">
        <v>7060</v>
      </c>
      <c r="D579" s="1" t="s">
        <v>7060</v>
      </c>
      <c r="E579" s="1" t="s">
        <v>329</v>
      </c>
      <c r="F579" s="1" t="s">
        <v>329</v>
      </c>
      <c r="G579" s="1" t="s">
        <v>7061</v>
      </c>
      <c r="H579" s="1" t="s">
        <v>7062</v>
      </c>
      <c r="I579" s="1" t="s">
        <v>7063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7064</v>
      </c>
      <c r="AK579" s="1" t="s">
        <v>7065</v>
      </c>
      <c r="AL579" s="1">
        <v>14</v>
      </c>
      <c r="AM579" s="1" t="s">
        <v>1844</v>
      </c>
      <c r="AN579" s="1" t="s">
        <v>7066</v>
      </c>
      <c r="AO579" s="1" t="s">
        <v>5023</v>
      </c>
      <c r="AP579" s="1">
        <v>0</v>
      </c>
      <c r="AQ579" s="1" t="s">
        <v>1174</v>
      </c>
      <c r="AR579" s="1" t="s">
        <v>4949</v>
      </c>
      <c r="AS579" s="1" t="s">
        <v>7016</v>
      </c>
      <c r="AT579" s="1" t="s">
        <v>329</v>
      </c>
      <c r="AU579" s="1">
        <v>1040</v>
      </c>
      <c r="AV579" s="1">
        <v>1</v>
      </c>
      <c r="AW579" s="1" t="s">
        <v>7026</v>
      </c>
      <c r="AX579" s="1" t="s">
        <v>7027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5424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7067</v>
      </c>
      <c r="C580" s="247" t="s">
        <v>7068</v>
      </c>
      <c r="D580" s="1" t="s">
        <v>7068</v>
      </c>
      <c r="E580" s="1" t="s">
        <v>329</v>
      </c>
      <c r="F580" s="1" t="s">
        <v>329</v>
      </c>
      <c r="G580" s="1" t="s">
        <v>7069</v>
      </c>
      <c r="H580" s="1" t="s">
        <v>7070</v>
      </c>
      <c r="I580" s="1" t="s">
        <v>7071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7072</v>
      </c>
      <c r="AK580" s="1" t="s">
        <v>329</v>
      </c>
      <c r="AL580" s="1">
        <v>8</v>
      </c>
      <c r="AM580" s="1" t="s">
        <v>1844</v>
      </c>
      <c r="AN580" s="1" t="s">
        <v>7073</v>
      </c>
      <c r="AO580" s="1" t="s">
        <v>4980</v>
      </c>
      <c r="AP580" s="1">
        <v>0</v>
      </c>
      <c r="AQ580" s="1" t="s">
        <v>5105</v>
      </c>
      <c r="AR580" s="1" t="s">
        <v>1208</v>
      </c>
      <c r="AS580" s="1" t="s">
        <v>7017</v>
      </c>
      <c r="AT580" s="1" t="s">
        <v>329</v>
      </c>
      <c r="AU580" s="1">
        <v>1041</v>
      </c>
      <c r="AV580" s="1">
        <v>1</v>
      </c>
      <c r="AW580" s="1" t="s">
        <v>7026</v>
      </c>
      <c r="AX580" s="1" t="s">
        <v>7042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5424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7074</v>
      </c>
      <c r="C581" s="247" t="s">
        <v>7133</v>
      </c>
      <c r="D581" s="1" t="s">
        <v>7068</v>
      </c>
      <c r="E581" s="1" t="s">
        <v>329</v>
      </c>
      <c r="F581" s="1" t="s">
        <v>329</v>
      </c>
      <c r="G581" s="1" t="s">
        <v>7075</v>
      </c>
      <c r="H581" s="1" t="s">
        <v>7076</v>
      </c>
      <c r="I581" s="1" t="s">
        <v>7077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7078</v>
      </c>
      <c r="AK581" s="1" t="s">
        <v>329</v>
      </c>
      <c r="AL581" s="1">
        <v>13</v>
      </c>
      <c r="AM581" s="1" t="s">
        <v>1844</v>
      </c>
      <c r="AN581" s="1" t="s">
        <v>4785</v>
      </c>
      <c r="AO581" s="1" t="s">
        <v>4782</v>
      </c>
      <c r="AP581" s="1">
        <v>0</v>
      </c>
      <c r="AQ581" s="1" t="s">
        <v>5893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5831</v>
      </c>
      <c r="AX581" s="1" t="s">
        <v>1844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7079</v>
      </c>
      <c r="C582" s="247" t="s">
        <v>7080</v>
      </c>
      <c r="D582" s="1" t="s">
        <v>7080</v>
      </c>
      <c r="E582" s="1" t="s">
        <v>329</v>
      </c>
      <c r="F582" s="1" t="s">
        <v>329</v>
      </c>
      <c r="G582" s="1" t="s">
        <v>7081</v>
      </c>
      <c r="H582" s="1" t="s">
        <v>7082</v>
      </c>
      <c r="I582" s="1" t="s">
        <v>7083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4828</v>
      </c>
      <c r="AN582" s="1" t="s">
        <v>4831</v>
      </c>
      <c r="AO582" s="1" t="s">
        <v>4840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5831</v>
      </c>
      <c r="AX582" s="1" t="s">
        <v>1844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7084</v>
      </c>
      <c r="C583" s="247" t="s">
        <v>7134</v>
      </c>
      <c r="D583" s="1" t="s">
        <v>7019</v>
      </c>
      <c r="E583" s="1" t="s">
        <v>329</v>
      </c>
      <c r="F583" s="1" t="s">
        <v>329</v>
      </c>
      <c r="G583" s="1" t="s">
        <v>7085</v>
      </c>
      <c r="H583" s="1" t="s">
        <v>7086</v>
      </c>
      <c r="I583" s="1" t="s">
        <v>7087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7088</v>
      </c>
      <c r="AK583" s="1" t="s">
        <v>329</v>
      </c>
      <c r="AL583" s="1">
        <v>17</v>
      </c>
      <c r="AM583" s="1" t="s">
        <v>1844</v>
      </c>
      <c r="AN583" s="1" t="s">
        <v>7089</v>
      </c>
      <c r="AO583" s="1" t="s">
        <v>4789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5831</v>
      </c>
      <c r="AX583" s="1" t="s">
        <v>1844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5424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7090</v>
      </c>
      <c r="C584" s="247" t="s">
        <v>7135</v>
      </c>
      <c r="D584" s="1" t="s">
        <v>236</v>
      </c>
      <c r="E584" s="1" t="s">
        <v>329</v>
      </c>
      <c r="F584" s="1" t="s">
        <v>329</v>
      </c>
      <c r="G584" s="1" t="s">
        <v>7091</v>
      </c>
      <c r="H584" s="1" t="s">
        <v>7092</v>
      </c>
      <c r="I584" s="1" t="s">
        <v>7093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7094</v>
      </c>
      <c r="AK584" s="1" t="s">
        <v>329</v>
      </c>
      <c r="AL584" s="1">
        <v>19</v>
      </c>
      <c r="AM584" s="1" t="s">
        <v>1844</v>
      </c>
      <c r="AN584" s="1" t="s">
        <v>7095</v>
      </c>
      <c r="AO584" s="1" t="s">
        <v>5057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5831</v>
      </c>
      <c r="AX584" s="1" t="s">
        <v>1844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5424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7096</v>
      </c>
      <c r="C585" s="247" t="s">
        <v>7097</v>
      </c>
      <c r="D585" s="1" t="s">
        <v>7097</v>
      </c>
      <c r="E585" s="1" t="s">
        <v>329</v>
      </c>
      <c r="F585" s="1" t="s">
        <v>329</v>
      </c>
      <c r="G585" s="1" t="s">
        <v>7098</v>
      </c>
      <c r="H585" s="1" t="s">
        <v>7099</v>
      </c>
      <c r="I585" s="1" t="s">
        <v>7100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1844</v>
      </c>
      <c r="AN585" s="1" t="s">
        <v>4785</v>
      </c>
      <c r="AO585" s="1" t="s">
        <v>4782</v>
      </c>
      <c r="AP585" s="1">
        <v>0</v>
      </c>
      <c r="AQ585" s="1" t="s">
        <v>5893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5831</v>
      </c>
      <c r="AX585" s="1" t="s">
        <v>1844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8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6493</v>
      </c>
      <c r="C6" t="s">
        <v>6494</v>
      </c>
      <c r="D6" t="s">
        <v>6495</v>
      </c>
      <c r="E6" t="s">
        <v>6496</v>
      </c>
      <c r="G6" t="s">
        <v>4523</v>
      </c>
      <c r="H6" t="s">
        <v>6497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6498</v>
      </c>
      <c r="X6" t="s">
        <v>6499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6500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6830</v>
      </c>
      <c r="C11" t="s">
        <v>6831</v>
      </c>
      <c r="D11" t="s">
        <v>6831</v>
      </c>
      <c r="E11" t="s">
        <v>6832</v>
      </c>
      <c r="F11" t="s">
        <v>6829</v>
      </c>
      <c r="G11" t="s">
        <v>4523</v>
      </c>
      <c r="H11" t="s">
        <v>6833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6834</v>
      </c>
      <c r="X11" t="s">
        <v>6835</v>
      </c>
      <c r="Y11" t="s">
        <v>6836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6837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6966</v>
      </c>
      <c r="C19" t="s">
        <v>6967</v>
      </c>
      <c r="D19" t="s">
        <v>6967</v>
      </c>
      <c r="E19" t="s">
        <v>6968</v>
      </c>
      <c r="F19" t="s">
        <v>6829</v>
      </c>
      <c r="G19" t="s">
        <v>4523</v>
      </c>
      <c r="H19" t="s">
        <v>6969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6970</v>
      </c>
      <c r="X19" t="s">
        <v>6971</v>
      </c>
      <c r="Y19" t="s">
        <v>6972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6973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6565</v>
      </c>
      <c r="C21" t="s">
        <v>6566</v>
      </c>
      <c r="D21" t="s">
        <v>6566</v>
      </c>
      <c r="E21" t="s">
        <v>6567</v>
      </c>
      <c r="G21" t="s">
        <v>4523</v>
      </c>
      <c r="H21" t="s">
        <v>6568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6569</v>
      </c>
      <c r="X21" t="s">
        <v>6570</v>
      </c>
      <c r="Y21" t="s">
        <v>6571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6572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1023</v>
      </c>
      <c r="B23" t="s">
        <v>7007</v>
      </c>
      <c r="C23" t="s">
        <v>7008</v>
      </c>
      <c r="D23" t="s">
        <v>7008</v>
      </c>
      <c r="E23" t="s">
        <v>7009</v>
      </c>
      <c r="F23" t="s">
        <v>6829</v>
      </c>
      <c r="G23" t="s">
        <v>4523</v>
      </c>
      <c r="H23" t="s">
        <v>7010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7011</v>
      </c>
      <c r="X23" t="s">
        <v>7012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7013</v>
      </c>
      <c r="AV23" t="s">
        <v>4529</v>
      </c>
      <c r="AW23" t="s">
        <v>4529</v>
      </c>
      <c r="AX23" t="s">
        <v>4529</v>
      </c>
      <c r="AY23">
        <v>181</v>
      </c>
      <c r="AZ23">
        <v>11002</v>
      </c>
      <c r="BA23">
        <v>1</v>
      </c>
      <c r="BB23" t="s">
        <v>7014</v>
      </c>
      <c r="BC23" t="s">
        <v>1844</v>
      </c>
      <c r="BD23">
        <v>930024</v>
      </c>
      <c r="BE23" t="s">
        <v>4531</v>
      </c>
      <c r="BF23" t="s">
        <v>4532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4631</v>
      </c>
      <c r="C24" t="s">
        <v>985</v>
      </c>
      <c r="D24" t="s">
        <v>985</v>
      </c>
      <c r="E24" t="s">
        <v>4632</v>
      </c>
      <c r="G24" t="s">
        <v>4523</v>
      </c>
      <c r="H24" t="s">
        <v>4633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4634</v>
      </c>
      <c r="X24" t="s">
        <v>329</v>
      </c>
      <c r="Y24" t="s">
        <v>4635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4636</v>
      </c>
      <c r="AV24" t="s">
        <v>4529</v>
      </c>
      <c r="AW24" t="s">
        <v>4529</v>
      </c>
      <c r="AX24" t="s">
        <v>4529</v>
      </c>
      <c r="AY24">
        <v>21</v>
      </c>
      <c r="AZ24">
        <v>11002</v>
      </c>
      <c r="BA24">
        <v>1</v>
      </c>
      <c r="BB24" t="s">
        <v>4530</v>
      </c>
      <c r="BC24" t="s">
        <v>1844</v>
      </c>
      <c r="BD24">
        <v>930007</v>
      </c>
      <c r="BE24" t="s">
        <v>4531</v>
      </c>
      <c r="BF24" t="s">
        <v>4532</v>
      </c>
      <c r="BG24">
        <v>88</v>
      </c>
      <c r="BH24">
        <v>10603</v>
      </c>
    </row>
    <row r="25" spans="1:61" x14ac:dyDescent="0.25">
      <c r="A25">
        <v>2003</v>
      </c>
      <c r="B25" t="s">
        <v>4637</v>
      </c>
      <c r="C25" t="s">
        <v>996</v>
      </c>
      <c r="D25" t="s">
        <v>996</v>
      </c>
      <c r="E25" t="s">
        <v>4638</v>
      </c>
      <c r="G25" t="s">
        <v>4523</v>
      </c>
      <c r="H25" t="s">
        <v>4639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1844</v>
      </c>
      <c r="X25" t="s">
        <v>4537</v>
      </c>
      <c r="Y25" t="s">
        <v>4640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4530</v>
      </c>
      <c r="BC25" t="s">
        <v>1844</v>
      </c>
      <c r="BD25">
        <v>910015</v>
      </c>
      <c r="BE25" t="s">
        <v>4531</v>
      </c>
      <c r="BF25" t="s">
        <v>4532</v>
      </c>
      <c r="BG25">
        <v>100</v>
      </c>
      <c r="BH25">
        <v>0</v>
      </c>
    </row>
    <row r="26" spans="1:61" x14ac:dyDescent="0.25">
      <c r="A26">
        <v>2014</v>
      </c>
      <c r="B26" t="s">
        <v>4641</v>
      </c>
      <c r="C26" t="s">
        <v>1010</v>
      </c>
      <c r="D26" t="s">
        <v>1010</v>
      </c>
      <c r="E26" t="s">
        <v>4642</v>
      </c>
      <c r="G26" t="s">
        <v>4523</v>
      </c>
      <c r="H26" t="s">
        <v>4643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1844</v>
      </c>
      <c r="X26" t="s">
        <v>4537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4530</v>
      </c>
      <c r="BC26" t="s">
        <v>1844</v>
      </c>
      <c r="BD26">
        <v>911011</v>
      </c>
      <c r="BE26" t="s">
        <v>4531</v>
      </c>
      <c r="BF26" t="s">
        <v>4532</v>
      </c>
      <c r="BG26">
        <v>95</v>
      </c>
      <c r="BH26">
        <v>0</v>
      </c>
    </row>
    <row r="27" spans="1:61" x14ac:dyDescent="0.25">
      <c r="A27">
        <v>2001</v>
      </c>
      <c r="B27" t="s">
        <v>4644</v>
      </c>
      <c r="C27" t="s">
        <v>994</v>
      </c>
      <c r="D27" t="s">
        <v>994</v>
      </c>
      <c r="E27" t="s">
        <v>4645</v>
      </c>
      <c r="G27" t="s">
        <v>4523</v>
      </c>
      <c r="H27" t="s">
        <v>4646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1844</v>
      </c>
      <c r="X27" t="s">
        <v>4537</v>
      </c>
      <c r="Y27" t="s">
        <v>4647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4530</v>
      </c>
      <c r="BC27" t="s">
        <v>1844</v>
      </c>
      <c r="BD27">
        <v>910017</v>
      </c>
      <c r="BE27" t="s">
        <v>4531</v>
      </c>
      <c r="BF27" t="s">
        <v>4532</v>
      </c>
      <c r="BG27">
        <v>75</v>
      </c>
      <c r="BH27">
        <v>0</v>
      </c>
    </row>
    <row r="28" spans="1:61" x14ac:dyDescent="0.25">
      <c r="A28">
        <v>2002</v>
      </c>
      <c r="B28" t="s">
        <v>4648</v>
      </c>
      <c r="C28" t="s">
        <v>995</v>
      </c>
      <c r="D28" t="s">
        <v>995</v>
      </c>
      <c r="E28" t="s">
        <v>4649</v>
      </c>
      <c r="G28" t="s">
        <v>4523</v>
      </c>
      <c r="H28" t="s">
        <v>4650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1844</v>
      </c>
      <c r="X28" t="s">
        <v>4651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4530</v>
      </c>
      <c r="BC28" t="s">
        <v>1844</v>
      </c>
      <c r="BD28">
        <v>910008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2012</v>
      </c>
      <c r="B29" t="s">
        <v>4652</v>
      </c>
      <c r="C29" t="s">
        <v>1008</v>
      </c>
      <c r="D29" t="s">
        <v>1008</v>
      </c>
      <c r="E29" t="s">
        <v>4653</v>
      </c>
      <c r="G29" t="s">
        <v>4523</v>
      </c>
      <c r="H29" t="s">
        <v>4654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1844</v>
      </c>
      <c r="X29" t="s">
        <v>4537</v>
      </c>
      <c r="Y29" t="s">
        <v>4655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4530</v>
      </c>
      <c r="BC29" t="s">
        <v>1844</v>
      </c>
      <c r="BD29">
        <v>911008</v>
      </c>
      <c r="BE29" t="s">
        <v>4531</v>
      </c>
      <c r="BF29" t="s">
        <v>4532</v>
      </c>
      <c r="BG29">
        <v>90</v>
      </c>
      <c r="BH29">
        <v>0</v>
      </c>
    </row>
    <row r="30" spans="1:61" x14ac:dyDescent="0.25">
      <c r="A30">
        <v>2016</v>
      </c>
      <c r="B30" t="s">
        <v>5699</v>
      </c>
      <c r="C30" t="s">
        <v>5703</v>
      </c>
      <c r="D30" t="s">
        <v>5700</v>
      </c>
      <c r="E30" t="s">
        <v>5701</v>
      </c>
      <c r="G30" t="s">
        <v>4523</v>
      </c>
      <c r="H30" t="s">
        <v>5702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4530</v>
      </c>
      <c r="BC30" t="s">
        <v>1844</v>
      </c>
      <c r="BD30">
        <v>913124</v>
      </c>
      <c r="BE30" t="s">
        <v>4531</v>
      </c>
      <c r="BF30" t="s">
        <v>4532</v>
      </c>
      <c r="BG30">
        <v>95</v>
      </c>
      <c r="BH30">
        <v>0</v>
      </c>
    </row>
    <row r="31" spans="1:61" x14ac:dyDescent="0.25">
      <c r="A31">
        <v>2008</v>
      </c>
      <c r="B31" t="s">
        <v>4656</v>
      </c>
      <c r="C31" t="s">
        <v>1003</v>
      </c>
      <c r="D31" t="s">
        <v>1003</v>
      </c>
      <c r="E31" t="s">
        <v>4657</v>
      </c>
      <c r="G31" t="s">
        <v>4523</v>
      </c>
      <c r="H31" t="s">
        <v>4658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1844</v>
      </c>
      <c r="X31" t="s">
        <v>4537</v>
      </c>
      <c r="Y31" t="s">
        <v>4659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4530</v>
      </c>
      <c r="BC31" t="s">
        <v>1844</v>
      </c>
      <c r="BD31">
        <v>911007</v>
      </c>
      <c r="BE31" t="s">
        <v>4531</v>
      </c>
      <c r="BF31" t="s">
        <v>4532</v>
      </c>
      <c r="BG31">
        <v>90</v>
      </c>
      <c r="BH31">
        <v>0</v>
      </c>
    </row>
    <row r="32" spans="1:61" x14ac:dyDescent="0.25">
      <c r="A32">
        <v>2015</v>
      </c>
      <c r="B32" t="s">
        <v>4533</v>
      </c>
      <c r="C32" t="s">
        <v>4534</v>
      </c>
      <c r="D32" t="s">
        <v>4534</v>
      </c>
      <c r="E32" t="s">
        <v>4535</v>
      </c>
      <c r="G32" t="s">
        <v>4523</v>
      </c>
      <c r="H32" t="s">
        <v>4536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1844</v>
      </c>
      <c r="X32" t="s">
        <v>4537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4530</v>
      </c>
      <c r="BC32" t="s">
        <v>1844</v>
      </c>
      <c r="BD32">
        <v>911006</v>
      </c>
      <c r="BE32" t="s">
        <v>4531</v>
      </c>
      <c r="BF32" t="s">
        <v>4532</v>
      </c>
      <c r="BG32">
        <v>95</v>
      </c>
      <c r="BH32">
        <v>0</v>
      </c>
    </row>
    <row r="33" spans="1:61" x14ac:dyDescent="0.25">
      <c r="A33">
        <v>2006</v>
      </c>
      <c r="B33" t="s">
        <v>4660</v>
      </c>
      <c r="C33" t="s">
        <v>1002</v>
      </c>
      <c r="D33" t="s">
        <v>1002</v>
      </c>
      <c r="E33" t="s">
        <v>4661</v>
      </c>
      <c r="G33" t="s">
        <v>4523</v>
      </c>
      <c r="H33" t="s">
        <v>4662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1844</v>
      </c>
      <c r="X33" t="s">
        <v>4663</v>
      </c>
      <c r="Y33" t="s">
        <v>4664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4530</v>
      </c>
      <c r="BC33" t="s">
        <v>1844</v>
      </c>
      <c r="BD33">
        <v>910010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2004</v>
      </c>
      <c r="B34" t="s">
        <v>4665</v>
      </c>
      <c r="C34" t="s">
        <v>998</v>
      </c>
      <c r="D34" t="s">
        <v>998</v>
      </c>
      <c r="E34" t="s">
        <v>4666</v>
      </c>
      <c r="G34" t="s">
        <v>4523</v>
      </c>
      <c r="H34" t="s">
        <v>4667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1844</v>
      </c>
      <c r="X34" t="s">
        <v>4537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4530</v>
      </c>
      <c r="BC34" t="s">
        <v>1844</v>
      </c>
      <c r="BD34">
        <v>910016</v>
      </c>
      <c r="BE34" t="s">
        <v>4531</v>
      </c>
      <c r="BF34" t="s">
        <v>4532</v>
      </c>
      <c r="BG34">
        <v>100</v>
      </c>
      <c r="BH34">
        <v>0</v>
      </c>
    </row>
    <row r="35" spans="1:61" x14ac:dyDescent="0.25">
      <c r="A35">
        <v>2011</v>
      </c>
      <c r="B35" t="s">
        <v>4668</v>
      </c>
      <c r="C35" t="s">
        <v>1006</v>
      </c>
      <c r="D35" t="s">
        <v>1006</v>
      </c>
      <c r="E35" t="s">
        <v>4669</v>
      </c>
      <c r="G35" t="s">
        <v>4523</v>
      </c>
      <c r="H35" t="s">
        <v>4670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1844</v>
      </c>
      <c r="X35" t="s">
        <v>4537</v>
      </c>
      <c r="Y35" t="s">
        <v>4671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4530</v>
      </c>
      <c r="BC35" t="s">
        <v>1844</v>
      </c>
      <c r="BD35">
        <v>911001</v>
      </c>
      <c r="BE35" t="s">
        <v>4531</v>
      </c>
      <c r="BF35" t="s">
        <v>4532</v>
      </c>
      <c r="BG35">
        <v>80</v>
      </c>
      <c r="BH35">
        <v>0</v>
      </c>
    </row>
    <row r="36" spans="1:61" x14ac:dyDescent="0.25">
      <c r="A36">
        <v>2018</v>
      </c>
      <c r="B36" t="s">
        <v>6573</v>
      </c>
      <c r="C36" t="s">
        <v>6581</v>
      </c>
      <c r="D36" t="s">
        <v>6574</v>
      </c>
      <c r="E36" t="s">
        <v>6575</v>
      </c>
      <c r="G36" t="s">
        <v>4523</v>
      </c>
      <c r="H36" t="s">
        <v>6576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6577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1844</v>
      </c>
      <c r="X36" t="s">
        <v>6578</v>
      </c>
      <c r="Y36" t="s">
        <v>6579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4530</v>
      </c>
      <c r="BC36" t="s">
        <v>1844</v>
      </c>
      <c r="BD36">
        <v>913217</v>
      </c>
      <c r="BE36" t="s">
        <v>4531</v>
      </c>
      <c r="BF36" t="s">
        <v>4532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4672</v>
      </c>
      <c r="C37" t="s">
        <v>1004</v>
      </c>
      <c r="D37" t="s">
        <v>1004</v>
      </c>
      <c r="E37" t="s">
        <v>4673</v>
      </c>
      <c r="G37" t="s">
        <v>4523</v>
      </c>
      <c r="H37" t="s">
        <v>4674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1844</v>
      </c>
      <c r="X37" t="s">
        <v>4675</v>
      </c>
      <c r="Y37" t="s">
        <v>4676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4530</v>
      </c>
      <c r="BC37" t="s">
        <v>1844</v>
      </c>
      <c r="BD37">
        <v>911104</v>
      </c>
      <c r="BE37" t="s">
        <v>4531</v>
      </c>
      <c r="BF37" t="s">
        <v>4532</v>
      </c>
      <c r="BG37">
        <v>90</v>
      </c>
      <c r="BH37">
        <v>0</v>
      </c>
    </row>
    <row r="38" spans="1:61" x14ac:dyDescent="0.25">
      <c r="A38">
        <v>2013</v>
      </c>
      <c r="B38" t="s">
        <v>4677</v>
      </c>
      <c r="C38" t="s">
        <v>1009</v>
      </c>
      <c r="D38" t="s">
        <v>1009</v>
      </c>
      <c r="E38" t="s">
        <v>4678</v>
      </c>
      <c r="G38" t="s">
        <v>4523</v>
      </c>
      <c r="H38" t="s">
        <v>4679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1844</v>
      </c>
      <c r="X38" t="s">
        <v>4680</v>
      </c>
      <c r="Y38" t="s">
        <v>4681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4530</v>
      </c>
      <c r="BC38" t="s">
        <v>1844</v>
      </c>
      <c r="BD38">
        <v>911012</v>
      </c>
      <c r="BE38" t="s">
        <v>4531</v>
      </c>
      <c r="BF38" t="s">
        <v>4532</v>
      </c>
      <c r="BG38">
        <v>95</v>
      </c>
      <c r="BH38">
        <v>0</v>
      </c>
    </row>
    <row r="39" spans="1:61" x14ac:dyDescent="0.25">
      <c r="A39">
        <v>2005</v>
      </c>
      <c r="B39" t="s">
        <v>4682</v>
      </c>
      <c r="C39" t="s">
        <v>1000</v>
      </c>
      <c r="D39" t="s">
        <v>1000</v>
      </c>
      <c r="E39" t="s">
        <v>4683</v>
      </c>
      <c r="G39" t="s">
        <v>4523</v>
      </c>
      <c r="H39" t="s">
        <v>4684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1844</v>
      </c>
      <c r="X39" t="s">
        <v>4685</v>
      </c>
      <c r="Y39" t="s">
        <v>4686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4530</v>
      </c>
      <c r="BC39" t="s">
        <v>1844</v>
      </c>
      <c r="BD39">
        <v>910018</v>
      </c>
      <c r="BE39" t="s">
        <v>4531</v>
      </c>
      <c r="BF39" t="s">
        <v>4532</v>
      </c>
      <c r="BG39">
        <v>100</v>
      </c>
      <c r="BH39">
        <v>0</v>
      </c>
    </row>
    <row r="40" spans="1:61" x14ac:dyDescent="0.25">
      <c r="A40">
        <v>2017</v>
      </c>
      <c r="B40" t="s">
        <v>6396</v>
      </c>
      <c r="C40" t="s">
        <v>6403</v>
      </c>
      <c r="D40" t="s">
        <v>6397</v>
      </c>
      <c r="E40" t="s">
        <v>6398</v>
      </c>
      <c r="G40" t="s">
        <v>4523</v>
      </c>
      <c r="H40" t="s">
        <v>6399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1844</v>
      </c>
      <c r="X40" t="s">
        <v>4537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4530</v>
      </c>
      <c r="BC40" t="s">
        <v>1844</v>
      </c>
      <c r="BD40">
        <v>913101</v>
      </c>
      <c r="BE40" t="s">
        <v>4531</v>
      </c>
      <c r="BF40" t="s">
        <v>4532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4687</v>
      </c>
      <c r="C41" t="s">
        <v>1005</v>
      </c>
      <c r="D41" t="s">
        <v>1005</v>
      </c>
      <c r="E41" t="s">
        <v>4688</v>
      </c>
      <c r="G41" t="s">
        <v>4523</v>
      </c>
      <c r="H41" t="s">
        <v>4689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1844</v>
      </c>
      <c r="X41" t="s">
        <v>4537</v>
      </c>
      <c r="Y41" t="s">
        <v>4690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4530</v>
      </c>
      <c r="BC41" t="s">
        <v>1844</v>
      </c>
      <c r="BD41">
        <v>911105</v>
      </c>
      <c r="BE41" t="s">
        <v>4531</v>
      </c>
      <c r="BF41" t="s">
        <v>4532</v>
      </c>
      <c r="BG41">
        <v>90</v>
      </c>
      <c r="BH41">
        <v>0</v>
      </c>
    </row>
    <row r="42" spans="1:61" x14ac:dyDescent="0.25">
      <c r="A42">
        <v>3006</v>
      </c>
      <c r="B42" t="s">
        <v>4691</v>
      </c>
      <c r="C42" t="s">
        <v>1016</v>
      </c>
      <c r="D42" t="s">
        <v>1016</v>
      </c>
      <c r="E42" t="s">
        <v>4692</v>
      </c>
      <c r="G42" t="s">
        <v>4523</v>
      </c>
      <c r="H42" t="s">
        <v>4693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1844</v>
      </c>
      <c r="X42" t="s">
        <v>4685</v>
      </c>
      <c r="Y42" t="s">
        <v>4694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4530</v>
      </c>
      <c r="BC42" t="s">
        <v>1844</v>
      </c>
      <c r="BD42">
        <v>910003</v>
      </c>
      <c r="BE42" t="s">
        <v>4531</v>
      </c>
      <c r="BF42" t="s">
        <v>4532</v>
      </c>
      <c r="BG42">
        <v>95</v>
      </c>
      <c r="BH42">
        <v>0</v>
      </c>
    </row>
    <row r="43" spans="1:61" x14ac:dyDescent="0.25">
      <c r="A43">
        <v>3010</v>
      </c>
      <c r="B43" t="s">
        <v>4695</v>
      </c>
      <c r="C43" t="s">
        <v>1021</v>
      </c>
      <c r="D43" t="s">
        <v>1021</v>
      </c>
      <c r="E43" t="s">
        <v>4696</v>
      </c>
      <c r="G43" t="s">
        <v>4523</v>
      </c>
      <c r="H43" t="s">
        <v>4697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1844</v>
      </c>
      <c r="X43" t="s">
        <v>4698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4530</v>
      </c>
      <c r="BC43" t="s">
        <v>1844</v>
      </c>
      <c r="BD43">
        <v>910021</v>
      </c>
      <c r="BE43" t="s">
        <v>4531</v>
      </c>
      <c r="BF43" t="s">
        <v>4532</v>
      </c>
      <c r="BG43">
        <v>100</v>
      </c>
      <c r="BH43">
        <v>0</v>
      </c>
    </row>
    <row r="44" spans="1:61" x14ac:dyDescent="0.25">
      <c r="A44">
        <v>3003</v>
      </c>
      <c r="B44" t="s">
        <v>4699</v>
      </c>
      <c r="C44" t="s">
        <v>1013</v>
      </c>
      <c r="D44" t="s">
        <v>1013</v>
      </c>
      <c r="E44" t="s">
        <v>4700</v>
      </c>
      <c r="G44" t="s">
        <v>4523</v>
      </c>
      <c r="H44" t="s">
        <v>4701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1844</v>
      </c>
      <c r="X44" t="s">
        <v>4537</v>
      </c>
      <c r="Y44" t="s">
        <v>4702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4530</v>
      </c>
      <c r="BC44" t="s">
        <v>1844</v>
      </c>
      <c r="BD44">
        <v>910007</v>
      </c>
      <c r="BE44" t="s">
        <v>4531</v>
      </c>
      <c r="BF44" t="s">
        <v>4532</v>
      </c>
      <c r="BG44">
        <v>92</v>
      </c>
      <c r="BH44">
        <v>0</v>
      </c>
    </row>
    <row r="45" spans="1:61" x14ac:dyDescent="0.25">
      <c r="A45">
        <v>3004</v>
      </c>
      <c r="B45" t="s">
        <v>4703</v>
      </c>
      <c r="C45" t="s">
        <v>1014</v>
      </c>
      <c r="D45" t="s">
        <v>1014</v>
      </c>
      <c r="E45" t="s">
        <v>4704</v>
      </c>
      <c r="G45" t="s">
        <v>4523</v>
      </c>
      <c r="H45" t="s">
        <v>4705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1844</v>
      </c>
      <c r="X45" t="s">
        <v>4537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4530</v>
      </c>
      <c r="BC45" t="s">
        <v>1844</v>
      </c>
      <c r="BD45">
        <v>910006</v>
      </c>
      <c r="BE45" t="s">
        <v>4531</v>
      </c>
      <c r="BF45" t="s">
        <v>4532</v>
      </c>
      <c r="BG45">
        <v>100</v>
      </c>
      <c r="BH45">
        <v>0</v>
      </c>
    </row>
    <row r="46" spans="1:61" x14ac:dyDescent="0.25">
      <c r="A46">
        <v>3009</v>
      </c>
      <c r="B46" t="s">
        <v>4706</v>
      </c>
      <c r="C46" t="s">
        <v>1019</v>
      </c>
      <c r="D46" t="s">
        <v>1019</v>
      </c>
      <c r="E46" t="s">
        <v>4707</v>
      </c>
      <c r="G46" t="s">
        <v>4523</v>
      </c>
      <c r="H46" t="s">
        <v>4708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1844</v>
      </c>
      <c r="X46" t="s">
        <v>4537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4530</v>
      </c>
      <c r="BC46" t="s">
        <v>1844</v>
      </c>
      <c r="BD46">
        <v>910009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3008</v>
      </c>
      <c r="B47" t="s">
        <v>4709</v>
      </c>
      <c r="C47" t="s">
        <v>1018</v>
      </c>
      <c r="D47" t="s">
        <v>1018</v>
      </c>
      <c r="E47" t="s">
        <v>4710</v>
      </c>
      <c r="G47" t="s">
        <v>4523</v>
      </c>
      <c r="H47" t="s">
        <v>4711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1844</v>
      </c>
      <c r="X47" t="s">
        <v>4537</v>
      </c>
      <c r="Y47" t="s">
        <v>4712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4530</v>
      </c>
      <c r="BC47" t="s">
        <v>1844</v>
      </c>
      <c r="BD47">
        <v>910001</v>
      </c>
      <c r="BE47" t="s">
        <v>4531</v>
      </c>
      <c r="BF47" t="s">
        <v>4532</v>
      </c>
      <c r="BG47">
        <v>80</v>
      </c>
      <c r="BH47">
        <v>0</v>
      </c>
    </row>
    <row r="48" spans="1:61" x14ac:dyDescent="0.25">
      <c r="A48">
        <v>3001</v>
      </c>
      <c r="B48" t="s">
        <v>4713</v>
      </c>
      <c r="C48" t="s">
        <v>1011</v>
      </c>
      <c r="D48" t="s">
        <v>1011</v>
      </c>
      <c r="E48" t="s">
        <v>4714</v>
      </c>
      <c r="G48" t="s">
        <v>4523</v>
      </c>
      <c r="H48" t="s">
        <v>4715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1844</v>
      </c>
      <c r="X48" t="s">
        <v>4537</v>
      </c>
      <c r="Y48" t="s">
        <v>4716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4530</v>
      </c>
      <c r="BC48" t="s">
        <v>1844</v>
      </c>
      <c r="BD48">
        <v>910004</v>
      </c>
      <c r="BE48" t="s">
        <v>4531</v>
      </c>
      <c r="BF48" t="s">
        <v>4532</v>
      </c>
      <c r="BG48">
        <v>95</v>
      </c>
      <c r="BH48">
        <v>0</v>
      </c>
    </row>
    <row r="49" spans="1:60" x14ac:dyDescent="0.25">
      <c r="A49">
        <v>3007</v>
      </c>
      <c r="B49" t="s">
        <v>4717</v>
      </c>
      <c r="C49" t="s">
        <v>1017</v>
      </c>
      <c r="D49" t="s">
        <v>1017</v>
      </c>
      <c r="E49" t="s">
        <v>4718</v>
      </c>
      <c r="G49" t="s">
        <v>4523</v>
      </c>
      <c r="H49" t="s">
        <v>4719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1844</v>
      </c>
      <c r="X49" t="s">
        <v>4537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4530</v>
      </c>
      <c r="BC49" t="s">
        <v>1844</v>
      </c>
      <c r="BD49">
        <v>910002</v>
      </c>
      <c r="BE49" t="s">
        <v>4531</v>
      </c>
      <c r="BF49" t="s">
        <v>4532</v>
      </c>
      <c r="BG49">
        <v>80</v>
      </c>
      <c r="BH49">
        <v>0</v>
      </c>
    </row>
    <row r="50" spans="1:60" x14ac:dyDescent="0.25">
      <c r="A50">
        <v>3005</v>
      </c>
      <c r="B50" t="s">
        <v>4720</v>
      </c>
      <c r="C50" t="s">
        <v>1015</v>
      </c>
      <c r="D50" t="s">
        <v>1015</v>
      </c>
      <c r="E50" t="s">
        <v>4721</v>
      </c>
      <c r="G50" t="s">
        <v>4523</v>
      </c>
      <c r="H50" t="s">
        <v>4722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1844</v>
      </c>
      <c r="X50" t="s">
        <v>4537</v>
      </c>
      <c r="Y50" t="s">
        <v>4723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4530</v>
      </c>
      <c r="BC50" t="s">
        <v>1844</v>
      </c>
      <c r="BD50">
        <v>910012</v>
      </c>
      <c r="BE50" t="s">
        <v>4531</v>
      </c>
      <c r="BF50" t="s">
        <v>4532</v>
      </c>
      <c r="BG50">
        <v>95</v>
      </c>
      <c r="BH50">
        <v>0</v>
      </c>
    </row>
    <row r="51" spans="1:60" x14ac:dyDescent="0.25">
      <c r="A51">
        <v>3002</v>
      </c>
      <c r="B51" t="s">
        <v>4724</v>
      </c>
      <c r="C51" t="s">
        <v>1012</v>
      </c>
      <c r="D51" t="s">
        <v>1012</v>
      </c>
      <c r="E51" t="s">
        <v>4725</v>
      </c>
      <c r="G51" t="s">
        <v>4523</v>
      </c>
      <c r="H51" t="s">
        <v>4726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1844</v>
      </c>
      <c r="X51" t="s">
        <v>4537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4530</v>
      </c>
      <c r="BC51" t="s">
        <v>1844</v>
      </c>
      <c r="BD51">
        <v>910005</v>
      </c>
      <c r="BE51" t="s">
        <v>4531</v>
      </c>
      <c r="BF51" t="s">
        <v>4532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6896</v>
      </c>
      <c r="C4" t="s">
        <v>1088</v>
      </c>
    </row>
    <row r="5" spans="1:3" x14ac:dyDescent="0.25">
      <c r="A5" s="1">
        <v>1004</v>
      </c>
      <c r="B5" t="s">
        <v>6897</v>
      </c>
      <c r="C5" t="s">
        <v>1089</v>
      </c>
    </row>
    <row r="6" spans="1:3" x14ac:dyDescent="0.25">
      <c r="A6" s="1">
        <v>1005</v>
      </c>
      <c r="B6" t="s">
        <v>6898</v>
      </c>
      <c r="C6" t="s">
        <v>1090</v>
      </c>
    </row>
    <row r="7" spans="1:3" x14ac:dyDescent="0.25">
      <c r="A7" s="1">
        <v>2003</v>
      </c>
      <c r="B7" t="s">
        <v>6899</v>
      </c>
      <c r="C7" t="s">
        <v>1091</v>
      </c>
    </row>
    <row r="8" spans="1:3" x14ac:dyDescent="0.25">
      <c r="A8" s="1">
        <v>2004</v>
      </c>
      <c r="B8" t="s">
        <v>6900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6901</v>
      </c>
      <c r="C10" t="s">
        <v>1094</v>
      </c>
    </row>
    <row r="11" spans="1:3" x14ac:dyDescent="0.25">
      <c r="A11" s="1">
        <v>3003</v>
      </c>
      <c r="B11" t="s">
        <v>6902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6903</v>
      </c>
      <c r="C13" t="s">
        <v>1097</v>
      </c>
    </row>
    <row r="14" spans="1:3" x14ac:dyDescent="0.25">
      <c r="A14" s="1">
        <v>3006</v>
      </c>
      <c r="B14" t="s">
        <v>6904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6974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6973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6973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6973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7015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7013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7013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7013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7013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topLeftCell="A6" workbookViewId="0">
      <selection activeCell="B8" sqref="B8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6640</v>
      </c>
      <c r="L8" s="131" t="s">
        <v>6629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7138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7141</v>
      </c>
    </row>
    <row r="29" spans="1:11" x14ac:dyDescent="0.25">
      <c r="A29"/>
      <c r="B29" s="256" t="s">
        <v>7142</v>
      </c>
      <c r="C29" t="str">
        <f>SUBSTITUTE(SUBSTITUTE(C28,"building1",Main!B89),"spot1",Main!C89)</f>
        <v>"building_info": "{}",</v>
      </c>
      <c r="F29" s="9" t="s">
        <v>7145</v>
      </c>
    </row>
    <row r="30" spans="1:11" x14ac:dyDescent="0.25">
      <c r="A30"/>
      <c r="B30" s="256" t="s">
        <v>7143</v>
      </c>
      <c r="C30" t="str">
        <f>SUBSTITUTE(SUBSTITUTE(C29,"building2",Main!B90),"spot2",Main!C90)</f>
        <v>"building_info": "{}",</v>
      </c>
      <c r="F30" s="9" t="s">
        <v>7146</v>
      </c>
    </row>
    <row r="31" spans="1:11" x14ac:dyDescent="0.25">
      <c r="A31"/>
      <c r="B31" s="256" t="s">
        <v>7144</v>
      </c>
      <c r="C31" t="str">
        <f>SUBSTITUTE(SUBSTITUTE(C30,"building3",Main!B91),"spot3",Main!C91)</f>
        <v>"building_info": "{}",</v>
      </c>
      <c r="F31" s="9" t="s">
        <v>7147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6484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6485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6603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6603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6603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6603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6603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6603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6603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6603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6603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6603</v>
      </c>
      <c r="E45" s="150" t="str">
        <f>"GFBattleSimulator.json"</f>
        <v>GFBattleSimulator.json</v>
      </c>
    </row>
    <row r="46" spans="2:9" x14ac:dyDescent="0.25">
      <c r="B46" t="s">
        <v>1812</v>
      </c>
      <c r="C46" s="150" t="str">
        <f t="shared" ca="1" si="0"/>
        <v>C:\Users\danny\Documents\GitHub\GFLBattleSim-JSONGenerator\Preset\battle_day\spot_act_info.json</v>
      </c>
      <c r="D46" s="153" t="s">
        <v>6603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1813</v>
      </c>
      <c r="C47" s="150" t="str">
        <f t="shared" ca="1" si="0"/>
        <v>C:\Users\danny\Documents\GitHub\GFLBattleSim-JSONGenerator\Preset\battle_night_new\spot_act_info.json</v>
      </c>
      <c r="D47" s="153" t="s">
        <v>6603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5546</v>
      </c>
    </row>
    <row r="50" spans="2:3" x14ac:dyDescent="0.25">
      <c r="B50" t="s">
        <v>770</v>
      </c>
      <c r="C50" s="219" t="s">
        <v>5816</v>
      </c>
    </row>
    <row r="51" spans="2:3" x14ac:dyDescent="0.25">
      <c r="B51" t="s">
        <v>771</v>
      </c>
      <c r="C51" s="219" t="s">
        <v>5669</v>
      </c>
    </row>
    <row r="52" spans="2:3" x14ac:dyDescent="0.25">
      <c r="B52" t="s">
        <v>6380</v>
      </c>
      <c r="C52" s="219" t="s">
        <v>6401</v>
      </c>
    </row>
    <row r="53" spans="2:3" x14ac:dyDescent="0.25">
      <c r="B53" t="s">
        <v>6381</v>
      </c>
      <c r="C53" s="219" t="s">
        <v>6382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F1" workbookViewId="0">
      <pane ySplit="1" topLeftCell="A187" activePane="bottomLeft" state="frozen"/>
      <selection activeCell="AZ2" sqref="AZ2"/>
      <selection pane="bottomLeft" activeCell="AV2" sqref="AV2:AV21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6480</v>
      </c>
      <c r="AZ1" s="43" t="s">
        <v>6463</v>
      </c>
      <c r="BA1" s="43" t="s">
        <v>6464</v>
      </c>
      <c r="BB1" s="43" t="s">
        <v>6481</v>
      </c>
      <c r="BC1" s="43" t="s">
        <v>6482</v>
      </c>
      <c r="BD1" s="43" t="s">
        <v>6483</v>
      </c>
      <c r="BE1" s="43" t="s">
        <v>6465</v>
      </c>
      <c r="BF1" s="43" t="s">
        <v>6468</v>
      </c>
      <c r="BG1" s="43" t="s">
        <v>6471</v>
      </c>
      <c r="BH1" s="43" t="s">
        <v>6474</v>
      </c>
      <c r="BI1" s="43" t="s">
        <v>6477</v>
      </c>
      <c r="BJ1" s="43" t="s">
        <v>6466</v>
      </c>
      <c r="BK1" s="43" t="s">
        <v>6469</v>
      </c>
      <c r="BL1" s="43" t="s">
        <v>6472</v>
      </c>
      <c r="BM1" s="43" t="s">
        <v>6475</v>
      </c>
      <c r="BN1" s="43" t="s">
        <v>6478</v>
      </c>
      <c r="BO1" s="43" t="s">
        <v>6467</v>
      </c>
      <c r="BP1" s="43" t="s">
        <v>6470</v>
      </c>
      <c r="BQ1" s="43" t="s">
        <v>6473</v>
      </c>
      <c r="BR1" s="43" t="s">
        <v>6476</v>
      </c>
      <c r="BS1" s="43" t="s">
        <v>6479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6803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6923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6552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7044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6887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6933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6718</v>
      </c>
      <c r="U8" s="9" t="s">
        <v>234</v>
      </c>
      <c r="X8" s="9" t="s">
        <v>790</v>
      </c>
      <c r="Y8" s="9" t="s">
        <v>837</v>
      </c>
      <c r="Z8" t="s">
        <v>6724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6888</v>
      </c>
      <c r="AV8" t="s">
        <v>210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6889</v>
      </c>
      <c r="AV9" t="s">
        <v>923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114</v>
      </c>
      <c r="Z11" s="9" t="s">
        <v>6514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6979</v>
      </c>
      <c r="AV12" t="s">
        <v>919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7029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6710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6890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6695</v>
      </c>
      <c r="F14" s="9" t="s">
        <v>820</v>
      </c>
      <c r="G14" s="9"/>
      <c r="I14" s="9" t="s">
        <v>1617</v>
      </c>
      <c r="J14" s="9" t="s">
        <v>6430</v>
      </c>
      <c r="K14" s="9" t="s">
        <v>804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6891</v>
      </c>
      <c r="AV14" t="s">
        <v>920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1416</v>
      </c>
      <c r="N15" s="9" t="s">
        <v>142</v>
      </c>
      <c r="O15" t="s">
        <v>6703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7044</v>
      </c>
      <c r="AZ15" s="1" t="str">
        <f t="shared" si="2"/>
        <v>ART556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6685</v>
      </c>
      <c r="G16" s="9"/>
      <c r="I16" s="9" t="s">
        <v>828</v>
      </c>
      <c r="J16" s="9" t="s">
        <v>1634</v>
      </c>
      <c r="K16" s="9" t="s">
        <v>82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104</v>
      </c>
      <c r="Y16" s="9" t="s">
        <v>787</v>
      </c>
      <c r="Z16" s="9" t="s">
        <v>786</v>
      </c>
      <c r="AD16" s="9" t="s">
        <v>1646</v>
      </c>
      <c r="AE16" t="s">
        <v>6615</v>
      </c>
      <c r="AL16" s="40"/>
      <c r="AM16" s="40"/>
      <c r="AP16" s="40"/>
      <c r="AU16" t="s">
        <v>926</v>
      </c>
      <c r="AV16" t="s">
        <v>5784</v>
      </c>
      <c r="AZ16" s="1" t="str">
        <f t="shared" si="2"/>
        <v>AS ValMod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Ai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6506</v>
      </c>
      <c r="F17" s="9" t="s">
        <v>121</v>
      </c>
      <c r="G17" s="9"/>
      <c r="I17" s="9" t="s">
        <v>1680</v>
      </c>
      <c r="J17" s="9" t="s">
        <v>226</v>
      </c>
      <c r="K17" s="9" t="s">
        <v>190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124</v>
      </c>
      <c r="Y17" s="9" t="s">
        <v>1658</v>
      </c>
      <c r="Z17" s="9" t="s">
        <v>1669</v>
      </c>
      <c r="AD17" t="s">
        <v>6624</v>
      </c>
      <c r="AE17" s="9" t="s">
        <v>1641</v>
      </c>
      <c r="AU17" t="s">
        <v>927</v>
      </c>
      <c r="AV17" t="s">
        <v>708</v>
      </c>
      <c r="AZ17" s="1" t="str">
        <f t="shared" si="2"/>
        <v>AUG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AK15Mod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1652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1193</v>
      </c>
      <c r="Z18" s="9" t="s">
        <v>1684</v>
      </c>
      <c r="AD18" s="9" t="s">
        <v>1679</v>
      </c>
      <c r="AE18" s="255" t="s">
        <v>7068</v>
      </c>
      <c r="AU18" t="s">
        <v>916</v>
      </c>
      <c r="AV18" t="s">
        <v>709</v>
      </c>
      <c r="AZ18" s="1" t="str">
        <f t="shared" si="2"/>
        <v>FAL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AK47-1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1659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1436</v>
      </c>
      <c r="Z19" s="9" t="s">
        <v>834</v>
      </c>
      <c r="AE19" s="216" t="s">
        <v>3459</v>
      </c>
      <c r="AU19" t="s">
        <v>915</v>
      </c>
      <c r="AV19" t="s">
        <v>710</v>
      </c>
      <c r="AZ19" s="1" t="str">
        <f t="shared" si="2"/>
        <v>G11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AK47-2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1691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735</v>
      </c>
      <c r="Z20" t="s">
        <v>1697</v>
      </c>
      <c r="AE20" s="216" t="s">
        <v>825</v>
      </c>
      <c r="AU20" t="s">
        <v>5708</v>
      </c>
      <c r="AV20" t="s">
        <v>231</v>
      </c>
      <c r="AZ20" s="1" t="str">
        <f t="shared" si="2"/>
        <v>G36Mod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AK47-3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141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824</v>
      </c>
      <c r="Z21" s="9" t="s">
        <v>7060</v>
      </c>
      <c r="AE21" t="s">
        <v>6605</v>
      </c>
      <c r="AU21" t="s">
        <v>5707</v>
      </c>
      <c r="AV21" t="s">
        <v>738</v>
      </c>
      <c r="AZ21" s="1" t="str">
        <f t="shared" si="2"/>
        <v>G41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Ak5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1709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223</v>
      </c>
      <c r="Z22" s="9" t="s">
        <v>1674</v>
      </c>
      <c r="AE22" s="9" t="s">
        <v>250</v>
      </c>
      <c r="AU22" t="s">
        <v>6886</v>
      </c>
      <c r="AV22" t="s">
        <v>162</v>
      </c>
      <c r="AZ22" s="1" t="str">
        <f t="shared" si="2"/>
        <v>Himeko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Alma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1735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7053</v>
      </c>
      <c r="AE23" s="216" t="s">
        <v>734</v>
      </c>
      <c r="AU23" t="s">
        <v>6980</v>
      </c>
      <c r="AV23" t="s">
        <v>5768</v>
      </c>
      <c r="AZ23" s="1" t="str">
        <f t="shared" si="2"/>
        <v>HK416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Triela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Ameli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1633</v>
      </c>
      <c r="O24" s="9" t="s">
        <v>5737</v>
      </c>
      <c r="P24" s="9" t="s">
        <v>207</v>
      </c>
      <c r="T24" s="9" t="s">
        <v>1655</v>
      </c>
      <c r="U24" s="9" t="s">
        <v>188</v>
      </c>
      <c r="AQ24" s="9"/>
      <c r="AU24" t="s">
        <v>6981</v>
      </c>
      <c r="AV24" t="s">
        <v>252</v>
      </c>
      <c r="AZ24" s="1" t="str">
        <f t="shared" si="2"/>
        <v>Junko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>Type97SMod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AN94Mod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6801</v>
      </c>
      <c r="F25" s="9" t="s">
        <v>267</v>
      </c>
      <c r="J25" s="9" t="s">
        <v>24</v>
      </c>
      <c r="K25" s="9" t="s">
        <v>5729</v>
      </c>
      <c r="O25" s="9" t="s">
        <v>243</v>
      </c>
      <c r="P25" s="9" t="s">
        <v>249</v>
      </c>
      <c r="T25" s="9" t="s">
        <v>1622</v>
      </c>
      <c r="U25" s="9" t="s">
        <v>168</v>
      </c>
      <c r="AQ25" s="9"/>
      <c r="AU25" t="s">
        <v>6982</v>
      </c>
      <c r="AV25" t="s">
        <v>1632</v>
      </c>
      <c r="AZ25" s="1" t="str">
        <f t="shared" si="2"/>
        <v>K11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Angelica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127</v>
      </c>
      <c r="O26" s="9" t="s">
        <v>830</v>
      </c>
      <c r="P26" t="s">
        <v>236</v>
      </c>
      <c r="T26" s="9" t="s">
        <v>831</v>
      </c>
      <c r="U26" s="9" t="s">
        <v>1712</v>
      </c>
      <c r="AQ26" s="9"/>
      <c r="AV26" t="s">
        <v>258</v>
      </c>
      <c r="AZ26" s="1" t="str">
        <f t="shared" si="2"/>
        <v>K2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ARX160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76</v>
      </c>
      <c r="O27" s="9" t="s">
        <v>839</v>
      </c>
      <c r="P27" s="9" t="s">
        <v>818</v>
      </c>
      <c r="T27" s="9" t="s">
        <v>739</v>
      </c>
      <c r="U27" s="9" t="s">
        <v>257</v>
      </c>
      <c r="AQ27" s="9"/>
      <c r="AV27" t="s">
        <v>74</v>
      </c>
      <c r="AZ27" s="1" t="str">
        <f t="shared" si="2"/>
        <v>KH2002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 ValMod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7019</v>
      </c>
      <c r="J28" t="s">
        <v>5516</v>
      </c>
      <c r="K28" s="9" t="s">
        <v>224</v>
      </c>
      <c r="O28" s="9" t="s">
        <v>172</v>
      </c>
      <c r="P28" s="9" t="s">
        <v>6942</v>
      </c>
      <c r="T28" s="9" t="s">
        <v>6804</v>
      </c>
      <c r="U28" s="9" t="s">
        <v>256</v>
      </c>
      <c r="AV28" t="s">
        <v>104</v>
      </c>
      <c r="AZ28" s="1" t="str">
        <f t="shared" si="2"/>
        <v>M4 SOPMOD IIMod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Astra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823</v>
      </c>
      <c r="K29" s="9" t="s">
        <v>265</v>
      </c>
      <c r="P29" s="9" t="s">
        <v>795</v>
      </c>
      <c r="T29" s="9" t="s">
        <v>180</v>
      </c>
      <c r="U29" s="9" t="s">
        <v>179</v>
      </c>
      <c r="AV29" t="s">
        <v>744</v>
      </c>
      <c r="AZ29" s="1" t="str">
        <f t="shared" si="2"/>
        <v>M4A1Mod</v>
      </c>
      <c r="BA29" s="1" t="str">
        <f t="shared" si="3"/>
        <v>Tae</v>
      </c>
      <c r="BB29" s="1" t="str">
        <f t="shared" si="4"/>
        <v/>
      </c>
      <c r="BC29" s="1" t="str">
        <f t="shared" si="5"/>
        <v>Tae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AUG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793</v>
      </c>
      <c r="K30" s="9" t="s">
        <v>264</v>
      </c>
      <c r="P30" s="9" t="s">
        <v>737</v>
      </c>
      <c r="U30" t="s">
        <v>1403</v>
      </c>
      <c r="AV30" t="s">
        <v>746</v>
      </c>
      <c r="AZ30" s="1" t="str">
        <f t="shared" si="2"/>
        <v>MDR</v>
      </c>
      <c r="BA30" s="1" t="str">
        <f t="shared" si="3"/>
        <v>Theresa</v>
      </c>
      <c r="BB30" s="1" t="str">
        <f t="shared" si="4"/>
        <v/>
      </c>
      <c r="BC30" s="1" t="str">
        <f t="shared" si="5"/>
        <v>Theresa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BrenMod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836</v>
      </c>
      <c r="K31" s="9" t="s">
        <v>79</v>
      </c>
      <c r="P31" s="9" t="s">
        <v>814</v>
      </c>
      <c r="U31" s="9" t="s">
        <v>1631</v>
      </c>
      <c r="AV31" t="s">
        <v>748</v>
      </c>
      <c r="AZ31" s="1" t="str">
        <f t="shared" si="2"/>
        <v>Medusa</v>
      </c>
      <c r="BA31" s="1" t="str">
        <f t="shared" si="3"/>
        <v>Webley</v>
      </c>
      <c r="BB31" s="1" t="str">
        <f t="shared" si="4"/>
        <v/>
      </c>
      <c r="BC31" s="1" t="str">
        <f t="shared" si="5"/>
        <v>Webley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C96Mod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817</v>
      </c>
      <c r="P32" s="9" t="s">
        <v>1244</v>
      </c>
      <c r="U32" t="s">
        <v>5746</v>
      </c>
      <c r="AV32" t="s">
        <v>747</v>
      </c>
      <c r="AZ32" s="1" t="str">
        <f t="shared" si="2"/>
        <v>OTs14</v>
      </c>
      <c r="BA32" s="1" t="str">
        <f t="shared" si="3"/>
        <v>Welrod MkII</v>
      </c>
      <c r="BB32" s="1" t="str">
        <f t="shared" si="4"/>
        <v/>
      </c>
      <c r="BC32" s="1" t="str">
        <f t="shared" si="5"/>
        <v>Welrod MkII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ClaesMeteorite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198</v>
      </c>
      <c r="P33" s="9" t="s">
        <v>1675</v>
      </c>
      <c r="U33" s="9" t="s">
        <v>791</v>
      </c>
      <c r="AV33" t="s">
        <v>749</v>
      </c>
      <c r="AZ33" s="1" t="str">
        <f t="shared" si="2"/>
        <v>QBZ191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ClaesSpectacles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95</v>
      </c>
      <c r="U34" s="9" t="s">
        <v>230</v>
      </c>
      <c r="AV34" t="s">
        <v>718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ClaesWristwatch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932</v>
      </c>
      <c r="U35" t="s">
        <v>1761</v>
      </c>
      <c r="AV35" t="s">
        <v>152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Clear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1676</v>
      </c>
      <c r="AV36" t="s">
        <v>736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CZ75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6950</v>
      </c>
      <c r="AV37" t="s">
        <v>1611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Dana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6438</v>
      </c>
      <c r="AV38" t="s">
        <v>722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Defender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109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Dorothy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3216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DP28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827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EVO3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1190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F1Mod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719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F2000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6805</v>
      </c>
      <c r="AV44" t="s">
        <v>711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Fail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125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FAMAS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1635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FG42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1424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Fiveseven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1643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FN49Mod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5775</v>
      </c>
      <c r="AV49" t="s">
        <v>1454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FP6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169</v>
      </c>
      <c r="AV50" t="s">
        <v>75</v>
      </c>
      <c r="AZ50" s="1" t="str">
        <f t="shared" si="2"/>
        <v>XM8Mod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G11Mod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1755</v>
      </c>
      <c r="AZ51" s="1" t="str">
        <f t="shared" si="2"/>
        <v>Zas M21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G17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1436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G36CMod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1434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G36Mod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735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94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G41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832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G43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1762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Galil 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Gepard M1Mod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1692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Grizzly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248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GSh18Mod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223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Henrietta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259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HK416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1726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HK416Mod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262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Honey Badger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IDWMod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1698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Ingram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192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Jashin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Jericho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759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JillAdelhyde1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760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JillAdelhyde2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757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JillBronsonExtract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JillFlanergide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JillKarmotrine1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761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JillKarmotrine2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842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JillKarmotrine3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7053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JillPowderedDelta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168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Junko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K2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6802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Kar98k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723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Kar98kmod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KS23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KSVKMod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6803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Lee Enfield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7029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Lee Enfieldmod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Lily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86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LWMMGMod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 Garand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M14Mod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785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M16A1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725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M1895Mod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M1897Mod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105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M1911Mod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260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M1918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107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M1918Mod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89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M1919A4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1178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M21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M249SAW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M3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M37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M38Mod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256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M4 SOPMOD IIMod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716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M4A1Mod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812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M500Mod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185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M6 ASW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63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M82A1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263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M9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M950AMod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941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Makarov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MakarovMod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1403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MDR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Medusa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6514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MG3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300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MG3Mod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112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MG4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930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MG42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MG4Mod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1407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Micro UziMod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1185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Minos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806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Mk23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729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MondragonM1908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1686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MosinNagant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1760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MosinNagantMod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1690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MP443Mod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730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MP446Mod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1416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MP5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1688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MP5Mod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131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NTW20Mod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6527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NZ75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1700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OBRMod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1701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Ots12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71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Ots44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197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69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P22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122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P38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190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P7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129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P90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1400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P99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111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Pekola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154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1691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PKP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1140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PP19Mod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PP2000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6506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PPK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908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PPKMod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5760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PPSh41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PPsh41Mod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186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PTRD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64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Px4 Storm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159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Python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1661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PzB39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230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QBU88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1761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RFB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249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Ribeyrolles1918Mod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931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Rico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826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RMB93Mod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110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RO635Mod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267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RPD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1641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SAAMod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7068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Saiga12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236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Saki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6942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Sakura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6950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SCAR-H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751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SCAR-L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732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SCW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750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Sei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745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Serdyukov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SIG510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116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Skorpion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Spectre M4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1633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Springfield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100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SR3MP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1689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 AR-15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ST AR15Mod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Stechkin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StechkinMod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Stella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726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STEN MkIIMod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127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Stg44Mod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6552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Suomi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SuomiMod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1687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Super SASSMod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92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SV98Mod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1619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SVD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181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SVT38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1244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T77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7019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TAC50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739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Tae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TAR21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250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Thompson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243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Triela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 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224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 56 RMod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239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 79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6805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Type03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136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Type56-1mod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118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Type63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741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Type64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834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Type64Mod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119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Type80Mod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839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Type88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6801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Type88Mod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712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Type92mod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734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Type95/97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731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Type97SMod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265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UMP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264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UMP45Mod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97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UMP9Mod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95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VM59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835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WA2000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932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Welrod MkIIMod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5775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XM3Mod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1697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XM8Mod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7060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Yurine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Yuugiri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1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6BA43B-9665-46DF-A103-6DE62DE96F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64</vt:i4>
      </vt:variant>
    </vt:vector>
  </HeadingPairs>
  <TitlesOfParts>
    <vt:vector size="9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2023-02-24T02:10:13Z</dcterms:modified>
</cp:coreProperties>
</file>