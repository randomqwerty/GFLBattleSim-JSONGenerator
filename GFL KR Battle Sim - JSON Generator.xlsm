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D08A9CD2-B709-4C81-BCFB-DCCFB8AE7357}" xr6:coauthVersionLast="36" xr6:coauthVersionMax="36" xr10:uidLastSave="{00000000-0000-0000-0000-000000000000}"/>
  <bookViews>
    <workbookView xWindow="0" yWindow="0" windowWidth="24000" windowHeight="9225" xr2:uid="{8B59443F-0B2D-43B1-BB8E-EAEC613D5E34}"/>
  </bookViews>
  <sheets>
    <sheet name="Main" sheetId="1" r:id="rId1"/>
    <sheet name="Doll" sheetId="7" r:id="rId2"/>
    <sheet name="Equip" sheetId="12" r:id="rId3"/>
    <sheet name="Fairy" sheetId="13" r:id="rId4"/>
    <sheet name="HOC" sheetId="26" r:id="rId5"/>
    <sheet name="Mission_Act_Info" sheetId="20" state="hidden" r:id="rId6"/>
    <sheet name="GFBattleSimulator" sheetId="24" state="hidden" r:id="rId7"/>
    <sheet name="Stat Calc" sheetId="3" state="hidden" r:id="rId8"/>
    <sheet name="Doll Data" sheetId="4" state="hidden" r:id="rId9"/>
    <sheet name="Sheet2" sheetId="28" r:id="rId10"/>
    <sheet name="Equip Data" sheetId="11" state="hidden" r:id="rId11"/>
    <sheet name="Fairy Data" sheetId="16" state="hidden" r:id="rId12"/>
    <sheet name="Talent Data" sheetId="17" state="hidden" r:id="rId13"/>
    <sheet name="Exp Tables" sheetId="5" state="hidden" r:id="rId14"/>
    <sheet name="Misc Inputs" sheetId="18" state="hidden" r:id="rId15"/>
    <sheet name="Dropdowns" sheetId="2" state="hidden" r:id="rId16"/>
  </sheets>
  <definedNames>
    <definedName name="_xlnm._FilterDatabase" localSheetId="8" hidden="1">'Doll Data'!$A$1:$K$398</definedName>
    <definedName name="_xlnm._FilterDatabase" localSheetId="10" hidden="1">'Equip Data'!$A$1:$V$1</definedName>
    <definedName name="_xlnm._FilterDatabase" localSheetId="11" hidden="1">'Fairy Data'!$A$1:$K$37</definedName>
    <definedName name="BossHP">Main!$E$8</definedName>
    <definedName name="ChipJSONPath">Main!$B$16</definedName>
    <definedName name="DayNight">Main!$B$8</definedName>
    <definedName name="DollEq">OFFSET(Dropdowns!$A$2,0,MATCH(Main!XFD1,Dropdowns!$B$1:$XFD$1,0),100,1)</definedName>
    <definedName name="DollJSONPath">Main!$B$13</definedName>
    <definedName name="DollNames">OFFSET(Dropdowns!$A$2,0,MATCH(Main!XFD1&amp;Main!XFC1,Dropdowns!$B$1:$XFD$1,0),100,1)</definedName>
    <definedName name="EnemyID">Main!$E$7</definedName>
    <definedName name="EquipJSONPath">Main!$B$14</definedName>
    <definedName name="FairyJSONPath">Main!$B$17</definedName>
    <definedName name="FairySkill">Main!$E$9</definedName>
    <definedName name="HOCJSONPath">Main!$B$15</definedName>
    <definedName name="HOCSupport">Main!$E$10</definedName>
    <definedName name="MissionJSON">Main!$B$18</definedName>
    <definedName name="Names2">OFFSET(Dropdowns!$A$2,0,MATCH(Main!$C$25&amp;Main!$B$25,Dropdowns!$B$1:$XFD$1,0),100,1)</definedName>
    <definedName name="Names3">OFFSET(Dropdowns!$A$2,0,MATCH(Main!$C$26&amp;Main!$B$26,Dropdowns!$B$1:$XFD$1,0),100,1)</definedName>
    <definedName name="Names4">OFFSET(Dropdowns!$A$2,0,MATCH(Main!$C$27&amp;Main!$B$27,Dropdowns!$B$1:$XFD$1,0),100,1)</definedName>
    <definedName name="Names5">OFFSET(Dropdowns!$A$2,0,MATCH(Main!$C$28&amp;Main!$B$28,Dropdowns!$B$1:$XFD$1,0),100,1)</definedName>
    <definedName name="NodeColor">Main!$B$9</definedName>
    <definedName name="SimJSON">Main!$B$19</definedName>
    <definedName name="TurnNum">Main!$B$10</definedName>
    <definedName name="UserID">Main!$B$7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2" i="28" l="1"/>
  <c r="AX3" i="28"/>
  <c r="AX4" i="28"/>
  <c r="AX5" i="28"/>
  <c r="AX6" i="28"/>
  <c r="AX7" i="28"/>
  <c r="AX8" i="28"/>
  <c r="AX9" i="28"/>
  <c r="AX10" i="28"/>
  <c r="AX11" i="28"/>
  <c r="AX12" i="28"/>
  <c r="AX13" i="28"/>
  <c r="AX14" i="28"/>
  <c r="AX15" i="28"/>
  <c r="AX16" i="28"/>
  <c r="AX17" i="28"/>
  <c r="AX18" i="28"/>
  <c r="AX19" i="28"/>
  <c r="AX20" i="28"/>
  <c r="AX21" i="28"/>
  <c r="AX22" i="28"/>
  <c r="AX23" i="28"/>
  <c r="AX24" i="28"/>
  <c r="AX25" i="28"/>
  <c r="AX26" i="28"/>
  <c r="AX27" i="28"/>
  <c r="AX28" i="28"/>
  <c r="AX29" i="28"/>
  <c r="AX30" i="28"/>
  <c r="AX31" i="28"/>
  <c r="AX32" i="28"/>
  <c r="AX33" i="28"/>
  <c r="AX34" i="28"/>
  <c r="AX35" i="28"/>
  <c r="AX36" i="28"/>
  <c r="AX37" i="28"/>
  <c r="AX38" i="28"/>
  <c r="AX39" i="28"/>
  <c r="AX40" i="28"/>
  <c r="AX41" i="28"/>
  <c r="AX42" i="28"/>
  <c r="AX43" i="28"/>
  <c r="AX44" i="28"/>
  <c r="AX45" i="28"/>
  <c r="AX46" i="28"/>
  <c r="AX47" i="28"/>
  <c r="AX48" i="28"/>
  <c r="AX49" i="28"/>
  <c r="AX50" i="28"/>
  <c r="AX51" i="28"/>
  <c r="AX52" i="28"/>
  <c r="AX53" i="28"/>
  <c r="AX54" i="28"/>
  <c r="AX55" i="28"/>
  <c r="AX56" i="28"/>
  <c r="AX57" i="28"/>
  <c r="AX58" i="28"/>
  <c r="AX59" i="28"/>
  <c r="AX60" i="28"/>
  <c r="AX61" i="28"/>
  <c r="AX62" i="28"/>
  <c r="AX63" i="28"/>
  <c r="AX64" i="28"/>
  <c r="AX65" i="28"/>
  <c r="AX66" i="28"/>
  <c r="AX67" i="28"/>
  <c r="AX68" i="28"/>
  <c r="AX69" i="28"/>
  <c r="AX70" i="28"/>
  <c r="AX71" i="28"/>
  <c r="AX72" i="28"/>
  <c r="AX73" i="28"/>
  <c r="AX74" i="28"/>
  <c r="AX75" i="28"/>
  <c r="AX76" i="28"/>
  <c r="AX77" i="28"/>
  <c r="AX78" i="28"/>
  <c r="AX79" i="28"/>
  <c r="AX80" i="28"/>
  <c r="AX81" i="28"/>
  <c r="AX82" i="28"/>
  <c r="AX83" i="28"/>
  <c r="AX84" i="28"/>
  <c r="AX85" i="28"/>
  <c r="AX86" i="28"/>
  <c r="AX87" i="28"/>
  <c r="AX88" i="28"/>
  <c r="AX89" i="28"/>
  <c r="AX90" i="28"/>
  <c r="AX91" i="28"/>
  <c r="AX92" i="28"/>
  <c r="AX93" i="28"/>
  <c r="AX94" i="28"/>
  <c r="AX95" i="28"/>
  <c r="AX96" i="28"/>
  <c r="AX97" i="28"/>
  <c r="AX98" i="28"/>
  <c r="AX99" i="28"/>
  <c r="AX100" i="28"/>
  <c r="AX101" i="28"/>
  <c r="AX102" i="28"/>
  <c r="AX103" i="28"/>
  <c r="AX104" i="28"/>
  <c r="AX105" i="28"/>
  <c r="AX106" i="28"/>
  <c r="AX107" i="28"/>
  <c r="AX108" i="28"/>
  <c r="AX109" i="28"/>
  <c r="AX110" i="28"/>
  <c r="AX111" i="28"/>
  <c r="AX112" i="28"/>
  <c r="AX113" i="28"/>
  <c r="AX114" i="28"/>
  <c r="AX115" i="28"/>
  <c r="AX116" i="28"/>
  <c r="AX117" i="28"/>
  <c r="AX118" i="28"/>
  <c r="AX119" i="28"/>
  <c r="AX120" i="28"/>
  <c r="AX121" i="28"/>
  <c r="AX122" i="28"/>
  <c r="AX123" i="28"/>
  <c r="AX124" i="28"/>
  <c r="AX125" i="28"/>
  <c r="AX126" i="28"/>
  <c r="AX127" i="28"/>
  <c r="AX128" i="28"/>
  <c r="AX129" i="28"/>
  <c r="AX130" i="28"/>
  <c r="AX131" i="28"/>
  <c r="AX132" i="28"/>
  <c r="AX133" i="28"/>
  <c r="AX134" i="28"/>
  <c r="AX135" i="28"/>
  <c r="AX136" i="28"/>
  <c r="AX137" i="28"/>
  <c r="AX138" i="28"/>
  <c r="AX139" i="28"/>
  <c r="AX140" i="28"/>
  <c r="AX141" i="28"/>
  <c r="AX142" i="28"/>
  <c r="AX143" i="28"/>
  <c r="AX144" i="28"/>
  <c r="AX145" i="28"/>
  <c r="AX146" i="28"/>
  <c r="AX147" i="28"/>
  <c r="AX148" i="28"/>
  <c r="AX149" i="28"/>
  <c r="AX150" i="28"/>
  <c r="AX151" i="28"/>
  <c r="AX152" i="28"/>
  <c r="AX153" i="28"/>
  <c r="AX154" i="28"/>
  <c r="AX155" i="28"/>
  <c r="AX156" i="28"/>
  <c r="AX157" i="28"/>
  <c r="AX158" i="28"/>
  <c r="AX159" i="28"/>
  <c r="AX160" i="28"/>
  <c r="AX161" i="28"/>
  <c r="AX162" i="28"/>
  <c r="AX163" i="28"/>
  <c r="AX164" i="28"/>
  <c r="AX165" i="28"/>
  <c r="AX166" i="28"/>
  <c r="AX167" i="28"/>
  <c r="AX168" i="28"/>
  <c r="AX169" i="28"/>
  <c r="AX170" i="28"/>
  <c r="AX171" i="28"/>
  <c r="AX172" i="28"/>
  <c r="AX173" i="28"/>
  <c r="AX174" i="28"/>
  <c r="AX175" i="28"/>
  <c r="AX176" i="28"/>
  <c r="AX177" i="28"/>
  <c r="AX178" i="28"/>
  <c r="AX179" i="28"/>
  <c r="AX180" i="28"/>
  <c r="AX181" i="28"/>
  <c r="AX182" i="28"/>
  <c r="AX183" i="28"/>
  <c r="AX184" i="28"/>
  <c r="AX185" i="28"/>
  <c r="AX186" i="28"/>
  <c r="AX187" i="28"/>
  <c r="AX188" i="28"/>
  <c r="AX189" i="28"/>
  <c r="AX190" i="28"/>
  <c r="AX191" i="28"/>
  <c r="AX192" i="28"/>
  <c r="AX193" i="28"/>
  <c r="AX194" i="28"/>
  <c r="AX195" i="28"/>
  <c r="AX196" i="28"/>
  <c r="AX197" i="28"/>
  <c r="AX198" i="28"/>
  <c r="AX199" i="28"/>
  <c r="AX200" i="28"/>
  <c r="AX201" i="28"/>
  <c r="AX202" i="28"/>
  <c r="AX203" i="28"/>
  <c r="AX204" i="28"/>
  <c r="AX205" i="28"/>
  <c r="AX206" i="28"/>
  <c r="AX207" i="28"/>
  <c r="AX208" i="28"/>
  <c r="AX209" i="28"/>
  <c r="AX210" i="28"/>
  <c r="AX211" i="28"/>
  <c r="AX212" i="28"/>
  <c r="AX213" i="28"/>
  <c r="AX214" i="28"/>
  <c r="AX215" i="28"/>
  <c r="AX216" i="28"/>
  <c r="AX217" i="28"/>
  <c r="AX218" i="28"/>
  <c r="AX219" i="28"/>
  <c r="AX220" i="28"/>
  <c r="AX221" i="28"/>
  <c r="AX222" i="28"/>
  <c r="AX223" i="28"/>
  <c r="AX224" i="28"/>
  <c r="AX225" i="28"/>
  <c r="AX226" i="28"/>
  <c r="AX227" i="28"/>
  <c r="AX228" i="28"/>
  <c r="AX229" i="28"/>
  <c r="AX230" i="28"/>
  <c r="AX231" i="28"/>
  <c r="AX232" i="28"/>
  <c r="AX233" i="28"/>
  <c r="AX234" i="28"/>
  <c r="AX235" i="28"/>
  <c r="E12" i="18" l="1"/>
  <c r="F12" i="18" s="1"/>
  <c r="B16" i="1" l="1"/>
  <c r="B15" i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19" i="18" l="1"/>
  <c r="C2" i="20" s="1"/>
  <c r="C2" i="24" l="1"/>
  <c r="B4" i="20"/>
  <c r="B3" i="20"/>
  <c r="B2" i="20"/>
  <c r="B18" i="1"/>
  <c r="B19" i="1"/>
  <c r="B17" i="1" l="1"/>
  <c r="B14" i="1"/>
  <c r="B13" i="1"/>
  <c r="E15" i="18" l="1"/>
  <c r="F15" i="18" s="1"/>
  <c r="E14" i="18"/>
  <c r="F14" i="18" s="1"/>
  <c r="E13" i="18"/>
  <c r="F13" i="18" s="1"/>
  <c r="E11" i="18"/>
  <c r="F11" i="18" s="1"/>
  <c r="E10" i="18"/>
  <c r="F10" i="18" s="1"/>
  <c r="E9" i="18"/>
  <c r="F9" i="18" s="1"/>
  <c r="P42" i="3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Z6" i="3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Z5" i="3"/>
  <c r="O5" i="3"/>
  <c r="W5" i="3" s="1"/>
  <c r="N5" i="3"/>
  <c r="V5" i="3" s="1"/>
  <c r="M5" i="3"/>
  <c r="U5" i="3" s="1"/>
  <c r="L5" i="3"/>
  <c r="K5" i="3"/>
  <c r="J5" i="3"/>
  <c r="R5" i="3" s="1"/>
  <c r="Z4" i="3"/>
  <c r="O4" i="3"/>
  <c r="W4" i="3" s="1"/>
  <c r="N4" i="3"/>
  <c r="M4" i="3"/>
  <c r="U4" i="3" s="1"/>
  <c r="L4" i="3"/>
  <c r="T4" i="3" s="1"/>
  <c r="K4" i="3"/>
  <c r="J4" i="3"/>
  <c r="R4" i="3" s="1"/>
  <c r="Z3" i="3"/>
  <c r="O3" i="3"/>
  <c r="W3" i="3" s="1"/>
  <c r="N3" i="3"/>
  <c r="V3" i="3" s="1"/>
  <c r="M3" i="3"/>
  <c r="U3" i="3" s="1"/>
  <c r="L3" i="3"/>
  <c r="T3" i="3" s="1"/>
  <c r="K3" i="3"/>
  <c r="S3" i="3" s="1"/>
  <c r="J3" i="3"/>
  <c r="R3" i="3" s="1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A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F5" i="12"/>
  <c r="E5" i="12" s="1"/>
  <c r="D5" i="12"/>
  <c r="P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AA12" i="3" l="1"/>
  <c r="AE12" i="3"/>
  <c r="C3" i="20"/>
  <c r="N5" i="12"/>
  <c r="AF10" i="3"/>
  <c r="AC11" i="3"/>
  <c r="AB14" i="3"/>
  <c r="AF12" i="3"/>
  <c r="H7" i="12"/>
  <c r="G15" i="12"/>
  <c r="S16" i="12"/>
  <c r="G7" i="12"/>
  <c r="I15" i="12"/>
  <c r="I16" i="12"/>
  <c r="H8" i="12"/>
  <c r="AD11" i="3"/>
  <c r="AA4" i="3"/>
  <c r="H2" i="13"/>
  <c r="I11" i="12"/>
  <c r="M16" i="12"/>
  <c r="H3" i="12"/>
  <c r="R15" i="12"/>
  <c r="N16" i="12"/>
  <c r="AC13" i="3"/>
  <c r="P7" i="12"/>
  <c r="G8" i="12"/>
  <c r="S11" i="12"/>
  <c r="S15" i="12"/>
  <c r="G16" i="12"/>
  <c r="Q16" i="12"/>
  <c r="N12" i="12"/>
  <c r="AA5" i="3"/>
  <c r="N3" i="12"/>
  <c r="AF5" i="3"/>
  <c r="P3" i="12"/>
  <c r="H4" i="12"/>
  <c r="R8" i="12"/>
  <c r="M12" i="12"/>
  <c r="S14" i="12"/>
  <c r="G12" i="12"/>
  <c r="R12" i="12"/>
  <c r="I14" i="12"/>
  <c r="M15" i="12"/>
  <c r="AA11" i="3"/>
  <c r="AB6" i="3"/>
  <c r="AD14" i="3"/>
  <c r="G3" i="12"/>
  <c r="S4" i="12"/>
  <c r="H5" i="12"/>
  <c r="N7" i="12"/>
  <c r="S8" i="12"/>
  <c r="I12" i="12"/>
  <c r="S12" i="12"/>
  <c r="N14" i="12"/>
  <c r="N15" i="12"/>
  <c r="K16" i="12"/>
  <c r="R16" i="12"/>
  <c r="AD4" i="3"/>
  <c r="M11" i="12"/>
  <c r="J14" i="12"/>
  <c r="O14" i="12"/>
  <c r="AE5" i="3"/>
  <c r="AE19" i="3" s="1"/>
  <c r="AC6" i="3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AC4" i="3"/>
  <c r="AC18" i="3" s="1"/>
  <c r="AF13" i="3"/>
  <c r="AC7" i="3"/>
  <c r="AF6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A6" i="3"/>
  <c r="AC14" i="3"/>
  <c r="AE10" i="3"/>
  <c r="AB3" i="3"/>
  <c r="AF3" i="3"/>
  <c r="AD10" i="3"/>
  <c r="AB10" i="3"/>
  <c r="AC3" i="3"/>
  <c r="AA10" i="3"/>
  <c r="AC10" i="3"/>
  <c r="D5" i="7"/>
  <c r="Q6" i="12"/>
  <c r="M6" i="12"/>
  <c r="I6" i="12"/>
  <c r="J6" i="12"/>
  <c r="O6" i="12"/>
  <c r="T6" i="12"/>
  <c r="S4" i="3"/>
  <c r="AB11" i="3" s="1"/>
  <c r="AB4" i="3"/>
  <c r="J2" i="12"/>
  <c r="N2" i="12"/>
  <c r="R2" i="12"/>
  <c r="K5" i="12"/>
  <c r="G6" i="12"/>
  <c r="L6" i="12"/>
  <c r="R6" i="12"/>
  <c r="AD6" i="3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AC5" i="3"/>
  <c r="AA7" i="3"/>
  <c r="AE7" i="3"/>
  <c r="A12" i="12"/>
  <c r="A7" i="12"/>
  <c r="A3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AB7" i="3"/>
  <c r="AF7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AE4" i="3"/>
  <c r="AF4" i="3"/>
  <c r="S5" i="3"/>
  <c r="AB12" i="3" s="1"/>
  <c r="AB5" i="3"/>
  <c r="AA3" i="3"/>
  <c r="AE3" i="3"/>
  <c r="AE6" i="3"/>
  <c r="AD3" i="3"/>
  <c r="AD5" i="3"/>
  <c r="AD7" i="3"/>
  <c r="AF11" i="3"/>
  <c r="AD12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J4" i="7" l="1"/>
  <c r="P3" i="7"/>
  <c r="O4" i="7"/>
  <c r="J2" i="7"/>
  <c r="J6" i="7"/>
  <c r="J5" i="7"/>
  <c r="J3" i="7"/>
  <c r="D6" i="7"/>
  <c r="AC20" i="3"/>
  <c r="AE20" i="3"/>
  <c r="AD18" i="3"/>
  <c r="AD21" i="3"/>
  <c r="AE17" i="3"/>
  <c r="AB21" i="3"/>
  <c r="AE21" i="3"/>
  <c r="AB20" i="3"/>
  <c r="AB17" i="3"/>
  <c r="AD20" i="3"/>
  <c r="AC17" i="3"/>
  <c r="AC21" i="3"/>
  <c r="AD17" i="3"/>
  <c r="AD19" i="3"/>
  <c r="AE18" i="3"/>
  <c r="A13" i="12"/>
  <c r="A8" i="12"/>
  <c r="A4" i="12"/>
  <c r="AC19" i="3"/>
  <c r="AB18" i="3"/>
  <c r="AB19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  <c r="A14" i="12"/>
  <c r="A9" i="12"/>
  <c r="A5" i="12"/>
  <c r="A15" i="12" l="1"/>
  <c r="A10" i="12"/>
  <c r="A6" i="12"/>
  <c r="A16" i="12" l="1"/>
  <c r="A1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  <author>Danny L</author>
  </authors>
  <commentList>
    <comment ref="O23" authorId="0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3" authorId="0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3" authorId="0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D31" authorId="1" shapeId="0" xr:uid="{2BB558AC-D20C-4126-90D4-100D9B9D0AB7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sharedStrings.xml><?xml version="1.0" encoding="utf-8"?>
<sst xmlns="http://schemas.openxmlformats.org/spreadsheetml/2006/main" count="9959" uniqueCount="2218">
  <si>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</si>
  <si>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</si>
  <si>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</si>
  <si>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</si>
  <si>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</si>
  <si>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</si>
  <si>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</si>
  <si>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</si>
  <si>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</si>
  <si>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</si>
  <si>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</si>
  <si>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</si>
  <si>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</si>
  <si>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</si>
  <si>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</si>
  <si>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</si>
  <si>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</si>
  <si>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</si>
  <si>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</si>
  <si>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</si>
  <si>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</si>
  <si>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</si>
  <si>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</si>
  <si>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</si>
  <si>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</si>
  <si>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</si>
  <si>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</si>
  <si>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</si>
  <si>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</si>
  <si>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</si>
  <si>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</si>
  <si>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</si>
  <si>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</si>
  <si>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</si>
  <si>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</si>
  <si>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</si>
  <si>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</si>
  <si>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</si>
  <si>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</si>
  <si>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</si>
  <si>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</si>
  <si>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</si>
  <si>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</si>
  <si>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</si>
  <si>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</si>
  <si>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</si>
  <si>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</si>
  <si>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</si>
  <si>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</si>
  <si>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</si>
  <si>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</si>
  <si>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</si>
  <si>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</si>
  <si>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</si>
  <si>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</si>
  <si>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</si>
  <si>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</si>
  <si>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</si>
  <si>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</si>
  <si>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</si>
  <si>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</si>
  <si>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</si>
  <si>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</si>
  <si>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</si>
  <si>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</si>
  <si>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</si>
  <si>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</si>
  <si>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</si>
  <si>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</si>
  <si>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</si>
  <si>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</si>
  <si>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</si>
  <si>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</si>
  <si>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</si>
  <si>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</si>
  <si>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</si>
  <si>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</si>
  <si>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</si>
  <si>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</si>
  <si>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</si>
  <si>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</si>
  <si>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</si>
  <si>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</si>
  <si>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</si>
  <si>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</si>
  <si>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</si>
  <si>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</si>
  <si>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</si>
  <si>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</si>
  <si>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</si>
  <si>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</si>
  <si>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</si>
  <si>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</si>
  <si>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</si>
  <si>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</si>
  <si>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</si>
  <si>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</si>
  <si>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</si>
  <si>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</si>
  <si>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</si>
  <si>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</si>
  <si>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</si>
  <si>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</si>
  <si>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</si>
  <si>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</si>
  <si>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</si>
  <si>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</si>
  <si>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</si>
  <si>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</si>
  <si>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</si>
  <si>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</si>
  <si>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</si>
  <si>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</si>
  <si>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</si>
  <si>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</si>
  <si>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</si>
  <si>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</si>
  <si>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</si>
  <si>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</si>
  <si>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</si>
  <si>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</si>
  <si>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</si>
  <si>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</si>
  <si>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</si>
  <si>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</si>
  <si>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</si>
  <si>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</si>
  <si>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</si>
  <si>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</si>
  <si>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</si>
  <si>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</si>
  <si>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</si>
  <si>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</si>
  <si>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</si>
  <si>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</si>
  <si>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</si>
  <si>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</si>
  <si>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</si>
  <si>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</si>
  <si>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</si>
  <si>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</si>
  <si>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</si>
  <si>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</si>
  <si>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</si>
  <si>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</si>
  <si>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</si>
  <si>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</si>
  <si>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</si>
  <si>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</si>
  <si>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</si>
  <si>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</si>
  <si>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</si>
  <si>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</si>
  <si>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</si>
  <si>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</si>
  <si>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</si>
  <si>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</si>
  <si>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</si>
  <si>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</si>
  <si>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</si>
  <si>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</si>
  <si>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</si>
  <si>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</si>
  <si>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</si>
  <si>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</si>
  <si>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</si>
  <si>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</si>
  <si>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</si>
  <si>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</si>
  <si>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</si>
  <si>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</si>
  <si>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</si>
  <si>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</si>
  <si>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</si>
  <si>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</si>
  <si>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</si>
  <si>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</si>
  <si>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</si>
  <si>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</si>
  <si>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</si>
  <si>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</si>
  <si>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</si>
  <si>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</si>
  <si>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</si>
  <si>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</si>
  <si>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</si>
  <si>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</si>
  <si>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</si>
  <si>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</si>
  <si>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</si>
  <si>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</si>
  <si>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</si>
  <si>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</si>
  <si>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</si>
  <si>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</si>
  <si>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</si>
  <si>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</si>
  <si>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</si>
  <si>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</si>
  <si>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</si>
  <si>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</si>
  <si>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</si>
  <si>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</si>
  <si>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</si>
  <si>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</si>
  <si>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</si>
  <si>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</si>
  <si>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</si>
  <si>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</si>
  <si>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</si>
  <si>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</si>
  <si>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</si>
  <si>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</si>
  <si>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</si>
  <si>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</si>
  <si>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</si>
  <si>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</si>
  <si>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</si>
  <si>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</si>
  <si>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</si>
  <si>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</si>
  <si>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</si>
  <si>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</si>
  <si>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</si>
  <si>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</si>
  <si>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</si>
  <si>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</si>
  <si>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</si>
  <si>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</si>
  <si>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</si>
  <si>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</si>
  <si>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</si>
  <si>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</si>
  <si>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</si>
  <si>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</si>
  <si>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</si>
  <si>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</si>
  <si>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</si>
  <si>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</si>
  <si>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</si>
  <si>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</si>
  <si>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</si>
  <si>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</si>
  <si>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</si>
  <si>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</si>
  <si>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</si>
  <si>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</si>
  <si>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</si>
  <si>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</si>
  <si>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</si>
  <si>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</si>
  <si>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</si>
  <si>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</si>
  <si>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</si>
  <si>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</si>
  <si>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</si>
  <si>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</si>
  <si>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</si>
  <si>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</si>
  <si>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</si>
  <si>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</si>
  <si>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</si>
  <si>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</si>
  <si>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</si>
  <si>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</si>
  <si>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</si>
  <si>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</si>
  <si>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</si>
  <si>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</si>
  <si>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</si>
  <si>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</si>
  <si>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</si>
  <si>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</si>
  <si>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</si>
  <si>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</si>
  <si>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</si>
  <si>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</si>
  <si>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</si>
  <si>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</si>
  <si>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</si>
  <si>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</si>
  <si>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</si>
  <si>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</si>
  <si>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</si>
  <si>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</si>
  <si>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</si>
  <si>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</si>
  <si>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</si>
  <si>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</si>
  <si>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</si>
  <si>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</si>
  <si>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</si>
  <si>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</si>
  <si>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</si>
  <si>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</si>
  <si>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</si>
  <si>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</si>
  <si>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</si>
  <si>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</si>
  <si>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</si>
  <si>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</si>
  <si>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</si>
  <si>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</si>
  <si>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</si>
  <si>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</si>
  <si>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</si>
  <si>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</si>
  <si>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</si>
  <si>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</si>
  <si>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</si>
  <si>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</si>
  <si>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</si>
  <si>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</si>
  <si>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</si>
  <si>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</si>
  <si>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</si>
  <si>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</si>
  <si>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</si>
  <si>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</si>
  <si>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</si>
  <si>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</si>
  <si>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</si>
  <si>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</si>
  <si>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</si>
  <si>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</si>
  <si>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</si>
  <si>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</si>
  <si>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</si>
  <si>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</si>
  <si>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</si>
  <si>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</si>
  <si>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</si>
  <si>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</si>
  <si>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</si>
  <si>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</si>
  <si>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</si>
  <si>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</si>
  <si>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</si>
  <si>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</si>
  <si>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</si>
  <si>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</si>
  <si>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</si>
  <si>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</si>
  <si>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</si>
  <si>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</si>
  <si>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</si>
  <si>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</si>
  <si>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</si>
  <si>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</si>
  <si>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</si>
  <si>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</si>
  <si>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</si>
  <si>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</si>
  <si>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</si>
  <si>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</si>
  <si>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</si>
  <si>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</si>
  <si>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</si>
  <si>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</si>
  <si>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</si>
  <si>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</si>
  <si>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</si>
  <si>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</si>
  <si>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</si>
  <si>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</si>
  <si>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</si>
  <si>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</si>
  <si>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</si>
  <si>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</si>
  <si>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</si>
  <si>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</si>
  <si>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</si>
  <si>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</si>
  <si>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</si>
  <si>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</si>
  <si>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</si>
  <si>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</si>
  <si>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</si>
  <si>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</si>
  <si>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</si>
  <si>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</si>
  <si>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</si>
  <si>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</si>
  <si>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</si>
  <si>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</si>
  <si>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</si>
  <si>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</si>
  <si>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</si>
  <si>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</si>
  <si>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</si>
  <si>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</si>
  <si>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</si>
  <si>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</si>
  <si>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</si>
  <si>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</si>
  <si>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</si>
  <si>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</si>
  <si>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</si>
  <si>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</si>
  <si>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</si>
  <si>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</si>
  <si>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</si>
  <si>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</si>
  <si>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</si>
  <si>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</si>
  <si>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</si>
  <si>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</si>
  <si>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</si>
  <si>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</si>
  <si>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</si>
  <si>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</si>
  <si>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</si>
  <si>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</si>
  <si>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</si>
  <si>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</si>
  <si>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</si>
  <si>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</si>
  <si>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</si>
  <si>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</si>
  <si>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</si>
  <si>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</si>
  <si>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</si>
  <si>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</si>
  <si>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</si>
  <si>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</si>
  <si>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</si>
  <si>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</si>
  <si>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</si>
  <si>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</si>
  <si>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</si>
  <si>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</si>
  <si>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</si>
  <si>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</si>
  <si>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</si>
  <si>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</si>
  <si>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</si>
  <si>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</si>
  <si>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</si>
  <si>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</si>
  <si>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</si>
  <si>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</si>
  <si>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</si>
  <si>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</si>
  <si>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</si>
  <si>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</si>
  <si>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</si>
  <si>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</si>
  <si>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</si>
  <si>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</si>
  <si>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</si>
  <si>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</si>
  <si>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</si>
  <si>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</si>
  <si>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</si>
  <si>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</si>
  <si>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</si>
  <si>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</si>
  <si>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</si>
  <si>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</si>
  <si>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</si>
  <si>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</si>
  <si>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</si>
  <si>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</si>
  <si>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</si>
  <si>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</si>
  <si>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</si>
  <si>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</si>
  <si>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</si>
  <si>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</si>
  <si>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</si>
  <si>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</si>
  <si>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</si>
  <si>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</si>
  <si>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</si>
  <si>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</si>
  <si>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</si>
  <si>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</si>
  <si>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</si>
  <si>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</si>
  <si>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</si>
  <si>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</si>
  <si>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</si>
  <si>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</si>
  <si>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</si>
  <si>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</si>
  <si>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</si>
  <si>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</si>
  <si>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</si>
  <si>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</si>
  <si>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</si>
  <si>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</si>
  <si>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</si>
  <si>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</si>
  <si>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</si>
  <si>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</si>
  <si>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</si>
  <si>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</si>
  <si>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</si>
  <si>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</si>
  <si>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</si>
  <si>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</si>
  <si>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</si>
  <si>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</si>
  <si>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</si>
  <si>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</si>
  <si>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</si>
  <si>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</si>
  <si>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</si>
  <si>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</si>
  <si>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</si>
  <si>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</si>
  <si>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</si>
  <si>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</si>
  <si>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</si>
  <si>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</si>
  <si>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</si>
  <si>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</si>
  <si>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</si>
  <si>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</si>
  <si>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</si>
  <si>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</si>
  <si>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</si>
  <si>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</si>
  <si>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</si>
  <si>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</si>
  <si>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</si>
  <si>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</si>
  <si>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</si>
  <si>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</si>
  <si>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</si>
  <si>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</si>
  <si>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</si>
  <si>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</si>
  <si>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</si>
  <si>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</si>
  <si>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</si>
  <si>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</si>
  <si>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</si>
  <si>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</si>
  <si>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</si>
  <si>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</si>
  <si>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</si>
  <si>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</si>
  <si>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</si>
  <si>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</si>
  <si>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</si>
  <si>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</si>
  <si>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</si>
  <si>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</si>
  <si>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</si>
  <si>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</si>
  <si>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</si>
  <si>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</si>
  <si>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</si>
  <si>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</si>
  <si>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</si>
  <si>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</si>
  <si>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</si>
  <si>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</si>
  <si>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</si>
  <si>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</si>
  <si>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</si>
  <si>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</si>
  <si>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</si>
  <si>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</si>
  <si>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</si>
  <si>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</si>
  <si>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</si>
  <si>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</si>
  <si>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</si>
  <si>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</si>
  <si>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</si>
  <si>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</si>
  <si>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</si>
  <si>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</si>
  <si>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</si>
  <si>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</si>
  <si>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</si>
  <si>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</si>
  <si>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</si>
  <si>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</si>
  <si>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</si>
  <si>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</si>
  <si>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</si>
  <si>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</si>
  <si>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</si>
  <si>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</si>
  <si>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</si>
  <si>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</si>
  <si>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</si>
  <si>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</si>
  <si>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</si>
  <si>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</si>
  <si>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</si>
  <si>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</si>
  <si>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</si>
  <si>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</si>
  <si>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</si>
  <si>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</si>
  <si>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</si>
  <si>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</si>
  <si>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</si>
  <si>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</si>
  <si>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</si>
  <si>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</si>
  <si>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</si>
  <si>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</si>
  <si>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</si>
  <si>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</si>
  <si>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</si>
  <si>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</si>
  <si>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</si>
  <si>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</si>
  <si>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</si>
  <si>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</si>
  <si>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</si>
  <si>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</si>
  <si>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</si>
  <si>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</si>
  <si>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</si>
  <si>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</si>
  <si>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</si>
  <si>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</si>
  <si>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</si>
  <si>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</si>
  <si>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</si>
  <si>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</si>
  <si>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</si>
  <si>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</si>
  <si>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</si>
  <si>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</si>
  <si>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</si>
  <si>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</si>
  <si>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</si>
  <si>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</si>
  <si>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</si>
  <si>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</si>
  <si>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</si>
  <si>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</si>
  <si>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</si>
  <si>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</si>
  <si>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</si>
  <si>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</si>
  <si>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</si>
  <si>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</si>
  <si>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</si>
  <si>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</si>
  <si>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</si>
  <si>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</si>
  <si>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</si>
  <si>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</si>
  <si>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</si>
  <si>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</si>
  <si>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</si>
  <si>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</si>
  <si>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</si>
  <si>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</si>
  <si>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</si>
  <si>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</si>
  <si>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</si>
  <si>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</si>
  <si>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</si>
  <si>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</si>
  <si>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</si>
  <si>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</si>
  <si>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</si>
  <si>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</si>
  <si>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</si>
  <si>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</si>
  <si>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</si>
  <si>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</si>
  <si>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</si>
  <si>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</si>
  <si>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</si>
  <si>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</si>
  <si>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</si>
  <si>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</si>
  <si>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</si>
  <si>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</si>
  <si>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</si>
  <si>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</si>
  <si>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</si>
  <si>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</si>
  <si>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Other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</si>
  <si>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</si>
  <si>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</si>
  <si>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</si>
  <si>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</si>
  <si>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</si>
  <si>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</si>
  <si>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</si>
  <si>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</si>
  <si>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</si>
  <si>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</si>
  <si>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</si>
  <si>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</si>
  <si>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</si>
  <si>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</si>
  <si>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</si>
  <si>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</si>
  <si>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</si>
  <si>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</si>
  <si>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</si>
  <si>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</si>
  <si>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</si>
  <si>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</si>
  <si>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</si>
  <si>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</si>
  <si>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</si>
  <si>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</si>
  <si>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</si>
  <si>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</si>
  <si>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</si>
  <si>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</si>
  <si>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</si>
  <si>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</si>
  <si>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</si>
  <si>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</si>
  <si>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</si>
  <si>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</si>
  <si>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</si>
  <si>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</si>
  <si>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</si>
  <si>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</si>
  <si>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</si>
  <si>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</si>
  <si>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</si>
  <si>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</si>
  <si>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</si>
  <si>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</si>
  <si>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</si>
  <si>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</si>
  <si>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</si>
  <si>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</si>
  <si>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</si>
  <si>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</si>
  <si>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</si>
  <si>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</si>
  <si>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</si>
  <si>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</si>
  <si>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</si>
  <si>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</si>
  <si>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</si>
  <si>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</si>
  <si>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</si>
  <si>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</si>
  <si>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</si>
  <si>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</si>
  <si>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</si>
  <si>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</si>
  <si>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</si>
  <si>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</si>
  <si>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</si>
  <si>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</si>
  <si>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</si>
  <si>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</si>
  <si>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</si>
  <si>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</si>
  <si>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</si>
  <si>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</si>
  <si>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</si>
  <si>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</si>
  <si>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</si>
  <si>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</si>
  <si>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</si>
  <si>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</si>
  <si>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</si>
  <si>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</si>
  <si>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Varruer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</si>
  <si>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</si>
  <si>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</si>
  <si>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</si>
  <si>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</si>
  <si>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</si>
  <si>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</si>
  <si>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</si>
  <si>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</si>
  <si>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</si>
  <si>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</si>
  <si>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</si>
  <si>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</si>
  <si>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</si>
  <si>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</si>
  <si>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</si>
  <si>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</si>
  <si>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</si>
  <si>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</si>
  <si>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</si>
  <si>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</si>
  <si>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</si>
  <si>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</si>
  <si>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</si>
  <si>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</si>
  <si>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</si>
  <si>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</si>
  <si>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</si>
  <si>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</si>
  <si>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</si>
  <si>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</si>
  <si>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</si>
  <si>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</si>
  <si>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</si>
  <si>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</si>
  <si>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</si>
  <si>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</si>
  <si>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</si>
  <si>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</si>
  <si>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</si>
  <si>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</si>
  <si>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</si>
  <si>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</si>
  <si>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</si>
  <si>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</si>
  <si>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</si>
  <si>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</si>
  <si>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</si>
  <si>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</si>
  <si>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</si>
  <si>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</si>
  <si>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</si>
  <si>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</si>
  <si>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</si>
  <si>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</si>
  <si>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</si>
  <si>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</si>
  <si>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</si>
  <si>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</si>
  <si>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</si>
  <si>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</si>
  <si>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</si>
  <si>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</si>
  <si>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</si>
  <si>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</si>
  <si>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</si>
  <si>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</si>
  <si>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</si>
  <si>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</si>
  <si>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</si>
  <si>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</si>
  <si>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</si>
  <si>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</si>
  <si>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</si>
  <si>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</si>
  <si>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</si>
  <si>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</si>
  <si>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</si>
  <si>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</si>
  <si>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</si>
  <si>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</si>
  <si>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</si>
  <si>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</si>
  <si>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</si>
  <si>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</si>
  <si>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</si>
  <si>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</si>
  <si>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</si>
  <si>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</si>
  <si>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</si>
  <si>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</si>
  <si>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</si>
  <si>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</si>
  <si>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</si>
  <si>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</si>
  <si>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</si>
  <si>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</si>
  <si>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</si>
  <si>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</si>
  <si>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</si>
  <si>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</si>
  <si>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</si>
  <si>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</si>
  <si>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</si>
  <si>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</si>
  <si>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</si>
  <si>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</si>
  <si>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</si>
  <si>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</si>
  <si>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</si>
  <si>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</si>
  <si>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</si>
  <si>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</si>
  <si>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</si>
  <si>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</si>
  <si>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</si>
  <si>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</si>
  <si>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</si>
  <si>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</si>
  <si>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</si>
  <si>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</si>
  <si>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</si>
  <si>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</si>
  <si>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</si>
  <si>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</si>
  <si>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</si>
  <si>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</si>
  <si>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</si>
  <si>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To report any errors or provide feedback, contact Randomqwerty#4678.</t>
  </si>
  <si>
    <t>Construction Buff</t>
  </si>
  <si>
    <t>Suee Buff</t>
  </si>
  <si>
    <t>Combo Fairy (1 stack)</t>
  </si>
  <si>
    <t>Combo Fairy (2 stack)</t>
  </si>
  <si>
    <t>Combo Fairy (3 stack)</t>
  </si>
  <si>
    <t>Parachute Debuff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</si>
  <si>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</si>
  <si>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</si>
  <si>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</si>
  <si>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</si>
  <si>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</si>
  <si>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</si>
  <si>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</si>
  <si>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</si>
  <si>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</si>
  <si>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</si>
  <si>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</si>
  <si>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</si>
  <si>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SL10</t>
  </si>
  <si>
    <t>Actual SL</t>
  </si>
  <si>
    <t>KR Sim Grid Numbers:</t>
  </si>
  <si>
    <t>Strategy Fairy Inputs:</t>
  </si>
  <si>
    <t>Config ID</t>
  </si>
  <si>
    <t>Buff</t>
  </si>
  <si>
    <t>EMP Input:</t>
  </si>
  <si>
    <t>Enemy:</t>
  </si>
  <si>
    <t>Sim:</t>
  </si>
  <si>
    <t>Actual Turn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</si>
  <si>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t>
  </si>
  <si>
    <t>"fairy_skill_on_team":"{\"1\":{\"1\":{\"team_id\":1,\"buff_id\":\"10086\",\"source_type\":1,\"source_value\":1,\"start_turn\":\"1\",\"battle_count\":0,\"battle_finish_count\":0,\"person_move_count\":0,\"mission_skill_config_id\":\"910\"}}}",</t>
  </si>
  <si>
    <t>"fairy_skill_on_team":"{\"1\":{\"1\":{\"team_id\":1,\"buff_id\":\"6\",\"source_type\":1,\"source_value\":1,\"start_turn\":\"1\",\"battle_count\":0,\"battle_finish_count\":0,\"person_move_count\":0,\"mission_skill_config_id\":\"1210\"}}}",</t>
  </si>
  <si>
    <t>"fairy_skill_on_team":"{\"1\":{\"1\":{\"team_id\":1,\"buff_id\":\"1004\",\"source_type\":1,\"source_value\":1,\"start_turn\":\"1\",\"battle_count\":0,\"battle_finish_count\":0,\"person_move_count\":0,\"mission_skill_config_id\":\"100410\"}}}",</t>
  </si>
  <si>
    <t>"fairy_skill_on_team":"{\"1\":{\"1\":{\"team_id\":1,\"buff_id\":\"1700\",\"source_type\":1,\"source_value\":1,\"start_turn\":\"1\",\"battle_count\":0,\"battle_finish_count\":0,\"person_move_count\":0,\"mission_skill_config_id\":\"1710\"}}}",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</si>
  <si>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t>
  </si>
  <si>
    <t>Combo 1 Stack</t>
  </si>
  <si>
    <t>Combo 2 Stack</t>
  </si>
  <si>
    <t>Combo 3 Stack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</si>
  <si>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</si>
  <si>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</si>
  <si>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</si>
  <si>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</si>
  <si>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</si>
  <si>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</si>
  <si>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</si>
  <si>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</si>
  <si>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</si>
  <si>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</si>
  <si>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</si>
  <si>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</si>
  <si>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</si>
  <si>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</si>
  <si>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</si>
  <si>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</si>
  <si>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</si>
  <si>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</si>
  <si>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</si>
  <si>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</si>
  <si>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</si>
  <si>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</si>
  <si>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</si>
  <si>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</si>
  <si>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</si>
  <si>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</si>
  <si>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</si>
  <si>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</si>
  <si>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</si>
  <si>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</si>
  <si>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</si>
  <si>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</si>
  <si>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</si>
  <si>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</si>
  <si>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</si>
  <si>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</si>
  <si>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</si>
  <si>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</si>
  <si>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</si>
  <si>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</si>
  <si>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</si>
  <si>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</si>
  <si>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</si>
  <si>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</si>
  <si>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</si>
  <si>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</si>
  <si>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</si>
  <si>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</si>
  <si>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</si>
  <si>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</si>
  <si>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</si>
  <si>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</si>
  <si>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</si>
  <si>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</si>
  <si>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</si>
  <si>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</si>
  <si>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</si>
  <si>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</si>
  <si>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</si>
  <si>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</si>
  <si>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</si>
  <si>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</si>
  <si>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</si>
  <si>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</si>
  <si>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</si>
  <si>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</si>
  <si>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</si>
  <si>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</si>
  <si>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</si>
  <si>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</si>
  <si>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</si>
  <si>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</si>
  <si>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</si>
  <si>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</si>
  <si>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</si>
  <si>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</si>
  <si>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</si>
  <si>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</si>
  <si>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</si>
  <si>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</si>
  <si>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</si>
  <si>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</si>
  <si>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</si>
  <si>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</si>
  <si>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</si>
  <si>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</si>
  <si>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</si>
  <si>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</si>
  <si>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</si>
  <si>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</si>
  <si>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</si>
  <si>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</si>
  <si>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</si>
  <si>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</si>
  <si>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</si>
  <si>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</si>
  <si>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Enter doll #'s in desired position:</t>
  </si>
  <si>
    <t>X</t>
  </si>
  <si>
    <t>Enter "X" below to enable enemy debuffs:</t>
  </si>
  <si>
    <t>Enter "X" below to enable strategy fairy skills (select 1):</t>
  </si>
  <si>
    <t>Selection</t>
  </si>
  <si>
    <t>This spreadsheet will generate/modify the JSON files needed for the KR Battle Sim based on user inputs.</t>
  </si>
  <si>
    <t>This does NOT generate the JSON for HOCs - you will need to get that from GFAlarm and adjust manually.</t>
  </si>
  <si>
    <t>Place this file in the parent directory of the battle sim (i.e., the same directory as GFBattleSimulator.json).</t>
  </si>
  <si>
    <t>Blue</t>
  </si>
  <si>
    <t>EMP Debuff</t>
  </si>
  <si>
    <t>Time:</t>
  </si>
  <si>
    <t>Day</t>
  </si>
  <si>
    <t>JSON File Paths (autogenerated; assumes workbook is in parent directory):</t>
  </si>
  <si>
    <t>Enter doll info below - recommended to use dropdown for names; select rarity/class first:</t>
  </si>
  <si>
    <t>Enter equipment info below - recommended to use dropdown for names; select equipment type first:</t>
  </si>
  <si>
    <t>Enter fairy info below - recommended to use dropdown for name: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</si>
  <si>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</si>
  <si>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</si>
  <si>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</si>
  <si>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</si>
  <si>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</si>
  <si>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</si>
  <si>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</si>
  <si>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</si>
  <si>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</si>
  <si>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</si>
  <si>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</si>
  <si>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</si>
  <si>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</si>
  <si>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</si>
  <si>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</si>
  <si>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</si>
  <si>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</si>
  <si>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</si>
  <si>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</si>
  <si>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</si>
  <si>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</si>
  <si>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</si>
  <si>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</si>
  <si>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</si>
  <si>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</si>
  <si>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</si>
  <si>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</si>
  <si>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</si>
  <si>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</si>
  <si>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Skill Levels</t>
  </si>
  <si>
    <t>Enter "X" to enable a HOC, then fill out the necessary information: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</si>
  <si>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</si>
  <si>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</si>
  <si>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</si>
  <si>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</si>
  <si>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</si>
  <si>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</si>
  <si>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</si>
  <si>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</si>
  <si>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</si>
  <si>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Defense Buff</t>
  </si>
  <si>
    <t>"fairy_skill_on_team":"{\"1\":{\"1\":{\"team_id\":1,\"buff_id\":\"5\",\"source_type\":1,\"source_value\":1,\"start_turn\":\"1\",\"battle_count\":0,\"battle_finish_count\":0,\"person_move_count\":0,\"mission_skill_config_id\":\"610\"}}}",</t>
  </si>
  <si>
    <t>Column1</t>
  </si>
  <si>
    <t>name</t>
  </si>
  <si>
    <t>51</t>
  </si>
  <si>
    <t>23</t>
  </si>
  <si>
    <t>28</t>
  </si>
  <si>
    <t>25</t>
  </si>
  <si>
    <t>21</t>
  </si>
  <si>
    <t>53</t>
  </si>
  <si>
    <t>33</t>
  </si>
  <si>
    <t>208</t>
  </si>
  <si>
    <t>PPD-40</t>
  </si>
  <si>
    <t>SIG MCX</t>
  </si>
  <si>
    <t>RPK-203</t>
  </si>
  <si>
    <t>35</t>
  </si>
  <si>
    <t>DeLisle</t>
  </si>
  <si>
    <t>description</t>
  </si>
  <si>
    <t>skill_effect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</si>
  <si>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</si>
  <si>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</si>
  <si>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</si>
  <si>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</si>
  <si>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</si>
  <si>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</si>
  <si>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</si>
  <si>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</si>
  <si>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</si>
  <si>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</si>
  <si>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</si>
  <si>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</si>
  <si>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</si>
  <si>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</si>
  <si>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</si>
  <si>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</si>
  <si>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</si>
  <si>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</si>
  <si>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bonus_type</t>
  </si>
  <si>
    <t>skill</t>
  </si>
  <si>
    <t>max_level</t>
  </si>
  <si>
    <t>auto_select_id</t>
  </si>
  <si>
    <t>equip_group_id</t>
  </si>
  <si>
    <t>equip-10000001</t>
  </si>
  <si>
    <t>equip-20000001</t>
  </si>
  <si>
    <t>配件_光学瞄准镜_N</t>
  </si>
  <si>
    <t>BM</t>
  </si>
  <si>
    <t>equip-30000001</t>
  </si>
  <si>
    <t>equip-10000002</t>
  </si>
  <si>
    <t>equip-20000002</t>
  </si>
  <si>
    <t>equip-30000002</t>
  </si>
  <si>
    <t>critical_percent:1000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</si>
  <si>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</si>
  <si>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</si>
  <si>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</si>
  <si>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</si>
  <si>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</si>
  <si>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</si>
  <si>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</si>
  <si>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</si>
  <si>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配件_全息瞄准镜_N</t>
  </si>
  <si>
    <t>equip-30000005</t>
  </si>
  <si>
    <t>equip-10000006</t>
  </si>
  <si>
    <t>equip-20000006</t>
  </si>
  <si>
    <t>equip-30000006</t>
  </si>
  <si>
    <t>pow:500,hit:500</t>
  </si>
  <si>
    <t>equip-10000007</t>
  </si>
  <si>
    <t>equip-20000007</t>
  </si>
  <si>
    <t>equip-30000007</t>
  </si>
  <si>
    <t>pow:400,hit:400</t>
  </si>
  <si>
    <t>equip-10000008</t>
  </si>
  <si>
    <t>equip-20000008</t>
  </si>
  <si>
    <t>equip-30000008</t>
  </si>
  <si>
    <t>equip-10000009</t>
  </si>
  <si>
    <t>equip-20000009</t>
  </si>
  <si>
    <t>配件_ACOG瞄准镜_N</t>
  </si>
  <si>
    <t>AMP</t>
  </si>
  <si>
    <t>equip-30000009</t>
  </si>
  <si>
    <t>equip-10000010</t>
  </si>
  <si>
    <t>equip-20000010</t>
  </si>
  <si>
    <t>equip-30000010</t>
  </si>
  <si>
    <t>hit:1000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</si>
  <si>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</si>
  <si>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</si>
  <si>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</si>
  <si>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</si>
  <si>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</si>
  <si>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</si>
  <si>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</si>
  <si>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</si>
  <si>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配件_红外夜视仪_N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</si>
  <si>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</si>
  <si>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</si>
  <si>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</si>
  <si>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</si>
  <si>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</si>
  <si>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</si>
  <si>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</si>
  <si>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</si>
  <si>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</si>
  <si>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</si>
  <si>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</si>
  <si>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</si>
  <si>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</si>
  <si>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弹匣_穿甲弹_N</t>
  </si>
  <si>
    <t>equip-30000017</t>
  </si>
  <si>
    <t>equip-10000018</t>
  </si>
  <si>
    <t>equip-20000018</t>
  </si>
  <si>
    <t>equip-30000018</t>
  </si>
  <si>
    <t>armor_piercing:500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</si>
  <si>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</si>
  <si>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</si>
  <si>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</si>
  <si>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</si>
  <si>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</si>
  <si>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</si>
  <si>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</si>
  <si>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</si>
  <si>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</si>
  <si>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</si>
  <si>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</si>
  <si>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</si>
  <si>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</si>
  <si>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</si>
  <si>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</si>
  <si>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</si>
  <si>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</si>
  <si>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</si>
  <si>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</si>
  <si>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</si>
  <si>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</si>
  <si>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</si>
  <si>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</si>
  <si>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</si>
  <si>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</si>
  <si>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</si>
  <si>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</si>
  <si>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</si>
  <si>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</si>
  <si>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</si>
  <si>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</si>
  <si>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</si>
  <si>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</si>
  <si>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equip-10000029</t>
  </si>
  <si>
    <t>equip-20000029</t>
  </si>
  <si>
    <t>弹匣_高速弹_N</t>
  </si>
  <si>
    <t>PMC</t>
  </si>
  <si>
    <t>equip-30000029</t>
  </si>
  <si>
    <t>equip-10000030</t>
  </si>
  <si>
    <t>equip-20000030</t>
  </si>
  <si>
    <t>equip-30000030</t>
  </si>
  <si>
    <t>pow:1000</t>
  </si>
  <si>
    <t>equip-10000031</t>
  </si>
  <si>
    <t>equip-20000031</t>
  </si>
  <si>
    <t>equip-30000031</t>
  </si>
  <si>
    <t>pow:800</t>
  </si>
  <si>
    <t>equip-10000032</t>
  </si>
  <si>
    <t>equip-20000032</t>
  </si>
  <si>
    <t>equip-30000032</t>
  </si>
  <si>
    <t>pow:700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</si>
  <si>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</si>
  <si>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</si>
  <si>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</si>
  <si>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</si>
  <si>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</si>
  <si>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</si>
  <si>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</si>
  <si>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</si>
  <si>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</si>
  <si>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</si>
  <si>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</si>
  <si>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</si>
  <si>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</si>
  <si>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equip-10000037</t>
  </si>
  <si>
    <t>equip-20000037</t>
  </si>
  <si>
    <t>人形装备_外骨骼_N</t>
  </si>
  <si>
    <t>equip-30000037</t>
  </si>
  <si>
    <t>equip-10000038</t>
  </si>
  <si>
    <t>equip-20000038</t>
  </si>
  <si>
    <t>equip-30000038</t>
  </si>
  <si>
    <t>dodge:400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</si>
  <si>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</si>
  <si>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</si>
  <si>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</si>
  <si>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</si>
  <si>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</si>
  <si>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</si>
  <si>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</si>
  <si>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</si>
  <si>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人形装备_防弹插板_N</t>
  </si>
  <si>
    <t>equip-30000042</t>
  </si>
  <si>
    <t>armor:400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</si>
  <si>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</si>
  <si>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</si>
  <si>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</si>
  <si>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</si>
  <si>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</si>
  <si>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</si>
  <si>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</si>
  <si>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</si>
  <si>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</si>
  <si>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</si>
  <si>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</si>
  <si>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</si>
  <si>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</si>
  <si>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</si>
  <si>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</si>
  <si>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</si>
  <si>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</si>
  <si>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</si>
  <si>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</si>
  <si>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</si>
  <si>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</si>
  <si>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</si>
  <si>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</si>
  <si>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16Lab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</si>
  <si>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</si>
  <si>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</si>
  <si>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</si>
  <si>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</si>
  <si>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</si>
  <si>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</si>
  <si>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</si>
  <si>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</si>
  <si>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</si>
  <si>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</si>
  <si>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</si>
  <si>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</si>
  <si>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-20,-10</t>
  </si>
  <si>
    <t>35,50</t>
  </si>
  <si>
    <t>equip-30000052</t>
  </si>
  <si>
    <t>equip-10000053</t>
  </si>
  <si>
    <t>equip-20000053</t>
  </si>
  <si>
    <t>-30,-15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</si>
  <si>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</si>
  <si>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</si>
  <si>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</si>
  <si>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</si>
  <si>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</si>
  <si>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</si>
  <si>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</si>
  <si>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equip-10000055</t>
  </si>
  <si>
    <t>equip-20000055</t>
  </si>
  <si>
    <t>人形装备_外骨骼_X_N</t>
  </si>
  <si>
    <t>equip-30000055</t>
  </si>
  <si>
    <t>equip-10000056</t>
  </si>
  <si>
    <t>equip-20000056</t>
  </si>
  <si>
    <t>equip-30000056</t>
  </si>
  <si>
    <t>dodge:800</t>
  </si>
  <si>
    <t>equip-10000057</t>
  </si>
  <si>
    <t>equip-20000057</t>
  </si>
  <si>
    <t>equip-30000057</t>
  </si>
  <si>
    <t>dodge:900</t>
  </si>
  <si>
    <t>equip-10000058</t>
  </si>
  <si>
    <t>equip-20000058</t>
  </si>
  <si>
    <t>equip-30000058</t>
  </si>
  <si>
    <t>dodge:700</t>
  </si>
  <si>
    <t>equip-10000059</t>
  </si>
  <si>
    <t>equip-20000059</t>
  </si>
  <si>
    <t>弹匣_穿甲弹_Springfield</t>
  </si>
  <si>
    <t>NMS</t>
  </si>
  <si>
    <t>equip-30000059</t>
  </si>
  <si>
    <t>rate:300,armor_piercing:500</t>
  </si>
  <si>
    <t>equip-10000060</t>
  </si>
  <si>
    <t>equip-20000060</t>
  </si>
  <si>
    <t>弹匣_高速弹_AR15</t>
  </si>
  <si>
    <t>equip-30000060</t>
  </si>
  <si>
    <t>pow:600</t>
  </si>
  <si>
    <t>equip-10000061</t>
  </si>
  <si>
    <t>equip-20000061</t>
  </si>
  <si>
    <t>人形装备_战术核芯片_M1918</t>
  </si>
  <si>
    <t>equip-30000061</t>
  </si>
  <si>
    <t>bullet_number_up:500</t>
  </si>
  <si>
    <t>equip-10000062</t>
  </si>
  <si>
    <t>equip-20000062</t>
  </si>
  <si>
    <t>人形装备_外骨骼_MP5</t>
  </si>
  <si>
    <t>equip-30000062</t>
  </si>
  <si>
    <t>dodge:300</t>
  </si>
  <si>
    <t>equip-10000063</t>
  </si>
  <si>
    <t>equip-20000063</t>
  </si>
  <si>
    <t>配件_消音器_N</t>
  </si>
  <si>
    <t>AC</t>
  </si>
  <si>
    <t>equip-30000063</t>
  </si>
  <si>
    <t>equip-10000064</t>
  </si>
  <si>
    <t>equip-20000064</t>
  </si>
  <si>
    <t>equip-30000064</t>
  </si>
  <si>
    <t>dodge:400,critical_percent:300</t>
  </si>
  <si>
    <t>equip-10000065</t>
  </si>
  <si>
    <t>equip-20000065</t>
  </si>
  <si>
    <t>equip-30000065</t>
  </si>
  <si>
    <t>equip-10000066</t>
  </si>
  <si>
    <t>equip-20000066</t>
  </si>
  <si>
    <t>equip-30000066</t>
  </si>
  <si>
    <t>dodge:300,critical_percent:350</t>
  </si>
  <si>
    <t>equip-10000067</t>
  </si>
  <si>
    <t>equip-20000067</t>
  </si>
  <si>
    <t>人形装备_弹链箱_N</t>
  </si>
  <si>
    <t>equip-30000067</t>
  </si>
  <si>
    <t>bullet_number_up:2000</t>
  </si>
  <si>
    <t>equip-10000068</t>
  </si>
  <si>
    <t>equip-20000068</t>
  </si>
  <si>
    <t>equip-30000068</t>
  </si>
  <si>
    <t>bullet_number_up:700</t>
  </si>
  <si>
    <t>equip-10000069</t>
  </si>
  <si>
    <t>equip-20000069</t>
  </si>
  <si>
    <t>弹匣_状态弹_空尖弹_N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</si>
  <si>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</si>
  <si>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</si>
  <si>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</si>
  <si>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</si>
  <si>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</si>
  <si>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</si>
  <si>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</si>
  <si>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</si>
  <si>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pow:500</t>
  </si>
  <si>
    <t>equip-10000072</t>
  </si>
  <si>
    <t>equip-20000072</t>
  </si>
  <si>
    <t>equip-30000072</t>
  </si>
  <si>
    <t>equip-10000073</t>
  </si>
  <si>
    <t>equip-20000073</t>
  </si>
  <si>
    <t>弹匣_霰弹_鹿弹_N</t>
  </si>
  <si>
    <t>equip-30000073</t>
  </si>
  <si>
    <t>equip-10000074</t>
  </si>
  <si>
    <t>equip-20000074</t>
  </si>
  <si>
    <t>equip-30000074</t>
  </si>
  <si>
    <t>pow:500,critical_harm_rate:500</t>
  </si>
  <si>
    <t>equip-10000075</t>
  </si>
  <si>
    <t>equip-20000075</t>
  </si>
  <si>
    <t>equip-30000075</t>
  </si>
  <si>
    <t>pow:500,critical_harm_rate:600</t>
  </si>
  <si>
    <t>equip-10000076</t>
  </si>
  <si>
    <t>equip-20000076</t>
  </si>
  <si>
    <t>equip-30000076</t>
  </si>
  <si>
    <t>equip-10000077</t>
  </si>
  <si>
    <t>equip-20000077</t>
  </si>
  <si>
    <t>弹匣_霰弹_独头弹_N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</si>
  <si>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</si>
  <si>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</si>
  <si>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</si>
  <si>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</si>
  <si>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</si>
  <si>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</si>
  <si>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</si>
  <si>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hit:900</t>
  </si>
  <si>
    <t>equip-10000080</t>
  </si>
  <si>
    <t>equip-20000080</t>
  </si>
  <si>
    <t>equip-30000080</t>
  </si>
  <si>
    <t>hit:700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</si>
  <si>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</si>
  <si>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</si>
  <si>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</si>
  <si>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</si>
  <si>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</si>
  <si>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</si>
  <si>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</si>
  <si>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</si>
  <si>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equip-10000083</t>
  </si>
  <si>
    <t>equip-20000083</t>
  </si>
  <si>
    <t>配件_光学瞄准镜_AK</t>
  </si>
  <si>
    <t>KST</t>
  </si>
  <si>
    <t>equip-30000083</t>
  </si>
  <si>
    <t>critical_harm_rate:100,critical_percent:500</t>
  </si>
  <si>
    <t>equip-10000084</t>
  </si>
  <si>
    <t>equip-20000084</t>
  </si>
  <si>
    <t>equip-30000084</t>
  </si>
  <si>
    <t>critical_harm_rate:200,critical_percent:500</t>
  </si>
  <si>
    <t>equip-10000085</t>
  </si>
  <si>
    <t>equip-20000085</t>
  </si>
  <si>
    <t>equip-30000085</t>
  </si>
  <si>
    <t>critical_harm_rate:500,critical_percent:500</t>
  </si>
  <si>
    <t>equip-10000086</t>
  </si>
  <si>
    <t>equip-20000086</t>
  </si>
  <si>
    <t>人形装备_战术核芯片_莫辛纳甘</t>
  </si>
  <si>
    <t>equip-30000086</t>
  </si>
  <si>
    <t>pow:200,dodge:300,critical_harm_rate:500</t>
  </si>
  <si>
    <t>equip-10000087</t>
  </si>
  <si>
    <t>equip-20000087</t>
  </si>
  <si>
    <t>人形装备_伪装披风_N1</t>
  </si>
  <si>
    <t>equip-30000087</t>
  </si>
  <si>
    <t>equip-10000088</t>
  </si>
  <si>
    <t>equip-20000088</t>
  </si>
  <si>
    <t>equip-30000088</t>
  </si>
  <si>
    <t>critical_harm_rate:900</t>
  </si>
  <si>
    <t>equip-10000089</t>
  </si>
  <si>
    <t>equip-20000089</t>
  </si>
  <si>
    <t>人形装备_伪装披风_N2</t>
  </si>
  <si>
    <t>equip-30000089</t>
  </si>
  <si>
    <t>critical_harm_rate:800</t>
  </si>
  <si>
    <t>equip-10000090</t>
  </si>
  <si>
    <t>equip-20000090</t>
  </si>
  <si>
    <t>人形装备_伪装披风_N3</t>
  </si>
  <si>
    <t>equip-30000090</t>
  </si>
  <si>
    <t>critical_harm_rate:700</t>
  </si>
  <si>
    <t>equip-10000091</t>
  </si>
  <si>
    <t>equip-20000091</t>
  </si>
  <si>
    <t>人形装备_防弹插板_M16A1</t>
  </si>
  <si>
    <t>SF</t>
  </si>
  <si>
    <t>equip-30000091</t>
  </si>
  <si>
    <t>dodge:300,armor:350</t>
  </si>
  <si>
    <t>equip-10000092</t>
  </si>
  <si>
    <t>equip-20000092</t>
  </si>
  <si>
    <t>人形装备_外骨骼_UMP</t>
  </si>
  <si>
    <t>equip-30000092</t>
  </si>
  <si>
    <t>dodge:400,critical_harm_rate:700</t>
  </si>
  <si>
    <t>equip-10000093</t>
  </si>
  <si>
    <t>equip-20000093</t>
  </si>
  <si>
    <t>配件_红外夜视仪_9A91</t>
  </si>
  <si>
    <t>IDB</t>
  </si>
  <si>
    <t>equip-30000093</t>
  </si>
  <si>
    <t>equip-10000094</t>
  </si>
  <si>
    <t>equip-20000094</t>
  </si>
  <si>
    <t>人形装备_战术核芯片_阿梅利</t>
  </si>
  <si>
    <t>equip-30000094</t>
  </si>
  <si>
    <t>pow:600,bullet_number_up:500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</si>
  <si>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</si>
  <si>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</si>
  <si>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</si>
  <si>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</si>
  <si>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</si>
  <si>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</si>
  <si>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</si>
  <si>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</si>
  <si>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</si>
  <si>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</si>
  <si>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</si>
  <si>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</si>
  <si>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</si>
  <si>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</si>
  <si>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</si>
  <si>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</si>
  <si>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equip-10000099</t>
  </si>
  <si>
    <t>equip-20000099</t>
  </si>
  <si>
    <t>人形装备_特殊_M4A1</t>
  </si>
  <si>
    <t>equip-30000099</t>
  </si>
  <si>
    <t>pow:700,armor:250</t>
  </si>
  <si>
    <t>equip-10000100</t>
  </si>
  <si>
    <t>equip-20000100</t>
  </si>
  <si>
    <t>配件_特殊_AR15</t>
  </si>
  <si>
    <t>equip-30000100</t>
  </si>
  <si>
    <t>hit:700,critical_harm_rate:350</t>
  </si>
  <si>
    <t>equip-10000101</t>
  </si>
  <si>
    <t>equip-20000101</t>
  </si>
  <si>
    <t>弹匣_空尖弹_M1911</t>
  </si>
  <si>
    <t>AAI</t>
  </si>
  <si>
    <t>equip-30000101</t>
  </si>
  <si>
    <t>pow:550</t>
  </si>
  <si>
    <t>equip-10000102</t>
  </si>
  <si>
    <t>equip-20000102</t>
  </si>
  <si>
    <t>人形装备_战术核芯片_IDW</t>
  </si>
  <si>
    <t>NTD</t>
  </si>
  <si>
    <t>equip-30000102</t>
  </si>
  <si>
    <t>dodge:450,rate:500</t>
  </si>
  <si>
    <t>equip-10000103</t>
  </si>
  <si>
    <t>equip-20000103</t>
  </si>
  <si>
    <t>配件_消音器_64式</t>
  </si>
  <si>
    <t>NRC</t>
  </si>
  <si>
    <t>equip-30000103</t>
  </si>
  <si>
    <t>dodge:400,critical_percent:350</t>
  </si>
  <si>
    <t>equip-10000104</t>
  </si>
  <si>
    <t>equip-20000104</t>
  </si>
  <si>
    <t>配件_特殊_FN49</t>
  </si>
  <si>
    <t>FNH</t>
  </si>
  <si>
    <t>equip-30000104</t>
  </si>
  <si>
    <t>rate:700,critical_percent:1000</t>
  </si>
  <si>
    <t>equip-10000105</t>
  </si>
  <si>
    <t>equip-20000105</t>
  </si>
  <si>
    <t>配件_光学瞄准镜_Kar98k</t>
  </si>
  <si>
    <t>S&amp;B</t>
  </si>
  <si>
    <t>equip-30000105</t>
  </si>
  <si>
    <t>critical_harm_rate:1000,critical_percent:1000</t>
  </si>
  <si>
    <t>equip-10000106</t>
  </si>
  <si>
    <t>equip-20000106</t>
  </si>
  <si>
    <t>配件_全息瞄准镜_HK416</t>
  </si>
  <si>
    <t>equip-30000106</t>
  </si>
  <si>
    <t>pow:400,hit:400,critical_percent:700</t>
  </si>
  <si>
    <t>equip-10000107</t>
  </si>
  <si>
    <t>equip-20000107</t>
  </si>
  <si>
    <t>人形装备_弹链箱_MG3</t>
  </si>
  <si>
    <t>equip-30000107</t>
  </si>
  <si>
    <t>equip-10000108</t>
  </si>
  <si>
    <t>equip-20000108</t>
  </si>
  <si>
    <t>人形装备_伪装披风_PTRD</t>
  </si>
  <si>
    <t>equip-30000108</t>
  </si>
  <si>
    <t>critical_harm_rate:700,rate:1000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</si>
  <si>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</si>
  <si>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</si>
  <si>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</si>
  <si>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</si>
  <si>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</si>
  <si>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</si>
  <si>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</si>
  <si>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</si>
  <si>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equip-10000111</t>
  </si>
  <si>
    <t>equip-20000111</t>
  </si>
  <si>
    <t>配件_光学瞄准镜_莫辛纳甘</t>
  </si>
  <si>
    <t>KSH</t>
  </si>
  <si>
    <t>equip-30000111</t>
  </si>
  <si>
    <t>critical_percent:1000,hit:1000</t>
  </si>
  <si>
    <t>equip-10000112</t>
  </si>
  <si>
    <t>equip-20000112</t>
  </si>
  <si>
    <t>配件_ACOG瞄准镜_M1918</t>
  </si>
  <si>
    <t>CT</t>
  </si>
  <si>
    <t>equip-30000112</t>
  </si>
  <si>
    <t>hit:1000,critical_percent:1000</t>
  </si>
  <si>
    <t>equip-10000113</t>
  </si>
  <si>
    <t>equip-20000113</t>
  </si>
  <si>
    <t>配件_消音器_纳甘左轮</t>
  </si>
  <si>
    <t>NS</t>
  </si>
  <si>
    <t>equip-30000113</t>
  </si>
  <si>
    <t>dodge:400,hit:1000,critical_percent:350</t>
  </si>
  <si>
    <t>equip-10000114</t>
  </si>
  <si>
    <t>equip-20000114</t>
  </si>
  <si>
    <t>配件_特殊_MP446</t>
  </si>
  <si>
    <t>IMP</t>
  </si>
  <si>
    <t>equip-30000114</t>
  </si>
  <si>
    <t>dodge:300,hit:1000,critical_percent:350</t>
  </si>
  <si>
    <t>equip-10000115</t>
  </si>
  <si>
    <t>equip-20000115</t>
  </si>
  <si>
    <t>人形装备_伪装披风_SV98</t>
  </si>
  <si>
    <t>FSB</t>
  </si>
  <si>
    <t>equip-30000115</t>
  </si>
  <si>
    <t>critical_harm_rate:700,pow:1000</t>
  </si>
  <si>
    <t>equip-10000117</t>
  </si>
  <si>
    <t>equip-20000117</t>
  </si>
  <si>
    <t>配件_特殊_clear</t>
  </si>
  <si>
    <t>DJMAX</t>
  </si>
  <si>
    <t>equip-30000117</t>
  </si>
  <si>
    <t>equip-10000118</t>
  </si>
  <si>
    <t>equip-20000118</t>
  </si>
  <si>
    <t>配件_特殊_fail</t>
  </si>
  <si>
    <t>equip-30000118</t>
  </si>
  <si>
    <t>equip-10000119</t>
  </si>
  <si>
    <t>equip-20000119</t>
  </si>
  <si>
    <t>配件_光学瞄准镜_FAMAS</t>
  </si>
  <si>
    <t>SED</t>
  </si>
  <si>
    <t>equip-30000119</t>
  </si>
  <si>
    <t>critical_percent:1000,hit:1000,pow:1000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</si>
  <si>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</si>
  <si>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</si>
  <si>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</si>
  <si>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</si>
  <si>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</si>
  <si>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</si>
  <si>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</si>
  <si>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</si>
  <si>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equip-10000122</t>
  </si>
  <si>
    <t>equip-20000122</t>
  </si>
  <si>
    <t>配件_特殊_柯尔特左轮</t>
  </si>
  <si>
    <t>equip-30000122</t>
  </si>
  <si>
    <t>pow:500,dodge:300,critical_percent:350</t>
  </si>
  <si>
    <t>equip-10000123</t>
  </si>
  <si>
    <t>equip-20000123</t>
  </si>
  <si>
    <t>配件_特殊_布伦</t>
  </si>
  <si>
    <t>LA</t>
  </si>
  <si>
    <t>equip-30000123</t>
  </si>
  <si>
    <t>hit:1000,pow:700</t>
  </si>
  <si>
    <t>equip-10000124</t>
  </si>
  <si>
    <t>equip-20000124</t>
  </si>
  <si>
    <t>配件_特殊_G3</t>
  </si>
  <si>
    <t>PTR</t>
  </si>
  <si>
    <t>equip-30000124</t>
  </si>
  <si>
    <t>critical_percent:1000,pow:1000</t>
  </si>
  <si>
    <t>equip-10000125</t>
  </si>
  <si>
    <t>equip-20000125</t>
  </si>
  <si>
    <t>配件_特殊_UMP45</t>
  </si>
  <si>
    <t>???</t>
  </si>
  <si>
    <t>equip-30000125</t>
  </si>
  <si>
    <t>dodge:500,critical_percent:400</t>
  </si>
  <si>
    <t>equip-10000126</t>
  </si>
  <si>
    <t>equip-20000126</t>
  </si>
  <si>
    <t>配件_特殊_M4SOPMODII</t>
  </si>
  <si>
    <t>equip-30000126</t>
  </si>
  <si>
    <t>pow:350,hit:400</t>
  </si>
  <si>
    <t>equip-10000127</t>
  </si>
  <si>
    <t>equip-20000127</t>
  </si>
  <si>
    <t>人形装备_特殊_G41</t>
  </si>
  <si>
    <t>MS</t>
  </si>
  <si>
    <t>equip-30000127</t>
  </si>
  <si>
    <t>pow:700,hit:700,dodge:700</t>
  </si>
  <si>
    <t>equip-10000128</t>
  </si>
  <si>
    <t>equip-20000128</t>
  </si>
  <si>
    <t>配件_消音器_司登</t>
  </si>
  <si>
    <t>RSAF</t>
  </si>
  <si>
    <t>equip-30000128</t>
  </si>
  <si>
    <t>equip-10000129</t>
  </si>
  <si>
    <t>equip-20000129</t>
  </si>
  <si>
    <t>配件_特殊_M14</t>
  </si>
  <si>
    <t>SFA</t>
  </si>
  <si>
    <t>equip-30000129</t>
  </si>
  <si>
    <t>equip-10000130</t>
  </si>
  <si>
    <t>equip-20000130</t>
  </si>
  <si>
    <t>配件_光学瞄准镜_G36</t>
  </si>
  <si>
    <t>ZF</t>
  </si>
  <si>
    <t>equip-30000130</t>
  </si>
  <si>
    <t>equip-10000131</t>
  </si>
  <si>
    <t>equip-20000131</t>
  </si>
  <si>
    <t>配件_ACOG瞄准镜_LWMMG</t>
  </si>
  <si>
    <t>TJC</t>
  </si>
  <si>
    <t>equip-30000131</t>
  </si>
  <si>
    <t>hit:1000,pow:1000</t>
  </si>
  <si>
    <t>equip-10000132</t>
  </si>
  <si>
    <t>equip-20000132</t>
  </si>
  <si>
    <t>配件_ACOG瞄准镜_MG4</t>
  </si>
  <si>
    <t>equip-30000132</t>
  </si>
  <si>
    <t>hit:1000,critical_percent:700</t>
  </si>
  <si>
    <t>equip-10000133</t>
  </si>
  <si>
    <t>equip-20000133</t>
  </si>
  <si>
    <t>配件_特殊_斯捷奇金</t>
  </si>
  <si>
    <t>USR</t>
  </si>
  <si>
    <t>equip-30000133</t>
  </si>
  <si>
    <t>dodge:300,critical_percent:350,hit:1000</t>
  </si>
  <si>
    <t>equip-10000134</t>
  </si>
  <si>
    <t>equip-20000134</t>
  </si>
  <si>
    <t>配件_ACOG瞄准镜_乌兹</t>
  </si>
  <si>
    <t>MPL</t>
  </si>
  <si>
    <t>equip-30000134</t>
  </si>
  <si>
    <t>equip-10000135</t>
  </si>
  <si>
    <t>equip-20000135</t>
  </si>
  <si>
    <t>弹匣_高速弹_ASVal</t>
  </si>
  <si>
    <t>TTM</t>
  </si>
  <si>
    <t>equip-30000135</t>
  </si>
  <si>
    <t>pow:750</t>
  </si>
  <si>
    <t>equip-10000136</t>
  </si>
  <si>
    <t>equip-20000136</t>
  </si>
  <si>
    <t>弹匣_高速弹_StG44</t>
  </si>
  <si>
    <t>PAW</t>
  </si>
  <si>
    <t>equip-30000136</t>
  </si>
  <si>
    <t>equip-10000137</t>
  </si>
  <si>
    <t>equip-20000137</t>
  </si>
  <si>
    <t>配件_特殊1_吉尔</t>
  </si>
  <si>
    <t>BTC</t>
  </si>
  <si>
    <t>equip-30000137</t>
  </si>
  <si>
    <t>equip-10000138</t>
  </si>
  <si>
    <t>equip-20000138</t>
  </si>
  <si>
    <t>配件_特殊2_吉尔</t>
  </si>
  <si>
    <t>equip-30000138</t>
  </si>
  <si>
    <t>equip-10000139</t>
  </si>
  <si>
    <t>equip-20000139</t>
  </si>
  <si>
    <t>弹匣_特殊1_吉尔</t>
  </si>
  <si>
    <t>equip-30000139</t>
  </si>
  <si>
    <t>equip-10000140</t>
  </si>
  <si>
    <t>equip-20000140</t>
  </si>
  <si>
    <t>弹匣_特殊2_吉尔</t>
  </si>
  <si>
    <t>equip-30000140</t>
  </si>
  <si>
    <t>equip-10000141</t>
  </si>
  <si>
    <t>equip-20000141</t>
  </si>
  <si>
    <t>人形_特殊1_吉尔</t>
  </si>
  <si>
    <t>equip-30000141</t>
  </si>
  <si>
    <t>equip-10000142</t>
  </si>
  <si>
    <t>equip-20000142</t>
  </si>
  <si>
    <t>配件_特殊3_吉尔</t>
  </si>
  <si>
    <t>equip-30000142</t>
  </si>
  <si>
    <t>equip-10000143</t>
  </si>
  <si>
    <t>equip-20000143</t>
  </si>
  <si>
    <t>弹匣_特殊3_吉尔</t>
  </si>
  <si>
    <t>equip-30000143</t>
  </si>
  <si>
    <t>equip-10000144</t>
  </si>
  <si>
    <t>equip-20000144</t>
  </si>
  <si>
    <t>人形_特殊2_吉尔</t>
  </si>
  <si>
    <t>equip-30000144</t>
  </si>
  <si>
    <t>equip-10000145</t>
  </si>
  <si>
    <t>equip-20000145</t>
  </si>
  <si>
    <t>人形_特殊_达娜</t>
  </si>
  <si>
    <t>Zaibatsu Corp.</t>
  </si>
  <si>
    <t>equip-30000145</t>
  </si>
  <si>
    <t>pow:500,armor:400</t>
  </si>
  <si>
    <t>equip-10000146</t>
  </si>
  <si>
    <t>equip-20000146</t>
  </si>
  <si>
    <t>弹匣_状态弹_多萝西</t>
  </si>
  <si>
    <t>equip-30000146</t>
  </si>
  <si>
    <t>equip-10000147</t>
  </si>
  <si>
    <t>equip-20000147</t>
  </si>
  <si>
    <t>人形_外骨骼_赛伊</t>
  </si>
  <si>
    <t>equip-30000147</t>
  </si>
  <si>
    <t>equip-10000148</t>
  </si>
  <si>
    <t>equip-20000148</t>
  </si>
  <si>
    <t>人形_特殊_史黛拉</t>
  </si>
  <si>
    <t>equip-30000148</t>
  </si>
  <si>
    <t>rate:500,critical_harm_rate:500</t>
  </si>
  <si>
    <t>equip-10000149</t>
  </si>
  <si>
    <t>equip-20000149</t>
  </si>
  <si>
    <t>人形_特殊_阿尔玛</t>
  </si>
  <si>
    <t>equip-30000149</t>
  </si>
  <si>
    <t>pow:500,bullet_number_up:500</t>
  </si>
  <si>
    <t>equip-10000150</t>
  </si>
  <si>
    <t>equip-20000150</t>
  </si>
  <si>
    <t>配件_光学瞄准镜_FG42</t>
  </si>
  <si>
    <t>equip-30000150</t>
  </si>
  <si>
    <t>hit:900,critical_percent:500</t>
  </si>
  <si>
    <t>equip-10000151</t>
  </si>
  <si>
    <t>equip-20000151</t>
  </si>
  <si>
    <t>弹匣_霰弹_鹿弹_KS23</t>
  </si>
  <si>
    <t>FD</t>
  </si>
  <si>
    <t>equip-30000151</t>
  </si>
  <si>
    <t>pow:500,hit:1000,critical_harm_rate:500</t>
  </si>
  <si>
    <t>equip-10000152</t>
  </si>
  <si>
    <t>equip-20000152</t>
  </si>
  <si>
    <t>配件_特殊_SIG510</t>
  </si>
  <si>
    <t>SIG</t>
  </si>
  <si>
    <t>equip-30000152</t>
  </si>
  <si>
    <t>pow:800,hit:1000,critical_percent:1000</t>
  </si>
  <si>
    <t>equip-10000153</t>
  </si>
  <si>
    <t>equip-20000153</t>
  </si>
  <si>
    <t>配件_特殊_BM59</t>
  </si>
  <si>
    <t>BRT</t>
  </si>
  <si>
    <t>equip-30000153</t>
  </si>
  <si>
    <t>hit:450,rate:500,critical_percent:1000</t>
  </si>
  <si>
    <t>equip-10000154</t>
  </si>
  <si>
    <t>equip-20000154</t>
  </si>
  <si>
    <t>配件_消音器_M3</t>
  </si>
  <si>
    <t>OSS</t>
  </si>
  <si>
    <t>equip-30000154</t>
  </si>
  <si>
    <t>pow:1000,dodge:500,critical_percent:400</t>
  </si>
  <si>
    <t>equip-10000155</t>
  </si>
  <si>
    <t>equip-20000155</t>
  </si>
  <si>
    <t>配件_消音器_PPK</t>
  </si>
  <si>
    <t>WTR</t>
  </si>
  <si>
    <t>equip-30000155</t>
  </si>
  <si>
    <t>dodge:400,critical_percent:500</t>
  </si>
  <si>
    <t>equip-10000156</t>
  </si>
  <si>
    <t>equip-20000156</t>
  </si>
  <si>
    <t>配件_ACOG_UMP9</t>
  </si>
  <si>
    <t>equip-30000156</t>
  </si>
  <si>
    <t>pow:450,hit:400</t>
  </si>
  <si>
    <t>equip-10000157</t>
  </si>
  <si>
    <t>equip-20000157</t>
  </si>
  <si>
    <t>配件_其它_MP5</t>
  </si>
  <si>
    <t>equip-30000157</t>
  </si>
  <si>
    <t>equip-10000158</t>
  </si>
  <si>
    <t>equip-20000158</t>
  </si>
  <si>
    <t>配件_其它_汉阳造</t>
  </si>
  <si>
    <t>KXY</t>
  </si>
  <si>
    <t>equip-30000158</t>
  </si>
  <si>
    <t>pow:800,critical_percent:1000</t>
  </si>
  <si>
    <t>equip-10000159</t>
  </si>
  <si>
    <t>equip-20000159</t>
  </si>
  <si>
    <t>配件_人形_hk416</t>
  </si>
  <si>
    <t>HK</t>
  </si>
  <si>
    <t>equip-30000159</t>
  </si>
  <si>
    <t>dodge:700,critical_harm_rate:250</t>
  </si>
  <si>
    <t>equip-10000160</t>
  </si>
  <si>
    <t>equip-20000160</t>
  </si>
  <si>
    <t>配件_光瞄_lee</t>
  </si>
  <si>
    <t>VKS</t>
  </si>
  <si>
    <t>equip-30000160</t>
  </si>
  <si>
    <t>rate:1000,critical_percent:1000</t>
  </si>
  <si>
    <t>equip-10000161</t>
  </si>
  <si>
    <t>equip-20000161</t>
  </si>
  <si>
    <t>配件_光瞄_9597</t>
  </si>
  <si>
    <t>equip-30000161</t>
  </si>
  <si>
    <t>pow:700,critical_percent:1000</t>
  </si>
  <si>
    <t>equip-10000162</t>
  </si>
  <si>
    <t>equip-20000162</t>
  </si>
  <si>
    <t>配件_特殊_RPD</t>
  </si>
  <si>
    <t>GDR</t>
  </si>
  <si>
    <t>equip-30000162</t>
  </si>
  <si>
    <t>bullet_number_up:700,pow:1000</t>
  </si>
  <si>
    <t>equip-10000163</t>
  </si>
  <si>
    <t>equip-20000163</t>
  </si>
  <si>
    <t>配件_上机匣_MAC10</t>
  </si>
  <si>
    <t>LGE</t>
  </si>
  <si>
    <t>equip-30000163</t>
  </si>
  <si>
    <t>dodge:700,critical_percent:750</t>
  </si>
  <si>
    <t>equip-10000164</t>
  </si>
  <si>
    <t>equip-20000164</t>
  </si>
  <si>
    <t>配件_聚合物握把_M9</t>
  </si>
  <si>
    <t>RT</t>
  </si>
  <si>
    <t>equip-30000164</t>
  </si>
  <si>
    <t>dodge:700,critical_percent:350</t>
  </si>
  <si>
    <t>equip-10000165</t>
  </si>
  <si>
    <t>equip-20000165</t>
  </si>
  <si>
    <t>人形装备_其它_Tar21</t>
  </si>
  <si>
    <t>IRI</t>
  </si>
  <si>
    <t>equip-30000165</t>
  </si>
  <si>
    <t>pow:2000,rate:500,dodge:700</t>
  </si>
  <si>
    <t>equip-10000166</t>
  </si>
  <si>
    <t>equip-20000166</t>
  </si>
  <si>
    <t>配件_全息_伯莱塔38</t>
  </si>
  <si>
    <t>DO</t>
  </si>
  <si>
    <t>equip-30000166</t>
  </si>
  <si>
    <t>pow:900,hit:500</t>
  </si>
  <si>
    <t>equip-10000167</t>
  </si>
  <si>
    <t>equip-20000167</t>
  </si>
  <si>
    <t>配件_特殊_C96</t>
  </si>
  <si>
    <t>equip-30000167</t>
  </si>
  <si>
    <t>dodge:1000,critical_percent:700</t>
  </si>
  <si>
    <t>equip-10000168</t>
  </si>
  <si>
    <t>equip-20000168</t>
  </si>
  <si>
    <t>配件_特殊_樱花</t>
  </si>
  <si>
    <t>IJ</t>
  </si>
  <si>
    <t>equip-30000168</t>
  </si>
  <si>
    <t>equip-10000169</t>
  </si>
  <si>
    <t>equip-20000169</t>
  </si>
  <si>
    <t>配件_导轨_RFB</t>
  </si>
  <si>
    <t>KTC</t>
  </si>
  <si>
    <t>equip-30000169</t>
  </si>
  <si>
    <t>critical_percent:1000,critical_harm_rate:800</t>
  </si>
  <si>
    <t>equip-10000170</t>
  </si>
  <si>
    <t>equip-20000170</t>
  </si>
  <si>
    <t>弹匣_子弹_NTW20</t>
  </si>
  <si>
    <t>DD</t>
  </si>
  <si>
    <t>equip-30000170</t>
  </si>
  <si>
    <t>armor_piercing:500,pow:1000</t>
  </si>
  <si>
    <t>equip-10000171</t>
  </si>
  <si>
    <t>equip-20000171</t>
  </si>
  <si>
    <t>人形装备_呆毛_斯捷奇金</t>
  </si>
  <si>
    <t>WTF</t>
  </si>
  <si>
    <t>equip-30000171</t>
  </si>
  <si>
    <t>equip-10000172</t>
  </si>
  <si>
    <t>equip-20000172</t>
  </si>
  <si>
    <t>配件_光瞄_M21</t>
  </si>
  <si>
    <t>Redfield</t>
  </si>
  <si>
    <t>equip-30000172</t>
  </si>
  <si>
    <t>critical_percent:1000,pow:800</t>
  </si>
  <si>
    <t>equip-10000173</t>
  </si>
  <si>
    <t>equip-20000173</t>
  </si>
  <si>
    <t>弹匣_子弹_ots12</t>
  </si>
  <si>
    <t>TCP</t>
  </si>
  <si>
    <t>equip-30000173</t>
  </si>
  <si>
    <t>pow:700,critical_harm_rate:500</t>
  </si>
  <si>
    <t>equip-10000174</t>
  </si>
  <si>
    <t>equip-20000174</t>
  </si>
  <si>
    <t>弹匣_高爆弹_AA12</t>
  </si>
  <si>
    <t>CS</t>
  </si>
  <si>
    <t>equip-30000174</t>
  </si>
  <si>
    <t>hit:700,pow:900</t>
  </si>
  <si>
    <t>equip-10000175</t>
  </si>
  <si>
    <t>equip-20000175</t>
  </si>
  <si>
    <t>配件_消音_MDR</t>
  </si>
  <si>
    <t>equip-30000175</t>
  </si>
  <si>
    <t>dodge:300,critical_percent:1000,pow:1000</t>
  </si>
  <si>
    <t>equip-10000176</t>
  </si>
  <si>
    <t>equip-20000176</t>
  </si>
  <si>
    <t>弹匣_子弹_Gsh18</t>
  </si>
  <si>
    <t>equip-30000176</t>
  </si>
  <si>
    <t>pow:500,rate:500,armor_piercing:750</t>
  </si>
  <si>
    <t>equip-10000177</t>
  </si>
  <si>
    <t>equip-20000177</t>
  </si>
  <si>
    <t>配件_特殊_M500</t>
  </si>
  <si>
    <t>MGP</t>
  </si>
  <si>
    <t>equip-30000177</t>
  </si>
  <si>
    <t>hit:1000,critical_harm_rate:650</t>
  </si>
  <si>
    <t>equip-10000178</t>
  </si>
  <si>
    <t>equip-20000178</t>
  </si>
  <si>
    <t>弹匣_子弹_KSVK</t>
  </si>
  <si>
    <t>equip-30000178</t>
  </si>
  <si>
    <t>equip-10000179</t>
  </si>
  <si>
    <t>equip-20000179</t>
  </si>
  <si>
    <t>配件_特殊_M950A</t>
  </si>
  <si>
    <t>equip-30000179</t>
  </si>
  <si>
    <t>equip-10000180</t>
  </si>
  <si>
    <t>equip-20000180</t>
  </si>
  <si>
    <t>配件_枪托_马卡洛夫</t>
  </si>
  <si>
    <t>FAB</t>
  </si>
  <si>
    <t>equip-30000180</t>
  </si>
  <si>
    <t>dodge:1000,critical_percent:350</t>
  </si>
  <si>
    <t>equip-10000181</t>
  </si>
  <si>
    <t>equip-20000181</t>
  </si>
  <si>
    <t>弹闸_子弹_蝎式</t>
  </si>
  <si>
    <t>G2R</t>
  </si>
  <si>
    <t>equip-30000181</t>
  </si>
  <si>
    <t>equip-10000182</t>
  </si>
  <si>
    <t>equip-20000182</t>
  </si>
  <si>
    <t>弹闸_子弹_79式</t>
  </si>
  <si>
    <t>equip-30000182</t>
  </si>
  <si>
    <t>equip-10000183</t>
  </si>
  <si>
    <t>equip-20000183</t>
  </si>
  <si>
    <t>人形_特殊_莉可</t>
  </si>
  <si>
    <t>equip-30000183</t>
  </si>
  <si>
    <t>equip-10000184</t>
  </si>
  <si>
    <t>equip-20000184</t>
  </si>
  <si>
    <t>人形_特殊_安洁莉卡</t>
  </si>
  <si>
    <t>equip-30000184</t>
  </si>
  <si>
    <t>dodge:700,pow:700</t>
  </si>
  <si>
    <t>equip-10000185</t>
  </si>
  <si>
    <t>equip-20000185</t>
  </si>
  <si>
    <t>配件_特殊_库拉耶丝</t>
  </si>
  <si>
    <t>equip-30000185</t>
  </si>
  <si>
    <t>critical_percent:1000,hit:700,pow:1000</t>
  </si>
  <si>
    <t>equip-10000186</t>
  </si>
  <si>
    <t>equip-20000186</t>
  </si>
  <si>
    <t>配件_特殊_崔耶拉</t>
  </si>
  <si>
    <t>equip-30000186</t>
  </si>
  <si>
    <t>pow:500,critical_harm_rate:500,critical_percent:800</t>
  </si>
  <si>
    <t>equip-10000187</t>
  </si>
  <si>
    <t>equip-20000187</t>
  </si>
  <si>
    <t>配件_特殊_海莉艾塔</t>
  </si>
  <si>
    <t>equip-30000187</t>
  </si>
  <si>
    <t>dodge:300,critical_percent:700,hit:700</t>
  </si>
  <si>
    <t>equip-10000188</t>
  </si>
  <si>
    <t>equip-20000188</t>
  </si>
  <si>
    <t>配件_陨石_库拉耶丝</t>
  </si>
  <si>
    <t>equip-30000188</t>
  </si>
  <si>
    <t>equip-10000189</t>
  </si>
  <si>
    <t>equip-20000189</t>
  </si>
  <si>
    <t>配件_手表_库拉耶丝</t>
  </si>
  <si>
    <t>equip-30000189</t>
  </si>
  <si>
    <t>equip-10000190</t>
  </si>
  <si>
    <t>equip-20000190</t>
  </si>
  <si>
    <t>人形装备_Gbox_G11</t>
  </si>
  <si>
    <t>404后勤部</t>
  </si>
  <si>
    <t>equip-30000190</t>
  </si>
  <si>
    <t>equip-10000191</t>
  </si>
  <si>
    <t>equip-20000191</t>
  </si>
  <si>
    <t>配件_枪托_Super SASS</t>
  </si>
  <si>
    <t>equip-30000191</t>
  </si>
  <si>
    <t>equip-10000192</t>
  </si>
  <si>
    <t>equip-20000192</t>
  </si>
  <si>
    <t>人形装备_特殊_RO635</t>
  </si>
  <si>
    <t>equip-30000192</t>
  </si>
  <si>
    <t>equip-10000193</t>
  </si>
  <si>
    <t>equip-20000193</t>
  </si>
  <si>
    <t>人形装备_插板_97霰</t>
  </si>
  <si>
    <t>equip-30000193</t>
  </si>
  <si>
    <t>equip-10000194</t>
  </si>
  <si>
    <t>equip-20000194</t>
  </si>
  <si>
    <t>配件_特殊_谢尔久科夫</t>
  </si>
  <si>
    <t>equip-30000194</t>
  </si>
  <si>
    <t>equip-10000195</t>
  </si>
  <si>
    <t>equip-20000195</t>
  </si>
  <si>
    <t>弹匣_子弹_阿斯特拉</t>
  </si>
  <si>
    <t>equip-30000195</t>
  </si>
  <si>
    <t>equip-10000196</t>
  </si>
  <si>
    <t>equip-20000196</t>
  </si>
  <si>
    <t>配件_特殊_幽灵</t>
  </si>
  <si>
    <t>equip-30000196</t>
  </si>
  <si>
    <t>dodge:1000,pow:1000</t>
  </si>
  <si>
    <t>equip-10000197</t>
  </si>
  <si>
    <t>equip-20000197</t>
  </si>
  <si>
    <t>人形装备_特殊_索米</t>
  </si>
  <si>
    <t>equip-30000197</t>
  </si>
  <si>
    <t>equip-10000198</t>
  </si>
  <si>
    <t>equip-20000198</t>
  </si>
  <si>
    <t>配件_枪托_NZ75</t>
  </si>
  <si>
    <t>equip-30000198</t>
  </si>
  <si>
    <t>dodge:1000,critical_percent:500</t>
  </si>
  <si>
    <t>equip-10000199</t>
  </si>
  <si>
    <t>equip-20000199</t>
  </si>
  <si>
    <t>配件_消音器_特工Vector</t>
  </si>
  <si>
    <t>SC</t>
  </si>
  <si>
    <t>equip-30000199</t>
  </si>
  <si>
    <t>equip-10000200</t>
  </si>
  <si>
    <t>equip-20000200</t>
  </si>
  <si>
    <t>弹匣_状态弹_空尖弹_特工Vector</t>
  </si>
  <si>
    <t>SHD</t>
  </si>
  <si>
    <t>equip-30000200</t>
  </si>
  <si>
    <t>equip-10000201</t>
  </si>
  <si>
    <t>equip-20000201</t>
  </si>
  <si>
    <t>人形装备_外骨骼_特工Vector</t>
  </si>
  <si>
    <t>equip-30000201</t>
  </si>
  <si>
    <t>equip-10000202</t>
  </si>
  <si>
    <t>equip-20000202</t>
  </si>
  <si>
    <t>配件_光学瞄准镜_特工416</t>
  </si>
  <si>
    <t>TC</t>
  </si>
  <si>
    <t>equip-30000202</t>
  </si>
  <si>
    <t>equip-10000203</t>
  </si>
  <si>
    <t>equip-20000203</t>
  </si>
  <si>
    <t>弹匣_高速弹_特工416</t>
  </si>
  <si>
    <t>equip-30000203</t>
  </si>
  <si>
    <t>equip-10000204</t>
  </si>
  <si>
    <t>equip-20000204</t>
  </si>
  <si>
    <t>人形装备_外骨骼_X_特工416</t>
  </si>
  <si>
    <t>equip-30000204</t>
  </si>
  <si>
    <t>equip-10000205</t>
  </si>
  <si>
    <t>equip-20000205</t>
  </si>
  <si>
    <t>人形装备_护木_加利尔</t>
  </si>
  <si>
    <t>MI</t>
  </si>
  <si>
    <t>equip-30000205</t>
  </si>
  <si>
    <t>equip-10000206</t>
  </si>
  <si>
    <t>equip-20000206</t>
  </si>
  <si>
    <t>弹匣_霰弹_鹿弹_M1897</t>
  </si>
  <si>
    <t>equip-30000206</t>
  </si>
  <si>
    <t>pow:500,hit:1000</t>
  </si>
  <si>
    <t>equip-10000207</t>
  </si>
  <si>
    <t>equip-20000207</t>
  </si>
  <si>
    <t>配件_特殊_PP19</t>
  </si>
  <si>
    <t>ZNT</t>
  </si>
  <si>
    <t>equip-30000207</t>
  </si>
  <si>
    <t>equip-10000208</t>
  </si>
  <si>
    <t>equip-20000208</t>
  </si>
  <si>
    <t>配件_光瞄_Ots-44</t>
  </si>
  <si>
    <t>equip-30000208</t>
  </si>
  <si>
    <t>critical_percent:1000,critical_harm_rate:1000</t>
  </si>
  <si>
    <t>equip-10000209</t>
  </si>
  <si>
    <t>equip-20000209</t>
  </si>
  <si>
    <t>配件_特殊_63式</t>
  </si>
  <si>
    <t>equip-30000209</t>
  </si>
  <si>
    <t>equip-10000210</t>
  </si>
  <si>
    <t>equip-20000210</t>
  </si>
  <si>
    <t>配件_特殊_SCW</t>
  </si>
  <si>
    <t>equip-30000210</t>
  </si>
  <si>
    <t>dodge:900,critical_percent:1000</t>
  </si>
  <si>
    <t>equip-10000211</t>
  </si>
  <si>
    <t>equip-20000211</t>
  </si>
  <si>
    <t>弹匣_子弹_四式</t>
  </si>
  <si>
    <t>equip-30000211</t>
  </si>
  <si>
    <t>equip-10000212</t>
  </si>
  <si>
    <t>equip-20000212</t>
  </si>
  <si>
    <t>弹匣_子弹_56式半</t>
  </si>
  <si>
    <t>equip-30000212</t>
  </si>
  <si>
    <t>equip-10000213</t>
  </si>
  <si>
    <t>equip-20000213</t>
  </si>
  <si>
    <t>人形装备_行动包_维尔德</t>
  </si>
  <si>
    <t>equip-30000213</t>
  </si>
  <si>
    <t>equip-10000214</t>
  </si>
  <si>
    <t>equip-20000214</t>
  </si>
  <si>
    <t>人形装备_求生刀_F1</t>
  </si>
  <si>
    <t>equip-30000214</t>
  </si>
  <si>
    <t>dodge:450,pow:1000</t>
  </si>
  <si>
    <t>equip-10000215</t>
  </si>
  <si>
    <t>equip-20000215</t>
  </si>
  <si>
    <t>弹匣_子弹_80式</t>
  </si>
  <si>
    <t>equip-30000215</t>
  </si>
  <si>
    <t>equip-10000216</t>
  </si>
  <si>
    <t>equip-20000216</t>
  </si>
  <si>
    <t>弹匣_独头弹_防卫者</t>
  </si>
  <si>
    <t>equip-30000216</t>
  </si>
  <si>
    <t>critical_percent:1000,pow:900</t>
  </si>
  <si>
    <t>equip-10000217</t>
  </si>
  <si>
    <t>equip-20000217</t>
  </si>
  <si>
    <t>配件_光瞄_WA2000</t>
  </si>
  <si>
    <t>SB</t>
  </si>
  <si>
    <t>equip-30000217</t>
  </si>
  <si>
    <t>equip-10000218</t>
  </si>
  <si>
    <t>equip-20000218</t>
  </si>
  <si>
    <t>人形装备_特殊_64式</t>
  </si>
  <si>
    <t>94,20094</t>
  </si>
  <si>
    <t>equip-30000218</t>
  </si>
  <si>
    <t>dodge:500</t>
  </si>
  <si>
    <t>equip-10000219</t>
  </si>
  <si>
    <t>equip-20000219</t>
  </si>
  <si>
    <t>配件_特殊_ppsh41</t>
  </si>
  <si>
    <t>equip-30000219</t>
  </si>
  <si>
    <t>equip-10000220</t>
  </si>
  <si>
    <t>equip-20000220</t>
  </si>
  <si>
    <t>配件_特殊_1919</t>
  </si>
  <si>
    <t>80</t>
  </si>
  <si>
    <t>equip-30000220</t>
  </si>
  <si>
    <t>hit:1000,critical_harm_rate:1000</t>
  </si>
  <si>
    <t>equip-10000221</t>
  </si>
  <si>
    <t>equip-20000221</t>
  </si>
  <si>
    <t>弹闸_子弹_汉阳造</t>
  </si>
  <si>
    <t>95,20095</t>
  </si>
  <si>
    <t>equip-30000221</t>
  </si>
  <si>
    <t>armor_piercing:500,pow:700</t>
  </si>
  <si>
    <t>equip-10000222</t>
  </si>
  <si>
    <t>equip-20000222</t>
  </si>
  <si>
    <t>配件_备用瞄具_N</t>
  </si>
  <si>
    <t>equip-30000222</t>
  </si>
  <si>
    <t>hit:600,critical_percent:900</t>
  </si>
  <si>
    <t>equip-10000223</t>
  </si>
  <si>
    <t>equip-20000223</t>
  </si>
  <si>
    <t>equip-30000223</t>
  </si>
  <si>
    <t>hit:700,critical_percent:700</t>
  </si>
  <si>
    <t>equip-10000224</t>
  </si>
  <si>
    <t>equip-20000224</t>
  </si>
  <si>
    <t>13,15</t>
  </si>
  <si>
    <t>equip-30000224</t>
  </si>
  <si>
    <t>hit:700,critical_percent:1000</t>
  </si>
  <si>
    <t>equip-10000225</t>
  </si>
  <si>
    <t>equip-20000225</t>
  </si>
  <si>
    <t>弹匣_信号弹_N</t>
  </si>
  <si>
    <t>equip-30000225</t>
  </si>
  <si>
    <t>equip-10000226</t>
  </si>
  <si>
    <t>equip-20000226</t>
  </si>
  <si>
    <t>50,60</t>
  </si>
  <si>
    <t>弹匣_狙击弹_N</t>
  </si>
  <si>
    <t>equip-30000226</t>
  </si>
  <si>
    <t>pow:700,armor_piercing:500</t>
  </si>
  <si>
    <t>equip-10000227</t>
  </si>
  <si>
    <t>equip-20000227</t>
  </si>
  <si>
    <t>70,80</t>
  </si>
  <si>
    <t>equip-30000227</t>
  </si>
  <si>
    <t>pow:300,armor_piercing:500</t>
  </si>
  <si>
    <t>equip-10000228</t>
  </si>
  <si>
    <t>equip-20000228</t>
  </si>
  <si>
    <t>-5,-5</t>
  </si>
  <si>
    <t>190,200</t>
  </si>
  <si>
    <t>弹匣_脱壳穿甲弹_N</t>
  </si>
  <si>
    <t>equip-30000228</t>
  </si>
  <si>
    <t>armor_piercing:1000</t>
  </si>
  <si>
    <t>equip-10000229</t>
  </si>
  <si>
    <t>equip-20000229</t>
  </si>
  <si>
    <t>240,250</t>
  </si>
  <si>
    <t>equip-30000229</t>
  </si>
  <si>
    <t>equip-10000230</t>
  </si>
  <si>
    <t>equip-20000230</t>
  </si>
  <si>
    <t>弹匣_霰弹_鸟弹_N</t>
  </si>
  <si>
    <t>equip-30000230</t>
  </si>
  <si>
    <t>rate:500</t>
  </si>
  <si>
    <t>equip-10000231</t>
  </si>
  <si>
    <t>equip-20000231</t>
  </si>
  <si>
    <t>equip-30000231</t>
  </si>
  <si>
    <t>equip-10000232</t>
  </si>
  <si>
    <t>equip-20000232</t>
  </si>
  <si>
    <t>-50,-50</t>
  </si>
  <si>
    <t>人形装备_运算芯片_N</t>
  </si>
  <si>
    <t>equip-30000232</t>
  </si>
  <si>
    <t>pow:700,rate:600</t>
  </si>
  <si>
    <t>equip-10000233</t>
  </si>
  <si>
    <t>equip-20000233</t>
  </si>
  <si>
    <t>equip-30000233</t>
  </si>
  <si>
    <t>equip-10000234</t>
  </si>
  <si>
    <t>equip-20000234</t>
  </si>
  <si>
    <t>equip-30000234</t>
  </si>
  <si>
    <t>pow:500,rate:600</t>
  </si>
  <si>
    <t>equip-10000235</t>
  </si>
  <si>
    <t>equip-20000235</t>
  </si>
  <si>
    <t>弹匣_霰弹_闪光弹_N</t>
  </si>
  <si>
    <t>equip-30000235</t>
  </si>
  <si>
    <t>equip-10000236</t>
  </si>
  <si>
    <t>equip-20000236</t>
  </si>
  <si>
    <t>人形装备_外骨骼_THOMPSON</t>
  </si>
  <si>
    <t>AO</t>
  </si>
  <si>
    <t>16</t>
  </si>
  <si>
    <t>equip-30000236</t>
  </si>
  <si>
    <t>dodge:600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</si>
  <si>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</si>
  <si>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</si>
  <si>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</si>
  <si>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</si>
  <si>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</si>
  <si>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</si>
  <si>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</si>
  <si>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</si>
  <si>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</si>
  <si>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</si>
  <si>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</si>
  <si>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</si>
  <si>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RMB3</t>
  </si>
  <si>
    <t>RMB4</t>
  </si>
  <si>
    <t>RMB5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</si>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</sst>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8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2" fillId="4" borderId="13" xfId="0" applyFont="1" applyFill="1" applyBorder="1"/>
    <xf numFmtId="0" fontId="2" fillId="3" borderId="1" xfId="0" applyFont="1" applyFill="1" applyBorder="1" applyAlignment="1">
      <alignment horizontal="center"/>
    </xf>
    <xf numFmtId="0" fontId="4" fillId="4" borderId="0" xfId="0" applyFont="1" applyFill="1"/>
    <xf numFmtId="0" fontId="4" fillId="4" borderId="1" xfId="0" applyFont="1" applyFill="1" applyBorder="1"/>
    <xf numFmtId="0" fontId="5" fillId="4" borderId="0" xfId="0" applyFont="1" applyFill="1"/>
    <xf numFmtId="0" fontId="4" fillId="4" borderId="0" xfId="0" applyFont="1" applyFill="1" applyBorder="1"/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4" fillId="4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4" fillId="4" borderId="12" xfId="0" applyFont="1" applyFill="1" applyBorder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2" xfId="0" applyFont="1" applyFill="1" applyBorder="1" applyAlignment="1"/>
    <xf numFmtId="0" fontId="2" fillId="4" borderId="4" xfId="0" applyFont="1" applyFill="1" applyBorder="1" applyAlignment="1"/>
    <xf numFmtId="0" fontId="2" fillId="4" borderId="2" xfId="0" applyFont="1" applyFill="1" applyBorder="1"/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6</xdr:row>
          <xdr:rowOff>66675</xdr:rowOff>
        </xdr:from>
        <xdr:to>
          <xdr:col>8</xdr:col>
          <xdr:colOff>533400</xdr:colOff>
          <xdr:row>9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D6F2C4-9B8A-4C3A-B87D-3E238C3835AA}" name="equip" displayName="equip" ref="A1:AX235" totalsRowShown="0">
  <autoFilter ref="A1:AX235" xr:uid="{0B5BF93C-EE7F-4C31-800B-936B83FF8FFB}">
    <filterColumn colId="34">
      <filters blank="1">
        <filter val="AO"/>
        <filter val="IOP"/>
        <filter val="TJC"/>
      </filters>
    </filterColumn>
    <filterColumn colId="49">
      <filters>
        <filter val="0"/>
      </filters>
    </filterColumn>
  </autoFilter>
  <tableColumns count="50">
    <tableColumn id="50" xr3:uid="{EAA2868F-D775-476A-A3C3-C38796F4F7E4}" name="id"/>
    <tableColumn id="2" xr3:uid="{572426BA-61AF-4A48-A262-C961FFDA97B0}" name="name"/>
    <tableColumn id="3" xr3:uid="{45862632-4B1C-47D9-9073-74886D60CD29}" name="description"/>
    <tableColumn id="33" xr3:uid="{F6FD7E22-89F2-47AC-A64E-E0FB34321878}" name="code"/>
    <tableColumn id="4" xr3:uid="{C1FE1816-B26D-4E82-9645-7740E56DA5B9}" name="rank"/>
    <tableColumn id="5" xr3:uid="{385951F2-3693-4C73-AF34-7AA9BDF172F4}" name="category"/>
    <tableColumn id="6" xr3:uid="{4D7656EC-3178-47B3-A0E1-D13CF1FE5E06}" name="type"/>
    <tableColumn id="7" xr3:uid="{291382BF-B6E1-49D8-9C1F-2B8CFE73409A}" name="pow"/>
    <tableColumn id="8" xr3:uid="{6ED172A0-7C94-451A-B665-7BBEAFF3445B}" name="hit"/>
    <tableColumn id="9" xr3:uid="{30ECE2C0-F44D-49C0-9420-47F083CCBA0B}" name="dodge"/>
    <tableColumn id="10" xr3:uid="{F3BDA014-B571-4738-8E32-8C81AD158446}" name="speed"/>
    <tableColumn id="11" xr3:uid="{DE4D7469-4219-42A1-8842-10AFE5CCE11D}" name="rate"/>
    <tableColumn id="12" xr3:uid="{155F78B0-87B1-483E-8F4E-6C514828DBDE}" name="critical_harm_rate"/>
    <tableColumn id="13" xr3:uid="{7BEFD140-6DAC-40D6-8F38-F82F3DDDACC9}" name="critical_percent"/>
    <tableColumn id="14" xr3:uid="{BBB93E9A-9E82-4D1F-9DEA-135D23C486D8}" name="armor_piercing"/>
    <tableColumn id="15" xr3:uid="{E4A4815E-6B49-420C-ABBA-7D2B4A59B94D}" name="armor"/>
    <tableColumn id="16" xr3:uid="{0BC509A2-70C0-4F9A-A436-53AC663F0A1D}" name="shield"/>
    <tableColumn id="17" xr3:uid="{7CB6633F-B5B1-4B32-B36B-0584A3F4B20F}" name="damage_amplify"/>
    <tableColumn id="18" xr3:uid="{511181FE-668C-45CF-B44D-DF634B683B08}" name="damage_reduction"/>
    <tableColumn id="19" xr3:uid="{D8442806-1058-4A4E-8E31-A81B4D5B1D53}" name="night_view_percent"/>
    <tableColumn id="20" xr3:uid="{EB50252B-0C2C-4446-9790-E5302F6B63C5}" name="bullet_number_up"/>
    <tableColumn id="21" xr3:uid="{A9464247-84A3-4337-8571-4E29916D88CB}" name="skill_effect_per"/>
    <tableColumn id="22" xr3:uid="{BEF52888-1182-4310-9857-D566886CE5FC}" name="skill_effect"/>
    <tableColumn id="23" xr3:uid="{F1A58BF2-2761-4AEC-8D6F-4599C61B9C0F}" name="slow_down_percent"/>
    <tableColumn id="24" xr3:uid="{8DBC3D9F-8BEB-4957-B840-577A922D3D47}" name="slow_down_rate"/>
    <tableColumn id="25" xr3:uid="{B2849F1C-6CDA-4305-920C-5205700E7766}" name="slow_down_time"/>
    <tableColumn id="26" xr3:uid="{CAC159A7-A8B2-4679-8BC5-886A59237F75}" name="dot_percent"/>
    <tableColumn id="27" xr3:uid="{0055121F-B57F-45D5-8CD6-025706C3561E}" name="dot_damage"/>
    <tableColumn id="28" xr3:uid="{9358C068-BC85-4416-9312-DA09D887689E}" name="dot_time"/>
    <tableColumn id="29" xr3:uid="{25005A2F-58CC-47F4-A669-BA0AA9AC3F15}" name="retire_mp"/>
    <tableColumn id="30" xr3:uid="{14F0BECE-E04F-43CF-98D1-B9722AF7D331}" name="retire_ammo"/>
    <tableColumn id="31" xr3:uid="{33437169-2AAC-4D6A-BCAC-0B83B82DC2C5}" name="retire_mre"/>
    <tableColumn id="32" xr3:uid="{F5E07077-F800-4A94-882B-98DA06812F9B}" name="retire_part"/>
    <tableColumn id="34" xr3:uid="{EC58B3D3-C759-41CB-AA32-BBD860A3392A}" name="develop_duration"/>
    <tableColumn id="35" xr3:uid="{E94FCBB4-2119-4C9F-A1D4-471B24830F72}" name="company"/>
    <tableColumn id="36" xr3:uid="{AB32A183-9EFC-4E39-9581-EC65C6B9489E}" name="skill_level_up"/>
    <tableColumn id="37" xr3:uid="{17CDA62B-E109-4602-8033-251344B509D7}" name="fit_guns"/>
    <tableColumn id="38" xr3:uid="{1A561F42-E13E-45FF-A483-A8806B9D32D2}" name="equip_introduction"/>
    <tableColumn id="39" xr3:uid="{7E532B11-4D95-496A-A0A3-769716575F50}" name="powerup_mp"/>
    <tableColumn id="40" xr3:uid="{F9AC8CEA-5FB2-44D5-B2F3-921E417AA7A5}" name="powerup_ammo"/>
    <tableColumn id="41" xr3:uid="{11F0CFD9-90A2-4ECE-B350-023B401EFEB3}" name="powerup_mre"/>
    <tableColumn id="42" xr3:uid="{6E92D42C-3A4F-4D4D-9DC6-934205B6F32D}" name="powerup_part"/>
    <tableColumn id="43" xr3:uid="{F1D07B8B-7611-4462-A3C2-CD4E2C63E49F}" name="exclusive_rate"/>
    <tableColumn id="44" xr3:uid="{4B0777DB-B66F-4553-B188-0A7F39B9A3A1}" name="bonus_type"/>
    <tableColumn id="45" xr3:uid="{5B1509F7-B5E2-4830-A001-94DC6A7CE87D}" name="skill"/>
    <tableColumn id="46" xr3:uid="{DA9D2CC1-3245-4D5A-A7F0-C4BB4028FA2D}" name="passive_skill"/>
    <tableColumn id="47" xr3:uid="{5587B53C-A45F-4339-B07A-53F40A2411A7}" name="max_level"/>
    <tableColumn id="48" xr3:uid="{B99A9F45-35CA-4582-A92D-FBA54471FEAF}" name="auto_select_id"/>
    <tableColumn id="49" xr3:uid="{F2481172-EAE4-4183-BB62-8DE84F44640B}" name="equip_group_id"/>
    <tableColumn id="51" xr3:uid="{5FB5F80D-427B-405D-A4C8-E51E9FD7766E}" name="Column1" dataDxfId="0">
      <calculatedColumnFormula>COUNTIF('Equip Data'!A:A,A2)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Y53"/>
  <sheetViews>
    <sheetView tabSelected="1" zoomScaleNormal="100" workbookViewId="0"/>
  </sheetViews>
  <sheetFormatPr defaultRowHeight="15" x14ac:dyDescent="0.25"/>
  <cols>
    <col min="1" max="1" width="9.42578125" style="60" customWidth="1"/>
    <col min="2" max="2" width="11.42578125" style="60" customWidth="1"/>
    <col min="3" max="3" width="8.7109375" style="60" customWidth="1"/>
    <col min="4" max="4" width="13.85546875" style="60" bestFit="1" customWidth="1"/>
    <col min="5" max="5" width="10.140625" style="60" customWidth="1"/>
    <col min="6" max="6" width="10.28515625" style="60" customWidth="1"/>
    <col min="7" max="11" width="9.140625" style="60"/>
    <col min="12" max="12" width="10.85546875" style="60" customWidth="1"/>
    <col min="13" max="16384" width="9.140625" style="60"/>
  </cols>
  <sheetData>
    <row r="1" spans="1:5" ht="26.25" x14ac:dyDescent="0.4">
      <c r="A1" s="105" t="s">
        <v>895</v>
      </c>
    </row>
    <row r="2" spans="1:5" x14ac:dyDescent="0.25">
      <c r="A2" s="60" t="s">
        <v>1035</v>
      </c>
    </row>
    <row r="3" spans="1:5" x14ac:dyDescent="0.25">
      <c r="A3" s="60" t="s">
        <v>1036</v>
      </c>
    </row>
    <row r="4" spans="1:5" x14ac:dyDescent="0.25">
      <c r="A4" s="60" t="s">
        <v>1037</v>
      </c>
    </row>
    <row r="5" spans="1:5" x14ac:dyDescent="0.25">
      <c r="A5" s="60" t="s">
        <v>896</v>
      </c>
    </row>
    <row r="7" spans="1:5" x14ac:dyDescent="0.25">
      <c r="A7" s="104" t="s">
        <v>894</v>
      </c>
      <c r="B7" s="119">
        <v>562858</v>
      </c>
      <c r="D7" s="104" t="s">
        <v>922</v>
      </c>
      <c r="E7" s="119">
        <v>363053</v>
      </c>
    </row>
    <row r="8" spans="1:5" x14ac:dyDescent="0.25">
      <c r="A8" s="123" t="s">
        <v>1040</v>
      </c>
      <c r="B8" s="47" t="s">
        <v>1041</v>
      </c>
      <c r="D8" s="123" t="s">
        <v>1024</v>
      </c>
      <c r="E8" s="47">
        <v>260000</v>
      </c>
    </row>
    <row r="9" spans="1:5" x14ac:dyDescent="0.25">
      <c r="A9" s="123" t="s">
        <v>1023</v>
      </c>
      <c r="B9" s="47" t="s">
        <v>1038</v>
      </c>
      <c r="D9" s="123" t="s">
        <v>1025</v>
      </c>
      <c r="E9" s="47" t="b">
        <v>0</v>
      </c>
    </row>
    <row r="10" spans="1:5" x14ac:dyDescent="0.25">
      <c r="A10" s="123" t="s">
        <v>907</v>
      </c>
      <c r="B10" s="47">
        <v>8</v>
      </c>
      <c r="D10" s="123" t="s">
        <v>1026</v>
      </c>
      <c r="E10" s="47" t="b">
        <v>0</v>
      </c>
    </row>
    <row r="12" spans="1:5" x14ac:dyDescent="0.25">
      <c r="A12" s="106" t="s">
        <v>1042</v>
      </c>
      <c r="B12" s="107"/>
    </row>
    <row r="13" spans="1:5" x14ac:dyDescent="0.25">
      <c r="A13" s="109" t="s">
        <v>903</v>
      </c>
      <c r="B13" s="108" t="str">
        <f ca="1">LEFT(CELL("filename",$A$1),FIND("[",CELL("filename",$A$1))-1)&amp;"Preset\gun_with_user_info.json"</f>
        <v>C:\GFLBattleSim\Preset\gun_with_user_info.json</v>
      </c>
    </row>
    <row r="14" spans="1:5" x14ac:dyDescent="0.25">
      <c r="A14" s="109" t="s">
        <v>904</v>
      </c>
      <c r="B14" s="108" t="str">
        <f ca="1">LEFT(CELL("filename",$A$1),FIND("[",CELL("filename",$A$1))-1)&amp;"Preset\equip_with_user_info.json"</f>
        <v>C:\GFLBattleSim\Preset\equip_with_user_info.json</v>
      </c>
    </row>
    <row r="15" spans="1:5" x14ac:dyDescent="0.25">
      <c r="A15" s="109" t="s">
        <v>1078</v>
      </c>
      <c r="B15" s="108" t="str">
        <f ca="1">LEFT(CELL("filename",$A$1),FIND("[",CELL("filename",$A$1))-1)&amp;"Preset\squad_with_user_info.json"</f>
        <v>C:\GFLBattleSim\Preset\squad_with_user_info.json</v>
      </c>
    </row>
    <row r="16" spans="1:5" x14ac:dyDescent="0.25">
      <c r="A16" s="109" t="s">
        <v>1079</v>
      </c>
      <c r="B16" s="108" t="str">
        <f ca="1">LEFT(CELL("filename",$A$1),FIND("[",CELL("filename",$A$1))-1)&amp;"Preset\chip_with_user_info.json"</f>
        <v>C:\GFLBattleSim\Preset\chip_with_user_info.json</v>
      </c>
    </row>
    <row r="17" spans="1:25" x14ac:dyDescent="0.25">
      <c r="A17" s="60" t="s">
        <v>905</v>
      </c>
      <c r="B17" s="108" t="str">
        <f ca="1">LEFT(CELL("filename",$A$1),FIND("[",CELL("filename",$A$1))-1)&amp;"Preset\fairy_with_user_info.json"</f>
        <v>C:\GFLBattleSim\Preset\fairy_with_user_info.json</v>
      </c>
    </row>
    <row r="18" spans="1:25" x14ac:dyDescent="0.25">
      <c r="A18" s="60" t="s">
        <v>908</v>
      </c>
      <c r="B18" s="108" t="str">
        <f ca="1">LEFT(CELL("filename",$A$1),FIND("[",CELL("filename",$A$1))-1)&amp;"Preset\"&amp;IF(DayNight="Day","battle_day\","battle_night_new\")&amp;"mission_act_info.json"</f>
        <v>C:\GFLBattleSim\Preset\battle_day\mission_act_info.json</v>
      </c>
    </row>
    <row r="19" spans="1:25" x14ac:dyDescent="0.25">
      <c r="A19" s="60" t="s">
        <v>923</v>
      </c>
      <c r="B19" s="108" t="str">
        <f ca="1">LEFT(CELL("filename",$A$1),FIND("[",CELL("filename",$A$1))-1)&amp;"GFBattleSimulator.json"</f>
        <v>C:\GFLBattleSim\GFBattleSimulator.json</v>
      </c>
    </row>
    <row r="20" spans="1:25" x14ac:dyDescent="0.25">
      <c r="A20" s="103"/>
      <c r="B20" s="108"/>
    </row>
    <row r="21" spans="1:25" x14ac:dyDescent="0.25">
      <c r="A21" s="103" t="s">
        <v>1043</v>
      </c>
      <c r="L21" s="103" t="s">
        <v>1044</v>
      </c>
    </row>
    <row r="22" spans="1:25" x14ac:dyDescent="0.25">
      <c r="A22" s="101"/>
      <c r="B22" s="162" t="s">
        <v>682</v>
      </c>
      <c r="C22" s="162"/>
      <c r="D22" s="162"/>
      <c r="E22" s="162"/>
      <c r="F22" s="162"/>
      <c r="G22" s="162"/>
      <c r="H22" s="162"/>
      <c r="I22" s="162"/>
      <c r="J22" s="163"/>
      <c r="L22" s="164" t="s">
        <v>816</v>
      </c>
      <c r="M22" s="162"/>
      <c r="N22" s="162"/>
      <c r="O22" s="163"/>
      <c r="P22" s="162" t="s">
        <v>817</v>
      </c>
      <c r="Q22" s="162"/>
      <c r="R22" s="162"/>
      <c r="S22" s="163"/>
      <c r="T22" s="162" t="s">
        <v>818</v>
      </c>
      <c r="U22" s="162"/>
      <c r="V22" s="162"/>
      <c r="W22" s="163"/>
    </row>
    <row r="23" spans="1:25" x14ac:dyDescent="0.25">
      <c r="A23" s="50" t="s">
        <v>0</v>
      </c>
      <c r="B23" s="63" t="s">
        <v>385</v>
      </c>
      <c r="C23" s="63" t="s">
        <v>1</v>
      </c>
      <c r="D23" s="63" t="s">
        <v>8</v>
      </c>
      <c r="E23" s="63" t="s">
        <v>18</v>
      </c>
      <c r="F23" s="63" t="s">
        <v>384</v>
      </c>
      <c r="G23" s="63" t="s">
        <v>58</v>
      </c>
      <c r="H23" s="63" t="s">
        <v>59</v>
      </c>
      <c r="I23" s="63" t="s">
        <v>371</v>
      </c>
      <c r="J23" s="64" t="s">
        <v>60</v>
      </c>
      <c r="L23" s="62" t="s">
        <v>814</v>
      </c>
      <c r="M23" s="63" t="s">
        <v>8</v>
      </c>
      <c r="N23" s="63" t="s">
        <v>18</v>
      </c>
      <c r="O23" s="64" t="s">
        <v>815</v>
      </c>
      <c r="P23" s="63" t="s">
        <v>814</v>
      </c>
      <c r="Q23" s="63" t="s">
        <v>8</v>
      </c>
      <c r="R23" s="63" t="s">
        <v>18</v>
      </c>
      <c r="S23" s="64" t="s">
        <v>815</v>
      </c>
      <c r="T23" s="63" t="s">
        <v>814</v>
      </c>
      <c r="U23" s="63" t="s">
        <v>8</v>
      </c>
      <c r="V23" s="63" t="s">
        <v>18</v>
      </c>
      <c r="W23" s="64" t="s">
        <v>815</v>
      </c>
      <c r="Y23" s="61"/>
    </row>
    <row r="24" spans="1:25" x14ac:dyDescent="0.25">
      <c r="A24" s="49">
        <v>1</v>
      </c>
      <c r="B24" s="120">
        <v>5</v>
      </c>
      <c r="C24" s="121" t="s">
        <v>4</v>
      </c>
      <c r="D24" s="122" t="s">
        <v>286</v>
      </c>
      <c r="E24" s="121">
        <v>100</v>
      </c>
      <c r="F24" s="121">
        <v>5</v>
      </c>
      <c r="G24" s="121">
        <v>10</v>
      </c>
      <c r="H24" s="121">
        <v>0</v>
      </c>
      <c r="I24" s="121">
        <v>0</v>
      </c>
      <c r="J24" s="122">
        <v>100</v>
      </c>
      <c r="K24" s="61"/>
      <c r="L24" s="52" t="s">
        <v>827</v>
      </c>
      <c r="M24" s="44" t="s">
        <v>628</v>
      </c>
      <c r="N24" s="44">
        <v>10</v>
      </c>
      <c r="O24" s="54">
        <v>1</v>
      </c>
      <c r="P24" s="52" t="s">
        <v>837</v>
      </c>
      <c r="Q24" s="44" t="s">
        <v>644</v>
      </c>
      <c r="R24" s="44">
        <v>10</v>
      </c>
      <c r="S24" s="54">
        <v>1</v>
      </c>
      <c r="T24" s="52" t="s">
        <v>862</v>
      </c>
      <c r="U24" s="44" t="s">
        <v>665</v>
      </c>
      <c r="V24" s="44">
        <v>10</v>
      </c>
      <c r="W24" s="54">
        <v>1</v>
      </c>
    </row>
    <row r="25" spans="1:25" x14ac:dyDescent="0.25">
      <c r="A25" s="49">
        <v>2</v>
      </c>
      <c r="B25" s="52">
        <v>5</v>
      </c>
      <c r="C25" s="44" t="s">
        <v>6</v>
      </c>
      <c r="D25" s="45" t="s">
        <v>271</v>
      </c>
      <c r="E25" s="44">
        <v>100</v>
      </c>
      <c r="F25" s="44">
        <v>5</v>
      </c>
      <c r="G25" s="44">
        <v>10</v>
      </c>
      <c r="H25" s="44">
        <v>0</v>
      </c>
      <c r="I25" s="44">
        <v>0</v>
      </c>
      <c r="J25" s="45">
        <v>100</v>
      </c>
      <c r="K25" s="61"/>
      <c r="L25" s="52" t="s">
        <v>827</v>
      </c>
      <c r="M25" s="44" t="s">
        <v>628</v>
      </c>
      <c r="N25" s="44">
        <v>10</v>
      </c>
      <c r="O25" s="54">
        <v>1</v>
      </c>
      <c r="P25" s="52" t="s">
        <v>837</v>
      </c>
      <c r="Q25" s="44" t="s">
        <v>644</v>
      </c>
      <c r="R25" s="44">
        <v>10</v>
      </c>
      <c r="S25" s="54">
        <v>1</v>
      </c>
      <c r="T25" s="52" t="s">
        <v>863</v>
      </c>
      <c r="U25" s="44" t="s">
        <v>681</v>
      </c>
      <c r="V25" s="44">
        <v>10</v>
      </c>
      <c r="W25" s="54">
        <v>1</v>
      </c>
    </row>
    <row r="26" spans="1:25" x14ac:dyDescent="0.25">
      <c r="A26" s="49">
        <v>3</v>
      </c>
      <c r="B26" s="52">
        <v>5</v>
      </c>
      <c r="C26" s="44" t="s">
        <v>6</v>
      </c>
      <c r="D26" s="45" t="s">
        <v>228</v>
      </c>
      <c r="E26" s="44">
        <v>100</v>
      </c>
      <c r="F26" s="44">
        <v>5</v>
      </c>
      <c r="G26" s="44">
        <v>10</v>
      </c>
      <c r="H26" s="44">
        <v>0</v>
      </c>
      <c r="I26" s="44">
        <v>0</v>
      </c>
      <c r="J26" s="45">
        <v>100</v>
      </c>
      <c r="K26" s="61"/>
      <c r="L26" s="52" t="s">
        <v>877</v>
      </c>
      <c r="M26" s="44" t="s">
        <v>628</v>
      </c>
      <c r="N26" s="44">
        <v>10</v>
      </c>
      <c r="O26" s="54">
        <v>1</v>
      </c>
      <c r="P26" s="52" t="s">
        <v>837</v>
      </c>
      <c r="Q26" s="44" t="s">
        <v>644</v>
      </c>
      <c r="R26" s="44">
        <v>10</v>
      </c>
      <c r="S26" s="54">
        <v>1</v>
      </c>
      <c r="T26" s="52" t="s">
        <v>863</v>
      </c>
      <c r="U26" s="44" t="s">
        <v>681</v>
      </c>
      <c r="V26" s="44">
        <v>10</v>
      </c>
      <c r="W26" s="54">
        <v>1</v>
      </c>
    </row>
    <row r="27" spans="1:25" x14ac:dyDescent="0.25">
      <c r="A27" s="49">
        <v>4</v>
      </c>
      <c r="B27" s="52">
        <v>5</v>
      </c>
      <c r="C27" s="44" t="s">
        <v>3</v>
      </c>
      <c r="D27" s="45" t="s">
        <v>266</v>
      </c>
      <c r="E27" s="44">
        <v>100</v>
      </c>
      <c r="F27" s="44">
        <v>5</v>
      </c>
      <c r="G27" s="44">
        <v>10</v>
      </c>
      <c r="H27" s="44">
        <v>0</v>
      </c>
      <c r="I27" s="44">
        <v>0</v>
      </c>
      <c r="J27" s="45">
        <v>100</v>
      </c>
      <c r="K27" s="61"/>
      <c r="L27" s="52" t="s">
        <v>877</v>
      </c>
      <c r="M27" s="44" t="s">
        <v>663</v>
      </c>
      <c r="N27" s="44">
        <v>10</v>
      </c>
      <c r="O27" s="54">
        <v>1</v>
      </c>
      <c r="P27" s="52" t="s">
        <v>9</v>
      </c>
      <c r="Q27" s="44" t="s">
        <v>669</v>
      </c>
      <c r="R27" s="44">
        <v>10</v>
      </c>
      <c r="S27" s="54">
        <v>1</v>
      </c>
      <c r="T27" s="52" t="s">
        <v>852</v>
      </c>
      <c r="U27" s="44" t="s">
        <v>652</v>
      </c>
      <c r="V27" s="44">
        <v>10</v>
      </c>
      <c r="W27" s="54">
        <v>1</v>
      </c>
    </row>
    <row r="28" spans="1:25" x14ac:dyDescent="0.25">
      <c r="A28" s="50">
        <v>5</v>
      </c>
      <c r="B28" s="53">
        <v>5</v>
      </c>
      <c r="C28" s="46" t="s">
        <v>7</v>
      </c>
      <c r="D28" s="47" t="s">
        <v>1009</v>
      </c>
      <c r="E28" s="46">
        <v>110</v>
      </c>
      <c r="F28" s="46">
        <v>5</v>
      </c>
      <c r="G28" s="46">
        <v>10</v>
      </c>
      <c r="H28" s="46">
        <v>10</v>
      </c>
      <c r="I28" s="46">
        <v>2</v>
      </c>
      <c r="J28" s="47">
        <v>100</v>
      </c>
      <c r="K28" s="61"/>
      <c r="L28" s="53" t="s">
        <v>877</v>
      </c>
      <c r="M28" s="46" t="s">
        <v>663</v>
      </c>
      <c r="N28" s="46">
        <v>10</v>
      </c>
      <c r="O28" s="55">
        <v>1</v>
      </c>
      <c r="P28" s="53" t="s">
        <v>9</v>
      </c>
      <c r="Q28" s="46" t="s">
        <v>669</v>
      </c>
      <c r="R28" s="46">
        <v>10</v>
      </c>
      <c r="S28" s="55">
        <v>1</v>
      </c>
      <c r="T28" s="53" t="s">
        <v>852</v>
      </c>
      <c r="U28" s="46" t="s">
        <v>849</v>
      </c>
      <c r="V28" s="46">
        <v>10</v>
      </c>
      <c r="W28" s="55">
        <v>1</v>
      </c>
    </row>
    <row r="30" spans="1:25" x14ac:dyDescent="0.25">
      <c r="A30" s="103" t="s">
        <v>1076</v>
      </c>
      <c r="L30" s="103" t="s">
        <v>1045</v>
      </c>
    </row>
    <row r="31" spans="1:25" x14ac:dyDescent="0.25">
      <c r="A31" s="131"/>
      <c r="B31" s="129"/>
      <c r="C31" s="130"/>
      <c r="D31" s="164" t="s">
        <v>1077</v>
      </c>
      <c r="E31" s="162"/>
      <c r="F31" s="162"/>
      <c r="G31" s="163"/>
      <c r="H31" s="164" t="s">
        <v>1075</v>
      </c>
      <c r="I31" s="162"/>
      <c r="J31" s="163"/>
      <c r="L31" s="101"/>
      <c r="M31" s="164" t="s">
        <v>888</v>
      </c>
      <c r="N31" s="162"/>
      <c r="O31" s="162"/>
      <c r="P31" s="162"/>
      <c r="Q31" s="163"/>
    </row>
    <row r="32" spans="1:25" x14ac:dyDescent="0.25">
      <c r="A32" s="62" t="s">
        <v>1034</v>
      </c>
      <c r="B32" s="62" t="s">
        <v>1048</v>
      </c>
      <c r="C32" s="64" t="s">
        <v>8</v>
      </c>
      <c r="D32" s="63" t="s">
        <v>1058</v>
      </c>
      <c r="E32" s="63" t="s">
        <v>1057</v>
      </c>
      <c r="F32" s="63" t="s">
        <v>1059</v>
      </c>
      <c r="G32" s="64" t="s">
        <v>1060</v>
      </c>
      <c r="H32" s="63">
        <v>1</v>
      </c>
      <c r="I32" s="63">
        <v>2</v>
      </c>
      <c r="J32" s="64">
        <v>3</v>
      </c>
      <c r="L32" s="50" t="s">
        <v>892</v>
      </c>
      <c r="M32" s="62" t="s">
        <v>8</v>
      </c>
      <c r="N32" s="63" t="s">
        <v>385</v>
      </c>
      <c r="O32" s="63" t="s">
        <v>18</v>
      </c>
      <c r="P32" s="63" t="s">
        <v>893</v>
      </c>
      <c r="Q32" s="64" t="s">
        <v>690</v>
      </c>
    </row>
    <row r="33" spans="1:17" x14ac:dyDescent="0.25">
      <c r="A33" s="52"/>
      <c r="B33" s="132">
        <v>1</v>
      </c>
      <c r="C33" s="133" t="s">
        <v>1049</v>
      </c>
      <c r="D33" s="44">
        <v>462</v>
      </c>
      <c r="E33" s="44">
        <v>795</v>
      </c>
      <c r="F33" s="44">
        <v>568</v>
      </c>
      <c r="G33" s="45">
        <v>133</v>
      </c>
      <c r="H33" s="44">
        <v>10</v>
      </c>
      <c r="I33" s="44">
        <v>10</v>
      </c>
      <c r="J33" s="45">
        <v>10</v>
      </c>
      <c r="L33" s="50">
        <v>1</v>
      </c>
      <c r="M33" s="53" t="s">
        <v>756</v>
      </c>
      <c r="N33" s="46">
        <v>5</v>
      </c>
      <c r="O33" s="46">
        <v>100</v>
      </c>
      <c r="P33" s="46">
        <v>10</v>
      </c>
      <c r="Q33" s="47" t="s">
        <v>779</v>
      </c>
    </row>
    <row r="34" spans="1:17" x14ac:dyDescent="0.25">
      <c r="A34" s="52"/>
      <c r="B34" s="132">
        <v>2</v>
      </c>
      <c r="C34" s="133" t="s">
        <v>1050</v>
      </c>
      <c r="D34" s="44">
        <v>284</v>
      </c>
      <c r="E34" s="44">
        <v>336</v>
      </c>
      <c r="F34" s="44">
        <v>381</v>
      </c>
      <c r="G34" s="45">
        <v>726</v>
      </c>
      <c r="H34" s="44">
        <v>10</v>
      </c>
      <c r="I34" s="44">
        <v>10</v>
      </c>
      <c r="J34" s="45">
        <v>10</v>
      </c>
    </row>
    <row r="35" spans="1:17" x14ac:dyDescent="0.25">
      <c r="A35" s="52"/>
      <c r="B35" s="132">
        <v>3</v>
      </c>
      <c r="C35" s="133" t="s">
        <v>1051</v>
      </c>
      <c r="D35" s="44">
        <v>620</v>
      </c>
      <c r="E35" s="44">
        <v>121</v>
      </c>
      <c r="F35" s="44">
        <v>276</v>
      </c>
      <c r="G35" s="45">
        <v>306</v>
      </c>
      <c r="H35" s="44">
        <v>10</v>
      </c>
      <c r="I35" s="44">
        <v>10</v>
      </c>
      <c r="J35" s="45">
        <v>10</v>
      </c>
      <c r="L35" s="103" t="s">
        <v>1030</v>
      </c>
    </row>
    <row r="36" spans="1:17" x14ac:dyDescent="0.25">
      <c r="A36" s="52"/>
      <c r="B36" s="132">
        <v>4</v>
      </c>
      <c r="C36" s="133" t="s">
        <v>1052</v>
      </c>
      <c r="D36" s="44">
        <v>519</v>
      </c>
      <c r="E36" s="44">
        <v>138</v>
      </c>
      <c r="F36" s="44">
        <v>266</v>
      </c>
      <c r="G36" s="45">
        <v>401</v>
      </c>
      <c r="H36" s="44">
        <v>10</v>
      </c>
      <c r="I36" s="44">
        <v>10</v>
      </c>
      <c r="J36" s="45">
        <v>10</v>
      </c>
      <c r="L36" s="102">
        <v>2</v>
      </c>
      <c r="M36" s="102"/>
      <c r="N36" s="102"/>
    </row>
    <row r="37" spans="1:17" x14ac:dyDescent="0.25">
      <c r="A37" s="52"/>
      <c r="B37" s="132">
        <v>5</v>
      </c>
      <c r="C37" s="133" t="s">
        <v>1053</v>
      </c>
      <c r="D37" s="44">
        <v>423</v>
      </c>
      <c r="E37" s="44">
        <v>603</v>
      </c>
      <c r="F37" s="44">
        <v>533</v>
      </c>
      <c r="G37" s="45">
        <v>249</v>
      </c>
      <c r="H37" s="44">
        <v>10</v>
      </c>
      <c r="I37" s="44">
        <v>10</v>
      </c>
      <c r="J37" s="45">
        <v>10</v>
      </c>
      <c r="L37" s="102">
        <v>1</v>
      </c>
      <c r="M37" s="102">
        <v>5</v>
      </c>
      <c r="N37" s="102"/>
    </row>
    <row r="38" spans="1:17" x14ac:dyDescent="0.25">
      <c r="A38" s="52"/>
      <c r="B38" s="132">
        <v>6</v>
      </c>
      <c r="C38" s="133" t="s">
        <v>1054</v>
      </c>
      <c r="D38" s="44">
        <v>77</v>
      </c>
      <c r="E38" s="44">
        <v>136</v>
      </c>
      <c r="F38" s="44">
        <v>188</v>
      </c>
      <c r="G38" s="45">
        <v>331</v>
      </c>
      <c r="H38" s="44">
        <v>10</v>
      </c>
      <c r="I38" s="44">
        <v>10</v>
      </c>
      <c r="J38" s="45">
        <v>10</v>
      </c>
      <c r="L38" s="102">
        <v>3</v>
      </c>
      <c r="M38" s="102">
        <v>4</v>
      </c>
      <c r="N38" s="102"/>
    </row>
    <row r="39" spans="1:17" x14ac:dyDescent="0.25">
      <c r="A39" s="53"/>
      <c r="B39" s="62">
        <v>7</v>
      </c>
      <c r="C39" s="64" t="s">
        <v>1055</v>
      </c>
      <c r="D39" s="46">
        <v>414</v>
      </c>
      <c r="E39" s="46">
        <v>557</v>
      </c>
      <c r="F39" s="46">
        <v>459</v>
      </c>
      <c r="G39" s="47">
        <v>214</v>
      </c>
      <c r="H39" s="46">
        <v>10</v>
      </c>
      <c r="I39" s="46">
        <v>10</v>
      </c>
      <c r="J39" s="47">
        <v>10</v>
      </c>
    </row>
    <row r="41" spans="1:17" x14ac:dyDescent="0.25">
      <c r="A41" s="103" t="s">
        <v>1033</v>
      </c>
      <c r="D41" s="118"/>
    </row>
    <row r="42" spans="1:17" x14ac:dyDescent="0.25">
      <c r="A42" s="48" t="s">
        <v>1034</v>
      </c>
      <c r="B42" s="167" t="s">
        <v>8</v>
      </c>
      <c r="C42" s="168"/>
      <c r="D42" s="51" t="s">
        <v>893</v>
      </c>
    </row>
    <row r="43" spans="1:17" x14ac:dyDescent="0.25">
      <c r="A43" s="113" t="s">
        <v>1031</v>
      </c>
      <c r="B43" s="172" t="s">
        <v>902</v>
      </c>
      <c r="C43" s="173"/>
      <c r="D43" s="113">
        <v>10</v>
      </c>
    </row>
    <row r="44" spans="1:17" x14ac:dyDescent="0.25">
      <c r="A44" s="114"/>
      <c r="B44" s="174" t="s">
        <v>897</v>
      </c>
      <c r="C44" s="175"/>
      <c r="D44" s="114">
        <v>10</v>
      </c>
    </row>
    <row r="45" spans="1:17" x14ac:dyDescent="0.25">
      <c r="A45" s="114"/>
      <c r="B45" s="174" t="s">
        <v>898</v>
      </c>
      <c r="C45" s="175"/>
      <c r="D45" s="114">
        <v>10</v>
      </c>
    </row>
    <row r="46" spans="1:17" x14ac:dyDescent="0.25">
      <c r="A46" s="114"/>
      <c r="B46" s="158" t="s">
        <v>1086</v>
      </c>
      <c r="C46" s="159"/>
      <c r="D46" s="114">
        <v>10</v>
      </c>
    </row>
    <row r="47" spans="1:17" x14ac:dyDescent="0.25">
      <c r="A47" s="114"/>
      <c r="B47" s="174" t="s">
        <v>931</v>
      </c>
      <c r="C47" s="175"/>
      <c r="D47" s="114">
        <v>10</v>
      </c>
    </row>
    <row r="48" spans="1:17" x14ac:dyDescent="0.25">
      <c r="A48" s="114"/>
      <c r="B48" s="174" t="s">
        <v>932</v>
      </c>
      <c r="C48" s="175"/>
      <c r="D48" s="114">
        <v>10</v>
      </c>
    </row>
    <row r="49" spans="1:4" x14ac:dyDescent="0.25">
      <c r="A49" s="115"/>
      <c r="B49" s="165" t="s">
        <v>933</v>
      </c>
      <c r="C49" s="166"/>
      <c r="D49" s="115">
        <v>10</v>
      </c>
    </row>
    <row r="51" spans="1:4" x14ac:dyDescent="0.25">
      <c r="A51" s="103" t="s">
        <v>1032</v>
      </c>
    </row>
    <row r="52" spans="1:4" x14ac:dyDescent="0.25">
      <c r="A52" s="48" t="s">
        <v>1034</v>
      </c>
      <c r="B52" s="167" t="s">
        <v>8</v>
      </c>
      <c r="C52" s="167"/>
      <c r="D52" s="168"/>
    </row>
    <row r="53" spans="1:4" x14ac:dyDescent="0.25">
      <c r="A53" s="102"/>
      <c r="B53" s="169" t="s">
        <v>1039</v>
      </c>
      <c r="C53" s="170"/>
      <c r="D53" s="171"/>
    </row>
  </sheetData>
  <mergeCells count="16">
    <mergeCell ref="B49:C49"/>
    <mergeCell ref="B42:C42"/>
    <mergeCell ref="B53:D53"/>
    <mergeCell ref="B52:D52"/>
    <mergeCell ref="B43:C43"/>
    <mergeCell ref="B44:C44"/>
    <mergeCell ref="B45:C45"/>
    <mergeCell ref="B47:C47"/>
    <mergeCell ref="B48:C48"/>
    <mergeCell ref="P22:S22"/>
    <mergeCell ref="T22:W22"/>
    <mergeCell ref="L22:O22"/>
    <mergeCell ref="M31:Q31"/>
    <mergeCell ref="B22:J22"/>
    <mergeCell ref="D31:G31"/>
    <mergeCell ref="H31:J31"/>
  </mergeCells>
  <dataValidations count="17">
    <dataValidation type="list" allowBlank="1" showInputMessage="1" showErrorMessage="1" sqref="D24:D28" xr:uid="{44E2FF0D-A1D0-4936-B0CF-8C8E7BB5B677}">
      <formula1>DollNames</formula1>
    </dataValidation>
    <dataValidation type="whole" allowBlank="1" showInputMessage="1" showErrorMessage="1" sqref="E24:E28" xr:uid="{4489DA9E-546D-4279-852C-F0EB6DA16D9A}">
      <formula1>1</formula1>
      <formula2>120</formula2>
    </dataValidation>
    <dataValidation type="list" allowBlank="1" showInputMessage="1" showErrorMessage="1" sqref="F24:F28 N33" xr:uid="{B64BECAC-8EE6-4EEF-BC12-2087DBD195CC}">
      <formula1>"1,2,3,4,5"</formula1>
    </dataValidation>
    <dataValidation type="list" allowBlank="1" showInputMessage="1" showErrorMessage="1" sqref="G24:G28 P33 D43:D49 H33:J39" xr:uid="{B4B2FEA4-F91A-4C96-B65B-63C7D2D914AC}">
      <formula1>"1,2,3,4,5,6,7,8,9,10"</formula1>
    </dataValidation>
    <dataValidation type="list" allowBlank="1" showInputMessage="1" showErrorMessage="1" sqref="I24:I28" xr:uid="{474098A7-AF77-44A4-9E78-A07A4B7157EC}">
      <formula1>"0,1,2,3,4"</formula1>
    </dataValidation>
    <dataValidation type="whole" allowBlank="1" showInputMessage="1" showErrorMessage="1" sqref="J24:J28" xr:uid="{DAE4DB0B-E0FA-4BA8-9915-A828ADE4F4CC}">
      <formula1>0</formula1>
      <formula2>200</formula2>
    </dataValidation>
    <dataValidation type="list" allowBlank="1" showInputMessage="1" showErrorMessage="1" sqref="M24:M28 Q24:Q28 U24:U28" xr:uid="{5392B1CE-03EE-476F-BE8F-842BFEC32343}">
      <formula1>DollEq</formula1>
    </dataValidation>
    <dataValidation type="list" allowBlank="1" showInputMessage="1" showErrorMessage="1" sqref="H24:H28 N24:N28 R24:R28 V24:V28" xr:uid="{2833177A-4277-45CF-AE70-061D2E4A745E}">
      <formula1>"0,1,2,3,4,5,6,7,8,9,10"</formula1>
    </dataValidation>
    <dataValidation type="custom" allowBlank="1" showInputMessage="1" showErrorMessage="1" sqref="A43:A49" xr:uid="{4E4DA976-33C3-47E9-82C4-9742BCF8C1CD}">
      <formula1>COUNTA($A$43:$A$49)&lt;=1</formula1>
    </dataValidation>
    <dataValidation type="whole" allowBlank="1" showInputMessage="1" showErrorMessage="1" sqref="O33" xr:uid="{C07E7685-B243-460D-92A4-83448535D9D9}">
      <formula1>1</formula1>
      <formula2>100</formula2>
    </dataValidation>
    <dataValidation type="custom" allowBlank="1" showInputMessage="1" showErrorMessage="1" sqref="L36:N38" xr:uid="{E430C45D-AE6F-4DB2-920F-E7AABB38DCDB}">
      <formula1>AND(COUNTA($L$36:$N$38)&lt;=5,COUNTIF($L$36:$N$38,1)&lt;=1,COUNTIF($L$36:$N$38,2)&lt;=1,COUNTIF($L$36:$N$38,3)&lt;=1,COUNTIF($L$36:$N$38,4)&lt;=1,COUNTIF($L$36:$N$38,5)&lt;=1)</formula1>
    </dataValidation>
    <dataValidation type="list" allowBlank="1" showInputMessage="1" showErrorMessage="1" sqref="B9" xr:uid="{FF8C38BF-1AC1-4C65-B68E-864D683A9504}">
      <formula1>"Yellow,Red,Blue,White"</formula1>
    </dataValidation>
    <dataValidation type="list" allowBlank="1" showInputMessage="1" showErrorMessage="1" sqref="E9:E10" xr:uid="{99F11E9B-91CF-4783-BE66-0135432B566B}">
      <formula1>"TRUE,FALSE"</formula1>
    </dataValidation>
    <dataValidation type="list" allowBlank="1" showInputMessage="1" showErrorMessage="1" sqref="B8" xr:uid="{615E9CF8-0E78-411A-B447-B578C7D48D63}">
      <formula1>"Day,Night"</formula1>
    </dataValidation>
    <dataValidation type="whole" allowBlank="1" showInputMessage="1" showErrorMessage="1" sqref="B10" xr:uid="{E0838907-E882-443E-8ACD-2CEE6274C2B8}">
      <formula1>1</formula1>
      <formula2>99</formula2>
    </dataValidation>
    <dataValidation type="whole" operator="greaterThan" allowBlank="1" showInputMessage="1" showErrorMessage="1" sqref="E7:E8" xr:uid="{26AB0AFC-C97E-4BF6-BDD6-57FD8DC8F328}">
      <formula1>0</formula1>
    </dataValidation>
    <dataValidation type="whole" operator="greaterThanOrEqual" allowBlank="1" showInputMessage="1" showErrorMessage="1" sqref="D33:G39" xr:uid="{C0BF92E4-197C-45B1-BC98-9573A5687EB8}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6</xdr:row>
                    <xdr:rowOff>66675</xdr:rowOff>
                  </from>
                  <to>
                    <xdr:col>8</xdr:col>
                    <xdr:colOff>533400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4531902-BEE5-4ECE-A3EA-CA4BB5F76BDA}">
          <x14:formula1>
            <xm:f>Dropdowns!$B$2:$B$7</xm:f>
          </x14:formula1>
          <xm:sqref>C24:C28</xm:sqref>
        </x14:dataValidation>
        <x14:dataValidation type="list" allowBlank="1" showInputMessage="1" showErrorMessage="1" xr:uid="{95686EA9-F7DC-429D-96FF-2C1382D0ADCA}">
          <x14:formula1>
            <xm:f>Dropdowns!$A$2:$A$6</xm:f>
          </x14:formula1>
          <xm:sqref>B24:B28</xm:sqref>
        </x14:dataValidation>
        <x14:dataValidation type="list" allowBlank="1" showInputMessage="1" showErrorMessage="1" xr:uid="{E71975C4-69B2-4F95-9F90-A579F0BA8E24}">
          <x14:formula1>
            <xm:f>'Fairy Data'!$B$2:$B$100</xm:f>
          </x14:formula1>
          <xm:sqref>M33</xm:sqref>
        </x14:dataValidation>
        <x14:dataValidation type="list" allowBlank="1" showInputMessage="1" showErrorMessage="1" xr:uid="{B242FAA1-ADE6-434F-9355-586C80925BBC}">
          <x14:formula1>
            <xm:f>'Talent Data'!$A$2:$A$100</xm:f>
          </x14:formula1>
          <xm:sqref>Q33</xm:sqref>
        </x14:dataValidation>
        <x14:dataValidation type="list" allowBlank="1" showInputMessage="1" showErrorMessage="1" xr:uid="{17C175DC-DDB6-4925-9A33-C6238F0195C3}">
          <x14:formula1>
            <xm:f>Dropdowns!$AH$1:$AV$1</xm:f>
          </x14:formula1>
          <xm:sqref>L24:L28 P24:P28 T24:T28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27</v>
      </c>
      <c r="D1" s="112" t="s">
        <v>28</v>
      </c>
      <c r="E1" s="112" t="s">
        <v>29</v>
      </c>
      <c r="F1" s="112" t="s">
        <v>30</v>
      </c>
      <c r="G1" s="112" t="s">
        <v>31</v>
      </c>
      <c r="H1" s="112" t="s">
        <v>32</v>
      </c>
      <c r="I1" s="112" t="s">
        <v>33</v>
      </c>
      <c r="J1" s="112" t="s">
        <v>34</v>
      </c>
      <c r="K1" s="112" t="s">
        <v>35</v>
      </c>
      <c r="L1" s="112" t="s">
        <v>36</v>
      </c>
      <c r="M1" s="112" t="s">
        <v>37</v>
      </c>
      <c r="N1" s="112" t="s">
        <v>38</v>
      </c>
      <c r="O1" s="112" t="s">
        <v>39</v>
      </c>
      <c r="P1" s="112" t="s">
        <v>40</v>
      </c>
      <c r="Q1" s="112" t="s">
        <v>41</v>
      </c>
      <c r="R1" s="112" t="s">
        <v>42</v>
      </c>
      <c r="S1" s="112" t="s">
        <v>43</v>
      </c>
      <c r="T1" s="112" t="s">
        <v>44</v>
      </c>
      <c r="U1" s="112" t="s">
        <v>45</v>
      </c>
      <c r="V1" s="112" t="s">
        <v>46</v>
      </c>
      <c r="W1" s="112" t="s">
        <v>47</v>
      </c>
      <c r="X1" s="112" t="s">
        <v>48</v>
      </c>
      <c r="Y1" s="112" t="s">
        <v>49</v>
      </c>
      <c r="Z1" s="112" t="s">
        <v>50</v>
      </c>
      <c r="AA1" s="112" t="s">
        <v>51</v>
      </c>
      <c r="AB1" s="112" t="s">
        <v>52</v>
      </c>
      <c r="AC1" s="112" t="s">
        <v>53</v>
      </c>
      <c r="AD1" s="112" t="s">
        <v>54</v>
      </c>
      <c r="AE1" s="112" t="s">
        <v>55</v>
      </c>
      <c r="AF1" s="112" t="s">
        <v>56</v>
      </c>
      <c r="AG1" s="112" t="s">
        <v>57</v>
      </c>
    </row>
    <row r="2" spans="1:33" x14ac:dyDescent="0.25">
      <c r="A2" s="1">
        <f>IF(Main!$B24="","",Main!A24)</f>
        <v>1</v>
      </c>
      <c r="B2" s="1">
        <f>Main!$B$7</f>
        <v>562858</v>
      </c>
      <c r="C2" s="1">
        <f>INDEX('Doll Data'!$A:$A,MATCH(Main!D24,'Doll Data'!$B:$B,0))</f>
        <v>276</v>
      </c>
      <c r="D2" s="1">
        <f>VLOOKUP(Main!E24,'Exp Tables'!$A$3:$C$122,3,FALSE)</f>
        <v>3263300</v>
      </c>
      <c r="E2" s="1">
        <f>Main!E24</f>
        <v>100</v>
      </c>
      <c r="F2" s="1">
        <v>1</v>
      </c>
      <c r="G2" s="1">
        <f>Main!I24</f>
        <v>0</v>
      </c>
      <c r="H2" s="1">
        <f>Main!A24</f>
        <v>1</v>
      </c>
      <c r="I2" s="1">
        <f t="array" ref="I2">SUMPRODUCT((Main!$L$36:$N$38=H2)*'Misc Inputs'!$B$3:$D$5)</f>
        <v>8</v>
      </c>
      <c r="J2" s="1">
        <f>'Stat Calc'!AA3*Main!$F24</f>
        <v>990</v>
      </c>
      <c r="K2" s="1">
        <v>5</v>
      </c>
      <c r="L2" s="1">
        <v>10</v>
      </c>
      <c r="M2" s="39">
        <f>'Stat Calc'!AB17</f>
        <v>68</v>
      </c>
      <c r="N2" s="39">
        <f>'Stat Calc'!AD17</f>
        <v>19</v>
      </c>
      <c r="O2" s="39">
        <f>'Stat Calc'!AE17</f>
        <v>18</v>
      </c>
      <c r="P2" s="39">
        <f>'Stat Calc'!AC17</f>
        <v>34</v>
      </c>
      <c r="Q2" s="1">
        <f>Main!G24</f>
        <v>10</v>
      </c>
      <c r="R2" s="1">
        <f>Main!H24</f>
        <v>0</v>
      </c>
      <c r="S2" s="1">
        <v>0</v>
      </c>
      <c r="T2" s="1">
        <v>1</v>
      </c>
      <c r="U2" s="1">
        <f>Main!F24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Main!J24*10000</f>
        <v>1000000</v>
      </c>
      <c r="AA2" s="1">
        <f>IF(AND(Main!I24=0,Main!J24&lt;=100),1000000,IF(AND(Main!I24=0,Main!J24&gt;=100),1500000,2000000))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IF(Main!$B25="","",Main!A25)</f>
        <v>2</v>
      </c>
      <c r="B3" s="1">
        <f>Main!$B$7</f>
        <v>562858</v>
      </c>
      <c r="C3" s="1">
        <f>INDEX('Doll Data'!$A:$A,MATCH(Main!D25,'Doll Data'!$B:$B,0))</f>
        <v>257</v>
      </c>
      <c r="D3" s="1">
        <f>VLOOKUP(Main!E25,'Exp Tables'!$A$3:$C$122,3,FALSE)</f>
        <v>3263300</v>
      </c>
      <c r="E3" s="1">
        <f>Main!E25</f>
        <v>100</v>
      </c>
      <c r="F3" s="1">
        <v>1</v>
      </c>
      <c r="G3" s="1">
        <f>Main!I25</f>
        <v>0</v>
      </c>
      <c r="H3" s="1">
        <f>Main!A25</f>
        <v>2</v>
      </c>
      <c r="I3" s="1">
        <f t="array" ref="I3">SUMPRODUCT((Main!$L$36:$N$38=H3)*'Misc Inputs'!$B$3:$D$5)</f>
        <v>9</v>
      </c>
      <c r="J3" s="1">
        <f>'Stat Calc'!AA4*Main!$F25</f>
        <v>440</v>
      </c>
      <c r="K3" s="1">
        <v>5</v>
      </c>
      <c r="L3" s="1">
        <v>10</v>
      </c>
      <c r="M3" s="39">
        <f>'Stat Calc'!AB18</f>
        <v>96</v>
      </c>
      <c r="N3" s="39">
        <f>'Stat Calc'!AD18</f>
        <v>85</v>
      </c>
      <c r="O3" s="39">
        <f>'Stat Calc'!AE18</f>
        <v>27</v>
      </c>
      <c r="P3" s="39">
        <f>'Stat Calc'!AC18</f>
        <v>12</v>
      </c>
      <c r="Q3" s="1">
        <f>Main!G25</f>
        <v>10</v>
      </c>
      <c r="R3" s="1">
        <f>Main!H25</f>
        <v>0</v>
      </c>
      <c r="S3" s="1">
        <v>0</v>
      </c>
      <c r="T3" s="1">
        <v>1</v>
      </c>
      <c r="U3" s="1">
        <f>Main!F25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Main!J25*10000</f>
        <v>1000000</v>
      </c>
      <c r="AA3" s="1">
        <f>IF(AND(Main!I25=0,Main!J25&lt;=100),1000000,IF(AND(Main!I25=0,Main!J25&gt;=100),1500000,2000000))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IF(Main!$B26="","",Main!A26)</f>
        <v>3</v>
      </c>
      <c r="B4" s="1">
        <f>Main!$B$7</f>
        <v>562858</v>
      </c>
      <c r="C4" s="1">
        <f>INDEX('Doll Data'!$A:$A,MATCH(Main!D26,'Doll Data'!$B:$B,0))</f>
        <v>198</v>
      </c>
      <c r="D4" s="1">
        <f>VLOOKUP(Main!E26,'Exp Tables'!$A$3:$C$122,3,FALSE)</f>
        <v>3263300</v>
      </c>
      <c r="E4" s="1">
        <f>Main!E26</f>
        <v>100</v>
      </c>
      <c r="F4" s="1">
        <v>1</v>
      </c>
      <c r="G4" s="1">
        <f>Main!I26</f>
        <v>0</v>
      </c>
      <c r="H4" s="1">
        <f>Main!A26</f>
        <v>3</v>
      </c>
      <c r="I4" s="1">
        <f t="array" ref="I4">SUMPRODUCT((Main!$L$36:$N$38=H4)*'Misc Inputs'!$B$3:$D$5)</f>
        <v>7</v>
      </c>
      <c r="J4" s="1">
        <f>'Stat Calc'!AA5*Main!$F26</f>
        <v>365</v>
      </c>
      <c r="K4" s="1">
        <v>5</v>
      </c>
      <c r="L4" s="1">
        <v>10</v>
      </c>
      <c r="M4" s="39">
        <f>'Stat Calc'!AB19</f>
        <v>99</v>
      </c>
      <c r="N4" s="39">
        <f>'Stat Calc'!AD19</f>
        <v>80</v>
      </c>
      <c r="O4" s="39">
        <f>'Stat Calc'!AE19</f>
        <v>39</v>
      </c>
      <c r="P4" s="39">
        <f>'Stat Calc'!AC19</f>
        <v>12</v>
      </c>
      <c r="Q4" s="1">
        <f>Main!G26</f>
        <v>10</v>
      </c>
      <c r="R4" s="1">
        <f>Main!H26</f>
        <v>0</v>
      </c>
      <c r="S4" s="1">
        <v>0</v>
      </c>
      <c r="T4" s="1">
        <v>1</v>
      </c>
      <c r="U4" s="1">
        <f>Main!F26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Main!J26*10000</f>
        <v>1000000</v>
      </c>
      <c r="AA4" s="1">
        <f>IF(AND(Main!I26=0,Main!J26&lt;=100),1000000,IF(AND(Main!I26=0,Main!J26&gt;=100),1500000,2000000))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IF(Main!$B27="","",Main!A27)</f>
        <v>4</v>
      </c>
      <c r="B5" s="1">
        <f>Main!$B$7</f>
        <v>562858</v>
      </c>
      <c r="C5" s="1">
        <f>INDEX('Doll Data'!$A:$A,MATCH(Main!D27,'Doll Data'!$B:$B,0))</f>
        <v>242</v>
      </c>
      <c r="D5" s="1">
        <f>VLOOKUP(Main!E27,'Exp Tables'!$A$3:$C$122,3,FALSE)</f>
        <v>3263300</v>
      </c>
      <c r="E5" s="1">
        <f>Main!E27</f>
        <v>100</v>
      </c>
      <c r="F5" s="1">
        <v>1</v>
      </c>
      <c r="G5" s="1">
        <f>Main!I27</f>
        <v>0</v>
      </c>
      <c r="H5" s="1">
        <f>Main!A27</f>
        <v>4</v>
      </c>
      <c r="I5" s="1">
        <f t="array" ref="I5">SUMPRODUCT((Main!$L$36:$N$38=H5)*'Misc Inputs'!$B$3:$D$5)</f>
        <v>12</v>
      </c>
      <c r="J5" s="1">
        <f>'Stat Calc'!AA6*Main!$F27</f>
        <v>350</v>
      </c>
      <c r="K5" s="1">
        <v>5</v>
      </c>
      <c r="L5" s="1">
        <v>10</v>
      </c>
      <c r="M5" s="39">
        <f>'Stat Calc'!AB20</f>
        <v>18</v>
      </c>
      <c r="N5" s="39">
        <f>'Stat Calc'!AD20</f>
        <v>58</v>
      </c>
      <c r="O5" s="39">
        <f>'Stat Calc'!AE20</f>
        <v>97</v>
      </c>
      <c r="P5" s="39">
        <f>'Stat Calc'!AC20</f>
        <v>21</v>
      </c>
      <c r="Q5" s="1">
        <f>Main!G27</f>
        <v>10</v>
      </c>
      <c r="R5" s="1">
        <f>Main!H27</f>
        <v>0</v>
      </c>
      <c r="S5" s="1">
        <v>0</v>
      </c>
      <c r="T5" s="1">
        <v>1</v>
      </c>
      <c r="U5" s="1">
        <f>Main!F27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Main!J27*10000</f>
        <v>1000000</v>
      </c>
      <c r="AA5" s="1">
        <f>IF(AND(Main!I27=0,Main!J27&lt;=100),1000000,IF(AND(Main!I27=0,Main!J27&gt;=100),1500000,2000000))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IF(Main!$B28="","",Main!A28)</f>
        <v>5</v>
      </c>
      <c r="B6" s="1">
        <f>Main!$B$7</f>
        <v>562858</v>
      </c>
      <c r="C6" s="1">
        <f>INDEX('Doll Data'!$A:$A,MATCH(Main!D28,'Doll Data'!$B:$B,0))</f>
        <v>20026</v>
      </c>
      <c r="D6" s="1">
        <f>VLOOKUP(Main!E28,'Exp Tables'!$A$3:$C$122,3,FALSE)</f>
        <v>5263300</v>
      </c>
      <c r="E6" s="1">
        <f>Main!E28</f>
        <v>110</v>
      </c>
      <c r="F6" s="1">
        <v>1</v>
      </c>
      <c r="G6" s="1">
        <f>Main!I28</f>
        <v>2</v>
      </c>
      <c r="H6" s="1">
        <f>Main!A28</f>
        <v>5</v>
      </c>
      <c r="I6" s="1">
        <f t="array" ref="I6">SUMPRODUCT((Main!$L$36:$N$38=H6)*'Misc Inputs'!$B$3:$D$5)</f>
        <v>13</v>
      </c>
      <c r="J6" s="1">
        <f>'Stat Calc'!AA7*Main!$F28</f>
        <v>895</v>
      </c>
      <c r="K6" s="1">
        <v>5</v>
      </c>
      <c r="L6" s="1">
        <v>10</v>
      </c>
      <c r="M6" s="39">
        <f>'Stat Calc'!AB21</f>
        <v>19</v>
      </c>
      <c r="N6" s="39">
        <f>'Stat Calc'!AD21</f>
        <v>12</v>
      </c>
      <c r="O6" s="39">
        <f>'Stat Calc'!AE21</f>
        <v>60</v>
      </c>
      <c r="P6" s="39">
        <f>'Stat Calc'!AC21</f>
        <v>27</v>
      </c>
      <c r="Q6" s="1">
        <f>Main!G28</f>
        <v>10</v>
      </c>
      <c r="R6" s="1">
        <f>Main!H28</f>
        <v>10</v>
      </c>
      <c r="S6" s="1">
        <v>0</v>
      </c>
      <c r="T6" s="1">
        <v>1</v>
      </c>
      <c r="U6" s="1">
        <f>Main!F28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Main!J28*10000</f>
        <v>1000000</v>
      </c>
      <c r="AA6" s="1">
        <f>IF(AND(Main!I28=0,Main!J28&lt;=100),1000000,IF(AND(Main!I28=0,Main!J28&gt;=100),1500000,2000000))</f>
        <v>2000000</v>
      </c>
      <c r="AB6" s="1">
        <f>AA6</f>
        <v>2000000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684</v>
      </c>
      <c r="D1" s="112" t="s">
        <v>685</v>
      </c>
      <c r="E1" s="112" t="s">
        <v>686</v>
      </c>
      <c r="F1" s="112" t="s">
        <v>687</v>
      </c>
      <c r="G1" s="112" t="s">
        <v>37</v>
      </c>
      <c r="H1" s="112" t="s">
        <v>38</v>
      </c>
      <c r="I1" s="112" t="s">
        <v>39</v>
      </c>
      <c r="J1" s="112" t="s">
        <v>416</v>
      </c>
      <c r="K1" s="112" t="s">
        <v>40</v>
      </c>
      <c r="L1" s="112" t="s">
        <v>417</v>
      </c>
      <c r="M1" s="112" t="s">
        <v>418</v>
      </c>
      <c r="N1" s="112" t="s">
        <v>298</v>
      </c>
      <c r="O1" s="112" t="s">
        <v>381</v>
      </c>
      <c r="P1" s="112" t="s">
        <v>419</v>
      </c>
      <c r="Q1" s="112" t="s">
        <v>420</v>
      </c>
      <c r="R1" s="112" t="s">
        <v>421</v>
      </c>
      <c r="S1" s="112" t="s">
        <v>422</v>
      </c>
      <c r="T1" s="112" t="s">
        <v>423</v>
      </c>
      <c r="U1" s="112" t="s">
        <v>688</v>
      </c>
      <c r="V1" s="112" t="s">
        <v>44</v>
      </c>
      <c r="W1" s="112" t="s">
        <v>689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IF(Main!M24="","",1)</f>
        <v>1</v>
      </c>
      <c r="B2" s="56">
        <f>Main!$B$7</f>
        <v>562858</v>
      </c>
      <c r="C2" s="56">
        <f>Doll!C2</f>
        <v>276</v>
      </c>
      <c r="D2" s="56">
        <f>INDEX('Equip Data'!$A:$A,MATCH(Main!M24,'Equip Data'!$B:$B,0))</f>
        <v>4</v>
      </c>
      <c r="E2" s="56">
        <f>INDEX('Exp Tables'!$N$3:$R$13,MATCH(F2,'Exp Tables'!$M$3:$M$13,0),MATCH(INDEX('Equip Data'!$C:$C,MATCH(Main!M24,'Equip Data'!$B:$B,0)),'Exp Tables'!$N$2:$R$2,0))</f>
        <v>10000</v>
      </c>
      <c r="F2" s="56">
        <f>Main!N24</f>
        <v>10</v>
      </c>
      <c r="G2" s="56">
        <f>IF(INDEX('Equip Data'!F:F,MATCH($D2,'Equip Data'!$A:$A,0))="",0,Main!$O24*10000)</f>
        <v>0</v>
      </c>
      <c r="H2" s="56">
        <f>IF(INDEX('Equip Data'!G:G,MATCH($D2,'Equip Data'!$A:$A,0))="",0,Main!$O24*10000)</f>
        <v>0</v>
      </c>
      <c r="I2" s="56">
        <f>IF(INDEX('Equip Data'!H:H,MATCH($D2,'Equip Data'!$A:$A,0))="",0,Main!$O24*10000)</f>
        <v>0</v>
      </c>
      <c r="J2" s="56">
        <f>IF(INDEX('Equip Data'!I:I,MATCH($D2,'Equip Data'!$A:$A,0))="",0,Main!$O24*10000)</f>
        <v>0</v>
      </c>
      <c r="K2" s="56">
        <f>IF(INDEX('Equip Data'!J:J,MATCH($D2,'Equip Data'!$A:$A,0))="",0,Main!$O24*10000)</f>
        <v>0</v>
      </c>
      <c r="L2" s="56">
        <f>IF(INDEX('Equip Data'!K:K,MATCH($D2,'Equip Data'!$A:$A,0))="",0,Main!$O24*10000)</f>
        <v>0</v>
      </c>
      <c r="M2" s="56">
        <f>IF(INDEX('Equip Data'!L:L,MATCH($D2,'Equip Data'!$A:$A,0))="",0,Main!$O24*10000)</f>
        <v>10000</v>
      </c>
      <c r="N2" s="56">
        <f>IF(INDEX('Equip Data'!M:M,MATCH($D2,'Equip Data'!$A:$A,0))="",0,Main!$O24*10000)</f>
        <v>0</v>
      </c>
      <c r="O2" s="56">
        <f>IF(INDEX('Equip Data'!N:N,MATCH($D2,'Equip Data'!$A:$A,0))="",0,Main!$O24*10000)</f>
        <v>0</v>
      </c>
      <c r="P2" s="56">
        <f>IF(INDEX('Equip Data'!O:O,MATCH($D2,'Equip Data'!$A:$A,0))="",0,Main!$O24*10000)</f>
        <v>0</v>
      </c>
      <c r="Q2" s="56">
        <f>IF(INDEX('Equip Data'!P:P,MATCH($D2,'Equip Data'!$A:$A,0))="",0,Main!$O24*10000)</f>
        <v>0</v>
      </c>
      <c r="R2" s="56">
        <f>IF(INDEX('Equip Data'!Q:Q,MATCH($D2,'Equip Data'!$A:$A,0))="",0,Main!$O24*10000)</f>
        <v>0</v>
      </c>
      <c r="S2" s="56">
        <f>IF(INDEX('Equip Data'!R:R,MATCH($D2,'Equip Data'!$A:$A,0))="",0,Main!$O24*10000)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>
        <f>Main!J24*10000</f>
        <v>1000000</v>
      </c>
      <c r="AA2" s="1">
        <f>IF(Main!J24&gt;100,1500000,1000000)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56">
        <f>IF(Main!M25="","",A2+1)</f>
        <v>2</v>
      </c>
      <c r="B3" s="56">
        <f>Main!$B$7</f>
        <v>562858</v>
      </c>
      <c r="C3" s="56">
        <f>Doll!C3</f>
        <v>257</v>
      </c>
      <c r="D3" s="56">
        <f>INDEX('Equip Data'!$A:$A,MATCH(Main!M25,'Equip Data'!$B:$B,0))</f>
        <v>4</v>
      </c>
      <c r="E3" s="56">
        <f>INDEX('Exp Tables'!$N$3:$R$13,MATCH(F3,'Exp Tables'!$M$3:$M$13,0),MATCH(INDEX('Equip Data'!$C:$C,MATCH(Main!M25,'Equip Data'!$B:$B,0)),'Exp Tables'!$N$2:$R$2,0))</f>
        <v>10000</v>
      </c>
      <c r="F3" s="56">
        <f>Main!N25</f>
        <v>10</v>
      </c>
      <c r="G3" s="56">
        <f>IF(INDEX('Equip Data'!F:F,MATCH($D3,'Equip Data'!$A:$A,0))="",0,Main!$O25*10000)</f>
        <v>0</v>
      </c>
      <c r="H3" s="56">
        <f>IF(INDEX('Equip Data'!G:G,MATCH($D3,'Equip Data'!$A:$A,0))="",0,Main!$O25*10000)</f>
        <v>0</v>
      </c>
      <c r="I3" s="56">
        <f>IF(INDEX('Equip Data'!H:H,MATCH($D3,'Equip Data'!$A:$A,0))="",0,Main!$O25*10000)</f>
        <v>0</v>
      </c>
      <c r="J3" s="56">
        <f>IF(INDEX('Equip Data'!I:I,MATCH($D3,'Equip Data'!$A:$A,0))="",0,Main!$O25*10000)</f>
        <v>0</v>
      </c>
      <c r="K3" s="56">
        <f>IF(INDEX('Equip Data'!J:J,MATCH($D3,'Equip Data'!$A:$A,0))="",0,Main!$O25*10000)</f>
        <v>0</v>
      </c>
      <c r="L3" s="56">
        <f>IF(INDEX('Equip Data'!K:K,MATCH($D3,'Equip Data'!$A:$A,0))="",0,Main!$O25*10000)</f>
        <v>0</v>
      </c>
      <c r="M3" s="56">
        <f>IF(INDEX('Equip Data'!L:L,MATCH($D3,'Equip Data'!$A:$A,0))="",0,Main!$O25*10000)</f>
        <v>10000</v>
      </c>
      <c r="N3" s="56">
        <f>IF(INDEX('Equip Data'!M:M,MATCH($D3,'Equip Data'!$A:$A,0))="",0,Main!$O25*10000)</f>
        <v>0</v>
      </c>
      <c r="O3" s="56">
        <f>IF(INDEX('Equip Data'!N:N,MATCH($D3,'Equip Data'!$A:$A,0))="",0,Main!$O25*10000)</f>
        <v>0</v>
      </c>
      <c r="P3" s="56">
        <f>IF(INDEX('Equip Data'!O:O,MATCH($D3,'Equip Data'!$A:$A,0))="",0,Main!$O25*10000)</f>
        <v>0</v>
      </c>
      <c r="Q3" s="56">
        <f>IF(INDEX('Equip Data'!P:P,MATCH($D3,'Equip Data'!$A:$A,0))="",0,Main!$O25*10000)</f>
        <v>0</v>
      </c>
      <c r="R3" s="56">
        <f>IF(INDEX('Equip Data'!Q:Q,MATCH($D3,'Equip Data'!$A:$A,0))="",0,Main!$O25*10000)</f>
        <v>0</v>
      </c>
      <c r="S3" s="56">
        <f>IF(INDEX('Equip Data'!R:R,MATCH($D3,'Equip Data'!$A:$A,0))="",0,Main!$O25*10000)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>
        <f>Main!J25*10000</f>
        <v>1000000</v>
      </c>
      <c r="AA3" s="1">
        <f>IF(Main!J25&gt;100,1500000,1000000)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56">
        <f>IF(Main!M26="","",A3+1)</f>
        <v>3</v>
      </c>
      <c r="B4" s="56">
        <f>Main!$B$7</f>
        <v>562858</v>
      </c>
      <c r="C4" s="56">
        <f>Doll!C4</f>
        <v>198</v>
      </c>
      <c r="D4" s="56">
        <f>INDEX('Equip Data'!$A:$A,MATCH(Main!M26,'Equip Data'!$B:$B,0))</f>
        <v>4</v>
      </c>
      <c r="E4" s="56">
        <f>INDEX('Exp Tables'!$N$3:$R$13,MATCH(F4,'Exp Tables'!$M$3:$M$13,0),MATCH(INDEX('Equip Data'!$C:$C,MATCH(Main!M26,'Equip Data'!$B:$B,0)),'Exp Tables'!$N$2:$R$2,0))</f>
        <v>10000</v>
      </c>
      <c r="F4" s="56">
        <f>Main!N26</f>
        <v>10</v>
      </c>
      <c r="G4" s="56">
        <f>IF(INDEX('Equip Data'!F:F,MATCH($D4,'Equip Data'!$A:$A,0))="",0,Main!$O26*10000)</f>
        <v>0</v>
      </c>
      <c r="H4" s="56">
        <f>IF(INDEX('Equip Data'!G:G,MATCH($D4,'Equip Data'!$A:$A,0))="",0,Main!$O26*10000)</f>
        <v>0</v>
      </c>
      <c r="I4" s="56">
        <f>IF(INDEX('Equip Data'!H:H,MATCH($D4,'Equip Data'!$A:$A,0))="",0,Main!$O26*10000)</f>
        <v>0</v>
      </c>
      <c r="J4" s="56">
        <f>IF(INDEX('Equip Data'!I:I,MATCH($D4,'Equip Data'!$A:$A,0))="",0,Main!$O26*10000)</f>
        <v>0</v>
      </c>
      <c r="K4" s="56">
        <f>IF(INDEX('Equip Data'!J:J,MATCH($D4,'Equip Data'!$A:$A,0))="",0,Main!$O26*10000)</f>
        <v>0</v>
      </c>
      <c r="L4" s="56">
        <f>IF(INDEX('Equip Data'!K:K,MATCH($D4,'Equip Data'!$A:$A,0))="",0,Main!$O26*10000)</f>
        <v>0</v>
      </c>
      <c r="M4" s="56">
        <f>IF(INDEX('Equip Data'!L:L,MATCH($D4,'Equip Data'!$A:$A,0))="",0,Main!$O26*10000)</f>
        <v>10000</v>
      </c>
      <c r="N4" s="56">
        <f>IF(INDEX('Equip Data'!M:M,MATCH($D4,'Equip Data'!$A:$A,0))="",0,Main!$O26*10000)</f>
        <v>0</v>
      </c>
      <c r="O4" s="56">
        <f>IF(INDEX('Equip Data'!N:N,MATCH($D4,'Equip Data'!$A:$A,0))="",0,Main!$O26*10000)</f>
        <v>0</v>
      </c>
      <c r="P4" s="56">
        <f>IF(INDEX('Equip Data'!O:O,MATCH($D4,'Equip Data'!$A:$A,0))="",0,Main!$O26*10000)</f>
        <v>0</v>
      </c>
      <c r="Q4" s="56">
        <f>IF(INDEX('Equip Data'!P:P,MATCH($D4,'Equip Data'!$A:$A,0))="",0,Main!$O26*10000)</f>
        <v>0</v>
      </c>
      <c r="R4" s="56">
        <f>IF(INDEX('Equip Data'!Q:Q,MATCH($D4,'Equip Data'!$A:$A,0))="",0,Main!$O26*10000)</f>
        <v>0</v>
      </c>
      <c r="S4" s="56">
        <f>IF(INDEX('Equip Data'!R:R,MATCH($D4,'Equip Data'!$A:$A,0))="",0,Main!$O26*10000)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>
        <f>Main!J26*10000</f>
        <v>1000000</v>
      </c>
      <c r="AA4" s="1">
        <f>IF(Main!J26&gt;100,1500000,1000000)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56">
        <f>IF(Main!M27="","",A4+1)</f>
        <v>4</v>
      </c>
      <c r="B5" s="56">
        <f>Main!$B$7</f>
        <v>562858</v>
      </c>
      <c r="C5" s="56">
        <f>Doll!C5</f>
        <v>242</v>
      </c>
      <c r="D5" s="56">
        <f>INDEX('Equip Data'!$A:$A,MATCH(Main!M27,'Equip Data'!$B:$B,0))</f>
        <v>66</v>
      </c>
      <c r="E5" s="56">
        <f>INDEX('Exp Tables'!$N$3:$R$13,MATCH(F5,'Exp Tables'!$M$3:$M$13,0),MATCH(INDEX('Equip Data'!$C:$C,MATCH(Main!M27,'Equip Data'!$B:$B,0)),'Exp Tables'!$N$2:$R$2,0))</f>
        <v>10000</v>
      </c>
      <c r="F5" s="56">
        <f>Main!N27</f>
        <v>10</v>
      </c>
      <c r="G5" s="56">
        <f>IF(INDEX('Equip Data'!F:F,MATCH($D5,'Equip Data'!$A:$A,0))="",0,Main!$O27*10000)</f>
        <v>0</v>
      </c>
      <c r="H5" s="56">
        <f>IF(INDEX('Equip Data'!G:G,MATCH($D5,'Equip Data'!$A:$A,0))="",0,Main!$O27*10000)</f>
        <v>0</v>
      </c>
      <c r="I5" s="56">
        <f>IF(INDEX('Equip Data'!H:H,MATCH($D5,'Equip Data'!$A:$A,0))="",0,Main!$O27*10000)</f>
        <v>10000</v>
      </c>
      <c r="J5" s="56">
        <f>IF(INDEX('Equip Data'!I:I,MATCH($D5,'Equip Data'!$A:$A,0))="",0,Main!$O27*10000)</f>
        <v>0</v>
      </c>
      <c r="K5" s="56">
        <f>IF(INDEX('Equip Data'!J:J,MATCH($D5,'Equip Data'!$A:$A,0))="",0,Main!$O27*10000)</f>
        <v>0</v>
      </c>
      <c r="L5" s="56">
        <f>IF(INDEX('Equip Data'!K:K,MATCH($D5,'Equip Data'!$A:$A,0))="",0,Main!$O27*10000)</f>
        <v>0</v>
      </c>
      <c r="M5" s="56">
        <f>IF(INDEX('Equip Data'!L:L,MATCH($D5,'Equip Data'!$A:$A,0))="",0,Main!$O27*10000)</f>
        <v>10000</v>
      </c>
      <c r="N5" s="56">
        <f>IF(INDEX('Equip Data'!M:M,MATCH($D5,'Equip Data'!$A:$A,0))="",0,Main!$O27*10000)</f>
        <v>0</v>
      </c>
      <c r="O5" s="56">
        <f>IF(INDEX('Equip Data'!N:N,MATCH($D5,'Equip Data'!$A:$A,0))="",0,Main!$O27*10000)</f>
        <v>0</v>
      </c>
      <c r="P5" s="56">
        <f>IF(INDEX('Equip Data'!O:O,MATCH($D5,'Equip Data'!$A:$A,0))="",0,Main!$O27*10000)</f>
        <v>0</v>
      </c>
      <c r="Q5" s="56">
        <f>IF(INDEX('Equip Data'!P:P,MATCH($D5,'Equip Data'!$A:$A,0))="",0,Main!$O27*10000)</f>
        <v>0</v>
      </c>
      <c r="R5" s="56">
        <f>IF(INDEX('Equip Data'!Q:Q,MATCH($D5,'Equip Data'!$A:$A,0))="",0,Main!$O27*10000)</f>
        <v>0</v>
      </c>
      <c r="S5" s="56">
        <f>IF(INDEX('Equip Data'!R:R,MATCH($D5,'Equip Data'!$A:$A,0))="",0,Main!$O27*10000)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>
        <f>Main!J27*10000</f>
        <v>1000000</v>
      </c>
      <c r="AA5" s="1">
        <f>IF(Main!J27&gt;100,1500000,1000000)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57">
        <f>IF(Main!M28="","",A5+1)</f>
        <v>5</v>
      </c>
      <c r="B6" s="57">
        <f>Main!$B$7</f>
        <v>562858</v>
      </c>
      <c r="C6" s="57">
        <f>Doll!C6</f>
        <v>20026</v>
      </c>
      <c r="D6" s="57">
        <f>INDEX('Equip Data'!$A:$A,MATCH(Main!M28,'Equip Data'!$B:$B,0))</f>
        <v>66</v>
      </c>
      <c r="E6" s="57">
        <f>INDEX('Exp Tables'!$N$3:$R$13,MATCH(F6,'Exp Tables'!$M$3:$M$13,0),MATCH(INDEX('Equip Data'!$C:$C,MATCH(Main!M28,'Equip Data'!$B:$B,0)),'Exp Tables'!$N$2:$R$2,0))</f>
        <v>10000</v>
      </c>
      <c r="F6" s="57">
        <f>Main!N28</f>
        <v>10</v>
      </c>
      <c r="G6" s="57">
        <f>IF(INDEX('Equip Data'!F:F,MATCH($D6,'Equip Data'!$A:$A,0))="",0,Main!$O28*10000)</f>
        <v>0</v>
      </c>
      <c r="H6" s="57">
        <f>IF(INDEX('Equip Data'!G:G,MATCH($D6,'Equip Data'!$A:$A,0))="",0,Main!$O28*10000)</f>
        <v>0</v>
      </c>
      <c r="I6" s="57">
        <f>IF(INDEX('Equip Data'!H:H,MATCH($D6,'Equip Data'!$A:$A,0))="",0,Main!$O28*10000)</f>
        <v>10000</v>
      </c>
      <c r="J6" s="57">
        <f>IF(INDEX('Equip Data'!I:I,MATCH($D6,'Equip Data'!$A:$A,0))="",0,Main!$O28*10000)</f>
        <v>0</v>
      </c>
      <c r="K6" s="57">
        <f>IF(INDEX('Equip Data'!J:J,MATCH($D6,'Equip Data'!$A:$A,0))="",0,Main!$O28*10000)</f>
        <v>0</v>
      </c>
      <c r="L6" s="57">
        <f>IF(INDEX('Equip Data'!K:K,MATCH($D6,'Equip Data'!$A:$A,0))="",0,Main!$O28*10000)</f>
        <v>0</v>
      </c>
      <c r="M6" s="57">
        <f>IF(INDEX('Equip Data'!L:L,MATCH($D6,'Equip Data'!$A:$A,0))="",0,Main!$O28*10000)</f>
        <v>10000</v>
      </c>
      <c r="N6" s="57">
        <f>IF(INDEX('Equip Data'!M:M,MATCH($D6,'Equip Data'!$A:$A,0))="",0,Main!$O28*10000)</f>
        <v>0</v>
      </c>
      <c r="O6" s="57">
        <f>IF(INDEX('Equip Data'!N:N,MATCH($D6,'Equip Data'!$A:$A,0))="",0,Main!$O28*10000)</f>
        <v>0</v>
      </c>
      <c r="P6" s="57">
        <f>IF(INDEX('Equip Data'!O:O,MATCH($D6,'Equip Data'!$A:$A,0))="",0,Main!$O28*10000)</f>
        <v>0</v>
      </c>
      <c r="Q6" s="57">
        <f>IF(INDEX('Equip Data'!P:P,MATCH($D6,'Equip Data'!$A:$A,0))="",0,Main!$O28*10000)</f>
        <v>0</v>
      </c>
      <c r="R6" s="57">
        <f>IF(INDEX('Equip Data'!Q:Q,MATCH($D6,'Equip Data'!$A:$A,0))="",0,Main!$O28*10000)</f>
        <v>0</v>
      </c>
      <c r="S6" s="57">
        <f>IF(INDEX('Equip Data'!R:R,MATCH($D6,'Equip Data'!$A:$A,0))="",0,Main!$O28*10000)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>
        <f>Main!J28*10000</f>
        <v>1000000</v>
      </c>
      <c r="AA6" s="1">
        <f>IF(Main!J28&gt;100,1500000,1000000)</f>
        <v>1000000</v>
      </c>
      <c r="AB6" s="1">
        <f>AA6</f>
        <v>1000000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  <row r="7" spans="1:33" x14ac:dyDescent="0.25">
      <c r="A7" s="56">
        <f>IF(Main!Q24="","",A2+5)</f>
        <v>6</v>
      </c>
      <c r="B7" s="56">
        <f>Main!$B$7</f>
        <v>562858</v>
      </c>
      <c r="C7" s="58">
        <f>C2</f>
        <v>276</v>
      </c>
      <c r="D7" s="56">
        <f>INDEX('Equip Data'!$A:$A,MATCH(Main!Q24,'Equip Data'!$B:$B,0))</f>
        <v>20</v>
      </c>
      <c r="E7" s="56">
        <f>INDEX('Exp Tables'!$N$3:$R$13,MATCH(F7,'Exp Tables'!$M$3:$M$13,0),MATCH(INDEX('Equip Data'!$C:$C,MATCH(Main!Q24,'Equip Data'!$B:$B,0)),'Exp Tables'!$N$2:$R$2,0))</f>
        <v>10000</v>
      </c>
      <c r="F7" s="56">
        <f>Main!R24</f>
        <v>10</v>
      </c>
      <c r="G7" s="56">
        <f>IF(INDEX('Equip Data'!F:F,MATCH($D7,'Equip Data'!$A:$A,0))="",0,Main!$S24*10000)</f>
        <v>0</v>
      </c>
      <c r="H7" s="56">
        <f>IF(INDEX('Equip Data'!G:G,MATCH($D7,'Equip Data'!$A:$A,0))="",0,Main!$S24*10000)</f>
        <v>0</v>
      </c>
      <c r="I7" s="56">
        <f>IF(INDEX('Equip Data'!H:H,MATCH($D7,'Equip Data'!$A:$A,0))="",0,Main!$S24*10000)</f>
        <v>0</v>
      </c>
      <c r="J7" s="56">
        <f>IF(INDEX('Equip Data'!I:I,MATCH($D7,'Equip Data'!$A:$A,0))="",0,Main!$S24*10000)</f>
        <v>0</v>
      </c>
      <c r="K7" s="56">
        <f>IF(INDEX('Equip Data'!J:J,MATCH($D7,'Equip Data'!$A:$A,0))="",0,Main!$S24*10000)</f>
        <v>0</v>
      </c>
      <c r="L7" s="56">
        <f>IF(INDEX('Equip Data'!K:K,MATCH($D7,'Equip Data'!$A:$A,0))="",0,Main!$S24*10000)</f>
        <v>0</v>
      </c>
      <c r="M7" s="56">
        <f>IF(INDEX('Equip Data'!L:L,MATCH($D7,'Equip Data'!$A:$A,0))="",0,Main!$S24*10000)</f>
        <v>0</v>
      </c>
      <c r="N7" s="56">
        <f>IF(INDEX('Equip Data'!M:M,MATCH($D7,'Equip Data'!$A:$A,0))="",0,Main!$S24*10000)</f>
        <v>10000</v>
      </c>
      <c r="O7" s="56">
        <f>IF(INDEX('Equip Data'!N:N,MATCH($D7,'Equip Data'!$A:$A,0))="",0,Main!$S24*10000)</f>
        <v>0</v>
      </c>
      <c r="P7" s="56">
        <f>IF(INDEX('Equip Data'!O:O,MATCH($D7,'Equip Data'!$A:$A,0))="",0,Main!$S24*10000)</f>
        <v>0</v>
      </c>
      <c r="Q7" s="56">
        <f>IF(INDEX('Equip Data'!P:P,MATCH($D7,'Equip Data'!$A:$A,0))="",0,Main!$S24*10000)</f>
        <v>0</v>
      </c>
      <c r="R7" s="56">
        <f>IF(INDEX('Equip Data'!Q:Q,MATCH($D7,'Equip Data'!$A:$A,0))="",0,Main!$S24*10000)</f>
        <v>0</v>
      </c>
      <c r="S7" s="56">
        <f>IF(INDEX('Equip Data'!R:R,MATCH($D7,'Equip Data'!$A:$A,0))="",0,Main!$S24*10000)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IF(Main!Q25="","",A3+5)</f>
        <v>7</v>
      </c>
      <c r="B8" s="56">
        <f>Main!$B$7</f>
        <v>562858</v>
      </c>
      <c r="C8" s="58">
        <f t="shared" ref="C8:C16" si="0">C3</f>
        <v>257</v>
      </c>
      <c r="D8" s="56">
        <f>INDEX('Equip Data'!$A:$A,MATCH(Main!Q25,'Equip Data'!$B:$B,0))</f>
        <v>20</v>
      </c>
      <c r="E8" s="56">
        <f>INDEX('Exp Tables'!$N$3:$R$13,MATCH(F8,'Exp Tables'!$M$3:$M$13,0),MATCH(INDEX('Equip Data'!$C:$C,MATCH(Main!Q25,'Equip Data'!$B:$B,0)),'Exp Tables'!$N$2:$R$2,0))</f>
        <v>10000</v>
      </c>
      <c r="F8" s="56">
        <f>Main!R25</f>
        <v>10</v>
      </c>
      <c r="G8" s="56">
        <f>IF(INDEX('Equip Data'!F:F,MATCH($D8,'Equip Data'!$A:$A,0))="",0,Main!$S25*10000)</f>
        <v>0</v>
      </c>
      <c r="H8" s="56">
        <f>IF(INDEX('Equip Data'!G:G,MATCH($D8,'Equip Data'!$A:$A,0))="",0,Main!$S25*10000)</f>
        <v>0</v>
      </c>
      <c r="I8" s="56">
        <f>IF(INDEX('Equip Data'!H:H,MATCH($D8,'Equip Data'!$A:$A,0))="",0,Main!$S25*10000)</f>
        <v>0</v>
      </c>
      <c r="J8" s="56">
        <f>IF(INDEX('Equip Data'!I:I,MATCH($D8,'Equip Data'!$A:$A,0))="",0,Main!$S25*10000)</f>
        <v>0</v>
      </c>
      <c r="K8" s="56">
        <f>IF(INDEX('Equip Data'!J:J,MATCH($D8,'Equip Data'!$A:$A,0))="",0,Main!$S25*10000)</f>
        <v>0</v>
      </c>
      <c r="L8" s="56">
        <f>IF(INDEX('Equip Data'!K:K,MATCH($D8,'Equip Data'!$A:$A,0))="",0,Main!$S25*10000)</f>
        <v>0</v>
      </c>
      <c r="M8" s="56">
        <f>IF(INDEX('Equip Data'!L:L,MATCH($D8,'Equip Data'!$A:$A,0))="",0,Main!$S25*10000)</f>
        <v>0</v>
      </c>
      <c r="N8" s="56">
        <f>IF(INDEX('Equip Data'!M:M,MATCH($D8,'Equip Data'!$A:$A,0))="",0,Main!$S25*10000)</f>
        <v>10000</v>
      </c>
      <c r="O8" s="56">
        <f>IF(INDEX('Equip Data'!N:N,MATCH($D8,'Equip Data'!$A:$A,0))="",0,Main!$S25*10000)</f>
        <v>0</v>
      </c>
      <c r="P8" s="56">
        <f>IF(INDEX('Equip Data'!O:O,MATCH($D8,'Equip Data'!$A:$A,0))="",0,Main!$S25*10000)</f>
        <v>0</v>
      </c>
      <c r="Q8" s="56">
        <f>IF(INDEX('Equip Data'!P:P,MATCH($D8,'Equip Data'!$A:$A,0))="",0,Main!$S25*10000)</f>
        <v>0</v>
      </c>
      <c r="R8" s="56">
        <f>IF(INDEX('Equip Data'!Q:Q,MATCH($D8,'Equip Data'!$A:$A,0))="",0,Main!$S25*10000)</f>
        <v>0</v>
      </c>
      <c r="S8" s="56">
        <f>IF(INDEX('Equip Data'!R:R,MATCH($D8,'Equip Data'!$A:$A,0))="",0,Main!$S25*10000)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IF(Main!Q26="","",A4+5)</f>
        <v>8</v>
      </c>
      <c r="B9" s="56">
        <f>Main!$B$7</f>
        <v>562858</v>
      </c>
      <c r="C9" s="58">
        <f t="shared" si="0"/>
        <v>198</v>
      </c>
      <c r="D9" s="56">
        <f>INDEX('Equip Data'!$A:$A,MATCH(Main!Q26,'Equip Data'!$B:$B,0))</f>
        <v>20</v>
      </c>
      <c r="E9" s="56">
        <f>INDEX('Exp Tables'!$N$3:$R$13,MATCH(F9,'Exp Tables'!$M$3:$M$13,0),MATCH(INDEX('Equip Data'!$C:$C,MATCH(Main!Q26,'Equip Data'!$B:$B,0)),'Exp Tables'!$N$2:$R$2,0))</f>
        <v>10000</v>
      </c>
      <c r="F9" s="56">
        <f>Main!R26</f>
        <v>10</v>
      </c>
      <c r="G9" s="56">
        <f>IF(INDEX('Equip Data'!F:F,MATCH($D9,'Equip Data'!$A:$A,0))="",0,Main!$S26*10000)</f>
        <v>0</v>
      </c>
      <c r="H9" s="56">
        <f>IF(INDEX('Equip Data'!G:G,MATCH($D9,'Equip Data'!$A:$A,0))="",0,Main!$S26*10000)</f>
        <v>0</v>
      </c>
      <c r="I9" s="56">
        <f>IF(INDEX('Equip Data'!H:H,MATCH($D9,'Equip Data'!$A:$A,0))="",0,Main!$S26*10000)</f>
        <v>0</v>
      </c>
      <c r="J9" s="56">
        <f>IF(INDEX('Equip Data'!I:I,MATCH($D9,'Equip Data'!$A:$A,0))="",0,Main!$S26*10000)</f>
        <v>0</v>
      </c>
      <c r="K9" s="56">
        <f>IF(INDEX('Equip Data'!J:J,MATCH($D9,'Equip Data'!$A:$A,0))="",0,Main!$S26*10000)</f>
        <v>0</v>
      </c>
      <c r="L9" s="56">
        <f>IF(INDEX('Equip Data'!K:K,MATCH($D9,'Equip Data'!$A:$A,0))="",0,Main!$S26*10000)</f>
        <v>0</v>
      </c>
      <c r="M9" s="56">
        <f>IF(INDEX('Equip Data'!L:L,MATCH($D9,'Equip Data'!$A:$A,0))="",0,Main!$S26*10000)</f>
        <v>0</v>
      </c>
      <c r="N9" s="56">
        <f>IF(INDEX('Equip Data'!M:M,MATCH($D9,'Equip Data'!$A:$A,0))="",0,Main!$S26*10000)</f>
        <v>10000</v>
      </c>
      <c r="O9" s="56">
        <f>IF(INDEX('Equip Data'!N:N,MATCH($D9,'Equip Data'!$A:$A,0))="",0,Main!$S26*10000)</f>
        <v>0</v>
      </c>
      <c r="P9" s="56">
        <f>IF(INDEX('Equip Data'!O:O,MATCH($D9,'Equip Data'!$A:$A,0))="",0,Main!$S26*10000)</f>
        <v>0</v>
      </c>
      <c r="Q9" s="56">
        <f>IF(INDEX('Equip Data'!P:P,MATCH($D9,'Equip Data'!$A:$A,0))="",0,Main!$S26*10000)</f>
        <v>0</v>
      </c>
      <c r="R9" s="56">
        <f>IF(INDEX('Equip Data'!Q:Q,MATCH($D9,'Equip Data'!$A:$A,0))="",0,Main!$S26*10000)</f>
        <v>0</v>
      </c>
      <c r="S9" s="56">
        <f>IF(INDEX('Equip Data'!R:R,MATCH($D9,'Equip Data'!$A:$A,0))="",0,Main!$S26*10000)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IF(Main!Q27="","",A5+5)</f>
        <v>9</v>
      </c>
      <c r="B10" s="56">
        <f>Main!$B$7</f>
        <v>562858</v>
      </c>
      <c r="C10" s="58">
        <f t="shared" si="0"/>
        <v>242</v>
      </c>
      <c r="D10" s="56">
        <f>INDEX('Equip Data'!$A:$A,MATCH(Main!Q27,'Equip Data'!$B:$B,0))</f>
        <v>72</v>
      </c>
      <c r="E10" s="56">
        <f>INDEX('Exp Tables'!$N$3:$R$13,MATCH(F10,'Exp Tables'!$M$3:$M$13,0),MATCH(INDEX('Equip Data'!$C:$C,MATCH(Main!Q27,'Equip Data'!$B:$B,0)),'Exp Tables'!$N$2:$R$2,0))</f>
        <v>10000</v>
      </c>
      <c r="F10" s="56">
        <f>Main!R27</f>
        <v>10</v>
      </c>
      <c r="G10" s="56">
        <f>IF(INDEX('Equip Data'!F:F,MATCH($D10,'Equip Data'!$A:$A,0))="",0,Main!$S27*10000)</f>
        <v>10000</v>
      </c>
      <c r="H10" s="56">
        <f>IF(INDEX('Equip Data'!G:G,MATCH($D10,'Equip Data'!$A:$A,0))="",0,Main!$S27*10000)</f>
        <v>0</v>
      </c>
      <c r="I10" s="56">
        <f>IF(INDEX('Equip Data'!H:H,MATCH($D10,'Equip Data'!$A:$A,0))="",0,Main!$S27*10000)</f>
        <v>0</v>
      </c>
      <c r="J10" s="56">
        <f>IF(INDEX('Equip Data'!I:I,MATCH($D10,'Equip Data'!$A:$A,0))="",0,Main!$S27*10000)</f>
        <v>0</v>
      </c>
      <c r="K10" s="56">
        <f>IF(INDEX('Equip Data'!J:J,MATCH($D10,'Equip Data'!$A:$A,0))="",0,Main!$S27*10000)</f>
        <v>0</v>
      </c>
      <c r="L10" s="56">
        <f>IF(INDEX('Equip Data'!K:K,MATCH($D10,'Equip Data'!$A:$A,0))="",0,Main!$S27*10000)</f>
        <v>0</v>
      </c>
      <c r="M10" s="56">
        <f>IF(INDEX('Equip Data'!L:L,MATCH($D10,'Equip Data'!$A:$A,0))="",0,Main!$S27*10000)</f>
        <v>0</v>
      </c>
      <c r="N10" s="56">
        <f>IF(INDEX('Equip Data'!M:M,MATCH($D10,'Equip Data'!$A:$A,0))="",0,Main!$S27*10000)</f>
        <v>10000</v>
      </c>
      <c r="O10" s="56">
        <f>IF(INDEX('Equip Data'!N:N,MATCH($D10,'Equip Data'!$A:$A,0))="",0,Main!$S27*10000)</f>
        <v>0</v>
      </c>
      <c r="P10" s="56">
        <f>IF(INDEX('Equip Data'!O:O,MATCH($D10,'Equip Data'!$A:$A,0))="",0,Main!$S27*10000)</f>
        <v>0</v>
      </c>
      <c r="Q10" s="56">
        <f>IF(INDEX('Equip Data'!P:P,MATCH($D10,'Equip Data'!$A:$A,0))="",0,Main!$S27*10000)</f>
        <v>0</v>
      </c>
      <c r="R10" s="56">
        <f>IF(INDEX('Equip Data'!Q:Q,MATCH($D10,'Equip Data'!$A:$A,0))="",0,Main!$S27*10000)</f>
        <v>0</v>
      </c>
      <c r="S10" s="56">
        <f>IF(INDEX('Equip Data'!R:R,MATCH($D10,'Equip Data'!$A:$A,0))="",0,Main!$S27*10000)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IF(Main!Q28="","",A6+5)</f>
        <v>10</v>
      </c>
      <c r="B11" s="57">
        <f>Main!$B$7</f>
        <v>562858</v>
      </c>
      <c r="C11" s="59">
        <f t="shared" si="0"/>
        <v>20026</v>
      </c>
      <c r="D11" s="57">
        <f>INDEX('Equip Data'!$A:$A,MATCH(Main!Q28,'Equip Data'!$B:$B,0))</f>
        <v>72</v>
      </c>
      <c r="E11" s="57">
        <f>INDEX('Exp Tables'!$N$3:$R$13,MATCH(F11,'Exp Tables'!$M$3:$M$13,0),MATCH(INDEX('Equip Data'!$C:$C,MATCH(Main!Q28,'Equip Data'!$B:$B,0)),'Exp Tables'!$N$2:$R$2,0))</f>
        <v>10000</v>
      </c>
      <c r="F11" s="57">
        <f>Main!R28</f>
        <v>10</v>
      </c>
      <c r="G11" s="57">
        <f>IF(INDEX('Equip Data'!F:F,MATCH($D11,'Equip Data'!$A:$A,0))="",0,Main!$S28*10000)</f>
        <v>10000</v>
      </c>
      <c r="H11" s="57">
        <f>IF(INDEX('Equip Data'!G:G,MATCH($D11,'Equip Data'!$A:$A,0))="",0,Main!$S28*10000)</f>
        <v>0</v>
      </c>
      <c r="I11" s="57">
        <f>IF(INDEX('Equip Data'!H:H,MATCH($D11,'Equip Data'!$A:$A,0))="",0,Main!$S28*10000)</f>
        <v>0</v>
      </c>
      <c r="J11" s="57">
        <f>IF(INDEX('Equip Data'!I:I,MATCH($D11,'Equip Data'!$A:$A,0))="",0,Main!$S28*10000)</f>
        <v>0</v>
      </c>
      <c r="K11" s="57">
        <f>IF(INDEX('Equip Data'!J:J,MATCH($D11,'Equip Data'!$A:$A,0))="",0,Main!$S28*10000)</f>
        <v>0</v>
      </c>
      <c r="L11" s="57">
        <f>IF(INDEX('Equip Data'!K:K,MATCH($D11,'Equip Data'!$A:$A,0))="",0,Main!$S28*10000)</f>
        <v>0</v>
      </c>
      <c r="M11" s="57">
        <f>IF(INDEX('Equip Data'!L:L,MATCH($D11,'Equip Data'!$A:$A,0))="",0,Main!$S28*10000)</f>
        <v>0</v>
      </c>
      <c r="N11" s="57">
        <f>IF(INDEX('Equip Data'!M:M,MATCH($D11,'Equip Data'!$A:$A,0))="",0,Main!$S28*10000)</f>
        <v>10000</v>
      </c>
      <c r="O11" s="57">
        <f>IF(INDEX('Equip Data'!N:N,MATCH($D11,'Equip Data'!$A:$A,0))="",0,Main!$S28*10000)</f>
        <v>0</v>
      </c>
      <c r="P11" s="57">
        <f>IF(INDEX('Equip Data'!O:O,MATCH($D11,'Equip Data'!$A:$A,0))="",0,Main!$S28*10000)</f>
        <v>0</v>
      </c>
      <c r="Q11" s="57">
        <f>IF(INDEX('Equip Data'!P:P,MATCH($D11,'Equip Data'!$A:$A,0))="",0,Main!$S28*10000)</f>
        <v>0</v>
      </c>
      <c r="R11" s="57">
        <f>IF(INDEX('Equip Data'!Q:Q,MATCH($D11,'Equip Data'!$A:$A,0))="",0,Main!$S28*10000)</f>
        <v>0</v>
      </c>
      <c r="S11" s="57">
        <f>IF(INDEX('Equip Data'!R:R,MATCH($D11,'Equip Data'!$A:$A,0))="",0,Main!$S28*10000)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IF(Main!U24="","",A2+10)</f>
        <v>11</v>
      </c>
      <c r="B12" s="56">
        <f>Main!$B$7</f>
        <v>562858</v>
      </c>
      <c r="C12" s="58">
        <f t="shared" si="0"/>
        <v>276</v>
      </c>
      <c r="D12" s="56">
        <f>INDEX('Equip Data'!$A:$A,MATCH(Main!U24,'Equip Data'!$B:$B,0))</f>
        <v>68</v>
      </c>
      <c r="E12" s="56">
        <f>INDEX('Exp Tables'!$N$3:$R$13,MATCH(F12,'Exp Tables'!$M$3:$M$13,0),MATCH(INDEX('Equip Data'!$C:$C,MATCH(Main!U24,'Equip Data'!$B:$B,0)),'Exp Tables'!$N$2:$R$2,0))</f>
        <v>10000</v>
      </c>
      <c r="F12" s="56">
        <f>Main!V24</f>
        <v>10</v>
      </c>
      <c r="G12" s="56">
        <f>IF(INDEX('Equip Data'!F:F,MATCH($D12,'Equip Data'!$A:$A,0))="",0,Main!$W24*10000)</f>
        <v>0</v>
      </c>
      <c r="H12" s="56">
        <f>IF(INDEX('Equip Data'!G:G,MATCH($D12,'Equip Data'!$A:$A,0))="",0,Main!$W24*10000)</f>
        <v>0</v>
      </c>
      <c r="I12" s="56">
        <f>IF(INDEX('Equip Data'!H:H,MATCH($D12,'Equip Data'!$A:$A,0))="",0,Main!$W24*10000)</f>
        <v>10000</v>
      </c>
      <c r="J12" s="56">
        <f>IF(INDEX('Equip Data'!I:I,MATCH($D12,'Equip Data'!$A:$A,0))="",0,Main!$W24*10000)</f>
        <v>0</v>
      </c>
      <c r="K12" s="56">
        <f>IF(INDEX('Equip Data'!J:J,MATCH($D12,'Equip Data'!$A:$A,0))="",0,Main!$W24*10000)</f>
        <v>0</v>
      </c>
      <c r="L12" s="56">
        <f>IF(INDEX('Equip Data'!K:K,MATCH($D12,'Equip Data'!$A:$A,0))="",0,Main!$W24*10000)</f>
        <v>0</v>
      </c>
      <c r="M12" s="56">
        <f>IF(INDEX('Equip Data'!L:L,MATCH($D12,'Equip Data'!$A:$A,0))="",0,Main!$W24*10000)</f>
        <v>0</v>
      </c>
      <c r="N12" s="56">
        <f>IF(INDEX('Equip Data'!M:M,MATCH($D12,'Equip Data'!$A:$A,0))="",0,Main!$W24*10000)</f>
        <v>0</v>
      </c>
      <c r="O12" s="56">
        <f>IF(INDEX('Equip Data'!N:N,MATCH($D12,'Equip Data'!$A:$A,0))="",0,Main!$W24*10000)</f>
        <v>0</v>
      </c>
      <c r="P12" s="56">
        <f>IF(INDEX('Equip Data'!O:O,MATCH($D12,'Equip Data'!$A:$A,0))="",0,Main!$W24*10000)</f>
        <v>0</v>
      </c>
      <c r="Q12" s="56">
        <f>IF(INDEX('Equip Data'!P:P,MATCH($D12,'Equip Data'!$A:$A,0))="",0,Main!$W24*10000)</f>
        <v>0</v>
      </c>
      <c r="R12" s="56">
        <f>IF(INDEX('Equip Data'!Q:Q,MATCH($D12,'Equip Data'!$A:$A,0))="",0,Main!$W24*10000)</f>
        <v>0</v>
      </c>
      <c r="S12" s="56">
        <f>IF(INDEX('Equip Data'!R:R,MATCH($D12,'Equip Data'!$A:$A,0))="",0,Main!$W24*10000)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IF(Main!U25="","",A3+10)</f>
        <v>12</v>
      </c>
      <c r="B13" s="56">
        <f>Main!$B$7</f>
        <v>562858</v>
      </c>
      <c r="C13" s="58">
        <f t="shared" si="0"/>
        <v>257</v>
      </c>
      <c r="D13" s="56">
        <f>INDEX('Equip Data'!$A:$A,MATCH(Main!U25,'Equip Data'!$B:$B,0))</f>
        <v>90</v>
      </c>
      <c r="E13" s="56">
        <f>INDEX('Exp Tables'!$N$3:$R$13,MATCH(F13,'Exp Tables'!$M$3:$M$13,0),MATCH(INDEX('Equip Data'!$C:$C,MATCH(Main!U25,'Equip Data'!$B:$B,0)),'Exp Tables'!$N$2:$R$2,0))</f>
        <v>10000</v>
      </c>
      <c r="F13" s="56">
        <f>Main!V25</f>
        <v>10</v>
      </c>
      <c r="G13" s="56">
        <f>IF(INDEX('Equip Data'!F:F,MATCH($D13,'Equip Data'!$A:$A,0))="",0,Main!$W25*10000)</f>
        <v>0</v>
      </c>
      <c r="H13" s="56">
        <f>IF(INDEX('Equip Data'!G:G,MATCH($D13,'Equip Data'!$A:$A,0))="",0,Main!$W25*10000)</f>
        <v>0</v>
      </c>
      <c r="I13" s="56">
        <f>IF(INDEX('Equip Data'!H:H,MATCH($D13,'Equip Data'!$A:$A,0))="",0,Main!$W25*10000)</f>
        <v>0</v>
      </c>
      <c r="J13" s="56">
        <f>IF(INDEX('Equip Data'!I:I,MATCH($D13,'Equip Data'!$A:$A,0))="",0,Main!$W25*10000)</f>
        <v>10000</v>
      </c>
      <c r="K13" s="56">
        <f>IF(INDEX('Equip Data'!J:J,MATCH($D13,'Equip Data'!$A:$A,0))="",0,Main!$W25*10000)</f>
        <v>0</v>
      </c>
      <c r="L13" s="56">
        <f>IF(INDEX('Equip Data'!K:K,MATCH($D13,'Equip Data'!$A:$A,0))="",0,Main!$W25*10000)</f>
        <v>10000</v>
      </c>
      <c r="M13" s="56">
        <f>IF(INDEX('Equip Data'!L:L,MATCH($D13,'Equip Data'!$A:$A,0))="",0,Main!$W25*10000)</f>
        <v>0</v>
      </c>
      <c r="N13" s="56">
        <f>IF(INDEX('Equip Data'!M:M,MATCH($D13,'Equip Data'!$A:$A,0))="",0,Main!$W25*10000)</f>
        <v>0</v>
      </c>
      <c r="O13" s="56">
        <f>IF(INDEX('Equip Data'!N:N,MATCH($D13,'Equip Data'!$A:$A,0))="",0,Main!$W25*10000)</f>
        <v>0</v>
      </c>
      <c r="P13" s="56">
        <f>IF(INDEX('Equip Data'!O:O,MATCH($D13,'Equip Data'!$A:$A,0))="",0,Main!$W25*10000)</f>
        <v>0</v>
      </c>
      <c r="Q13" s="56">
        <f>IF(INDEX('Equip Data'!P:P,MATCH($D13,'Equip Data'!$A:$A,0))="",0,Main!$W25*10000)</f>
        <v>0</v>
      </c>
      <c r="R13" s="56">
        <f>IF(INDEX('Equip Data'!Q:Q,MATCH($D13,'Equip Data'!$A:$A,0))="",0,Main!$W25*10000)</f>
        <v>0</v>
      </c>
      <c r="S13" s="56">
        <f>IF(INDEX('Equip Data'!R:R,MATCH($D13,'Equip Data'!$A:$A,0))="",0,Main!$W25*10000)</f>
        <v>0</v>
      </c>
      <c r="T13" s="56">
        <f>IF(INDEX('Equip Data'!S:S,MATCH($D13,'Equip Data'!$A:$A,0))="",0,10000)</f>
        <v>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IF(Main!U26="","",A4+10)</f>
        <v>13</v>
      </c>
      <c r="B14" s="56">
        <f>Main!$B$7</f>
        <v>562858</v>
      </c>
      <c r="C14" s="58">
        <f t="shared" si="0"/>
        <v>198</v>
      </c>
      <c r="D14" s="56">
        <f>INDEX('Equip Data'!$A:$A,MATCH(Main!U26,'Equip Data'!$B:$B,0))</f>
        <v>90</v>
      </c>
      <c r="E14" s="56">
        <f>INDEX('Exp Tables'!$N$3:$R$13,MATCH(F14,'Exp Tables'!$M$3:$M$13,0),MATCH(INDEX('Equip Data'!$C:$C,MATCH(Main!U26,'Equip Data'!$B:$B,0)),'Exp Tables'!$N$2:$R$2,0))</f>
        <v>10000</v>
      </c>
      <c r="F14" s="56">
        <f>Main!V26</f>
        <v>10</v>
      </c>
      <c r="G14" s="56">
        <f>IF(INDEX('Equip Data'!F:F,MATCH($D14,'Equip Data'!$A:$A,0))="",0,Main!$W26*10000)</f>
        <v>0</v>
      </c>
      <c r="H14" s="56">
        <f>IF(INDEX('Equip Data'!G:G,MATCH($D14,'Equip Data'!$A:$A,0))="",0,Main!$W26*10000)</f>
        <v>0</v>
      </c>
      <c r="I14" s="56">
        <f>IF(INDEX('Equip Data'!H:H,MATCH($D14,'Equip Data'!$A:$A,0))="",0,Main!$W26*10000)</f>
        <v>0</v>
      </c>
      <c r="J14" s="56">
        <f>IF(INDEX('Equip Data'!I:I,MATCH($D14,'Equip Data'!$A:$A,0))="",0,Main!$W26*10000)</f>
        <v>10000</v>
      </c>
      <c r="K14" s="56">
        <f>IF(INDEX('Equip Data'!J:J,MATCH($D14,'Equip Data'!$A:$A,0))="",0,Main!$W26*10000)</f>
        <v>0</v>
      </c>
      <c r="L14" s="56">
        <f>IF(INDEX('Equip Data'!K:K,MATCH($D14,'Equip Data'!$A:$A,0))="",0,Main!$W26*10000)</f>
        <v>10000</v>
      </c>
      <c r="M14" s="56">
        <f>IF(INDEX('Equip Data'!L:L,MATCH($D14,'Equip Data'!$A:$A,0))="",0,Main!$W26*10000)</f>
        <v>0</v>
      </c>
      <c r="N14" s="56">
        <f>IF(INDEX('Equip Data'!M:M,MATCH($D14,'Equip Data'!$A:$A,0))="",0,Main!$W26*10000)</f>
        <v>0</v>
      </c>
      <c r="O14" s="56">
        <f>IF(INDEX('Equip Data'!N:N,MATCH($D14,'Equip Data'!$A:$A,0))="",0,Main!$W26*10000)</f>
        <v>0</v>
      </c>
      <c r="P14" s="56">
        <f>IF(INDEX('Equip Data'!O:O,MATCH($D14,'Equip Data'!$A:$A,0))="",0,Main!$W26*10000)</f>
        <v>0</v>
      </c>
      <c r="Q14" s="56">
        <f>IF(INDEX('Equip Data'!P:P,MATCH($D14,'Equip Data'!$A:$A,0))="",0,Main!$W26*10000)</f>
        <v>0</v>
      </c>
      <c r="R14" s="56">
        <f>IF(INDEX('Equip Data'!Q:Q,MATCH($D14,'Equip Data'!$A:$A,0))="",0,Main!$W26*10000)</f>
        <v>0</v>
      </c>
      <c r="S14" s="56">
        <f>IF(INDEX('Equip Data'!R:R,MATCH($D14,'Equip Data'!$A:$A,0))="",0,Main!$W26*10000)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IF(Main!U27="","",A5+10)</f>
        <v>14</v>
      </c>
      <c r="B15" s="56">
        <f>Main!$B$7</f>
        <v>562858</v>
      </c>
      <c r="C15" s="58">
        <f t="shared" si="0"/>
        <v>242</v>
      </c>
      <c r="D15" s="56">
        <f>INDEX('Equip Data'!$A:$A,MATCH(Main!U27,'Equip Data'!$B:$B,0))</f>
        <v>40</v>
      </c>
      <c r="E15" s="56">
        <f>INDEX('Exp Tables'!$N$3:$R$13,MATCH(F15,'Exp Tables'!$M$3:$M$13,0),MATCH(INDEX('Equip Data'!$C:$C,MATCH(Main!U27,'Equip Data'!$B:$B,0)),'Exp Tables'!$N$2:$R$2,0))</f>
        <v>10000</v>
      </c>
      <c r="F15" s="56">
        <f>Main!V27</f>
        <v>10</v>
      </c>
      <c r="G15" s="56">
        <f>IF(INDEX('Equip Data'!F:F,MATCH($D15,'Equip Data'!$A:$A,0))="",0,Main!$W27*10000)</f>
        <v>10000</v>
      </c>
      <c r="H15" s="56">
        <f>IF(INDEX('Equip Data'!G:G,MATCH($D15,'Equip Data'!$A:$A,0))="",0,Main!$W27*10000)</f>
        <v>0</v>
      </c>
      <c r="I15" s="56">
        <f>IF(INDEX('Equip Data'!H:H,MATCH($D15,'Equip Data'!$A:$A,0))="",0,Main!$W27*10000)</f>
        <v>10000</v>
      </c>
      <c r="J15" s="56">
        <f>IF(INDEX('Equip Data'!I:I,MATCH($D15,'Equip Data'!$A:$A,0))="",0,Main!$W27*10000)</f>
        <v>0</v>
      </c>
      <c r="K15" s="56">
        <f>IF(INDEX('Equip Data'!J:J,MATCH($D15,'Equip Data'!$A:$A,0))="",0,Main!$W27*10000)</f>
        <v>0</v>
      </c>
      <c r="L15" s="56">
        <f>IF(INDEX('Equip Data'!K:K,MATCH($D15,'Equip Data'!$A:$A,0))="",0,Main!$W27*10000)</f>
        <v>0</v>
      </c>
      <c r="M15" s="56">
        <f>IF(INDEX('Equip Data'!L:L,MATCH($D15,'Equip Data'!$A:$A,0))="",0,Main!$W27*10000)</f>
        <v>0</v>
      </c>
      <c r="N15" s="56">
        <f>IF(INDEX('Equip Data'!M:M,MATCH($D15,'Equip Data'!$A:$A,0))="",0,Main!$W27*10000)</f>
        <v>0</v>
      </c>
      <c r="O15" s="56">
        <f>IF(INDEX('Equip Data'!N:N,MATCH($D15,'Equip Data'!$A:$A,0))="",0,Main!$W27*10000)</f>
        <v>0</v>
      </c>
      <c r="P15" s="56">
        <f>IF(INDEX('Equip Data'!O:O,MATCH($D15,'Equip Data'!$A:$A,0))="",0,Main!$W27*10000)</f>
        <v>0</v>
      </c>
      <c r="Q15" s="56">
        <f>IF(INDEX('Equip Data'!P:P,MATCH($D15,'Equip Data'!$A:$A,0))="",0,Main!$W27*10000)</f>
        <v>0</v>
      </c>
      <c r="R15" s="56">
        <f>IF(INDEX('Equip Data'!Q:Q,MATCH($D15,'Equip Data'!$A:$A,0))="",0,Main!$W27*10000)</f>
        <v>0</v>
      </c>
      <c r="S15" s="56">
        <f>IF(INDEX('Equip Data'!R:R,MATCH($D15,'Equip Data'!$A:$A,0))="",0,Main!$W27*10000)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IF(Main!U28="","",A6+10)</f>
        <v>15</v>
      </c>
      <c r="B16" s="57">
        <f>Main!$B$7</f>
        <v>562858</v>
      </c>
      <c r="C16" s="59">
        <f t="shared" si="0"/>
        <v>20026</v>
      </c>
      <c r="D16" s="57">
        <f>INDEX('Equip Data'!$A:$A,MATCH(Main!U28,'Equip Data'!$B:$B,0))</f>
        <v>62</v>
      </c>
      <c r="E16" s="57">
        <f>INDEX('Exp Tables'!$N$3:$R$13,MATCH(F16,'Exp Tables'!$M$3:$M$13,0),MATCH(INDEX('Equip Data'!$C:$C,MATCH(Main!U28,'Equip Data'!$B:$B,0)),'Exp Tables'!$N$2:$R$2,0))</f>
        <v>30000</v>
      </c>
      <c r="F16" s="57">
        <f>Main!V28</f>
        <v>10</v>
      </c>
      <c r="G16" s="57">
        <f>IF(INDEX('Equip Data'!F:F,MATCH($D16,'Equip Data'!$A:$A,0))="",0,Main!$W28*10000)</f>
        <v>10000</v>
      </c>
      <c r="H16" s="57">
        <f>IF(INDEX('Equip Data'!G:G,MATCH($D16,'Equip Data'!$A:$A,0))="",0,Main!$W28*10000)</f>
        <v>0</v>
      </c>
      <c r="I16" s="57">
        <f>IF(INDEX('Equip Data'!H:H,MATCH($D16,'Equip Data'!$A:$A,0))="",0,Main!$W28*10000)</f>
        <v>10000</v>
      </c>
      <c r="J16" s="57">
        <f>IF(INDEX('Equip Data'!I:I,MATCH($D16,'Equip Data'!$A:$A,0))="",0,Main!$W28*10000)</f>
        <v>0</v>
      </c>
      <c r="K16" s="57">
        <f>IF(INDEX('Equip Data'!J:J,MATCH($D16,'Equip Data'!$A:$A,0))="",0,Main!$W28*10000)</f>
        <v>0</v>
      </c>
      <c r="L16" s="57">
        <f>IF(INDEX('Equip Data'!K:K,MATCH($D16,'Equip Data'!$A:$A,0))="",0,Main!$W28*10000)</f>
        <v>0</v>
      </c>
      <c r="M16" s="57">
        <f>IF(INDEX('Equip Data'!L:L,MATCH($D16,'Equip Data'!$A:$A,0))="",0,Main!$W28*10000)</f>
        <v>0</v>
      </c>
      <c r="N16" s="57">
        <f>IF(INDEX('Equip Data'!M:M,MATCH($D16,'Equip Data'!$A:$A,0))="",0,Main!$W28*10000)</f>
        <v>0</v>
      </c>
      <c r="O16" s="57">
        <f>IF(INDEX('Equip Data'!N:N,MATCH($D16,'Equip Data'!$A:$A,0))="",0,Main!$W28*10000)</f>
        <v>0</v>
      </c>
      <c r="P16" s="57">
        <f>IF(INDEX('Equip Data'!O:O,MATCH($D16,'Equip Data'!$A:$A,0))="",0,Main!$W28*10000)</f>
        <v>0</v>
      </c>
      <c r="Q16" s="57">
        <f>IF(INDEX('Equip Data'!P:P,MATCH($D16,'Equip Data'!$A:$A,0))="",0,Main!$W28*10000)</f>
        <v>0</v>
      </c>
      <c r="R16" s="57">
        <f>IF(INDEX('Equip Data'!Q:Q,MATCH($D16,'Equip Data'!$A:$A,0))="",0,Main!$W28*10000)</f>
        <v>0</v>
      </c>
      <c r="S16" s="57">
        <f>IF(INDEX('Equip Data'!R:R,MATCH($D16,'Equip Data'!$A:$A,0))="",0,Main!$W28*10000)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12" t="s">
        <v>25</v>
      </c>
      <c r="B1" s="112" t="s">
        <v>26</v>
      </c>
      <c r="C1" s="112" t="s">
        <v>735</v>
      </c>
      <c r="D1" s="112" t="s">
        <v>30</v>
      </c>
      <c r="E1" s="112" t="s">
        <v>736</v>
      </c>
      <c r="F1" s="112" t="s">
        <v>737</v>
      </c>
      <c r="G1" s="112" t="s">
        <v>738</v>
      </c>
      <c r="H1" s="112" t="s">
        <v>692</v>
      </c>
      <c r="I1" s="112" t="s">
        <v>739</v>
      </c>
      <c r="J1" s="112" t="s">
        <v>740</v>
      </c>
      <c r="K1" s="112" t="s">
        <v>44</v>
      </c>
      <c r="L1" s="112" t="s">
        <v>685</v>
      </c>
      <c r="M1" s="112" t="s">
        <v>688</v>
      </c>
      <c r="N1" s="112" t="s">
        <v>689</v>
      </c>
      <c r="O1" s="112" t="s">
        <v>741</v>
      </c>
      <c r="P1" s="112" t="s">
        <v>54</v>
      </c>
    </row>
    <row r="2" spans="1:16" x14ac:dyDescent="0.25">
      <c r="A2" s="1">
        <f>IF(Main!M33="","",1)</f>
        <v>1</v>
      </c>
      <c r="B2" s="1">
        <f>Main!B7</f>
        <v>562858</v>
      </c>
      <c r="C2" s="1">
        <f>INDEX('Fairy Data'!$A:$A,MATCH(Main!M33,'Fairy Data'!$B:$B,0))</f>
        <v>11</v>
      </c>
      <c r="D2" s="1">
        <v>1</v>
      </c>
      <c r="E2" s="1">
        <f>Main!O33</f>
        <v>100</v>
      </c>
      <c r="F2" s="1">
        <f>VLOOKUP(E2,'Exp Tables'!$E$3:$G$102,3,FALSE)</f>
        <v>9999000</v>
      </c>
      <c r="G2" s="1">
        <f>Main!N33</f>
        <v>5</v>
      </c>
      <c r="H2" s="1">
        <f>INDEX('Fairy Data'!$E$2:$I$100,MATCH(A2,'Fairy Data'!$A$2:$A$100,0),MATCH("exp"&amp;G2,'Fairy Data'!$E$1:$I$1,0))</f>
        <v>3000</v>
      </c>
      <c r="I2" s="1">
        <f>Main!P33</f>
        <v>10</v>
      </c>
      <c r="J2" s="1">
        <f>VLOOKUP(Main!Q33,'Talent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>
      <selection activeCell="C1" sqref="C1"/>
    </sheetView>
  </sheetViews>
  <sheetFormatPr defaultRowHeight="15" x14ac:dyDescent="0.25"/>
  <sheetData>
    <row r="1" spans="1:33" x14ac:dyDescent="0.25">
      <c r="A1" s="112" t="s">
        <v>25</v>
      </c>
      <c r="B1" s="112" t="s">
        <v>1061</v>
      </c>
      <c r="C1" s="112" t="s">
        <v>1062</v>
      </c>
      <c r="D1" s="112" t="s">
        <v>1063</v>
      </c>
      <c r="E1" s="112" t="s">
        <v>297</v>
      </c>
      <c r="F1" s="112" t="s">
        <v>1064</v>
      </c>
      <c r="G1" s="112" t="s">
        <v>34</v>
      </c>
      <c r="H1" s="112" t="s">
        <v>1065</v>
      </c>
      <c r="I1" s="112" t="s">
        <v>35</v>
      </c>
      <c r="J1" s="112" t="s">
        <v>36</v>
      </c>
      <c r="K1" s="112" t="s">
        <v>1066</v>
      </c>
      <c r="L1" s="112" t="s">
        <v>1067</v>
      </c>
      <c r="M1" s="112" t="s">
        <v>1068</v>
      </c>
      <c r="N1" s="112" t="s">
        <v>1069</v>
      </c>
      <c r="O1" s="112" t="s">
        <v>1070</v>
      </c>
      <c r="P1" s="112" t="s">
        <v>1071</v>
      </c>
      <c r="Q1" s="112" t="s">
        <v>38</v>
      </c>
      <c r="R1" s="112" t="s">
        <v>1072</v>
      </c>
      <c r="S1" s="112" t="s">
        <v>41</v>
      </c>
      <c r="T1" s="112" t="s">
        <v>42</v>
      </c>
      <c r="U1" s="112" t="s">
        <v>1073</v>
      </c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33" x14ac:dyDescent="0.25">
      <c r="A2" s="1" t="str">
        <f>IF(Main!A33="","",1000&amp;Main!B33)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Main!D33-'Stat Calc'!AI3</f>
        <v>410</v>
      </c>
      <c r="L2" s="39">
        <f>Main!G33-'Stat Calc'!AJ3</f>
        <v>105</v>
      </c>
      <c r="M2" s="39">
        <f>Main!F33-'Stat Calc'!AK3</f>
        <v>450</v>
      </c>
      <c r="N2" s="39">
        <f>Main!E33-'Stat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Main!H33</f>
        <v>10</v>
      </c>
      <c r="T2" s="1">
        <f>Main!I33</f>
        <v>10</v>
      </c>
      <c r="U2" s="1">
        <f>Main!J33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IF(Main!A34="","",1000&amp;Main!B34)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Main!D34-'Stat Calc'!AI4</f>
        <v>257</v>
      </c>
      <c r="L3" s="39">
        <f>Main!G34-'Stat Calc'!AJ4</f>
        <v>596</v>
      </c>
      <c r="M3" s="39">
        <f>Main!F34-'Stat Calc'!AK4</f>
        <v>314</v>
      </c>
      <c r="N3" s="39">
        <f>Main!E34-'Stat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Main!H34</f>
        <v>10</v>
      </c>
      <c r="T3" s="1">
        <f>Main!I34</f>
        <v>10</v>
      </c>
      <c r="U3" s="1">
        <f>Main!J34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IF(Main!A35="","",1000&amp;Main!B35)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Main!D35-'Stat Calc'!AI5</f>
        <v>569</v>
      </c>
      <c r="L4" s="39">
        <f>Main!G35-'Stat Calc'!AJ5</f>
        <v>252</v>
      </c>
      <c r="M4" s="39">
        <f>Main!F35-'Stat Calc'!AK5</f>
        <v>230</v>
      </c>
      <c r="N4" s="39">
        <f>Main!E35-'Stat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Main!H35</f>
        <v>10</v>
      </c>
      <c r="T4" s="1">
        <f>Main!I35</f>
        <v>10</v>
      </c>
      <c r="U4" s="1">
        <f>Main!J35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IF(Main!A36="","",1000&amp;Main!B36)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Main!D36-'Stat Calc'!AI6</f>
        <v>481</v>
      </c>
      <c r="L5" s="39">
        <f>Main!G36-'Stat Calc'!AJ6</f>
        <v>340</v>
      </c>
      <c r="M5" s="39">
        <f>Main!F36-'Stat Calc'!AK6</f>
        <v>226</v>
      </c>
      <c r="N5" s="39">
        <f>Main!E36-'Stat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Main!H36</f>
        <v>10</v>
      </c>
      <c r="T5" s="1">
        <f>Main!I36</f>
        <v>10</v>
      </c>
      <c r="U5" s="1">
        <f>Main!J36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IF(Main!A37="","",1000&amp;Main!B37)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Main!D37-'Stat Calc'!AI7</f>
        <v>385</v>
      </c>
      <c r="L6" s="39">
        <f>Main!G37-'Stat Calc'!AJ7</f>
        <v>204</v>
      </c>
      <c r="M6" s="39">
        <f>Main!F37-'Stat Calc'!AK7</f>
        <v>437</v>
      </c>
      <c r="N6" s="39">
        <f>Main!E37-'Stat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Main!H37</f>
        <v>10</v>
      </c>
      <c r="T6" s="1">
        <f>Main!I37</f>
        <v>10</v>
      </c>
      <c r="U6" s="1">
        <f>Main!J37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IF(Main!A38="","",1000&amp;Main!B38)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Main!D38-'Stat Calc'!AI8</f>
        <v>51</v>
      </c>
      <c r="L7" s="39">
        <f>Main!G38-'Stat Calc'!AJ8</f>
        <v>219</v>
      </c>
      <c r="M7" s="39">
        <f>Main!F38-'Stat Calc'!AK8</f>
        <v>125</v>
      </c>
      <c r="N7" s="39">
        <f>Main!E38-'Stat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Main!H38</f>
        <v>10</v>
      </c>
      <c r="T7" s="1">
        <f>Main!I38</f>
        <v>10</v>
      </c>
      <c r="U7" s="1">
        <f>Main!J38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IF(Main!A39="","",1000&amp;Main!B39)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Main!D39-'Stat Calc'!AI9</f>
        <v>378</v>
      </c>
      <c r="L8" s="39">
        <f>Main!G39-'Stat Calc'!AJ9</f>
        <v>178</v>
      </c>
      <c r="M8" s="39">
        <f>Main!F39-'Stat Calc'!AK9</f>
        <v>380</v>
      </c>
      <c r="N8" s="39">
        <f>Main!E39-'Stat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Main!H39</f>
        <v>10</v>
      </c>
      <c r="T8" s="1">
        <f>Main!I39</f>
        <v>10</v>
      </c>
      <c r="U8" s="1">
        <f>Main!J39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913</v>
      </c>
      <c r="B1" s="43" t="s">
        <v>909</v>
      </c>
      <c r="C1" s="43" t="s">
        <v>914</v>
      </c>
    </row>
    <row r="2" spans="1:3" x14ac:dyDescent="0.25">
      <c r="A2" t="s">
        <v>911</v>
      </c>
      <c r="B2" s="1">
        <f>IF(DayNight="Day",25,25)</f>
        <v>25</v>
      </c>
      <c r="C2" s="9" t="str">
        <f>IF(Main!A53="X",'Misc Inputs'!$C$19,CHAR(34)&amp;"fairy_skill_on_enemy"&amp;CHAR(34)&amp;": "&amp;CHAR(34)&amp;"[]"&amp;CHAR(34)&amp;",")</f>
        <v>"fairy_skill_on_enemy": "[]",</v>
      </c>
    </row>
    <row r="3" spans="1:3" x14ac:dyDescent="0.25">
      <c r="A3" t="s">
        <v>910</v>
      </c>
      <c r="B3" s="1">
        <f>IF(DayNight="Day",29,33)</f>
        <v>29</v>
      </c>
      <c r="C3" s="9" t="str">
        <f>IFERROR(INDEX('Misc Inputs'!$F$9:$F$15,MATCH("X",Main!$A$43:$A$49,0)),CHAR(34)&amp;A3&amp;CHAR(34)&amp;": "&amp;CHAR(34)&amp;"[]"&amp;CHAR(34)&amp;",")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4" spans="1:3" x14ac:dyDescent="0.25">
      <c r="A4" t="s">
        <v>912</v>
      </c>
      <c r="B4" s="1">
        <f>IF(DayNight="Day",64,77)</f>
        <v>64</v>
      </c>
      <c r="C4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913</v>
      </c>
      <c r="B1" s="43" t="s">
        <v>909</v>
      </c>
      <c r="C1" s="43" t="s">
        <v>914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1020</v>
      </c>
      <c r="B3" s="1">
        <v>6</v>
      </c>
      <c r="C3" s="9" t="str">
        <f>CHAR(34)&amp;A3&amp;CHAR(34)&amp;": "&amp;IF(NodeColor="Yellow",0,IF(NodeColor="Blue",1,IF(NodeColor="Red",2,3)))&amp;","</f>
        <v>"spot_belong": 1,</v>
      </c>
    </row>
    <row r="4" spans="1:3" x14ac:dyDescent="0.25">
      <c r="A4" t="s">
        <v>1018</v>
      </c>
      <c r="B4" s="1">
        <v>7</v>
      </c>
      <c r="C4" s="9" t="str">
        <f>CHAR(34)&amp;A4&amp;CHAR(34)&amp;": "&amp;EnemyID&amp;","</f>
        <v>"enemy_team_id": 363053,</v>
      </c>
    </row>
    <row r="5" spans="1:3" x14ac:dyDescent="0.25">
      <c r="A5" t="s">
        <v>1019</v>
      </c>
      <c r="B5" s="1">
        <v>8</v>
      </c>
      <c r="C5" s="9" t="str">
        <f>CHAR(34)&amp;A5&amp;CHAR(34)&amp;": "&amp;CHAR(34)&amp;BossHP&amp;CHAR(34)&amp;","</f>
        <v>"boss_hp": "260000",</v>
      </c>
    </row>
    <row r="6" spans="1:3" x14ac:dyDescent="0.25">
      <c r="A6" t="s">
        <v>1021</v>
      </c>
      <c r="B6" s="1">
        <v>9</v>
      </c>
      <c r="C6" s="9" t="str">
        <f>CHAR(34)&amp;A6&amp;CHAR(34)&amp;": "&amp;LOWER(FairySkill)&amp;","</f>
        <v>"fairy_skill": false,</v>
      </c>
    </row>
    <row r="7" spans="1:3" x14ac:dyDescent="0.25">
      <c r="A7" t="s">
        <v>1022</v>
      </c>
      <c r="B7" s="1">
        <v>10</v>
      </c>
      <c r="C7" s="9" t="str">
        <f>CHAR(34)&amp;A7&amp;CHAR(34)&amp;": "&amp;LOWER(HOCSupport)&amp;","</f>
        <v>"squad_skill": false,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L42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376</v>
      </c>
      <c r="I1" s="10" t="s">
        <v>1027</v>
      </c>
      <c r="Q1" s="10" t="s">
        <v>1028</v>
      </c>
      <c r="Y1" s="10" t="s">
        <v>1029</v>
      </c>
      <c r="Z1" s="10"/>
      <c r="AH1" s="10" t="s">
        <v>1074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382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26" t="s">
        <v>8</v>
      </c>
      <c r="AI2" s="127" t="s">
        <v>1058</v>
      </c>
      <c r="AJ2" s="127" t="s">
        <v>1060</v>
      </c>
      <c r="AK2" s="127" t="s">
        <v>1059</v>
      </c>
      <c r="AL2" s="128" t="s">
        <v>1057</v>
      </c>
    </row>
    <row r="3" spans="1:38" x14ac:dyDescent="0.25">
      <c r="A3" s="67" t="s">
        <v>3</v>
      </c>
      <c r="B3" s="143">
        <v>0.6</v>
      </c>
      <c r="C3" s="144">
        <v>0.6</v>
      </c>
      <c r="D3" s="144">
        <v>0.8</v>
      </c>
      <c r="E3" s="144">
        <v>1.2</v>
      </c>
      <c r="F3" s="144">
        <v>1.8</v>
      </c>
      <c r="G3" s="145">
        <v>0</v>
      </c>
      <c r="I3" s="66">
        <v>1</v>
      </c>
      <c r="J3" s="72">
        <f>INDEX($B$3:$G$8,MATCH(Main!$C24,$A$3:$A$8,0),MATCH(J$2,$B$2:$G$2,0))</f>
        <v>1.5</v>
      </c>
      <c r="K3" s="73">
        <f>INDEX($B$3:$G$8,MATCH(Main!$C24,$A$3:$A$8,0),MATCH(K$2,$B$2:$G$2,0))</f>
        <v>1.8</v>
      </c>
      <c r="L3" s="73">
        <f>INDEX($B$3:$G$8,MATCH(Main!$C24,$A$3:$A$8,0),MATCH(L$2,$B$2:$G$2,0))</f>
        <v>1.6</v>
      </c>
      <c r="M3" s="73">
        <f>INDEX($B$3:$G$8,MATCH(Main!$C24,$A$3:$A$8,0),MATCH(M$2,$B$2:$G$2,0))</f>
        <v>0.6</v>
      </c>
      <c r="N3" s="73">
        <f>INDEX($B$3:$G$8,MATCH(Main!$C24,$A$3:$A$8,0),MATCH(N$2,$B$2:$G$2,0))</f>
        <v>0.6</v>
      </c>
      <c r="O3" s="74">
        <f>INDEX($B$3:$G$8,MATCH(Main!$C24,$A$3:$A$8,0),MATCH(O$2,$B$2:$G$2,0))</f>
        <v>0</v>
      </c>
      <c r="Q3" s="66">
        <v>1</v>
      </c>
      <c r="R3" s="72">
        <f t="shared" ref="R3:W7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Main!E24</f>
        <v>100</v>
      </c>
      <c r="AA3" s="76">
        <f>_xlfn.CEILING.MATH((J10+($Z3-1)*J17)*J3*J38/100)</f>
        <v>198</v>
      </c>
      <c r="AB3" s="76">
        <f t="shared" ref="AB3:AE7" si="1">_xlfn.CEILING.MATH(K10*K3*K38/100)+_xlfn.CEILING.MATH((K31+($Z3-1)*K24)*K3*K38*$P38/100/100)</f>
        <v>109</v>
      </c>
      <c r="AC3" s="76">
        <f t="shared" si="1"/>
        <v>110</v>
      </c>
      <c r="AD3" s="76">
        <f t="shared" si="1"/>
        <v>22</v>
      </c>
      <c r="AE3" s="76">
        <f t="shared" si="1"/>
        <v>21</v>
      </c>
      <c r="AF3" s="77">
        <f>_xlfn.CEILING.MATH((O10+($Z3-1)*O17)*O3*O38/100)</f>
        <v>0</v>
      </c>
      <c r="AH3" s="49" t="s">
        <v>1049</v>
      </c>
      <c r="AI3" s="134">
        <v>52</v>
      </c>
      <c r="AJ3" s="135">
        <v>28</v>
      </c>
      <c r="AK3" s="135">
        <v>118</v>
      </c>
      <c r="AL3" s="136">
        <v>135</v>
      </c>
    </row>
    <row r="4" spans="1:38" x14ac:dyDescent="0.25">
      <c r="A4" s="68" t="s">
        <v>7</v>
      </c>
      <c r="B4" s="146">
        <v>1.6</v>
      </c>
      <c r="C4" s="147">
        <v>0.6</v>
      </c>
      <c r="D4" s="147">
        <v>1.2</v>
      </c>
      <c r="E4" s="147">
        <v>0.3</v>
      </c>
      <c r="F4" s="147">
        <v>1.6</v>
      </c>
      <c r="G4" s="148">
        <v>0</v>
      </c>
      <c r="I4" s="78">
        <v>2</v>
      </c>
      <c r="J4" s="79">
        <f>INDEX($B$3:$G$8,MATCH(Main!$C25,$A$3:$A$8,0),MATCH(J$2,$B$2:$G$2,0))</f>
        <v>0.8</v>
      </c>
      <c r="K4" s="80">
        <f>INDEX($B$3:$G$8,MATCH(Main!$C25,$A$3:$A$8,0),MATCH(K$2,$B$2:$G$2,0))</f>
        <v>2.4</v>
      </c>
      <c r="L4" s="80">
        <f>INDEX($B$3:$G$8,MATCH(Main!$C25,$A$3:$A$8,0),MATCH(L$2,$B$2:$G$2,0))</f>
        <v>0.5</v>
      </c>
      <c r="M4" s="80">
        <f>INDEX($B$3:$G$8,MATCH(Main!$C25,$A$3:$A$8,0),MATCH(M$2,$B$2:$G$2,0))</f>
        <v>1.6</v>
      </c>
      <c r="N4" s="80">
        <f>INDEX($B$3:$G$8,MATCH(Main!$C25,$A$3:$A$8,0),MATCH(N$2,$B$2:$G$2,0))</f>
        <v>0.8</v>
      </c>
      <c r="O4" s="81">
        <f>INDEX($B$3:$G$8,MATCH(Main!$C25,$A$3:$A$8,0),MATCH(O$2,$B$2:$G$2,0))</f>
        <v>0</v>
      </c>
      <c r="Q4" s="78">
        <v>2</v>
      </c>
      <c r="R4" s="79">
        <f t="shared" si="0"/>
        <v>0.8</v>
      </c>
      <c r="S4" s="80">
        <f t="shared" si="0"/>
        <v>2.4</v>
      </c>
      <c r="T4" s="80">
        <f t="shared" si="0"/>
        <v>0.5</v>
      </c>
      <c r="U4" s="80">
        <f t="shared" si="0"/>
        <v>1.6</v>
      </c>
      <c r="V4" s="80">
        <f t="shared" si="0"/>
        <v>0.8</v>
      </c>
      <c r="W4" s="81">
        <f t="shared" si="0"/>
        <v>0</v>
      </c>
      <c r="Y4" s="78">
        <v>2</v>
      </c>
      <c r="Z4" s="82">
        <f>Main!E25</f>
        <v>100</v>
      </c>
      <c r="AA4" s="83">
        <f>_xlfn.CEILING.MATH((J11+($Z4-1)*J18)*J4*J39/100)</f>
        <v>88</v>
      </c>
      <c r="AB4" s="83">
        <f t="shared" si="1"/>
        <v>145</v>
      </c>
      <c r="AC4" s="83">
        <f t="shared" si="1"/>
        <v>34</v>
      </c>
      <c r="AD4" s="83">
        <f t="shared" si="1"/>
        <v>96</v>
      </c>
      <c r="AE4" s="83">
        <f t="shared" si="1"/>
        <v>31</v>
      </c>
      <c r="AF4" s="84">
        <f>_xlfn.CEILING.MATH((O11+($Z4-1)*O18)*O4*O39/100)</f>
        <v>0</v>
      </c>
      <c r="AH4" s="49" t="s">
        <v>1050</v>
      </c>
      <c r="AI4" s="137">
        <v>27</v>
      </c>
      <c r="AJ4" s="138">
        <v>130</v>
      </c>
      <c r="AK4" s="138">
        <v>67</v>
      </c>
      <c r="AL4" s="139">
        <v>49</v>
      </c>
    </row>
    <row r="5" spans="1:38" x14ac:dyDescent="0.25">
      <c r="A5" s="68" t="s">
        <v>6</v>
      </c>
      <c r="B5" s="146">
        <v>0.8</v>
      </c>
      <c r="C5" s="147">
        <v>2.4</v>
      </c>
      <c r="D5" s="147">
        <v>0.5</v>
      </c>
      <c r="E5" s="147">
        <v>1.6</v>
      </c>
      <c r="F5" s="147">
        <v>0.8</v>
      </c>
      <c r="G5" s="148">
        <v>0</v>
      </c>
      <c r="I5" s="78">
        <v>3</v>
      </c>
      <c r="J5" s="79">
        <f>INDEX($B$3:$G$8,MATCH(Main!$C26,$A$3:$A$8,0),MATCH(J$2,$B$2:$G$2,0))</f>
        <v>0.8</v>
      </c>
      <c r="K5" s="80">
        <f>INDEX($B$3:$G$8,MATCH(Main!$C26,$A$3:$A$8,0),MATCH(K$2,$B$2:$G$2,0))</f>
        <v>2.4</v>
      </c>
      <c r="L5" s="80">
        <f>INDEX($B$3:$G$8,MATCH(Main!$C26,$A$3:$A$8,0),MATCH(L$2,$B$2:$G$2,0))</f>
        <v>0.5</v>
      </c>
      <c r="M5" s="80">
        <f>INDEX($B$3:$G$8,MATCH(Main!$C26,$A$3:$A$8,0),MATCH(M$2,$B$2:$G$2,0))</f>
        <v>1.6</v>
      </c>
      <c r="N5" s="80">
        <f>INDEX($B$3:$G$8,MATCH(Main!$C26,$A$3:$A$8,0),MATCH(N$2,$B$2:$G$2,0))</f>
        <v>0.8</v>
      </c>
      <c r="O5" s="81">
        <f>INDEX($B$3:$G$8,MATCH(Main!$C26,$A$3:$A$8,0),MATCH(O$2,$B$2:$G$2,0))</f>
        <v>0</v>
      </c>
      <c r="Q5" s="78">
        <v>3</v>
      </c>
      <c r="R5" s="79">
        <f t="shared" si="0"/>
        <v>0.8</v>
      </c>
      <c r="S5" s="80">
        <f t="shared" si="0"/>
        <v>2.4</v>
      </c>
      <c r="T5" s="80">
        <f t="shared" si="0"/>
        <v>0.5</v>
      </c>
      <c r="U5" s="80">
        <f t="shared" si="0"/>
        <v>1.6</v>
      </c>
      <c r="V5" s="80">
        <f t="shared" si="0"/>
        <v>0.8</v>
      </c>
      <c r="W5" s="81">
        <f t="shared" si="0"/>
        <v>0</v>
      </c>
      <c r="Y5" s="78">
        <v>3</v>
      </c>
      <c r="Z5" s="82">
        <f>Main!E26</f>
        <v>100</v>
      </c>
      <c r="AA5" s="83">
        <f>_xlfn.CEILING.MATH((J12+($Z5-1)*J19)*J5*J40/100)</f>
        <v>73</v>
      </c>
      <c r="AB5" s="83">
        <f t="shared" si="1"/>
        <v>146</v>
      </c>
      <c r="AC5" s="83">
        <f t="shared" si="1"/>
        <v>34</v>
      </c>
      <c r="AD5" s="83">
        <f t="shared" si="1"/>
        <v>90</v>
      </c>
      <c r="AE5" s="83">
        <f t="shared" si="1"/>
        <v>44</v>
      </c>
      <c r="AF5" s="84">
        <f>_xlfn.CEILING.MATH((O12+($Z5-1)*O19)*O5*O40/100)</f>
        <v>0</v>
      </c>
      <c r="AH5" s="49" t="s">
        <v>1051</v>
      </c>
      <c r="AI5" s="137">
        <v>51</v>
      </c>
      <c r="AJ5" s="138">
        <v>54</v>
      </c>
      <c r="AK5" s="138">
        <v>46</v>
      </c>
      <c r="AL5" s="139">
        <v>20</v>
      </c>
    </row>
    <row r="6" spans="1:38" x14ac:dyDescent="0.25">
      <c r="A6" s="68" t="s">
        <v>2</v>
      </c>
      <c r="B6" s="146">
        <v>1</v>
      </c>
      <c r="C6" s="147">
        <v>1</v>
      </c>
      <c r="D6" s="147">
        <v>1</v>
      </c>
      <c r="E6" s="147">
        <v>1</v>
      </c>
      <c r="F6" s="147">
        <v>1</v>
      </c>
      <c r="G6" s="148">
        <v>0</v>
      </c>
      <c r="I6" s="78">
        <v>4</v>
      </c>
      <c r="J6" s="79">
        <f>INDEX($B$3:$G$8,MATCH(Main!$C27,$A$3:$A$8,0),MATCH(J$2,$B$2:$G$2,0))</f>
        <v>0.6</v>
      </c>
      <c r="K6" s="80">
        <f>INDEX($B$3:$G$8,MATCH(Main!$C27,$A$3:$A$8,0),MATCH(K$2,$B$2:$G$2,0))</f>
        <v>0.6</v>
      </c>
      <c r="L6" s="80">
        <f>INDEX($B$3:$G$8,MATCH(Main!$C27,$A$3:$A$8,0),MATCH(L$2,$B$2:$G$2,0))</f>
        <v>0.8</v>
      </c>
      <c r="M6" s="80">
        <f>INDEX($B$3:$G$8,MATCH(Main!$C27,$A$3:$A$8,0),MATCH(M$2,$B$2:$G$2,0))</f>
        <v>1.2</v>
      </c>
      <c r="N6" s="80">
        <f>INDEX($B$3:$G$8,MATCH(Main!$C27,$A$3:$A$8,0),MATCH(N$2,$B$2:$G$2,0))</f>
        <v>1.8</v>
      </c>
      <c r="O6" s="81">
        <f>INDEX($B$3:$G$8,MATCH(Main!$C27,$A$3:$A$8,0),MATCH(O$2,$B$2:$G$2,0))</f>
        <v>0</v>
      </c>
      <c r="Q6" s="78">
        <v>4</v>
      </c>
      <c r="R6" s="79">
        <f t="shared" si="0"/>
        <v>0.6</v>
      </c>
      <c r="S6" s="80">
        <f t="shared" si="0"/>
        <v>0.6</v>
      </c>
      <c r="T6" s="80">
        <f t="shared" si="0"/>
        <v>0.8</v>
      </c>
      <c r="U6" s="80">
        <f t="shared" si="0"/>
        <v>1.2</v>
      </c>
      <c r="V6" s="80">
        <f t="shared" si="0"/>
        <v>1.8</v>
      </c>
      <c r="W6" s="81">
        <f t="shared" si="0"/>
        <v>0</v>
      </c>
      <c r="Y6" s="78">
        <v>4</v>
      </c>
      <c r="Z6" s="82">
        <f>Main!E27</f>
        <v>100</v>
      </c>
      <c r="AA6" s="83">
        <f>_xlfn.CEILING.MATH((J13+($Z6-1)*J20)*J6*J41/100)</f>
        <v>70</v>
      </c>
      <c r="AB6" s="83">
        <f t="shared" si="1"/>
        <v>28</v>
      </c>
      <c r="AC6" s="83">
        <f t="shared" si="1"/>
        <v>62</v>
      </c>
      <c r="AD6" s="83">
        <f t="shared" si="1"/>
        <v>66</v>
      </c>
      <c r="AE6" s="83">
        <f t="shared" si="1"/>
        <v>110</v>
      </c>
      <c r="AF6" s="84">
        <f>_xlfn.CEILING.MATH((O13+($Z6-1)*O20)*O6*O41/100)</f>
        <v>0</v>
      </c>
      <c r="AH6" s="49" t="s">
        <v>1052</v>
      </c>
      <c r="AI6" s="137">
        <v>38</v>
      </c>
      <c r="AJ6" s="138">
        <v>61</v>
      </c>
      <c r="AK6" s="138">
        <v>40</v>
      </c>
      <c r="AL6" s="139">
        <v>17</v>
      </c>
    </row>
    <row r="7" spans="1:38" x14ac:dyDescent="0.25">
      <c r="A7" s="68" t="s">
        <v>4</v>
      </c>
      <c r="B7" s="146">
        <v>1.5</v>
      </c>
      <c r="C7" s="147">
        <v>1.8</v>
      </c>
      <c r="D7" s="147">
        <v>1.6</v>
      </c>
      <c r="E7" s="147">
        <v>0.6</v>
      </c>
      <c r="F7" s="147">
        <v>0.6</v>
      </c>
      <c r="G7" s="148">
        <v>0</v>
      </c>
      <c r="I7" s="85">
        <v>5</v>
      </c>
      <c r="J7" s="86">
        <f>INDEX($B$3:$G$8,MATCH(Main!$C28,$A$3:$A$8,0),MATCH(J$2,$B$2:$G$2,0))</f>
        <v>1.6</v>
      </c>
      <c r="K7" s="87">
        <f>INDEX($B$3:$G$8,MATCH(Main!$C28,$A$3:$A$8,0),MATCH(K$2,$B$2:$G$2,0))</f>
        <v>0.6</v>
      </c>
      <c r="L7" s="87">
        <f>INDEX($B$3:$G$8,MATCH(Main!$C28,$A$3:$A$8,0),MATCH(L$2,$B$2:$G$2,0))</f>
        <v>1.2</v>
      </c>
      <c r="M7" s="87">
        <f>INDEX($B$3:$G$8,MATCH(Main!$C28,$A$3:$A$8,0),MATCH(M$2,$B$2:$G$2,0))</f>
        <v>0.3</v>
      </c>
      <c r="N7" s="87">
        <f>INDEX($B$3:$G$8,MATCH(Main!$C28,$A$3:$A$8,0),MATCH(N$2,$B$2:$G$2,0))</f>
        <v>1.6</v>
      </c>
      <c r="O7" s="88">
        <f>INDEX($B$3:$G$8,MATCH(Main!$C28,$A$3:$A$8,0),MATCH(O$2,$B$2:$G$2,0))</f>
        <v>0</v>
      </c>
      <c r="Q7" s="85">
        <v>5</v>
      </c>
      <c r="R7" s="86">
        <f t="shared" si="0"/>
        <v>1.6</v>
      </c>
      <c r="S7" s="87">
        <f t="shared" si="0"/>
        <v>0.6</v>
      </c>
      <c r="T7" s="87">
        <f t="shared" si="0"/>
        <v>1.2</v>
      </c>
      <c r="U7" s="87">
        <f t="shared" si="0"/>
        <v>0.3</v>
      </c>
      <c r="V7" s="87">
        <f t="shared" si="0"/>
        <v>1.6</v>
      </c>
      <c r="W7" s="88">
        <f t="shared" si="0"/>
        <v>0</v>
      </c>
      <c r="Y7" s="85">
        <v>5</v>
      </c>
      <c r="Z7" s="89">
        <f>Main!E28</f>
        <v>110</v>
      </c>
      <c r="AA7" s="90">
        <f>_xlfn.CEILING.MATH((J14+($Z7-1)*J21)*J7*J42/100)</f>
        <v>179</v>
      </c>
      <c r="AB7" s="90">
        <f t="shared" si="1"/>
        <v>31</v>
      </c>
      <c r="AC7" s="90">
        <f t="shared" si="1"/>
        <v>90</v>
      </c>
      <c r="AD7" s="90">
        <f t="shared" si="1"/>
        <v>14</v>
      </c>
      <c r="AE7" s="90">
        <f t="shared" si="1"/>
        <v>70</v>
      </c>
      <c r="AF7" s="91">
        <f>_xlfn.CEILING.MATH((O14+($Z7-1)*O21)*O7*O42/100)</f>
        <v>0</v>
      </c>
      <c r="AH7" s="49" t="s">
        <v>1053</v>
      </c>
      <c r="AI7" s="137">
        <v>38</v>
      </c>
      <c r="AJ7" s="138">
        <v>45</v>
      </c>
      <c r="AK7" s="138">
        <v>96</v>
      </c>
      <c r="AL7" s="139">
        <v>88</v>
      </c>
    </row>
    <row r="8" spans="1:38" x14ac:dyDescent="0.25">
      <c r="A8" s="69" t="s">
        <v>5</v>
      </c>
      <c r="B8" s="149">
        <v>2</v>
      </c>
      <c r="C8" s="150">
        <v>0.7</v>
      </c>
      <c r="D8" s="150">
        <v>0.4</v>
      </c>
      <c r="E8" s="150">
        <v>0.3</v>
      </c>
      <c r="F8" s="150">
        <v>0.3</v>
      </c>
      <c r="G8" s="151">
        <v>1</v>
      </c>
      <c r="AA8" s="19"/>
      <c r="AB8" s="11"/>
      <c r="AE8" s="1"/>
      <c r="AF8" s="29"/>
      <c r="AH8" s="49" t="s">
        <v>1054</v>
      </c>
      <c r="AI8" s="137">
        <v>26</v>
      </c>
      <c r="AJ8" s="138">
        <v>112</v>
      </c>
      <c r="AK8" s="138">
        <v>63</v>
      </c>
      <c r="AL8" s="139">
        <v>46</v>
      </c>
    </row>
    <row r="9" spans="1:38" x14ac:dyDescent="0.25">
      <c r="I9" s="66" t="s">
        <v>372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372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383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1055</v>
      </c>
      <c r="AI9" s="140">
        <v>36</v>
      </c>
      <c r="AJ9" s="141">
        <v>36</v>
      </c>
      <c r="AK9" s="141">
        <v>79</v>
      </c>
      <c r="AL9" s="142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IF(Main!$I24&gt;0,B$11,B$19)</f>
        <v>55</v>
      </c>
      <c r="K10" s="93">
        <f>IF(Main!$I24&gt;0,C$11,C$19)</f>
        <v>16</v>
      </c>
      <c r="L10" s="93">
        <f>IF(Main!$I24&gt;0,D$11,D$19)</f>
        <v>45</v>
      </c>
      <c r="M10" s="93">
        <f>IF(Main!$I24&gt;0,E$11,E$19)</f>
        <v>5</v>
      </c>
      <c r="N10" s="93">
        <f>IF(Main!$I24&gt;0,F$11,F$19)</f>
        <v>5</v>
      </c>
      <c r="O10" s="94">
        <f>IF(Main!$I24&gt;0,G$11,G$19)</f>
        <v>2</v>
      </c>
      <c r="Q10" s="66">
        <v>1</v>
      </c>
      <c r="R10" s="92">
        <f t="shared" ref="R10:W14" si="2">B$19</f>
        <v>55</v>
      </c>
      <c r="S10" s="93">
        <f t="shared" si="2"/>
        <v>16</v>
      </c>
      <c r="T10" s="93">
        <f t="shared" si="2"/>
        <v>45</v>
      </c>
      <c r="U10" s="93">
        <f t="shared" si="2"/>
        <v>5</v>
      </c>
      <c r="V10" s="93">
        <f t="shared" si="2"/>
        <v>5</v>
      </c>
      <c r="W10" s="94">
        <f t="shared" si="2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 t="shared" ref="AB10:AE14" si="3">_xlfn.CEILING.MATH(S10*S3*K38/100)+_xlfn.CEILING.MATH((S31+($Z10-1)*S24)*S3*K38*$P38/100/100)</f>
        <v>41</v>
      </c>
      <c r="AC10" s="76">
        <f t="shared" si="3"/>
        <v>76</v>
      </c>
      <c r="AD10" s="76">
        <f t="shared" si="3"/>
        <v>3</v>
      </c>
      <c r="AE10" s="76">
        <f t="shared" si="3"/>
        <v>3</v>
      </c>
      <c r="AF10" s="77">
        <f>_xlfn.CEILING.MATH((W10+($Z10-1)*W17)*W3*O38/100)</f>
        <v>0</v>
      </c>
    </row>
    <row r="11" spans="1:38" x14ac:dyDescent="0.25">
      <c r="A11" s="67">
        <v>1</v>
      </c>
      <c r="B11" s="152">
        <v>96.283000000000001</v>
      </c>
      <c r="C11" s="153">
        <v>16</v>
      </c>
      <c r="D11" s="153">
        <v>45</v>
      </c>
      <c r="E11" s="153">
        <v>5</v>
      </c>
      <c r="F11" s="153">
        <v>5</v>
      </c>
      <c r="G11" s="154">
        <v>13.978999999999999</v>
      </c>
      <c r="I11" s="78">
        <v>2</v>
      </c>
      <c r="J11" s="95">
        <f>IF(Main!$I25&gt;0,B$11,B$19)</f>
        <v>55</v>
      </c>
      <c r="K11" s="96">
        <f>IF(Main!$I25&gt;0,C$11,C$19)</f>
        <v>16</v>
      </c>
      <c r="L11" s="96">
        <f>IF(Main!$I25&gt;0,D$11,D$19)</f>
        <v>45</v>
      </c>
      <c r="M11" s="96">
        <f>IF(Main!$I25&gt;0,E$11,E$19)</f>
        <v>5</v>
      </c>
      <c r="N11" s="96">
        <f>IF(Main!$I25&gt;0,F$11,F$19)</f>
        <v>5</v>
      </c>
      <c r="O11" s="97">
        <f>IF(Main!$I25&gt;0,G$11,G$19)</f>
        <v>2</v>
      </c>
      <c r="Q11" s="78">
        <v>2</v>
      </c>
      <c r="R11" s="95">
        <f t="shared" si="2"/>
        <v>55</v>
      </c>
      <c r="S11" s="96">
        <f t="shared" si="2"/>
        <v>16</v>
      </c>
      <c r="T11" s="96">
        <f t="shared" si="2"/>
        <v>45</v>
      </c>
      <c r="U11" s="96">
        <f t="shared" si="2"/>
        <v>5</v>
      </c>
      <c r="V11" s="96">
        <f t="shared" si="2"/>
        <v>5</v>
      </c>
      <c r="W11" s="97">
        <f t="shared" si="2"/>
        <v>2</v>
      </c>
      <c r="Y11" s="78">
        <v>2</v>
      </c>
      <c r="Z11" s="82">
        <v>1</v>
      </c>
      <c r="AA11" s="83">
        <f>_xlfn.CEILING.MATH((R11+($Z11-1)*R18)*R4*J39/100)</f>
        <v>44</v>
      </c>
      <c r="AB11" s="83">
        <f t="shared" si="3"/>
        <v>49</v>
      </c>
      <c r="AC11" s="83">
        <f t="shared" si="3"/>
        <v>22</v>
      </c>
      <c r="AD11" s="83">
        <f t="shared" si="3"/>
        <v>11</v>
      </c>
      <c r="AE11" s="83">
        <f t="shared" si="3"/>
        <v>4</v>
      </c>
      <c r="AF11" s="84">
        <f>_xlfn.CEILING.MATH((W11+($Z11-1)*W18)*W4*O39/100)</f>
        <v>0</v>
      </c>
    </row>
    <row r="12" spans="1:38" x14ac:dyDescent="0.25">
      <c r="A12" s="69">
        <v>2</v>
      </c>
      <c r="B12" s="155">
        <v>0.13800000000000001</v>
      </c>
      <c r="C12" s="156">
        <v>16</v>
      </c>
      <c r="D12" s="156">
        <v>45</v>
      </c>
      <c r="E12" s="156">
        <v>5</v>
      </c>
      <c r="F12" s="156">
        <v>5</v>
      </c>
      <c r="G12" s="157">
        <v>0.04</v>
      </c>
      <c r="I12" s="78">
        <v>3</v>
      </c>
      <c r="J12" s="95">
        <f>IF(Main!$I26&gt;0,B$11,B$19)</f>
        <v>55</v>
      </c>
      <c r="K12" s="96">
        <f>IF(Main!$I26&gt;0,C$11,C$19)</f>
        <v>16</v>
      </c>
      <c r="L12" s="96">
        <f>IF(Main!$I26&gt;0,D$11,D$19)</f>
        <v>45</v>
      </c>
      <c r="M12" s="96">
        <f>IF(Main!$I26&gt;0,E$11,E$19)</f>
        <v>5</v>
      </c>
      <c r="N12" s="96">
        <f>IF(Main!$I26&gt;0,F$11,F$19)</f>
        <v>5</v>
      </c>
      <c r="O12" s="97">
        <f>IF(Main!$I26&gt;0,G$11,G$19)</f>
        <v>2</v>
      </c>
      <c r="Q12" s="78">
        <v>3</v>
      </c>
      <c r="R12" s="95">
        <f t="shared" si="2"/>
        <v>55</v>
      </c>
      <c r="S12" s="96">
        <f t="shared" si="2"/>
        <v>16</v>
      </c>
      <c r="T12" s="96">
        <f t="shared" si="2"/>
        <v>45</v>
      </c>
      <c r="U12" s="96">
        <f t="shared" si="2"/>
        <v>5</v>
      </c>
      <c r="V12" s="96">
        <f t="shared" si="2"/>
        <v>5</v>
      </c>
      <c r="W12" s="97">
        <f t="shared" si="2"/>
        <v>2</v>
      </c>
      <c r="Y12" s="78">
        <v>3</v>
      </c>
      <c r="Z12" s="82">
        <v>1</v>
      </c>
      <c r="AA12" s="83">
        <f>_xlfn.CEILING.MATH((R12+($Z12-1)*R19)*R5*J40/100)</f>
        <v>37</v>
      </c>
      <c r="AB12" s="83">
        <f t="shared" si="3"/>
        <v>47</v>
      </c>
      <c r="AC12" s="83">
        <f t="shared" si="3"/>
        <v>22</v>
      </c>
      <c r="AD12" s="83">
        <f t="shared" si="3"/>
        <v>10</v>
      </c>
      <c r="AE12" s="83">
        <f t="shared" si="3"/>
        <v>5</v>
      </c>
      <c r="AF12" s="84">
        <f>_xlfn.CEILING.MATH((W12+($Z12-1)*W19)*W5*O40/100)</f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IF(Main!$I27&gt;0,B$11,B$19)</f>
        <v>55</v>
      </c>
      <c r="K13" s="96">
        <f>IF(Main!$I27&gt;0,C$11,C$19)</f>
        <v>16</v>
      </c>
      <c r="L13" s="96">
        <f>IF(Main!$I27&gt;0,D$11,D$19)</f>
        <v>45</v>
      </c>
      <c r="M13" s="96">
        <f>IF(Main!$I27&gt;0,E$11,E$19)</f>
        <v>5</v>
      </c>
      <c r="N13" s="96">
        <f>IF(Main!$I27&gt;0,F$11,F$19)</f>
        <v>5</v>
      </c>
      <c r="O13" s="97">
        <f>IF(Main!$I27&gt;0,G$11,G$19)</f>
        <v>2</v>
      </c>
      <c r="Q13" s="78">
        <v>4</v>
      </c>
      <c r="R13" s="95">
        <f t="shared" si="2"/>
        <v>55</v>
      </c>
      <c r="S13" s="96">
        <f t="shared" si="2"/>
        <v>16</v>
      </c>
      <c r="T13" s="96">
        <f t="shared" si="2"/>
        <v>45</v>
      </c>
      <c r="U13" s="96">
        <f t="shared" si="2"/>
        <v>5</v>
      </c>
      <c r="V13" s="96">
        <f t="shared" si="2"/>
        <v>5</v>
      </c>
      <c r="W13" s="97">
        <f t="shared" si="2"/>
        <v>2</v>
      </c>
      <c r="Y13" s="78">
        <v>4</v>
      </c>
      <c r="Z13" s="82">
        <v>1</v>
      </c>
      <c r="AA13" s="83">
        <f>_xlfn.CEILING.MATH((R13+($Z13-1)*R20)*R6*J41/100)</f>
        <v>35</v>
      </c>
      <c r="AB13" s="83">
        <f t="shared" si="3"/>
        <v>10</v>
      </c>
      <c r="AC13" s="83">
        <f t="shared" si="3"/>
        <v>41</v>
      </c>
      <c r="AD13" s="83">
        <f t="shared" si="3"/>
        <v>8</v>
      </c>
      <c r="AE13" s="83">
        <f t="shared" si="3"/>
        <v>13</v>
      </c>
      <c r="AF13" s="84">
        <f>_xlfn.CEILING.MATH((W13+($Z13-1)*W20)*W6*O41/100)</f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IF(Main!$I28&gt;0,B$11,B$19)</f>
        <v>96.283000000000001</v>
      </c>
      <c r="K14" s="99">
        <f>IF(Main!$I28&gt;0,C$11,C$19)</f>
        <v>16</v>
      </c>
      <c r="L14" s="99">
        <f>IF(Main!$I28&gt;0,D$11,D$19)</f>
        <v>45</v>
      </c>
      <c r="M14" s="99">
        <f>IF(Main!$I28&gt;0,E$11,E$19)</f>
        <v>5</v>
      </c>
      <c r="N14" s="99">
        <f>IF(Main!$I28&gt;0,F$11,F$19)</f>
        <v>5</v>
      </c>
      <c r="O14" s="100">
        <f>IF(Main!$I28&gt;0,G$11,G$19)</f>
        <v>13.978999999999999</v>
      </c>
      <c r="Q14" s="85">
        <v>5</v>
      </c>
      <c r="R14" s="98">
        <f t="shared" si="2"/>
        <v>55</v>
      </c>
      <c r="S14" s="99">
        <f t="shared" si="2"/>
        <v>16</v>
      </c>
      <c r="T14" s="99">
        <f t="shared" si="2"/>
        <v>45</v>
      </c>
      <c r="U14" s="99">
        <f t="shared" si="2"/>
        <v>5</v>
      </c>
      <c r="V14" s="99">
        <f t="shared" si="2"/>
        <v>5</v>
      </c>
      <c r="W14" s="100">
        <f t="shared" si="2"/>
        <v>2</v>
      </c>
      <c r="Y14" s="85">
        <v>5</v>
      </c>
      <c r="Z14" s="89">
        <v>1</v>
      </c>
      <c r="AA14" s="90">
        <f>_xlfn.CEILING.MATH((R14+($Z14-1)*R21)*R7*J42/100)</f>
        <v>88</v>
      </c>
      <c r="AB14" s="90">
        <f t="shared" si="3"/>
        <v>12</v>
      </c>
      <c r="AC14" s="90">
        <f t="shared" si="3"/>
        <v>63</v>
      </c>
      <c r="AD14" s="90">
        <f t="shared" si="3"/>
        <v>2</v>
      </c>
      <c r="AE14" s="90">
        <f t="shared" si="3"/>
        <v>10</v>
      </c>
      <c r="AF14" s="91">
        <f>_xlfn.CEILING.MATH((W14+($Z14-1)*W21)*W7*O42/100)</f>
        <v>0</v>
      </c>
    </row>
    <row r="15" spans="1:38" x14ac:dyDescent="0.25">
      <c r="A15" s="67">
        <v>1</v>
      </c>
      <c r="B15" s="152"/>
      <c r="C15" s="153">
        <v>0.06</v>
      </c>
      <c r="D15" s="153">
        <v>2.1999999999999999E-2</v>
      </c>
      <c r="E15" s="153">
        <v>7.4999999999999997E-2</v>
      </c>
      <c r="F15" s="153">
        <v>7.4999999999999997E-2</v>
      </c>
      <c r="G15" s="154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55"/>
      <c r="C16" s="156">
        <v>18.018000000000001</v>
      </c>
      <c r="D16" s="156">
        <v>15.741</v>
      </c>
      <c r="E16" s="156">
        <v>22.571999999999999</v>
      </c>
      <c r="F16" s="156">
        <v>22.571999999999999</v>
      </c>
      <c r="G16" s="157"/>
      <c r="I16" s="66" t="s">
        <v>373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373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887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IF(Main!$I24&gt;0,B$12,B$20)</f>
        <v>0.55500000000000005</v>
      </c>
      <c r="K17" s="93">
        <f>IF(Main!$I24&gt;0,C$12,C$20)</f>
        <v>16</v>
      </c>
      <c r="L17" s="93">
        <f>IF(Main!$I24&gt;0,D$12,D$20)</f>
        <v>45</v>
      </c>
      <c r="M17" s="93">
        <f>IF(Main!$I24&gt;0,E$12,E$20)</f>
        <v>5</v>
      </c>
      <c r="N17" s="93">
        <f>IF(Main!$I24&gt;0,F$12,F$20)</f>
        <v>5</v>
      </c>
      <c r="O17" s="94">
        <f>IF(Main!$I24&gt;0,G$12,G$20)</f>
        <v>0.161</v>
      </c>
      <c r="Q17" s="66">
        <v>1</v>
      </c>
      <c r="R17" s="92">
        <f t="shared" ref="R17:W21" si="4">B$20</f>
        <v>0.55500000000000005</v>
      </c>
      <c r="S17" s="93">
        <f t="shared" si="4"/>
        <v>16</v>
      </c>
      <c r="T17" s="93">
        <f t="shared" si="4"/>
        <v>45</v>
      </c>
      <c r="U17" s="93">
        <f t="shared" si="4"/>
        <v>5</v>
      </c>
      <c r="V17" s="93">
        <f t="shared" si="4"/>
        <v>5</v>
      </c>
      <c r="W17" s="94">
        <f t="shared" si="4"/>
        <v>0.161</v>
      </c>
      <c r="Y17" s="66">
        <v>1</v>
      </c>
      <c r="Z17" s="30"/>
      <c r="AA17" s="31"/>
      <c r="AB17" s="76">
        <f t="shared" ref="AB17:AE21" si="5">AB3-AB10</f>
        <v>68</v>
      </c>
      <c r="AC17" s="76">
        <f t="shared" si="5"/>
        <v>34</v>
      </c>
      <c r="AD17" s="76">
        <f t="shared" si="5"/>
        <v>19</v>
      </c>
      <c r="AE17" s="76">
        <f t="shared" si="5"/>
        <v>18</v>
      </c>
      <c r="AF17" s="36"/>
    </row>
    <row r="18" spans="1:32" x14ac:dyDescent="0.25">
      <c r="A18" s="66" t="s">
        <v>377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IF(Main!$I25&gt;0,B$12,B$20)</f>
        <v>0.55500000000000005</v>
      </c>
      <c r="K18" s="96">
        <f>IF(Main!$I25&gt;0,C$12,C$20)</f>
        <v>16</v>
      </c>
      <c r="L18" s="96">
        <f>IF(Main!$I25&gt;0,D$12,D$20)</f>
        <v>45</v>
      </c>
      <c r="M18" s="96">
        <f>IF(Main!$I25&gt;0,E$12,E$20)</f>
        <v>5</v>
      </c>
      <c r="N18" s="96">
        <f>IF(Main!$I25&gt;0,F$12,F$20)</f>
        <v>5</v>
      </c>
      <c r="O18" s="97">
        <f>IF(Main!$I25&gt;0,G$12,G$20)</f>
        <v>0.161</v>
      </c>
      <c r="Q18" s="78">
        <v>2</v>
      </c>
      <c r="R18" s="95">
        <f t="shared" si="4"/>
        <v>0.55500000000000005</v>
      </c>
      <c r="S18" s="96">
        <f t="shared" si="4"/>
        <v>16</v>
      </c>
      <c r="T18" s="96">
        <f t="shared" si="4"/>
        <v>45</v>
      </c>
      <c r="U18" s="96">
        <f t="shared" si="4"/>
        <v>5</v>
      </c>
      <c r="V18" s="96">
        <f t="shared" si="4"/>
        <v>5</v>
      </c>
      <c r="W18" s="97">
        <f t="shared" si="4"/>
        <v>0.161</v>
      </c>
      <c r="Y18" s="78">
        <v>2</v>
      </c>
      <c r="Z18" s="32"/>
      <c r="AA18" s="33"/>
      <c r="AB18" s="83">
        <f t="shared" si="5"/>
        <v>96</v>
      </c>
      <c r="AC18" s="83">
        <f t="shared" si="5"/>
        <v>12</v>
      </c>
      <c r="AD18" s="83">
        <f t="shared" si="5"/>
        <v>85</v>
      </c>
      <c r="AE18" s="83">
        <f t="shared" si="5"/>
        <v>27</v>
      </c>
      <c r="AF18" s="37"/>
    </row>
    <row r="19" spans="1:32" x14ac:dyDescent="0.25">
      <c r="A19" s="67">
        <v>1</v>
      </c>
      <c r="B19" s="152">
        <v>55</v>
      </c>
      <c r="C19" s="153">
        <v>16</v>
      </c>
      <c r="D19" s="153">
        <v>45</v>
      </c>
      <c r="E19" s="153">
        <v>5</v>
      </c>
      <c r="F19" s="153">
        <v>5</v>
      </c>
      <c r="G19" s="154">
        <v>2</v>
      </c>
      <c r="I19" s="78">
        <v>3</v>
      </c>
      <c r="J19" s="95">
        <f>IF(Main!$I26&gt;0,B$12,B$20)</f>
        <v>0.55500000000000005</v>
      </c>
      <c r="K19" s="96">
        <f>IF(Main!$I26&gt;0,C$12,C$20)</f>
        <v>16</v>
      </c>
      <c r="L19" s="96">
        <f>IF(Main!$I26&gt;0,D$12,D$20)</f>
        <v>45</v>
      </c>
      <c r="M19" s="96">
        <f>IF(Main!$I26&gt;0,E$12,E$20)</f>
        <v>5</v>
      </c>
      <c r="N19" s="96">
        <f>IF(Main!$I26&gt;0,F$12,F$20)</f>
        <v>5</v>
      </c>
      <c r="O19" s="97">
        <f>IF(Main!$I26&gt;0,G$12,G$20)</f>
        <v>0.161</v>
      </c>
      <c r="Q19" s="78">
        <v>3</v>
      </c>
      <c r="R19" s="95">
        <f t="shared" si="4"/>
        <v>0.55500000000000005</v>
      </c>
      <c r="S19" s="96">
        <f t="shared" si="4"/>
        <v>16</v>
      </c>
      <c r="T19" s="96">
        <f t="shared" si="4"/>
        <v>45</v>
      </c>
      <c r="U19" s="96">
        <f t="shared" si="4"/>
        <v>5</v>
      </c>
      <c r="V19" s="96">
        <f t="shared" si="4"/>
        <v>5</v>
      </c>
      <c r="W19" s="97">
        <f t="shared" si="4"/>
        <v>0.161</v>
      </c>
      <c r="Y19" s="78">
        <v>3</v>
      </c>
      <c r="Z19" s="32"/>
      <c r="AA19" s="33"/>
      <c r="AB19" s="83">
        <f t="shared" si="5"/>
        <v>99</v>
      </c>
      <c r="AC19" s="83">
        <f t="shared" si="5"/>
        <v>12</v>
      </c>
      <c r="AD19" s="83">
        <f t="shared" si="5"/>
        <v>80</v>
      </c>
      <c r="AE19" s="83">
        <f t="shared" si="5"/>
        <v>39</v>
      </c>
      <c r="AF19" s="37"/>
    </row>
    <row r="20" spans="1:32" x14ac:dyDescent="0.25">
      <c r="A20" s="69">
        <v>2</v>
      </c>
      <c r="B20" s="155">
        <v>0.55500000000000005</v>
      </c>
      <c r="C20" s="156">
        <v>16</v>
      </c>
      <c r="D20" s="156">
        <v>45</v>
      </c>
      <c r="E20" s="156">
        <v>5</v>
      </c>
      <c r="F20" s="156">
        <v>5</v>
      </c>
      <c r="G20" s="157">
        <v>0.161</v>
      </c>
      <c r="I20" s="78">
        <v>4</v>
      </c>
      <c r="J20" s="95">
        <f>IF(Main!$I27&gt;0,B$12,B$20)</f>
        <v>0.55500000000000005</v>
      </c>
      <c r="K20" s="96">
        <f>IF(Main!$I27&gt;0,C$12,C$20)</f>
        <v>16</v>
      </c>
      <c r="L20" s="96">
        <f>IF(Main!$I27&gt;0,D$12,D$20)</f>
        <v>45</v>
      </c>
      <c r="M20" s="96">
        <f>IF(Main!$I27&gt;0,E$12,E$20)</f>
        <v>5</v>
      </c>
      <c r="N20" s="96">
        <f>IF(Main!$I27&gt;0,F$12,F$20)</f>
        <v>5</v>
      </c>
      <c r="O20" s="97">
        <f>IF(Main!$I27&gt;0,G$12,G$20)</f>
        <v>0.161</v>
      </c>
      <c r="Q20" s="78">
        <v>4</v>
      </c>
      <c r="R20" s="95">
        <f t="shared" si="4"/>
        <v>0.55500000000000005</v>
      </c>
      <c r="S20" s="96">
        <f t="shared" si="4"/>
        <v>16</v>
      </c>
      <c r="T20" s="96">
        <f t="shared" si="4"/>
        <v>45</v>
      </c>
      <c r="U20" s="96">
        <f t="shared" si="4"/>
        <v>5</v>
      </c>
      <c r="V20" s="96">
        <f t="shared" si="4"/>
        <v>5</v>
      </c>
      <c r="W20" s="97">
        <f t="shared" si="4"/>
        <v>0.161</v>
      </c>
      <c r="Y20" s="78">
        <v>4</v>
      </c>
      <c r="Z20" s="32"/>
      <c r="AA20" s="33"/>
      <c r="AB20" s="83">
        <f t="shared" si="5"/>
        <v>18</v>
      </c>
      <c r="AC20" s="83">
        <f t="shared" si="5"/>
        <v>21</v>
      </c>
      <c r="AD20" s="83">
        <f t="shared" si="5"/>
        <v>58</v>
      </c>
      <c r="AE20" s="83">
        <f t="shared" si="5"/>
        <v>97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IF(Main!$I28&gt;0,B$12,B$20)</f>
        <v>0.13800000000000001</v>
      </c>
      <c r="K21" s="99">
        <f>IF(Main!$I28&gt;0,C$12,C$20)</f>
        <v>16</v>
      </c>
      <c r="L21" s="99">
        <f>IF(Main!$I28&gt;0,D$12,D$20)</f>
        <v>45</v>
      </c>
      <c r="M21" s="99">
        <f>IF(Main!$I28&gt;0,E$12,E$20)</f>
        <v>5</v>
      </c>
      <c r="N21" s="99">
        <f>IF(Main!$I28&gt;0,F$12,F$20)</f>
        <v>5</v>
      </c>
      <c r="O21" s="100">
        <f>IF(Main!$I28&gt;0,G$12,G$20)</f>
        <v>0.04</v>
      </c>
      <c r="Q21" s="85">
        <v>5</v>
      </c>
      <c r="R21" s="98">
        <f t="shared" si="4"/>
        <v>0.55500000000000005</v>
      </c>
      <c r="S21" s="99">
        <f t="shared" si="4"/>
        <v>16</v>
      </c>
      <c r="T21" s="99">
        <f t="shared" si="4"/>
        <v>45</v>
      </c>
      <c r="U21" s="99">
        <f t="shared" si="4"/>
        <v>5</v>
      </c>
      <c r="V21" s="99">
        <f t="shared" si="4"/>
        <v>5</v>
      </c>
      <c r="W21" s="100">
        <f t="shared" si="4"/>
        <v>0.161</v>
      </c>
      <c r="Y21" s="85">
        <v>5</v>
      </c>
      <c r="Z21" s="34"/>
      <c r="AA21" s="35"/>
      <c r="AB21" s="90">
        <f t="shared" si="5"/>
        <v>19</v>
      </c>
      <c r="AC21" s="90">
        <f t="shared" si="5"/>
        <v>27</v>
      </c>
      <c r="AD21" s="90">
        <f t="shared" si="5"/>
        <v>12</v>
      </c>
      <c r="AE21" s="90">
        <f t="shared" si="5"/>
        <v>60</v>
      </c>
      <c r="AF21" s="38"/>
    </row>
    <row r="22" spans="1:32" x14ac:dyDescent="0.25">
      <c r="A22" s="66" t="s">
        <v>378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52"/>
      <c r="C23" s="153">
        <v>0.24199999999999999</v>
      </c>
      <c r="D23" s="153">
        <v>0.18099999999999999</v>
      </c>
      <c r="E23" s="153">
        <v>0.30299999999999999</v>
      </c>
      <c r="F23" s="153">
        <v>0.30299999999999999</v>
      </c>
      <c r="G23" s="154"/>
      <c r="I23" s="66" t="s">
        <v>374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374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55"/>
      <c r="C24" s="156">
        <v>0</v>
      </c>
      <c r="D24" s="156">
        <v>0</v>
      </c>
      <c r="E24" s="156">
        <v>0</v>
      </c>
      <c r="F24" s="156">
        <v>0</v>
      </c>
      <c r="G24" s="157"/>
      <c r="I24" s="66">
        <v>1</v>
      </c>
      <c r="J24" s="92">
        <f>IF(Main!$I24&gt;0,B$15,B$23)</f>
        <v>0</v>
      </c>
      <c r="K24" s="93">
        <f>IF(Main!$I24&gt;0,C$15,C$23)</f>
        <v>0.24199999999999999</v>
      </c>
      <c r="L24" s="93">
        <f>IF(Main!$I24&gt;0,D$15,D$23)</f>
        <v>0.18099999999999999</v>
      </c>
      <c r="M24" s="93">
        <f>IF(Main!$I24&gt;0,E$15,E$23)</f>
        <v>0.30299999999999999</v>
      </c>
      <c r="N24" s="93">
        <f>IF(Main!$I24&gt;0,F$15,F$23)</f>
        <v>0.30299999999999999</v>
      </c>
      <c r="O24" s="94">
        <f>IF(Main!$I24&gt;0,G$15,G$23)</f>
        <v>0</v>
      </c>
      <c r="Q24" s="66">
        <v>1</v>
      </c>
      <c r="R24" s="92">
        <f t="shared" ref="R24:W28" si="6">B$23</f>
        <v>0</v>
      </c>
      <c r="S24" s="93">
        <f t="shared" si="6"/>
        <v>0.24199999999999999</v>
      </c>
      <c r="T24" s="93">
        <f t="shared" si="6"/>
        <v>0.18099999999999999</v>
      </c>
      <c r="U24" s="93">
        <f t="shared" si="6"/>
        <v>0.30299999999999999</v>
      </c>
      <c r="V24" s="93">
        <f t="shared" si="6"/>
        <v>0.30299999999999999</v>
      </c>
      <c r="W24" s="94">
        <f t="shared" si="6"/>
        <v>0</v>
      </c>
    </row>
    <row r="25" spans="1:32" x14ac:dyDescent="0.25">
      <c r="I25" s="78">
        <v>2</v>
      </c>
      <c r="J25" s="95">
        <f>IF(Main!$I25&gt;0,B$15,B$23)</f>
        <v>0</v>
      </c>
      <c r="K25" s="96">
        <f>IF(Main!$I25&gt;0,C$15,C$23)</f>
        <v>0.24199999999999999</v>
      </c>
      <c r="L25" s="96">
        <f>IF(Main!$I25&gt;0,D$15,D$23)</f>
        <v>0.18099999999999999</v>
      </c>
      <c r="M25" s="96">
        <f>IF(Main!$I25&gt;0,E$15,E$23)</f>
        <v>0.30299999999999999</v>
      </c>
      <c r="N25" s="96">
        <f>IF(Main!$I25&gt;0,F$15,F$23)</f>
        <v>0.30299999999999999</v>
      </c>
      <c r="O25" s="97">
        <f>IF(Main!$I25&gt;0,G$15,G$23)</f>
        <v>0</v>
      </c>
      <c r="Q25" s="78">
        <v>2</v>
      </c>
      <c r="R25" s="95">
        <f t="shared" si="6"/>
        <v>0</v>
      </c>
      <c r="S25" s="96">
        <f t="shared" si="6"/>
        <v>0.24199999999999999</v>
      </c>
      <c r="T25" s="96">
        <f t="shared" si="6"/>
        <v>0.18099999999999999</v>
      </c>
      <c r="U25" s="96">
        <f t="shared" si="6"/>
        <v>0.30299999999999999</v>
      </c>
      <c r="V25" s="96">
        <f t="shared" si="6"/>
        <v>0.30299999999999999</v>
      </c>
      <c r="W25" s="97">
        <f t="shared" si="6"/>
        <v>0</v>
      </c>
    </row>
    <row r="26" spans="1:32" x14ac:dyDescent="0.25">
      <c r="I26" s="78">
        <v>3</v>
      </c>
      <c r="J26" s="95">
        <f>IF(Main!$I26&gt;0,B$15,B$23)</f>
        <v>0</v>
      </c>
      <c r="K26" s="96">
        <f>IF(Main!$I26&gt;0,C$15,C$23)</f>
        <v>0.24199999999999999</v>
      </c>
      <c r="L26" s="96">
        <f>IF(Main!$I26&gt;0,D$15,D$23)</f>
        <v>0.18099999999999999</v>
      </c>
      <c r="M26" s="96">
        <f>IF(Main!$I26&gt;0,E$15,E$23)</f>
        <v>0.30299999999999999</v>
      </c>
      <c r="N26" s="96">
        <f>IF(Main!$I26&gt;0,F$15,F$23)</f>
        <v>0.30299999999999999</v>
      </c>
      <c r="O26" s="97">
        <f>IF(Main!$I26&gt;0,G$15,G$23)</f>
        <v>0</v>
      </c>
      <c r="Q26" s="78">
        <v>3</v>
      </c>
      <c r="R26" s="95">
        <f t="shared" si="6"/>
        <v>0</v>
      </c>
      <c r="S26" s="96">
        <f t="shared" si="6"/>
        <v>0.24199999999999999</v>
      </c>
      <c r="T26" s="96">
        <f t="shared" si="6"/>
        <v>0.18099999999999999</v>
      </c>
      <c r="U26" s="96">
        <f t="shared" si="6"/>
        <v>0.30299999999999999</v>
      </c>
      <c r="V26" s="96">
        <f t="shared" si="6"/>
        <v>0.30299999999999999</v>
      </c>
      <c r="W26" s="97">
        <f t="shared" si="6"/>
        <v>0</v>
      </c>
    </row>
    <row r="27" spans="1:32" x14ac:dyDescent="0.25">
      <c r="I27" s="78">
        <v>4</v>
      </c>
      <c r="J27" s="95">
        <f>IF(Main!$I27&gt;0,B$15,B$23)</f>
        <v>0</v>
      </c>
      <c r="K27" s="96">
        <f>IF(Main!$I27&gt;0,C$15,C$23)</f>
        <v>0.24199999999999999</v>
      </c>
      <c r="L27" s="96">
        <f>IF(Main!$I27&gt;0,D$15,D$23)</f>
        <v>0.18099999999999999</v>
      </c>
      <c r="M27" s="96">
        <f>IF(Main!$I27&gt;0,E$15,E$23)</f>
        <v>0.30299999999999999</v>
      </c>
      <c r="N27" s="96">
        <f>IF(Main!$I27&gt;0,F$15,F$23)</f>
        <v>0.30299999999999999</v>
      </c>
      <c r="O27" s="97">
        <f>IF(Main!$I27&gt;0,G$15,G$23)</f>
        <v>0</v>
      </c>
      <c r="Q27" s="78">
        <v>4</v>
      </c>
      <c r="R27" s="95">
        <f t="shared" si="6"/>
        <v>0</v>
      </c>
      <c r="S27" s="96">
        <f t="shared" si="6"/>
        <v>0.24199999999999999</v>
      </c>
      <c r="T27" s="96">
        <f t="shared" si="6"/>
        <v>0.18099999999999999</v>
      </c>
      <c r="U27" s="96">
        <f t="shared" si="6"/>
        <v>0.30299999999999999</v>
      </c>
      <c r="V27" s="96">
        <f t="shared" si="6"/>
        <v>0.30299999999999999</v>
      </c>
      <c r="W27" s="97">
        <f t="shared" si="6"/>
        <v>0</v>
      </c>
    </row>
    <row r="28" spans="1:32" x14ac:dyDescent="0.25">
      <c r="I28" s="85">
        <v>5</v>
      </c>
      <c r="J28" s="98">
        <f>IF(Main!$I28&gt;0,B$15,B$23)</f>
        <v>0</v>
      </c>
      <c r="K28" s="99">
        <f>IF(Main!$I28&gt;0,C$15,C$23)</f>
        <v>0.06</v>
      </c>
      <c r="L28" s="99">
        <f>IF(Main!$I28&gt;0,D$15,D$23)</f>
        <v>2.1999999999999999E-2</v>
      </c>
      <c r="M28" s="99">
        <f>IF(Main!$I28&gt;0,E$15,E$23)</f>
        <v>7.4999999999999997E-2</v>
      </c>
      <c r="N28" s="99">
        <f>IF(Main!$I28&gt;0,F$15,F$23)</f>
        <v>7.4999999999999997E-2</v>
      </c>
      <c r="O28" s="100">
        <f>IF(Main!$I28&gt;0,G$15,G$23)</f>
        <v>0</v>
      </c>
      <c r="Q28" s="85">
        <v>5</v>
      </c>
      <c r="R28" s="98">
        <f t="shared" si="6"/>
        <v>0</v>
      </c>
      <c r="S28" s="99">
        <f t="shared" si="6"/>
        <v>0.24199999999999999</v>
      </c>
      <c r="T28" s="99">
        <f t="shared" si="6"/>
        <v>0.18099999999999999</v>
      </c>
      <c r="U28" s="99">
        <f t="shared" si="6"/>
        <v>0.30299999999999999</v>
      </c>
      <c r="V28" s="99">
        <f t="shared" si="6"/>
        <v>0.30299999999999999</v>
      </c>
      <c r="W28" s="100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IF(Main!$I24&gt;0,B$16,B$24)</f>
        <v>0</v>
      </c>
      <c r="K31" s="3">
        <f>IF(Main!$I24&gt;0,C$16,C$24)</f>
        <v>0</v>
      </c>
      <c r="L31" s="3">
        <f>IF(Main!$I24&gt;0,D$16,D$24)</f>
        <v>0</v>
      </c>
      <c r="M31" s="3">
        <f>IF(Main!$I24&gt;0,E$16,E$24)</f>
        <v>0</v>
      </c>
      <c r="N31" s="3">
        <f>IF(Main!$I24&gt;0,F$16,F$24)</f>
        <v>0</v>
      </c>
      <c r="O31" s="4">
        <f>IF(Main!$I24&gt;0,G$16,G$24)</f>
        <v>0</v>
      </c>
      <c r="Q31" s="15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17">
        <v>2</v>
      </c>
      <c r="J32" s="12">
        <f>IF(Main!$I25&gt;0,B$16,B$24)</f>
        <v>0</v>
      </c>
      <c r="K32" s="13">
        <f>IF(Main!$I25&gt;0,C$16,C$24)</f>
        <v>0</v>
      </c>
      <c r="L32" s="13">
        <f>IF(Main!$I25&gt;0,D$16,D$24)</f>
        <v>0</v>
      </c>
      <c r="M32" s="13">
        <f>IF(Main!$I25&gt;0,E$16,E$24)</f>
        <v>0</v>
      </c>
      <c r="N32" s="13">
        <f>IF(Main!$I25&gt;0,F$16,F$24)</f>
        <v>0</v>
      </c>
      <c r="O32" s="14">
        <f>IF(Main!$I25&gt;0,G$16,G$24)</f>
        <v>0</v>
      </c>
      <c r="Q32" s="17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17">
        <v>3</v>
      </c>
      <c r="J33" s="12">
        <f>IF(Main!$I26&gt;0,B$16,B$24)</f>
        <v>0</v>
      </c>
      <c r="K33" s="13">
        <f>IF(Main!$I26&gt;0,C$16,C$24)</f>
        <v>0</v>
      </c>
      <c r="L33" s="13">
        <f>IF(Main!$I26&gt;0,D$16,D$24)</f>
        <v>0</v>
      </c>
      <c r="M33" s="13">
        <f>IF(Main!$I26&gt;0,E$16,E$24)</f>
        <v>0</v>
      </c>
      <c r="N33" s="13">
        <f>IF(Main!$I26&gt;0,F$16,F$24)</f>
        <v>0</v>
      </c>
      <c r="O33" s="14">
        <f>IF(Main!$I26&gt;0,G$16,G$24)</f>
        <v>0</v>
      </c>
      <c r="Q33" s="17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17">
        <v>4</v>
      </c>
      <c r="J34" s="12">
        <f>IF(Main!$I27&gt;0,B$16,B$24)</f>
        <v>0</v>
      </c>
      <c r="K34" s="13">
        <f>IF(Main!$I27&gt;0,C$16,C$24)</f>
        <v>0</v>
      </c>
      <c r="L34" s="13">
        <f>IF(Main!$I27&gt;0,D$16,D$24)</f>
        <v>0</v>
      </c>
      <c r="M34" s="13">
        <f>IF(Main!$I27&gt;0,E$16,E$24)</f>
        <v>0</v>
      </c>
      <c r="N34" s="13">
        <f>IF(Main!$I27&gt;0,F$16,F$24)</f>
        <v>0</v>
      </c>
      <c r="O34" s="14">
        <f>IF(Main!$I27&gt;0,G$16,G$24)</f>
        <v>0</v>
      </c>
      <c r="Q34" s="17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18">
        <v>5</v>
      </c>
      <c r="J35" s="5">
        <f>IF(Main!$I28&gt;0,B$16,B$24)</f>
        <v>0</v>
      </c>
      <c r="K35" s="6">
        <f>IF(Main!$I28&gt;0,C$16,C$24)</f>
        <v>18.018000000000001</v>
      </c>
      <c r="L35" s="6">
        <f>IF(Main!$I28&gt;0,D$16,D$24)</f>
        <v>15.741</v>
      </c>
      <c r="M35" s="6">
        <f>IF(Main!$I28&gt;0,E$16,E$24)</f>
        <v>22.571999999999999</v>
      </c>
      <c r="N35" s="6">
        <f>IF(Main!$I28&gt;0,F$16,F$24)</f>
        <v>22.571999999999999</v>
      </c>
      <c r="O35" s="7">
        <f>IF(Main!$I28&gt;0,G$16,G$24)</f>
        <v>0</v>
      </c>
      <c r="Q35" s="18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15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15">
        <v>1</v>
      </c>
      <c r="J38" s="20">
        <f>INDEX('Doll Data'!$E$2:$K$1048576,MATCH(Main!$D24,'Doll Data'!$B$2:$B$1048576,0),MATCH(J$37,'Doll Data'!$E$1:$K$1,0))</f>
        <v>120</v>
      </c>
      <c r="K38" s="21">
        <f>INDEX('Doll Data'!$E$2:$K$1048576,MATCH(Main!$D24,'Doll Data'!$B$2:$B$1048576,0),MATCH(K$37,'Doll Data'!$E$1:$K$1,0))</f>
        <v>140</v>
      </c>
      <c r="L38" s="21">
        <f>INDEX('Doll Data'!$E$2:$K$1048576,MATCH(Main!$D24,'Doll Data'!$B$2:$B$1048576,0),MATCH(L$37,'Doll Data'!$E$1:$K$1,0))</f>
        <v>105</v>
      </c>
      <c r="M38" s="21">
        <f>INDEX('Doll Data'!$E$2:$K$1048576,MATCH(Main!$D24,'Doll Data'!$B$2:$B$1048576,0),MATCH(M$37,'Doll Data'!$E$1:$K$1,0))</f>
        <v>90</v>
      </c>
      <c r="N38" s="21">
        <f>INDEX('Doll Data'!$E$2:$K$1048576,MATCH(Main!$D24,'Doll Data'!$B$2:$B$1048576,0),MATCH(N$37,'Doll Data'!$E$1:$K$1,0))</f>
        <v>85</v>
      </c>
      <c r="O38" s="21">
        <f>INDEX('Doll Data'!$E$2:$K$1048576,MATCH(Main!$D24,'Doll Data'!$B$2:$B$1048576,0),MATCH(O$37,'Doll Data'!$E$1:$K$1,0))</f>
        <v>0</v>
      </c>
      <c r="P38" s="22">
        <f>INDEX('Doll Data'!$E$2:$K$1048576,MATCH(Main!$D24,'Doll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Data'!$E$2:$K$1048576,MATCH(Main!$D25,'Doll Data'!$B$2:$B$1048576,0),MATCH(J$37,'Doll Data'!$E$1:$K$1,0))</f>
        <v>100</v>
      </c>
      <c r="K39" s="24">
        <f>INDEX('Doll Data'!$E$2:$K$1048576,MATCH(Main!$D25,'Doll Data'!$B$2:$B$1048576,0),MATCH(K$37,'Doll Data'!$E$1:$K$1,0))</f>
        <v>127</v>
      </c>
      <c r="L39" s="24">
        <f>INDEX('Doll Data'!$E$2:$K$1048576,MATCH(Main!$D25,'Doll Data'!$B$2:$B$1048576,0),MATCH(L$37,'Doll Data'!$E$1:$K$1,0))</f>
        <v>95</v>
      </c>
      <c r="M39" s="24">
        <f>INDEX('Doll Data'!$E$2:$K$1048576,MATCH(Main!$D25,'Doll Data'!$B$2:$B$1048576,0),MATCH(M$37,'Doll Data'!$E$1:$K$1,0))</f>
        <v>135</v>
      </c>
      <c r="N39" s="24">
        <f>INDEX('Doll Data'!$E$2:$K$1048576,MATCH(Main!$D25,'Doll Data'!$B$2:$B$1048576,0),MATCH(N$37,'Doll Data'!$E$1:$K$1,0))</f>
        <v>85</v>
      </c>
      <c r="O39" s="24">
        <f>INDEX('Doll Data'!$E$2:$K$1048576,MATCH(Main!$D25,'Doll Data'!$B$2:$B$1048576,0),MATCH(O$37,'Doll Data'!$E$1:$K$1,0))</f>
        <v>0</v>
      </c>
      <c r="P39" s="25">
        <f>INDEX('Doll Data'!$E$2:$K$1048576,MATCH(Main!$D25,'Doll Data'!$B$2:$B$1048576,0),MATCH(P$37,'Doll Data'!$E$1:$K$1,0))</f>
        <v>131</v>
      </c>
      <c r="Q39"/>
    </row>
    <row r="40" spans="9:23" x14ac:dyDescent="0.25">
      <c r="I40" s="17">
        <v>3</v>
      </c>
      <c r="J40" s="23">
        <f>INDEX('Doll Data'!$E$2:$K$1048576,MATCH(Main!$D26,'Doll Data'!$B$2:$B$1048576,0),MATCH(J$37,'Doll Data'!$E$1:$K$1,0))</f>
        <v>82</v>
      </c>
      <c r="K40" s="24">
        <f>INDEX('Doll Data'!$E$2:$K$1048576,MATCH(Main!$D26,'Doll Data'!$B$2:$B$1048576,0),MATCH(K$37,'Doll Data'!$E$1:$K$1,0))</f>
        <v>122</v>
      </c>
      <c r="L40" s="24">
        <f>INDEX('Doll Data'!$E$2:$K$1048576,MATCH(Main!$D26,'Doll Data'!$B$2:$B$1048576,0),MATCH(L$37,'Doll Data'!$E$1:$K$1,0))</f>
        <v>95</v>
      </c>
      <c r="M40" s="24">
        <f>INDEX('Doll Data'!$E$2:$K$1048576,MATCH(Main!$D26,'Doll Data'!$B$2:$B$1048576,0),MATCH(M$37,'Doll Data'!$E$1:$K$1,0))</f>
        <v>118</v>
      </c>
      <c r="N40" s="24">
        <f>INDEX('Doll Data'!$E$2:$K$1048576,MATCH(Main!$D26,'Doll Data'!$B$2:$B$1048576,0),MATCH(N$37,'Doll Data'!$E$1:$K$1,0))</f>
        <v>115</v>
      </c>
      <c r="O40" s="24">
        <f>INDEX('Doll Data'!$E$2:$K$1048576,MATCH(Main!$D26,'Doll Data'!$B$2:$B$1048576,0),MATCH(O$37,'Doll Data'!$E$1:$K$1,0))</f>
        <v>0</v>
      </c>
      <c r="P40" s="25">
        <f>INDEX('Doll Data'!$E$2:$K$1048576,MATCH(Main!$D26,'Doll Data'!$B$2:$B$1048576,0),MATCH(P$37,'Doll Data'!$E$1:$K$1,0))</f>
        <v>140</v>
      </c>
      <c r="Q40"/>
    </row>
    <row r="41" spans="9:23" x14ac:dyDescent="0.25">
      <c r="I41" s="17">
        <v>4</v>
      </c>
      <c r="J41" s="23">
        <f>INDEX('Doll Data'!$E$2:$K$1048576,MATCH(Main!$D27,'Doll Data'!$B$2:$B$1048576,0),MATCH(J$37,'Doll Data'!$E$1:$K$1,0))</f>
        <v>105</v>
      </c>
      <c r="K41" s="24">
        <f>INDEX('Doll Data'!$E$2:$K$1048576,MATCH(Main!$D27,'Doll Data'!$B$2:$B$1048576,0),MATCH(K$37,'Doll Data'!$E$1:$K$1,0))</f>
        <v>95</v>
      </c>
      <c r="L41" s="24">
        <f>INDEX('Doll Data'!$E$2:$K$1048576,MATCH(Main!$D27,'Doll Data'!$B$2:$B$1048576,0),MATCH(L$37,'Doll Data'!$E$1:$K$1,0))</f>
        <v>112</v>
      </c>
      <c r="M41" s="24">
        <f>INDEX('Doll Data'!$E$2:$K$1048576,MATCH(Main!$D27,'Doll Data'!$B$2:$B$1048576,0),MATCH(M$37,'Doll Data'!$E$1:$K$1,0))</f>
        <v>122</v>
      </c>
      <c r="N41" s="24">
        <f>INDEX('Doll Data'!$E$2:$K$1048576,MATCH(Main!$D27,'Doll Data'!$B$2:$B$1048576,0),MATCH(N$37,'Doll Data'!$E$1:$K$1,0))</f>
        <v>138</v>
      </c>
      <c r="O41" s="24">
        <f>INDEX('Doll Data'!$E$2:$K$1048576,MATCH(Main!$D27,'Doll Data'!$B$2:$B$1048576,0),MATCH(O$37,'Doll Data'!$E$1:$K$1,0))</f>
        <v>0</v>
      </c>
      <c r="P41" s="25">
        <f>INDEX('Doll Data'!$E$2:$K$1048576,MATCH(Main!$D27,'Doll Data'!$B$2:$B$1048576,0),MATCH(P$37,'Doll Data'!$E$1:$K$1,0))</f>
        <v>130</v>
      </c>
      <c r="Q41"/>
    </row>
    <row r="42" spans="9:23" x14ac:dyDescent="0.25">
      <c r="I42" s="18">
        <v>5</v>
      </c>
      <c r="J42" s="26">
        <f>INDEX('Doll Data'!$E$2:$K$1048576,MATCH(Main!$D28,'Doll Data'!$B$2:$B$1048576,0),MATCH(J$37,'Doll Data'!$E$1:$K$1,0))</f>
        <v>100</v>
      </c>
      <c r="K42" s="27">
        <f>INDEX('Doll Data'!$E$2:$K$1048576,MATCH(Main!$D28,'Doll Data'!$B$2:$B$1048576,0),MATCH(K$37,'Doll Data'!$E$1:$K$1,0))</f>
        <v>120</v>
      </c>
      <c r="L42" s="27">
        <f>INDEX('Doll Data'!$E$2:$K$1048576,MATCH(Main!$D28,'Doll Data'!$B$2:$B$1048576,0),MATCH(L$37,'Doll Data'!$E$1:$K$1,0))</f>
        <v>115</v>
      </c>
      <c r="M42" s="27">
        <f>INDEX('Doll Data'!$E$2:$K$1048576,MATCH(Main!$D28,'Doll Data'!$B$2:$B$1048576,0),MATCH(M$37,'Doll Data'!$E$1:$K$1,0))</f>
        <v>115</v>
      </c>
      <c r="N42" s="27">
        <f>INDEX('Doll Data'!$E$2:$K$1048576,MATCH(Main!$D28,'Doll Data'!$B$2:$B$1048576,0),MATCH(N$37,'Doll Data'!$E$1:$K$1,0))</f>
        <v>115</v>
      </c>
      <c r="O42" s="27">
        <f>INDEX('Doll Data'!$E$2:$K$1048576,MATCH(Main!$D28,'Doll Data'!$B$2:$B$1048576,0),MATCH(O$37,'Doll Data'!$E$1:$K$1,0))</f>
        <v>0</v>
      </c>
      <c r="P42" s="28">
        <f>INDEX('Doll Data'!$E$2:$K$1048576,MATCH(Main!$D28,'Doll Data'!$B$2:$B$1048576,0),MATCH(P$37,'Doll Data'!$E$1:$K$1,0))</f>
        <v>105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402"/>
  <sheetViews>
    <sheetView workbookViewId="0">
      <pane ySplit="1" topLeftCell="A320" activePane="bottomLeft" state="frozen"/>
      <selection activeCell="C4" sqref="C4"/>
      <selection pane="bottomLeft" activeCell="B330" sqref="B330:B333"/>
    </sheetView>
  </sheetViews>
  <sheetFormatPr defaultRowHeight="15" x14ac:dyDescent="0.25"/>
  <cols>
    <col min="2" max="2" width="18" bestFit="1" customWidth="1"/>
  </cols>
  <sheetData>
    <row r="1" spans="1:11" x14ac:dyDescent="0.25">
      <c r="A1" s="43" t="s">
        <v>25</v>
      </c>
      <c r="B1" s="43" t="s">
        <v>296</v>
      </c>
      <c r="C1" s="43" t="s">
        <v>61</v>
      </c>
      <c r="D1" s="43" t="s">
        <v>297</v>
      </c>
      <c r="E1" s="43" t="s">
        <v>9</v>
      </c>
      <c r="F1" s="43" t="s">
        <v>10</v>
      </c>
      <c r="G1" s="43" t="s">
        <v>11</v>
      </c>
      <c r="H1" s="43" t="s">
        <v>12</v>
      </c>
      <c r="I1" s="43" t="s">
        <v>13</v>
      </c>
      <c r="J1" s="43" t="s">
        <v>14</v>
      </c>
      <c r="K1" s="43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995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938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939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1015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940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1006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936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937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875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935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1008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941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1007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942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943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944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945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946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947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948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949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950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951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952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953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954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955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956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957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958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959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960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961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962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963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964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965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1016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967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968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969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970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971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972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973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974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975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976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977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978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979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980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981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982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983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984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985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986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336</v>
      </c>
      <c r="B330" s="9" t="s">
        <v>1098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</row>
    <row r="331" spans="1:11" x14ac:dyDescent="0.25">
      <c r="A331" s="1">
        <v>337</v>
      </c>
      <c r="B331" s="9" t="s">
        <v>1102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</row>
    <row r="332" spans="1:11" x14ac:dyDescent="0.25">
      <c r="A332" s="1">
        <v>338</v>
      </c>
      <c r="B332" s="9" t="s">
        <v>1099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</row>
    <row r="333" spans="1:11" x14ac:dyDescent="0.25">
      <c r="A333" s="1">
        <v>339</v>
      </c>
      <c r="B333" s="9" t="s">
        <v>1100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</row>
    <row r="334" spans="1:11" x14ac:dyDescent="0.25">
      <c r="A334" s="1">
        <v>1001</v>
      </c>
      <c r="B334" s="9" t="s">
        <v>262</v>
      </c>
      <c r="C334" s="1">
        <v>1</v>
      </c>
      <c r="D334" s="1">
        <v>5</v>
      </c>
      <c r="E334" s="1">
        <v>90</v>
      </c>
      <c r="F334" s="1">
        <v>140</v>
      </c>
      <c r="G334" s="1">
        <v>120</v>
      </c>
      <c r="H334" s="1">
        <v>120</v>
      </c>
      <c r="I334" s="1">
        <v>110</v>
      </c>
      <c r="J334" s="1">
        <v>0</v>
      </c>
      <c r="K334" s="1">
        <v>120</v>
      </c>
    </row>
    <row r="335" spans="1:11" x14ac:dyDescent="0.25">
      <c r="A335" s="1">
        <v>1002</v>
      </c>
      <c r="B335" s="9" t="s">
        <v>263</v>
      </c>
      <c r="C335" s="1">
        <v>6</v>
      </c>
      <c r="D335" s="1">
        <v>5</v>
      </c>
      <c r="E335" s="1">
        <v>125</v>
      </c>
      <c r="F335" s="1">
        <v>130</v>
      </c>
      <c r="G335" s="1">
        <v>110</v>
      </c>
      <c r="H335" s="1">
        <v>120</v>
      </c>
      <c r="I335" s="1">
        <v>80</v>
      </c>
      <c r="J335" s="1">
        <v>125</v>
      </c>
      <c r="K335" s="1">
        <v>95</v>
      </c>
    </row>
    <row r="336" spans="1:11" x14ac:dyDescent="0.25">
      <c r="A336" s="1">
        <v>1003</v>
      </c>
      <c r="B336" s="9" t="s">
        <v>987</v>
      </c>
      <c r="C336" s="1">
        <v>1</v>
      </c>
      <c r="D336" s="1">
        <v>5</v>
      </c>
      <c r="E336" s="1">
        <v>105</v>
      </c>
      <c r="F336" s="1">
        <v>125</v>
      </c>
      <c r="G336" s="1">
        <v>125</v>
      </c>
      <c r="H336" s="1">
        <v>118</v>
      </c>
      <c r="I336" s="1">
        <v>115</v>
      </c>
      <c r="J336" s="1">
        <v>0</v>
      </c>
      <c r="K336" s="1">
        <v>104</v>
      </c>
    </row>
    <row r="337" spans="1:11" x14ac:dyDescent="0.25">
      <c r="A337" s="1">
        <v>1004</v>
      </c>
      <c r="B337" s="9" t="s">
        <v>988</v>
      </c>
      <c r="C337" s="1">
        <v>3</v>
      </c>
      <c r="D337" s="1">
        <v>5</v>
      </c>
      <c r="E337" s="1">
        <v>95</v>
      </c>
      <c r="F337" s="1">
        <v>135</v>
      </c>
      <c r="G337" s="1">
        <v>98</v>
      </c>
      <c r="H337" s="1">
        <v>105</v>
      </c>
      <c r="I337" s="1">
        <v>95</v>
      </c>
      <c r="J337" s="1">
        <v>0</v>
      </c>
      <c r="K337" s="1">
        <v>120</v>
      </c>
    </row>
    <row r="338" spans="1:11" x14ac:dyDescent="0.25">
      <c r="A338" s="1">
        <v>1005</v>
      </c>
      <c r="B338" s="9" t="s">
        <v>989</v>
      </c>
      <c r="C338" s="1">
        <v>3</v>
      </c>
      <c r="D338" s="1">
        <v>5</v>
      </c>
      <c r="E338" s="1">
        <v>92</v>
      </c>
      <c r="F338" s="1">
        <v>122</v>
      </c>
      <c r="G338" s="1">
        <v>110</v>
      </c>
      <c r="H338" s="1">
        <v>115</v>
      </c>
      <c r="I338" s="1">
        <v>100</v>
      </c>
      <c r="J338" s="1">
        <v>0</v>
      </c>
      <c r="K338" s="1">
        <v>120</v>
      </c>
    </row>
    <row r="339" spans="1:11" x14ac:dyDescent="0.25">
      <c r="A339" s="1">
        <v>1006</v>
      </c>
      <c r="B339" s="9" t="s">
        <v>990</v>
      </c>
      <c r="C339" s="1">
        <v>1</v>
      </c>
      <c r="D339" s="1">
        <v>5</v>
      </c>
      <c r="E339" s="1">
        <v>125</v>
      </c>
      <c r="F339" s="1">
        <v>120</v>
      </c>
      <c r="G339" s="1">
        <v>105</v>
      </c>
      <c r="H339" s="1">
        <v>105</v>
      </c>
      <c r="I339" s="1">
        <v>120</v>
      </c>
      <c r="J339" s="1">
        <v>0</v>
      </c>
      <c r="K339" s="1">
        <v>104</v>
      </c>
    </row>
    <row r="340" spans="1:11" x14ac:dyDescent="0.25">
      <c r="A340" s="1">
        <v>1007</v>
      </c>
      <c r="B340" s="9" t="s">
        <v>991</v>
      </c>
      <c r="C340" s="1">
        <v>4</v>
      </c>
      <c r="D340" s="1">
        <v>5</v>
      </c>
      <c r="E340" s="1">
        <v>110</v>
      </c>
      <c r="F340" s="1">
        <v>126</v>
      </c>
      <c r="G340" s="1">
        <v>95</v>
      </c>
      <c r="H340" s="1">
        <v>105</v>
      </c>
      <c r="I340" s="1">
        <v>100</v>
      </c>
      <c r="J340" s="1">
        <v>0</v>
      </c>
      <c r="K340" s="1">
        <v>122</v>
      </c>
    </row>
    <row r="341" spans="1:11" x14ac:dyDescent="0.25">
      <c r="A341" s="1">
        <v>1008</v>
      </c>
      <c r="B341" s="9" t="s">
        <v>992</v>
      </c>
      <c r="C341" s="1">
        <v>6</v>
      </c>
      <c r="D341" s="1">
        <v>5</v>
      </c>
      <c r="E341" s="1">
        <v>112</v>
      </c>
      <c r="F341" s="1">
        <v>128</v>
      </c>
      <c r="G341" s="1">
        <v>108</v>
      </c>
      <c r="H341" s="1">
        <v>110</v>
      </c>
      <c r="I341" s="1">
        <v>130</v>
      </c>
      <c r="J341" s="1">
        <v>120</v>
      </c>
      <c r="K341" s="1">
        <v>90</v>
      </c>
    </row>
    <row r="342" spans="1:11" x14ac:dyDescent="0.25">
      <c r="A342" s="1">
        <v>1009</v>
      </c>
      <c r="B342" s="9" t="s">
        <v>264</v>
      </c>
      <c r="C342" s="1">
        <v>1</v>
      </c>
      <c r="D342" s="1">
        <v>5</v>
      </c>
      <c r="E342" s="1">
        <v>100</v>
      </c>
      <c r="F342" s="1">
        <v>100</v>
      </c>
      <c r="G342" s="1">
        <v>106</v>
      </c>
      <c r="H342" s="1">
        <v>108</v>
      </c>
      <c r="I342" s="1">
        <v>103</v>
      </c>
      <c r="J342" s="1">
        <v>0</v>
      </c>
      <c r="K342" s="1">
        <v>140</v>
      </c>
    </row>
    <row r="343" spans="1:11" x14ac:dyDescent="0.25">
      <c r="A343" s="1">
        <v>1010</v>
      </c>
      <c r="B343" s="9" t="s">
        <v>265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</row>
    <row r="344" spans="1:11" x14ac:dyDescent="0.25">
      <c r="A344" s="1">
        <v>1017</v>
      </c>
      <c r="B344" s="9" t="s">
        <v>336</v>
      </c>
      <c r="C344" s="1">
        <v>1</v>
      </c>
      <c r="D344" s="1">
        <v>5</v>
      </c>
      <c r="E344" s="1">
        <v>120</v>
      </c>
      <c r="F344" s="1">
        <v>102</v>
      </c>
      <c r="G344" s="1">
        <v>100</v>
      </c>
      <c r="H344" s="1">
        <v>100</v>
      </c>
      <c r="I344" s="1">
        <v>120</v>
      </c>
      <c r="J344" s="1">
        <v>0</v>
      </c>
      <c r="K344" s="1">
        <v>130</v>
      </c>
    </row>
    <row r="345" spans="1:11" x14ac:dyDescent="0.25">
      <c r="A345" s="1">
        <v>1018</v>
      </c>
      <c r="B345" s="9" t="s">
        <v>337</v>
      </c>
      <c r="C345" s="1">
        <v>1</v>
      </c>
      <c r="D345" s="1">
        <v>5</v>
      </c>
      <c r="E345" s="1">
        <v>128</v>
      </c>
      <c r="F345" s="1">
        <v>108</v>
      </c>
      <c r="G345" s="1">
        <v>100</v>
      </c>
      <c r="H345" s="1">
        <v>120</v>
      </c>
      <c r="I345" s="1">
        <v>105</v>
      </c>
      <c r="J345" s="1">
        <v>0</v>
      </c>
      <c r="K345" s="1">
        <v>118</v>
      </c>
    </row>
    <row r="346" spans="1:11" x14ac:dyDescent="0.25">
      <c r="A346" s="1">
        <v>1019</v>
      </c>
      <c r="B346" s="9" t="s">
        <v>338</v>
      </c>
      <c r="C346" s="1">
        <v>2</v>
      </c>
      <c r="D346" s="1">
        <v>5</v>
      </c>
      <c r="E346" s="1">
        <v>100</v>
      </c>
      <c r="F346" s="1">
        <v>95</v>
      </c>
      <c r="G346" s="1">
        <v>96</v>
      </c>
      <c r="H346" s="1">
        <v>105</v>
      </c>
      <c r="I346" s="1">
        <v>122</v>
      </c>
      <c r="J346" s="1">
        <v>0</v>
      </c>
      <c r="K346" s="1">
        <v>130</v>
      </c>
    </row>
    <row r="347" spans="1:11" x14ac:dyDescent="0.25">
      <c r="A347" s="1">
        <v>1020</v>
      </c>
      <c r="B347" s="9" t="s">
        <v>339</v>
      </c>
      <c r="C347" s="1">
        <v>3</v>
      </c>
      <c r="D347" s="1">
        <v>5</v>
      </c>
      <c r="E347" s="1">
        <v>102</v>
      </c>
      <c r="F347" s="1">
        <v>102</v>
      </c>
      <c r="G347" s="1">
        <v>102</v>
      </c>
      <c r="H347" s="1">
        <v>118</v>
      </c>
      <c r="I347" s="1">
        <v>100</v>
      </c>
      <c r="J347" s="1">
        <v>0</v>
      </c>
      <c r="K347" s="1">
        <v>130</v>
      </c>
    </row>
    <row r="348" spans="1:11" x14ac:dyDescent="0.25">
      <c r="A348" s="1">
        <v>1021</v>
      </c>
      <c r="B348" s="9" t="s">
        <v>340</v>
      </c>
      <c r="C348" s="1">
        <v>5</v>
      </c>
      <c r="D348" s="1">
        <v>5</v>
      </c>
      <c r="E348" s="1">
        <v>118</v>
      </c>
      <c r="F348" s="1">
        <v>108</v>
      </c>
      <c r="G348" s="1">
        <v>120</v>
      </c>
      <c r="H348" s="1">
        <v>120</v>
      </c>
      <c r="I348" s="1">
        <v>90</v>
      </c>
      <c r="J348" s="1">
        <v>0</v>
      </c>
      <c r="K348" s="1">
        <v>122</v>
      </c>
    </row>
    <row r="349" spans="1:11" x14ac:dyDescent="0.25">
      <c r="A349" s="1">
        <v>1022</v>
      </c>
      <c r="B349" s="9" t="s">
        <v>341</v>
      </c>
      <c r="C349" s="1">
        <v>6</v>
      </c>
      <c r="D349" s="1">
        <v>5</v>
      </c>
      <c r="E349" s="1">
        <v>122</v>
      </c>
      <c r="F349" s="1">
        <v>128</v>
      </c>
      <c r="G349" s="1">
        <v>95</v>
      </c>
      <c r="H349" s="1">
        <v>132</v>
      </c>
      <c r="I349" s="1">
        <v>110</v>
      </c>
      <c r="J349" s="1">
        <v>122</v>
      </c>
      <c r="K349" s="1">
        <v>105</v>
      </c>
    </row>
    <row r="350" spans="1:11" x14ac:dyDescent="0.25">
      <c r="A350" s="1">
        <v>1023</v>
      </c>
      <c r="B350" s="9" t="s">
        <v>342</v>
      </c>
      <c r="C350" s="1">
        <v>2</v>
      </c>
      <c r="D350" s="1">
        <v>5</v>
      </c>
      <c r="E350" s="1">
        <v>108</v>
      </c>
      <c r="F350" s="1">
        <v>112</v>
      </c>
      <c r="G350" s="1">
        <v>115</v>
      </c>
      <c r="H350" s="1">
        <v>120</v>
      </c>
      <c r="I350" s="1">
        <v>126</v>
      </c>
      <c r="J350" s="1">
        <v>0</v>
      </c>
      <c r="K350" s="1">
        <v>118</v>
      </c>
    </row>
    <row r="351" spans="1:11" x14ac:dyDescent="0.25">
      <c r="A351" s="1">
        <v>1024</v>
      </c>
      <c r="B351" s="9" t="s">
        <v>343</v>
      </c>
      <c r="C351" s="1">
        <v>3</v>
      </c>
      <c r="D351" s="1">
        <v>5</v>
      </c>
      <c r="E351" s="1">
        <v>90</v>
      </c>
      <c r="F351" s="1">
        <v>120</v>
      </c>
      <c r="G351" s="1">
        <v>110</v>
      </c>
      <c r="H351" s="1">
        <v>120</v>
      </c>
      <c r="I351" s="1">
        <v>100</v>
      </c>
      <c r="J351" s="1">
        <v>0</v>
      </c>
      <c r="K351" s="1">
        <v>120</v>
      </c>
    </row>
    <row r="352" spans="1:11" x14ac:dyDescent="0.25">
      <c r="A352" s="1">
        <v>1025</v>
      </c>
      <c r="B352" s="9" t="s">
        <v>344</v>
      </c>
      <c r="C352" s="1">
        <v>6</v>
      </c>
      <c r="D352" s="1">
        <v>5</v>
      </c>
      <c r="E352" s="1">
        <v>115</v>
      </c>
      <c r="F352" s="1">
        <v>120</v>
      </c>
      <c r="G352" s="1">
        <v>100</v>
      </c>
      <c r="H352" s="1">
        <v>100</v>
      </c>
      <c r="I352" s="1">
        <v>95</v>
      </c>
      <c r="J352" s="1">
        <v>115</v>
      </c>
      <c r="K352" s="1">
        <v>110</v>
      </c>
    </row>
    <row r="353" spans="1:11" x14ac:dyDescent="0.25">
      <c r="A353" s="1">
        <v>1026</v>
      </c>
      <c r="B353" s="9" t="s">
        <v>345</v>
      </c>
      <c r="C353" s="1">
        <v>5</v>
      </c>
      <c r="D353" s="1">
        <v>5</v>
      </c>
      <c r="E353" s="1">
        <v>95</v>
      </c>
      <c r="F353" s="1">
        <v>90</v>
      </c>
      <c r="G353" s="1">
        <v>125</v>
      </c>
      <c r="H353" s="1">
        <v>125</v>
      </c>
      <c r="I353" s="1">
        <v>130</v>
      </c>
      <c r="J353" s="1">
        <v>0</v>
      </c>
      <c r="K353" s="1">
        <v>135</v>
      </c>
    </row>
    <row r="354" spans="1:11" x14ac:dyDescent="0.25">
      <c r="A354" s="1">
        <v>1027</v>
      </c>
      <c r="B354" s="9" t="s">
        <v>346</v>
      </c>
      <c r="C354" s="1">
        <v>4</v>
      </c>
      <c r="D354" s="1">
        <v>5</v>
      </c>
      <c r="E354" s="1">
        <v>110</v>
      </c>
      <c r="F354" s="1">
        <v>118</v>
      </c>
      <c r="G354" s="1">
        <v>110</v>
      </c>
      <c r="H354" s="1">
        <v>132</v>
      </c>
      <c r="I354" s="1">
        <v>105</v>
      </c>
      <c r="J354" s="1">
        <v>0</v>
      </c>
      <c r="K354" s="1">
        <v>125</v>
      </c>
    </row>
    <row r="355" spans="1:11" x14ac:dyDescent="0.25">
      <c r="A355" s="1">
        <v>1028</v>
      </c>
      <c r="B355" s="9" t="s">
        <v>840</v>
      </c>
      <c r="C355" s="1">
        <v>2</v>
      </c>
      <c r="D355" s="1">
        <v>5</v>
      </c>
      <c r="E355" s="1">
        <v>105</v>
      </c>
      <c r="F355" s="1">
        <v>115</v>
      </c>
      <c r="G355" s="1">
        <v>130</v>
      </c>
      <c r="H355" s="1">
        <v>90</v>
      </c>
      <c r="I355" s="1">
        <v>120</v>
      </c>
      <c r="J355" s="1">
        <v>0</v>
      </c>
      <c r="K355" s="1">
        <v>105</v>
      </c>
    </row>
    <row r="356" spans="1:11" x14ac:dyDescent="0.25">
      <c r="A356" s="1">
        <v>1029</v>
      </c>
      <c r="B356" s="9" t="s">
        <v>825</v>
      </c>
      <c r="C356" s="1">
        <v>4</v>
      </c>
      <c r="D356" s="1">
        <v>5</v>
      </c>
      <c r="E356" s="1">
        <v>110</v>
      </c>
      <c r="F356" s="1">
        <v>115</v>
      </c>
      <c r="G356" s="1">
        <v>115</v>
      </c>
      <c r="H356" s="1">
        <v>115</v>
      </c>
      <c r="I356" s="1">
        <v>110</v>
      </c>
      <c r="J356" s="1">
        <v>0</v>
      </c>
      <c r="K356" s="1">
        <v>115</v>
      </c>
    </row>
    <row r="357" spans="1:11" x14ac:dyDescent="0.25">
      <c r="A357" s="1">
        <v>20001</v>
      </c>
      <c r="B357" s="9" t="s">
        <v>369</v>
      </c>
      <c r="C357" s="1">
        <v>1</v>
      </c>
      <c r="D357" s="1">
        <v>5</v>
      </c>
      <c r="E357" s="1">
        <v>122</v>
      </c>
      <c r="F357" s="1">
        <v>125</v>
      </c>
      <c r="G357" s="1">
        <v>89</v>
      </c>
      <c r="H357" s="1">
        <v>90</v>
      </c>
      <c r="I357" s="1">
        <v>95</v>
      </c>
      <c r="J357" s="1">
        <v>0</v>
      </c>
      <c r="K357" s="1">
        <v>130</v>
      </c>
    </row>
    <row r="358" spans="1:11" x14ac:dyDescent="0.25">
      <c r="A358" s="1">
        <v>20002</v>
      </c>
      <c r="B358" s="9" t="s">
        <v>351</v>
      </c>
      <c r="C358" s="1">
        <v>1</v>
      </c>
      <c r="D358" s="1">
        <v>4</v>
      </c>
      <c r="E358" s="1">
        <v>110</v>
      </c>
      <c r="F358" s="1">
        <v>100</v>
      </c>
      <c r="G358" s="1">
        <v>106</v>
      </c>
      <c r="H358" s="1">
        <v>100</v>
      </c>
      <c r="I358" s="1">
        <v>100</v>
      </c>
      <c r="J358" s="1">
        <v>0</v>
      </c>
      <c r="K358" s="1">
        <v>120</v>
      </c>
    </row>
    <row r="359" spans="1:11" x14ac:dyDescent="0.25">
      <c r="A359" s="1">
        <v>20005</v>
      </c>
      <c r="B359" s="9" t="s">
        <v>934</v>
      </c>
      <c r="C359" s="1">
        <v>1</v>
      </c>
      <c r="D359" s="1">
        <v>4</v>
      </c>
      <c r="E359" s="1">
        <v>105</v>
      </c>
      <c r="F359" s="1">
        <v>115</v>
      </c>
      <c r="G359" s="1">
        <v>80</v>
      </c>
      <c r="H359" s="1">
        <v>85</v>
      </c>
      <c r="I359" s="1">
        <v>120</v>
      </c>
      <c r="J359" s="1">
        <v>0</v>
      </c>
      <c r="K359" s="1">
        <v>130</v>
      </c>
    </row>
    <row r="360" spans="1:11" x14ac:dyDescent="0.25">
      <c r="A360" s="1">
        <v>20007</v>
      </c>
      <c r="B360" s="9" t="s">
        <v>860</v>
      </c>
      <c r="C360" s="1">
        <v>1</v>
      </c>
      <c r="D360" s="1">
        <v>5</v>
      </c>
      <c r="E360" s="1">
        <v>125</v>
      </c>
      <c r="F360" s="1">
        <v>115</v>
      </c>
      <c r="G360" s="1">
        <v>125</v>
      </c>
      <c r="H360" s="1">
        <v>105</v>
      </c>
      <c r="I360" s="1">
        <v>95</v>
      </c>
      <c r="J360" s="1">
        <v>0</v>
      </c>
      <c r="K360" s="1">
        <v>110</v>
      </c>
    </row>
    <row r="361" spans="1:11" x14ac:dyDescent="0.25">
      <c r="A361" s="1">
        <v>20012</v>
      </c>
      <c r="B361" s="9" t="s">
        <v>868</v>
      </c>
      <c r="C361" s="1">
        <v>1</v>
      </c>
      <c r="D361" s="1">
        <v>4</v>
      </c>
      <c r="E361" s="1">
        <v>125</v>
      </c>
      <c r="F361" s="1">
        <v>118</v>
      </c>
      <c r="G361" s="1">
        <v>120</v>
      </c>
      <c r="H361" s="1">
        <v>108</v>
      </c>
      <c r="I361" s="1">
        <v>100</v>
      </c>
      <c r="J361" s="1">
        <v>0</v>
      </c>
      <c r="K361" s="1">
        <v>108</v>
      </c>
    </row>
    <row r="362" spans="1:11" x14ac:dyDescent="0.25">
      <c r="A362" s="1">
        <v>20026</v>
      </c>
      <c r="B362" s="9" t="s">
        <v>1009</v>
      </c>
      <c r="C362" s="1">
        <v>2</v>
      </c>
      <c r="D362" s="1">
        <v>5</v>
      </c>
      <c r="E362" s="1">
        <v>100</v>
      </c>
      <c r="F362" s="1">
        <v>120</v>
      </c>
      <c r="G362" s="1">
        <v>115</v>
      </c>
      <c r="H362" s="1">
        <v>115</v>
      </c>
      <c r="I362" s="1">
        <v>115</v>
      </c>
      <c r="J362" s="1">
        <v>0</v>
      </c>
      <c r="K362" s="1">
        <v>105</v>
      </c>
    </row>
    <row r="363" spans="1:11" x14ac:dyDescent="0.25">
      <c r="A363" s="1">
        <v>20029</v>
      </c>
      <c r="B363" s="9" t="s">
        <v>996</v>
      </c>
      <c r="C363" s="1">
        <v>2</v>
      </c>
      <c r="D363" s="1">
        <v>4</v>
      </c>
      <c r="E363" s="1">
        <v>108</v>
      </c>
      <c r="F363" s="1">
        <v>100</v>
      </c>
      <c r="G363" s="1">
        <v>105</v>
      </c>
      <c r="H363" s="1">
        <v>120</v>
      </c>
      <c r="I363" s="1">
        <v>110</v>
      </c>
      <c r="J363" s="1">
        <v>0</v>
      </c>
      <c r="K363" s="1">
        <v>125</v>
      </c>
    </row>
    <row r="364" spans="1:11" x14ac:dyDescent="0.25">
      <c r="A364" s="1">
        <v>20031</v>
      </c>
      <c r="B364" s="9" t="s">
        <v>829</v>
      </c>
      <c r="C364" s="1">
        <v>2</v>
      </c>
      <c r="D364" s="1">
        <v>4</v>
      </c>
      <c r="E364" s="1">
        <v>120</v>
      </c>
      <c r="F364" s="1">
        <v>125</v>
      </c>
      <c r="G364" s="1">
        <v>100</v>
      </c>
      <c r="H364" s="1">
        <v>95</v>
      </c>
      <c r="I364" s="1">
        <v>94</v>
      </c>
      <c r="J364" s="1">
        <v>0</v>
      </c>
      <c r="K364" s="1">
        <v>110</v>
      </c>
    </row>
    <row r="365" spans="1:11" x14ac:dyDescent="0.25">
      <c r="A365" s="1">
        <v>20032</v>
      </c>
      <c r="B365" s="9" t="s">
        <v>352</v>
      </c>
      <c r="C365" s="1">
        <v>2</v>
      </c>
      <c r="D365" s="1">
        <v>4</v>
      </c>
      <c r="E365" s="1">
        <v>98</v>
      </c>
      <c r="F365" s="1">
        <v>93</v>
      </c>
      <c r="G365" s="1">
        <v>130</v>
      </c>
      <c r="H365" s="1">
        <v>95</v>
      </c>
      <c r="I365" s="1">
        <v>125</v>
      </c>
      <c r="J365" s="1">
        <v>0</v>
      </c>
      <c r="K365" s="1">
        <v>115</v>
      </c>
    </row>
    <row r="366" spans="1:11" x14ac:dyDescent="0.25">
      <c r="A366" s="1">
        <v>20037</v>
      </c>
      <c r="B366" s="9" t="s">
        <v>353</v>
      </c>
      <c r="C366" s="1">
        <v>3</v>
      </c>
      <c r="D366" s="1">
        <v>4</v>
      </c>
      <c r="E366" s="1">
        <v>95</v>
      </c>
      <c r="F366" s="1">
        <v>105</v>
      </c>
      <c r="G366" s="1">
        <v>130</v>
      </c>
      <c r="H366" s="1">
        <v>115</v>
      </c>
      <c r="I366" s="1">
        <v>85</v>
      </c>
      <c r="J366" s="1">
        <v>0</v>
      </c>
      <c r="K366" s="1">
        <v>110</v>
      </c>
    </row>
    <row r="367" spans="1:11" x14ac:dyDescent="0.25">
      <c r="A367" s="1">
        <v>20039</v>
      </c>
      <c r="B367" s="9" t="s">
        <v>1010</v>
      </c>
      <c r="C367" s="1">
        <v>3</v>
      </c>
      <c r="D367" s="1">
        <v>5</v>
      </c>
      <c r="E367" s="1">
        <v>100</v>
      </c>
      <c r="F367" s="1">
        <v>115</v>
      </c>
      <c r="G367" s="1">
        <v>85</v>
      </c>
      <c r="H367" s="1">
        <v>120</v>
      </c>
      <c r="I367" s="1">
        <v>105</v>
      </c>
      <c r="J367" s="1">
        <v>0</v>
      </c>
      <c r="K367" s="1">
        <v>130</v>
      </c>
    </row>
    <row r="368" spans="1:11" x14ac:dyDescent="0.25">
      <c r="A368" s="1">
        <v>20044</v>
      </c>
      <c r="B368" s="9" t="s">
        <v>354</v>
      </c>
      <c r="C368" s="1">
        <v>3</v>
      </c>
      <c r="D368" s="1">
        <v>4</v>
      </c>
      <c r="E368" s="1">
        <v>95</v>
      </c>
      <c r="F368" s="1">
        <v>118</v>
      </c>
      <c r="G368" s="1">
        <v>110</v>
      </c>
      <c r="H368" s="1">
        <v>122</v>
      </c>
      <c r="I368" s="1">
        <v>85</v>
      </c>
      <c r="J368" s="1">
        <v>0</v>
      </c>
      <c r="K368" s="1">
        <v>115</v>
      </c>
    </row>
    <row r="369" spans="1:11" x14ac:dyDescent="0.25">
      <c r="A369" s="1">
        <v>20049</v>
      </c>
      <c r="B369" s="9" t="s">
        <v>997</v>
      </c>
      <c r="C369" s="1">
        <v>3</v>
      </c>
      <c r="D369" s="1">
        <v>4</v>
      </c>
      <c r="E369" s="1">
        <v>105</v>
      </c>
      <c r="F369" s="1">
        <v>105</v>
      </c>
      <c r="G369" s="1">
        <v>110</v>
      </c>
      <c r="H369" s="1">
        <v>110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20051</v>
      </c>
      <c r="B370" s="9" t="s">
        <v>1011</v>
      </c>
      <c r="C370" s="1">
        <v>3</v>
      </c>
      <c r="D370" s="1">
        <v>4</v>
      </c>
      <c r="E370" s="1">
        <v>105</v>
      </c>
      <c r="F370" s="1">
        <v>110</v>
      </c>
      <c r="G370" s="1">
        <v>100</v>
      </c>
      <c r="H370" s="1">
        <v>95</v>
      </c>
      <c r="I370" s="1">
        <v>100</v>
      </c>
      <c r="J370" s="1">
        <v>0</v>
      </c>
      <c r="K370" s="1">
        <v>115</v>
      </c>
    </row>
    <row r="371" spans="1:11" x14ac:dyDescent="0.25">
      <c r="A371" s="1">
        <v>20053</v>
      </c>
      <c r="B371" s="9" t="s">
        <v>355</v>
      </c>
      <c r="C371" s="1">
        <v>3</v>
      </c>
      <c r="D371" s="1">
        <v>6</v>
      </c>
      <c r="E371" s="1">
        <v>105</v>
      </c>
      <c r="F371" s="1">
        <v>145</v>
      </c>
      <c r="G371" s="1">
        <v>90</v>
      </c>
      <c r="H371" s="1">
        <v>110</v>
      </c>
      <c r="I371" s="1">
        <v>80</v>
      </c>
      <c r="J371" s="1">
        <v>0</v>
      </c>
      <c r="K371" s="1">
        <v>130</v>
      </c>
    </row>
    <row r="372" spans="1:11" x14ac:dyDescent="0.25">
      <c r="A372" s="1">
        <v>20055</v>
      </c>
      <c r="B372" s="9" t="s">
        <v>356</v>
      </c>
      <c r="C372" s="1">
        <v>4</v>
      </c>
      <c r="D372" s="1">
        <v>5</v>
      </c>
      <c r="E372" s="1">
        <v>100</v>
      </c>
      <c r="F372" s="1">
        <v>110</v>
      </c>
      <c r="G372" s="1">
        <v>120</v>
      </c>
      <c r="H372" s="1">
        <v>120</v>
      </c>
      <c r="I372" s="1">
        <v>120</v>
      </c>
      <c r="J372" s="1">
        <v>0</v>
      </c>
      <c r="K372" s="1">
        <v>115</v>
      </c>
    </row>
    <row r="373" spans="1:11" x14ac:dyDescent="0.25">
      <c r="A373" s="1">
        <v>20056</v>
      </c>
      <c r="B373" s="9" t="s">
        <v>357</v>
      </c>
      <c r="C373" s="1">
        <v>4</v>
      </c>
      <c r="D373" s="1">
        <v>5</v>
      </c>
      <c r="E373" s="1">
        <v>100</v>
      </c>
      <c r="F373" s="1">
        <v>118</v>
      </c>
      <c r="G373" s="1">
        <v>120</v>
      </c>
      <c r="H373" s="1">
        <v>125</v>
      </c>
      <c r="I373" s="1">
        <v>115</v>
      </c>
      <c r="J373" s="1">
        <v>0</v>
      </c>
      <c r="K373" s="1">
        <v>110</v>
      </c>
    </row>
    <row r="374" spans="1:11" x14ac:dyDescent="0.25">
      <c r="A374" s="1">
        <v>20057</v>
      </c>
      <c r="B374" s="9" t="s">
        <v>358</v>
      </c>
      <c r="C374" s="1">
        <v>4</v>
      </c>
      <c r="D374" s="1">
        <v>5</v>
      </c>
      <c r="E374" s="1">
        <v>95</v>
      </c>
      <c r="F374" s="1">
        <v>106</v>
      </c>
      <c r="G374" s="1">
        <v>115</v>
      </c>
      <c r="H374" s="1">
        <v>125</v>
      </c>
      <c r="I374" s="1">
        <v>120</v>
      </c>
      <c r="J374" s="1">
        <v>0</v>
      </c>
      <c r="K374" s="1">
        <v>120</v>
      </c>
    </row>
    <row r="375" spans="1:11" x14ac:dyDescent="0.25">
      <c r="A375" s="1">
        <v>20060</v>
      </c>
      <c r="B375" s="9" t="s">
        <v>359</v>
      </c>
      <c r="C375" s="1">
        <v>4</v>
      </c>
      <c r="D375" s="1">
        <v>5</v>
      </c>
      <c r="E375" s="1">
        <v>120</v>
      </c>
      <c r="F375" s="1">
        <v>94</v>
      </c>
      <c r="G375" s="1">
        <v>115</v>
      </c>
      <c r="H375" s="1">
        <v>125</v>
      </c>
      <c r="I375" s="1">
        <v>125</v>
      </c>
      <c r="J375" s="1">
        <v>0</v>
      </c>
      <c r="K375" s="1">
        <v>110</v>
      </c>
    </row>
    <row r="376" spans="1:11" x14ac:dyDescent="0.25">
      <c r="A376" s="1">
        <v>20061</v>
      </c>
      <c r="B376" s="9" t="s">
        <v>998</v>
      </c>
      <c r="C376" s="1">
        <v>4</v>
      </c>
      <c r="D376" s="1">
        <v>4</v>
      </c>
      <c r="E376" s="1">
        <v>115</v>
      </c>
      <c r="F376" s="1">
        <v>125</v>
      </c>
      <c r="G376" s="1">
        <v>96</v>
      </c>
      <c r="H376" s="1">
        <v>115</v>
      </c>
      <c r="I376" s="1">
        <v>85</v>
      </c>
      <c r="J376" s="1">
        <v>0</v>
      </c>
      <c r="K376" s="1">
        <v>120</v>
      </c>
    </row>
    <row r="377" spans="1:11" x14ac:dyDescent="0.25">
      <c r="A377" s="1">
        <v>20063</v>
      </c>
      <c r="B377" s="9" t="s">
        <v>1012</v>
      </c>
      <c r="C377" s="1">
        <v>4</v>
      </c>
      <c r="D377" s="1">
        <v>4</v>
      </c>
      <c r="E377" s="1">
        <v>100</v>
      </c>
      <c r="F377" s="1">
        <v>125</v>
      </c>
      <c r="G377" s="1">
        <v>95</v>
      </c>
      <c r="H377" s="1">
        <v>125</v>
      </c>
      <c r="I377" s="1">
        <v>90</v>
      </c>
      <c r="J377" s="1">
        <v>0</v>
      </c>
      <c r="K377" s="1">
        <v>120</v>
      </c>
    </row>
    <row r="378" spans="1:11" x14ac:dyDescent="0.25">
      <c r="A378" s="1">
        <v>20064</v>
      </c>
      <c r="B378" s="9" t="s">
        <v>1013</v>
      </c>
      <c r="C378" s="1">
        <v>4</v>
      </c>
      <c r="D378" s="1">
        <v>5</v>
      </c>
      <c r="E378" s="1">
        <v>115</v>
      </c>
      <c r="F378" s="1">
        <v>114</v>
      </c>
      <c r="G378" s="1">
        <v>114</v>
      </c>
      <c r="H378" s="1">
        <v>120</v>
      </c>
      <c r="I378" s="1">
        <v>110</v>
      </c>
      <c r="J378" s="1">
        <v>0</v>
      </c>
      <c r="K378" s="1">
        <v>110</v>
      </c>
    </row>
    <row r="379" spans="1:11" x14ac:dyDescent="0.25">
      <c r="A379" s="1">
        <v>20065</v>
      </c>
      <c r="B379" s="9" t="s">
        <v>360</v>
      </c>
      <c r="C379" s="1">
        <v>4</v>
      </c>
      <c r="D379" s="1">
        <v>6</v>
      </c>
      <c r="E379" s="1">
        <v>110</v>
      </c>
      <c r="F379" s="1">
        <v>118</v>
      </c>
      <c r="G379" s="1">
        <v>116</v>
      </c>
      <c r="H379" s="1">
        <v>120</v>
      </c>
      <c r="I379" s="1">
        <v>110</v>
      </c>
      <c r="J379" s="1">
        <v>0</v>
      </c>
      <c r="K379" s="1">
        <v>118</v>
      </c>
    </row>
    <row r="380" spans="1:11" x14ac:dyDescent="0.25">
      <c r="A380" s="1">
        <v>20071</v>
      </c>
      <c r="B380" s="9" t="s">
        <v>999</v>
      </c>
      <c r="C380" s="1">
        <v>4</v>
      </c>
      <c r="D380" s="1">
        <v>4</v>
      </c>
      <c r="E380" s="1">
        <v>112</v>
      </c>
      <c r="F380" s="1">
        <v>108</v>
      </c>
      <c r="G380" s="1">
        <v>95</v>
      </c>
      <c r="H380" s="1">
        <v>105</v>
      </c>
      <c r="I380" s="1">
        <v>95</v>
      </c>
      <c r="J380" s="1">
        <v>0</v>
      </c>
      <c r="K380" s="1">
        <v>130</v>
      </c>
    </row>
    <row r="381" spans="1:11" x14ac:dyDescent="0.25">
      <c r="A381" s="1">
        <v>20075</v>
      </c>
      <c r="B381" s="9" t="s">
        <v>361</v>
      </c>
      <c r="C381" s="1">
        <v>5</v>
      </c>
      <c r="D381" s="1">
        <v>5</v>
      </c>
      <c r="E381" s="1">
        <v>95</v>
      </c>
      <c r="F381" s="1">
        <v>118</v>
      </c>
      <c r="G381" s="1">
        <v>105</v>
      </c>
      <c r="H381" s="1">
        <v>125</v>
      </c>
      <c r="I381" s="1">
        <v>125</v>
      </c>
      <c r="J381" s="1">
        <v>0</v>
      </c>
      <c r="K381" s="1">
        <v>125</v>
      </c>
    </row>
    <row r="382" spans="1:11" x14ac:dyDescent="0.25">
      <c r="A382" s="1">
        <v>20081</v>
      </c>
      <c r="B382" s="9" t="s">
        <v>362</v>
      </c>
      <c r="C382" s="1">
        <v>5</v>
      </c>
      <c r="D382" s="1">
        <v>4</v>
      </c>
      <c r="E382" s="1">
        <v>105</v>
      </c>
      <c r="F382" s="1">
        <v>138</v>
      </c>
      <c r="G382" s="1">
        <v>90</v>
      </c>
      <c r="H382" s="1">
        <v>120</v>
      </c>
      <c r="I382" s="1">
        <v>105</v>
      </c>
      <c r="J382" s="1">
        <v>0</v>
      </c>
      <c r="K382" s="1">
        <v>100</v>
      </c>
    </row>
    <row r="383" spans="1:11" x14ac:dyDescent="0.25">
      <c r="A383" s="1">
        <v>20089</v>
      </c>
      <c r="B383" s="9" t="s">
        <v>864</v>
      </c>
      <c r="C383" s="1">
        <v>5</v>
      </c>
      <c r="D383" s="1">
        <v>4</v>
      </c>
      <c r="E383" s="1">
        <v>105</v>
      </c>
      <c r="F383" s="1">
        <v>115</v>
      </c>
      <c r="G383" s="1">
        <v>95</v>
      </c>
      <c r="H383" s="1">
        <v>130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20091</v>
      </c>
      <c r="B384" s="9" t="s">
        <v>363</v>
      </c>
      <c r="C384" s="1">
        <v>1</v>
      </c>
      <c r="D384" s="1">
        <v>4</v>
      </c>
      <c r="E384" s="1">
        <v>100</v>
      </c>
      <c r="F384" s="1">
        <v>105</v>
      </c>
      <c r="G384" s="1">
        <v>110</v>
      </c>
      <c r="H384" s="1">
        <v>110</v>
      </c>
      <c r="I384" s="1">
        <v>102</v>
      </c>
      <c r="J384" s="1">
        <v>0</v>
      </c>
      <c r="K384" s="1">
        <v>120</v>
      </c>
    </row>
    <row r="385" spans="1:11" x14ac:dyDescent="0.25">
      <c r="A385" s="1">
        <v>20093</v>
      </c>
      <c r="B385" s="9" t="s">
        <v>364</v>
      </c>
      <c r="C385" s="1">
        <v>2</v>
      </c>
      <c r="D385" s="1">
        <v>4</v>
      </c>
      <c r="E385" s="1">
        <v>85</v>
      </c>
      <c r="F385" s="1">
        <v>90</v>
      </c>
      <c r="G385" s="1">
        <v>90</v>
      </c>
      <c r="H385" s="1">
        <v>110</v>
      </c>
      <c r="I385" s="1">
        <v>125</v>
      </c>
      <c r="J385" s="1">
        <v>0</v>
      </c>
      <c r="K385" s="1">
        <v>130</v>
      </c>
    </row>
    <row r="386" spans="1:11" x14ac:dyDescent="0.25">
      <c r="A386" s="1">
        <v>20094</v>
      </c>
      <c r="B386" s="9" t="s">
        <v>861</v>
      </c>
      <c r="C386" s="1">
        <v>2</v>
      </c>
      <c r="D386" s="1">
        <v>4</v>
      </c>
      <c r="E386" s="1">
        <v>100</v>
      </c>
      <c r="F386" s="1">
        <v>105</v>
      </c>
      <c r="G386" s="1">
        <v>120</v>
      </c>
      <c r="H386" s="1">
        <v>95</v>
      </c>
      <c r="I386" s="1">
        <v>113</v>
      </c>
      <c r="J386" s="1">
        <v>0</v>
      </c>
      <c r="K386" s="1">
        <v>105</v>
      </c>
    </row>
    <row r="387" spans="1:11" x14ac:dyDescent="0.25">
      <c r="A387" s="1">
        <v>20095</v>
      </c>
      <c r="B387" s="9" t="s">
        <v>1014</v>
      </c>
      <c r="C387" s="1">
        <v>3</v>
      </c>
      <c r="D387" s="1">
        <v>4</v>
      </c>
      <c r="E387" s="1">
        <v>115</v>
      </c>
      <c r="F387" s="1">
        <v>105</v>
      </c>
      <c r="G387" s="1">
        <v>108</v>
      </c>
      <c r="H387" s="1">
        <v>100</v>
      </c>
      <c r="I387" s="1">
        <v>110</v>
      </c>
      <c r="J387" s="1">
        <v>0</v>
      </c>
      <c r="K387" s="1">
        <v>120</v>
      </c>
    </row>
    <row r="388" spans="1:11" x14ac:dyDescent="0.25">
      <c r="A388" s="1">
        <v>20097</v>
      </c>
      <c r="B388" s="9" t="s">
        <v>365</v>
      </c>
      <c r="C388" s="1">
        <v>1</v>
      </c>
      <c r="D388" s="1">
        <v>6</v>
      </c>
      <c r="E388" s="1">
        <v>118</v>
      </c>
      <c r="F388" s="1">
        <v>116</v>
      </c>
      <c r="G388" s="1">
        <v>135</v>
      </c>
      <c r="H388" s="1">
        <v>115</v>
      </c>
      <c r="I388" s="1">
        <v>102</v>
      </c>
      <c r="J388" s="1">
        <v>0</v>
      </c>
      <c r="K388" s="1">
        <v>115</v>
      </c>
    </row>
    <row r="389" spans="1:11" x14ac:dyDescent="0.25">
      <c r="A389" s="1">
        <v>20101</v>
      </c>
      <c r="B389" s="9" t="s">
        <v>366</v>
      </c>
      <c r="C389" s="1">
        <v>2</v>
      </c>
      <c r="D389" s="1">
        <v>5</v>
      </c>
      <c r="E389" s="1">
        <v>100</v>
      </c>
      <c r="F389" s="1">
        <v>105</v>
      </c>
      <c r="G389" s="1">
        <v>110</v>
      </c>
      <c r="H389" s="1">
        <v>135</v>
      </c>
      <c r="I389" s="1">
        <v>130</v>
      </c>
      <c r="J389" s="1">
        <v>0</v>
      </c>
      <c r="K389" s="1">
        <v>110</v>
      </c>
    </row>
    <row r="390" spans="1:11" x14ac:dyDescent="0.25">
      <c r="A390" s="1">
        <v>20103</v>
      </c>
      <c r="B390" s="9" t="s">
        <v>367</v>
      </c>
      <c r="C390" s="1">
        <v>2</v>
      </c>
      <c r="D390" s="1">
        <v>5</v>
      </c>
      <c r="E390" s="1">
        <v>108</v>
      </c>
      <c r="F390" s="1">
        <v>105</v>
      </c>
      <c r="G390" s="1">
        <v>105</v>
      </c>
      <c r="H390" s="1">
        <v>110</v>
      </c>
      <c r="I390" s="1">
        <v>120</v>
      </c>
      <c r="J390" s="1">
        <v>0</v>
      </c>
      <c r="K390" s="1">
        <v>110</v>
      </c>
    </row>
    <row r="391" spans="1:11" x14ac:dyDescent="0.25">
      <c r="A391" s="1">
        <v>20114</v>
      </c>
      <c r="B391" s="9" t="s">
        <v>1005</v>
      </c>
      <c r="C391" s="1">
        <v>1</v>
      </c>
      <c r="D391" s="1">
        <v>6</v>
      </c>
      <c r="E391" s="1">
        <v>120</v>
      </c>
      <c r="F391" s="1">
        <v>96</v>
      </c>
      <c r="G391" s="1">
        <v>90</v>
      </c>
      <c r="H391" s="1">
        <v>125</v>
      </c>
      <c r="I391" s="1">
        <v>110</v>
      </c>
      <c r="J391" s="1">
        <v>0</v>
      </c>
      <c r="K391" s="1">
        <v>140</v>
      </c>
    </row>
    <row r="392" spans="1:11" x14ac:dyDescent="0.25">
      <c r="A392" s="1">
        <v>20122</v>
      </c>
      <c r="B392" s="9" t="s">
        <v>1000</v>
      </c>
      <c r="C392" s="1">
        <v>4</v>
      </c>
      <c r="D392" s="1">
        <v>6</v>
      </c>
      <c r="E392" s="1">
        <v>110</v>
      </c>
      <c r="F392" s="1">
        <v>105</v>
      </c>
      <c r="G392" s="1">
        <v>145</v>
      </c>
      <c r="H392" s="1">
        <v>115</v>
      </c>
      <c r="I392" s="1">
        <v>105</v>
      </c>
      <c r="J392" s="1">
        <v>0</v>
      </c>
      <c r="K392" s="1">
        <v>114</v>
      </c>
    </row>
    <row r="393" spans="1:11" x14ac:dyDescent="0.25">
      <c r="A393" s="1">
        <v>20124</v>
      </c>
      <c r="B393" s="9" t="s">
        <v>1001</v>
      </c>
      <c r="C393" s="1">
        <v>3</v>
      </c>
      <c r="D393" s="1">
        <v>4</v>
      </c>
      <c r="E393" s="1">
        <v>100</v>
      </c>
      <c r="F393" s="1">
        <v>115</v>
      </c>
      <c r="G393" s="1">
        <v>120</v>
      </c>
      <c r="H393" s="1">
        <v>110</v>
      </c>
      <c r="I393" s="1">
        <v>90</v>
      </c>
      <c r="J393" s="1">
        <v>0</v>
      </c>
      <c r="K393" s="1">
        <v>115</v>
      </c>
    </row>
    <row r="394" spans="1:11" x14ac:dyDescent="0.25">
      <c r="A394" s="1">
        <v>20136</v>
      </c>
      <c r="B394" s="9" t="s">
        <v>1002</v>
      </c>
      <c r="C394" s="1">
        <v>2</v>
      </c>
      <c r="D394" s="1">
        <v>5</v>
      </c>
      <c r="E394" s="1">
        <v>105</v>
      </c>
      <c r="F394" s="1">
        <v>103</v>
      </c>
      <c r="G394" s="1">
        <v>115</v>
      </c>
      <c r="H394" s="1">
        <v>115</v>
      </c>
      <c r="I394" s="1">
        <v>125</v>
      </c>
      <c r="J394" s="1">
        <v>0</v>
      </c>
      <c r="K394" s="1">
        <v>110</v>
      </c>
    </row>
    <row r="395" spans="1:11" x14ac:dyDescent="0.25">
      <c r="A395" s="1">
        <v>20143</v>
      </c>
      <c r="B395" s="9" t="s">
        <v>993</v>
      </c>
      <c r="C395" s="1">
        <v>2</v>
      </c>
      <c r="D395" s="1">
        <v>6</v>
      </c>
      <c r="E395" s="1">
        <v>115</v>
      </c>
      <c r="F395" s="1">
        <v>110</v>
      </c>
      <c r="G395" s="1">
        <v>125</v>
      </c>
      <c r="H395" s="1">
        <v>130</v>
      </c>
      <c r="I395" s="1">
        <v>125</v>
      </c>
      <c r="J395" s="1">
        <v>0</v>
      </c>
      <c r="K395" s="1">
        <v>105</v>
      </c>
    </row>
    <row r="396" spans="1:11" x14ac:dyDescent="0.25">
      <c r="A396" s="1">
        <v>20152</v>
      </c>
      <c r="B396" s="9" t="s">
        <v>843</v>
      </c>
      <c r="C396" s="1">
        <v>6</v>
      </c>
      <c r="D396" s="1">
        <v>4</v>
      </c>
      <c r="E396" s="1">
        <v>120</v>
      </c>
      <c r="F396" s="1">
        <v>125</v>
      </c>
      <c r="G396" s="1">
        <v>100</v>
      </c>
      <c r="H396" s="1">
        <v>108</v>
      </c>
      <c r="I396" s="1">
        <v>95</v>
      </c>
      <c r="J396" s="1">
        <v>115</v>
      </c>
      <c r="K396" s="1">
        <v>100</v>
      </c>
    </row>
    <row r="397" spans="1:11" x14ac:dyDescent="0.25">
      <c r="A397" s="1">
        <v>20154</v>
      </c>
      <c r="B397" s="9" t="s">
        <v>831</v>
      </c>
      <c r="C397" s="1">
        <v>6</v>
      </c>
      <c r="D397" s="1">
        <v>4</v>
      </c>
      <c r="E397" s="1">
        <v>120</v>
      </c>
      <c r="F397" s="1">
        <v>115</v>
      </c>
      <c r="G397" s="1">
        <v>115</v>
      </c>
      <c r="H397" s="1">
        <v>110</v>
      </c>
      <c r="I397" s="1">
        <v>90</v>
      </c>
      <c r="J397" s="1">
        <v>115</v>
      </c>
      <c r="K397" s="1">
        <v>95</v>
      </c>
    </row>
    <row r="398" spans="1:11" x14ac:dyDescent="0.25">
      <c r="A398" s="1">
        <v>20161</v>
      </c>
      <c r="B398" s="9" t="s">
        <v>854</v>
      </c>
      <c r="C398" s="1">
        <v>6</v>
      </c>
      <c r="D398" s="1">
        <v>5</v>
      </c>
      <c r="E398" s="1">
        <v>120</v>
      </c>
      <c r="F398" s="1">
        <v>120</v>
      </c>
      <c r="G398" s="1">
        <v>105</v>
      </c>
      <c r="H398" s="1">
        <v>110</v>
      </c>
      <c r="I398" s="1">
        <v>115</v>
      </c>
      <c r="J398" s="1">
        <v>115</v>
      </c>
      <c r="K398" s="1">
        <v>105</v>
      </c>
    </row>
    <row r="399" spans="1:11" x14ac:dyDescent="0.25">
      <c r="A399" s="1">
        <v>20178</v>
      </c>
      <c r="B399" s="9" t="s">
        <v>994</v>
      </c>
      <c r="C399" s="1">
        <v>2</v>
      </c>
      <c r="D399" s="1">
        <v>4</v>
      </c>
      <c r="E399" s="1">
        <v>120</v>
      </c>
      <c r="F399" s="1">
        <v>102</v>
      </c>
      <c r="G399" s="1">
        <v>100</v>
      </c>
      <c r="H399" s="1">
        <v>110</v>
      </c>
      <c r="I399" s="1">
        <v>98</v>
      </c>
      <c r="J399" s="1">
        <v>0</v>
      </c>
      <c r="K399" s="1">
        <v>112</v>
      </c>
    </row>
    <row r="400" spans="1:11" x14ac:dyDescent="0.25">
      <c r="A400" s="1">
        <v>20199</v>
      </c>
      <c r="B400" s="9" t="s">
        <v>1003</v>
      </c>
      <c r="C400" s="1">
        <v>5</v>
      </c>
      <c r="D400" s="1">
        <v>5</v>
      </c>
      <c r="E400" s="1">
        <v>108</v>
      </c>
      <c r="F400" s="1">
        <v>128</v>
      </c>
      <c r="G400" s="1">
        <v>115</v>
      </c>
      <c r="H400" s="1">
        <v>122</v>
      </c>
      <c r="I400" s="1">
        <v>105</v>
      </c>
      <c r="J400" s="1">
        <v>0</v>
      </c>
      <c r="K400" s="1">
        <v>105</v>
      </c>
    </row>
    <row r="401" spans="1:11" x14ac:dyDescent="0.25">
      <c r="A401" s="1">
        <v>20221</v>
      </c>
      <c r="B401" s="9" t="s">
        <v>1004</v>
      </c>
      <c r="C401" s="1">
        <v>1</v>
      </c>
      <c r="D401" s="1">
        <v>4</v>
      </c>
      <c r="E401" s="1">
        <v>108</v>
      </c>
      <c r="F401" s="1">
        <v>130</v>
      </c>
      <c r="G401" s="1">
        <v>111</v>
      </c>
      <c r="H401" s="1">
        <v>115</v>
      </c>
      <c r="I401" s="1">
        <v>130</v>
      </c>
      <c r="J401" s="1">
        <v>0</v>
      </c>
      <c r="K401" s="1">
        <v>105</v>
      </c>
    </row>
    <row r="402" spans="1:11" x14ac:dyDescent="0.25">
      <c r="A402" s="1">
        <v>20252</v>
      </c>
      <c r="B402" s="9" t="s">
        <v>368</v>
      </c>
      <c r="C402" s="1">
        <v>3</v>
      </c>
      <c r="D402" s="1">
        <v>5</v>
      </c>
      <c r="E402" s="1">
        <v>100</v>
      </c>
      <c r="F402" s="1">
        <v>142</v>
      </c>
      <c r="G402" s="1">
        <v>92</v>
      </c>
      <c r="H402" s="1">
        <v>118</v>
      </c>
      <c r="I402" s="1">
        <v>82</v>
      </c>
      <c r="J402" s="1">
        <v>0</v>
      </c>
      <c r="K402" s="1">
        <v>128</v>
      </c>
    </row>
  </sheetData>
  <autoFilter ref="A1:K398" xr:uid="{23923B49-D07E-4AD1-BC19-03C06C0F5428}">
    <sortState ref="A2:K402">
      <sortCondition ref="A1:A398"/>
    </sortState>
  </autoFilter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8E1D-A0F4-4F67-9F7D-DBD1D4C2818D}">
  <dimension ref="A1:AX235"/>
  <sheetViews>
    <sheetView workbookViewId="0">
      <selection sqref="A1:AX235"/>
    </sheetView>
  </sheetViews>
  <sheetFormatPr defaultRowHeight="15" x14ac:dyDescent="0.25"/>
  <cols>
    <col min="1" max="1" width="5" bestFit="1" customWidth="1"/>
    <col min="2" max="3" width="15" hidden="1" customWidth="1"/>
    <col min="4" max="4" width="32.7109375" bestFit="1" customWidth="1"/>
    <col min="5" max="5" width="7.140625" bestFit="1" customWidth="1"/>
    <col min="6" max="6" width="10.85546875" bestFit="1" customWidth="1"/>
    <col min="7" max="7" width="7.28515625" bestFit="1" customWidth="1"/>
    <col min="8" max="8" width="7.140625" bestFit="1" customWidth="1"/>
    <col min="9" max="9" width="7" bestFit="1" customWidth="1"/>
    <col min="10" max="10" width="8.85546875" bestFit="1" customWidth="1"/>
    <col min="11" max="11" width="8.7109375" bestFit="1" customWidth="1"/>
    <col min="12" max="12" width="7" bestFit="1" customWidth="1"/>
    <col min="13" max="13" width="19.5703125" bestFit="1" customWidth="1"/>
    <col min="14" max="14" width="17.140625" bestFit="1" customWidth="1"/>
    <col min="15" max="15" width="16.85546875" bestFit="1" customWidth="1"/>
    <col min="16" max="16" width="8.5703125" bestFit="1" customWidth="1"/>
    <col min="17" max="17" width="8.7109375" bestFit="1" customWidth="1"/>
    <col min="18" max="18" width="18.140625" bestFit="1" customWidth="1"/>
    <col min="19" max="19" width="20.140625" bestFit="1" customWidth="1"/>
    <col min="20" max="20" width="21.28515625" bestFit="1" customWidth="1"/>
    <col min="21" max="21" width="20.140625" bestFit="1" customWidth="1"/>
    <col min="22" max="22" width="17.28515625" bestFit="1" customWidth="1"/>
    <col min="23" max="23" width="13.140625" hidden="1" customWidth="1"/>
    <col min="24" max="24" width="21.5703125" hidden="1" customWidth="1"/>
    <col min="25" max="25" width="18.140625" hidden="1" customWidth="1"/>
    <col min="26" max="26" width="18.7109375" hidden="1" customWidth="1"/>
    <col min="27" max="27" width="14.140625" hidden="1" customWidth="1"/>
    <col min="28" max="28" width="14.28515625" hidden="1" customWidth="1"/>
    <col min="29" max="29" width="11.42578125" hidden="1" customWidth="1"/>
    <col min="30" max="30" width="12.140625" hidden="1" customWidth="1"/>
    <col min="31" max="31" width="14.85546875" hidden="1" customWidth="1"/>
    <col min="32" max="33" width="12.85546875" hidden="1" customWidth="1"/>
    <col min="35" max="35" width="19.28515625" hidden="1" customWidth="1"/>
    <col min="36" max="36" width="13.7109375" hidden="1" customWidth="1"/>
    <col min="37" max="37" width="15.7109375" bestFit="1" customWidth="1"/>
    <col min="38" max="38" width="52.140625" hidden="1" customWidth="1"/>
    <col min="39" max="39" width="20.7109375" hidden="1" customWidth="1"/>
    <col min="40" max="40" width="15.140625" hidden="1" customWidth="1"/>
    <col min="41" max="41" width="18" hidden="1" customWidth="1"/>
    <col min="42" max="43" width="16" hidden="1" customWidth="1"/>
    <col min="44" max="44" width="16.28515625" hidden="1" customWidth="1"/>
    <col min="45" max="45" width="47.7109375" hidden="1" customWidth="1"/>
    <col min="46" max="46" width="7" hidden="1" customWidth="1"/>
    <col min="47" max="47" width="14.42578125" hidden="1" customWidth="1"/>
    <col min="48" max="48" width="12.42578125" hidden="1" customWidth="1"/>
    <col min="49" max="49" width="16.42578125" hidden="1" customWidth="1"/>
    <col min="50" max="50" width="17.42578125" bestFit="1" customWidth="1"/>
  </cols>
  <sheetData>
    <row r="1" spans="1:50" x14ac:dyDescent="0.25">
      <c r="A1" s="161" t="s">
        <v>25</v>
      </c>
      <c r="B1" s="161" t="s">
        <v>1089</v>
      </c>
      <c r="C1" s="161" t="s">
        <v>1103</v>
      </c>
      <c r="D1" s="161" t="s">
        <v>425</v>
      </c>
      <c r="E1" s="161" t="s">
        <v>297</v>
      </c>
      <c r="F1" s="161" t="s">
        <v>415</v>
      </c>
      <c r="G1" s="161" t="s">
        <v>61</v>
      </c>
      <c r="H1" s="161" t="s">
        <v>37</v>
      </c>
      <c r="I1" s="161" t="s">
        <v>38</v>
      </c>
      <c r="J1" s="161" t="s">
        <v>39</v>
      </c>
      <c r="K1" s="161" t="s">
        <v>416</v>
      </c>
      <c r="L1" s="161" t="s">
        <v>40</v>
      </c>
      <c r="M1" s="161" t="s">
        <v>417</v>
      </c>
      <c r="N1" s="161" t="s">
        <v>418</v>
      </c>
      <c r="O1" s="161" t="s">
        <v>298</v>
      </c>
      <c r="P1" s="161" t="s">
        <v>381</v>
      </c>
      <c r="Q1" s="161" t="s">
        <v>419</v>
      </c>
      <c r="R1" s="161" t="s">
        <v>420</v>
      </c>
      <c r="S1" s="161" t="s">
        <v>421</v>
      </c>
      <c r="T1" s="161" t="s">
        <v>422</v>
      </c>
      <c r="U1" s="161" t="s">
        <v>423</v>
      </c>
      <c r="V1" s="161" t="s">
        <v>424</v>
      </c>
      <c r="W1" s="161" t="s">
        <v>1104</v>
      </c>
      <c r="X1" s="161" t="s">
        <v>1105</v>
      </c>
      <c r="Y1" s="161" t="s">
        <v>1106</v>
      </c>
      <c r="Z1" s="161" t="s">
        <v>1107</v>
      </c>
      <c r="AA1" s="161" t="s">
        <v>1108</v>
      </c>
      <c r="AB1" s="161" t="s">
        <v>1109</v>
      </c>
      <c r="AC1" s="161" t="s">
        <v>1110</v>
      </c>
      <c r="AD1" s="161" t="s">
        <v>1111</v>
      </c>
      <c r="AE1" s="161" t="s">
        <v>1112</v>
      </c>
      <c r="AF1" s="161" t="s">
        <v>1113</v>
      </c>
      <c r="AG1" s="161" t="s">
        <v>1114</v>
      </c>
      <c r="AH1" s="161" t="s">
        <v>426</v>
      </c>
      <c r="AI1" s="161" t="s">
        <v>1115</v>
      </c>
      <c r="AJ1" s="161" t="s">
        <v>1116</v>
      </c>
      <c r="AK1" s="161" t="s">
        <v>427</v>
      </c>
      <c r="AL1" s="161" t="s">
        <v>1117</v>
      </c>
      <c r="AM1" s="161" t="s">
        <v>1118</v>
      </c>
      <c r="AN1" s="161" t="s">
        <v>1119</v>
      </c>
      <c r="AO1" s="161" t="s">
        <v>1120</v>
      </c>
      <c r="AP1" s="161" t="s">
        <v>1121</v>
      </c>
      <c r="AQ1" s="161" t="s">
        <v>1122</v>
      </c>
      <c r="AR1" s="161" t="s">
        <v>1123</v>
      </c>
      <c r="AS1" s="161" t="s">
        <v>1124</v>
      </c>
      <c r="AT1" s="161" t="s">
        <v>740</v>
      </c>
      <c r="AU1" s="161" t="s">
        <v>1125</v>
      </c>
      <c r="AV1" s="161" t="s">
        <v>1126</v>
      </c>
      <c r="AW1" s="161" t="s">
        <v>1127</v>
      </c>
      <c r="AX1" t="s">
        <v>1088</v>
      </c>
    </row>
    <row r="2" spans="1:50" hidden="1" x14ac:dyDescent="0.25">
      <c r="A2" s="161">
        <v>1</v>
      </c>
      <c r="B2" s="161" t="s">
        <v>1128</v>
      </c>
      <c r="C2" s="161" t="s">
        <v>1129</v>
      </c>
      <c r="D2" s="161" t="s">
        <v>1130</v>
      </c>
      <c r="E2" s="161">
        <v>2</v>
      </c>
      <c r="F2" s="161">
        <v>1</v>
      </c>
      <c r="G2" s="161">
        <v>1</v>
      </c>
      <c r="H2" s="161" t="s">
        <v>432</v>
      </c>
      <c r="I2" s="161" t="s">
        <v>432</v>
      </c>
      <c r="J2" s="161" t="s">
        <v>432</v>
      </c>
      <c r="K2" s="161" t="s">
        <v>432</v>
      </c>
      <c r="L2" s="161" t="s">
        <v>432</v>
      </c>
      <c r="M2" s="161" t="s">
        <v>432</v>
      </c>
      <c r="N2" s="161" t="s">
        <v>428</v>
      </c>
      <c r="O2" s="161" t="s">
        <v>432</v>
      </c>
      <c r="P2" s="161" t="s">
        <v>432</v>
      </c>
      <c r="Q2" s="161" t="s">
        <v>432</v>
      </c>
      <c r="R2" s="161" t="s">
        <v>432</v>
      </c>
      <c r="S2" s="161" t="s">
        <v>432</v>
      </c>
      <c r="T2" s="161" t="s">
        <v>432</v>
      </c>
      <c r="U2" s="161" t="s">
        <v>432</v>
      </c>
      <c r="V2" s="161">
        <v>0</v>
      </c>
      <c r="W2" s="161">
        <v>0</v>
      </c>
      <c r="X2" s="161">
        <v>0</v>
      </c>
      <c r="Y2" s="161">
        <v>0</v>
      </c>
      <c r="Z2" s="161">
        <v>0</v>
      </c>
      <c r="AA2" s="161">
        <v>0</v>
      </c>
      <c r="AB2" s="161">
        <v>0</v>
      </c>
      <c r="AC2" s="161">
        <v>0</v>
      </c>
      <c r="AD2" s="161">
        <v>1</v>
      </c>
      <c r="AE2" s="161">
        <v>0</v>
      </c>
      <c r="AF2" s="161">
        <v>1</v>
      </c>
      <c r="AG2" s="161">
        <v>0</v>
      </c>
      <c r="AH2" s="161">
        <v>300</v>
      </c>
      <c r="AI2" s="161" t="s">
        <v>1131</v>
      </c>
      <c r="AJ2" s="161">
        <v>0</v>
      </c>
      <c r="AK2" s="161" t="s">
        <v>432</v>
      </c>
      <c r="AL2" s="161" t="s">
        <v>1132</v>
      </c>
      <c r="AM2" s="161">
        <v>0</v>
      </c>
      <c r="AN2" s="161">
        <v>0</v>
      </c>
      <c r="AO2" s="161">
        <v>0</v>
      </c>
      <c r="AP2" s="161">
        <v>0</v>
      </c>
      <c r="AQ2" s="161">
        <v>1</v>
      </c>
      <c r="AR2" s="161" t="s">
        <v>432</v>
      </c>
      <c r="AS2" s="161">
        <v>0</v>
      </c>
      <c r="AT2" s="161">
        <v>0</v>
      </c>
      <c r="AU2" s="161">
        <v>0</v>
      </c>
      <c r="AV2" s="161">
        <v>1001</v>
      </c>
      <c r="AW2" s="161">
        <v>0</v>
      </c>
      <c r="AX2">
        <f>COUNTIF('Equip Data'!A:A,A2)</f>
        <v>1</v>
      </c>
    </row>
    <row r="3" spans="1:50" hidden="1" x14ac:dyDescent="0.25">
      <c r="A3" s="161">
        <v>2</v>
      </c>
      <c r="B3" s="161" t="s">
        <v>1133</v>
      </c>
      <c r="C3" s="161" t="s">
        <v>1134</v>
      </c>
      <c r="D3" s="161" t="s">
        <v>1130</v>
      </c>
      <c r="E3" s="161">
        <v>3</v>
      </c>
      <c r="F3" s="161">
        <v>1</v>
      </c>
      <c r="G3" s="161">
        <v>1</v>
      </c>
      <c r="H3" s="161" t="s">
        <v>432</v>
      </c>
      <c r="I3" s="161" t="s">
        <v>432</v>
      </c>
      <c r="J3" s="161" t="s">
        <v>432</v>
      </c>
      <c r="K3" s="161" t="s">
        <v>432</v>
      </c>
      <c r="L3" s="161" t="s">
        <v>432</v>
      </c>
      <c r="M3" s="161" t="s">
        <v>432</v>
      </c>
      <c r="N3" s="161" t="s">
        <v>429</v>
      </c>
      <c r="O3" s="161" t="s">
        <v>432</v>
      </c>
      <c r="P3" s="161" t="s">
        <v>432</v>
      </c>
      <c r="Q3" s="161" t="s">
        <v>432</v>
      </c>
      <c r="R3" s="161" t="s">
        <v>432</v>
      </c>
      <c r="S3" s="161" t="s">
        <v>432</v>
      </c>
      <c r="T3" s="161" t="s">
        <v>432</v>
      </c>
      <c r="U3" s="161" t="s">
        <v>432</v>
      </c>
      <c r="V3" s="161">
        <v>0</v>
      </c>
      <c r="W3" s="161">
        <v>0</v>
      </c>
      <c r="X3" s="161">
        <v>0</v>
      </c>
      <c r="Y3" s="161">
        <v>0</v>
      </c>
      <c r="Z3" s="161">
        <v>0</v>
      </c>
      <c r="AA3" s="161">
        <v>0</v>
      </c>
      <c r="AB3" s="161">
        <v>0</v>
      </c>
      <c r="AC3" s="161">
        <v>0</v>
      </c>
      <c r="AD3" s="161">
        <v>2</v>
      </c>
      <c r="AE3" s="161">
        <v>0</v>
      </c>
      <c r="AF3" s="161">
        <v>1</v>
      </c>
      <c r="AG3" s="161">
        <v>0</v>
      </c>
      <c r="AH3" s="161">
        <v>1200</v>
      </c>
      <c r="AI3" s="161" t="s">
        <v>1131</v>
      </c>
      <c r="AJ3" s="161">
        <v>0</v>
      </c>
      <c r="AK3" s="161" t="s">
        <v>432</v>
      </c>
      <c r="AL3" s="161" t="s">
        <v>1135</v>
      </c>
      <c r="AM3" s="161">
        <v>0.45</v>
      </c>
      <c r="AN3" s="161">
        <v>0.15</v>
      </c>
      <c r="AO3" s="161">
        <v>0.3</v>
      </c>
      <c r="AP3" s="161">
        <v>0.15</v>
      </c>
      <c r="AQ3" s="161">
        <v>1</v>
      </c>
      <c r="AR3" s="161" t="s">
        <v>1136</v>
      </c>
      <c r="AS3" s="161">
        <v>0</v>
      </c>
      <c r="AT3" s="161">
        <v>0</v>
      </c>
      <c r="AU3" s="161">
        <v>10</v>
      </c>
      <c r="AV3" s="161">
        <v>1001</v>
      </c>
      <c r="AW3" s="161">
        <v>0</v>
      </c>
      <c r="AX3">
        <f>COUNTIF('Equip Data'!A:A,A3)</f>
        <v>1</v>
      </c>
    </row>
    <row r="4" spans="1:50" hidden="1" x14ac:dyDescent="0.25">
      <c r="A4" s="161">
        <v>3</v>
      </c>
      <c r="B4" s="161" t="s">
        <v>1137</v>
      </c>
      <c r="C4" s="161" t="s">
        <v>1138</v>
      </c>
      <c r="D4" s="161" t="s">
        <v>1130</v>
      </c>
      <c r="E4" s="161">
        <v>4</v>
      </c>
      <c r="F4" s="161">
        <v>1</v>
      </c>
      <c r="G4" s="161">
        <v>1</v>
      </c>
      <c r="H4" s="161" t="s">
        <v>432</v>
      </c>
      <c r="I4" s="161" t="s">
        <v>432</v>
      </c>
      <c r="J4" s="161" t="s">
        <v>432</v>
      </c>
      <c r="K4" s="161" t="s">
        <v>432</v>
      </c>
      <c r="L4" s="161" t="s">
        <v>432</v>
      </c>
      <c r="M4" s="161" t="s">
        <v>432</v>
      </c>
      <c r="N4" s="161" t="s">
        <v>430</v>
      </c>
      <c r="O4" s="161" t="s">
        <v>432</v>
      </c>
      <c r="P4" s="161" t="s">
        <v>432</v>
      </c>
      <c r="Q4" s="161" t="s">
        <v>432</v>
      </c>
      <c r="R4" s="161" t="s">
        <v>432</v>
      </c>
      <c r="S4" s="161" t="s">
        <v>432</v>
      </c>
      <c r="T4" s="161" t="s">
        <v>432</v>
      </c>
      <c r="U4" s="161" t="s">
        <v>432</v>
      </c>
      <c r="V4" s="161">
        <v>0</v>
      </c>
      <c r="W4" s="161">
        <v>0</v>
      </c>
      <c r="X4" s="161">
        <v>0</v>
      </c>
      <c r="Y4" s="161">
        <v>0</v>
      </c>
      <c r="Z4" s="161">
        <v>0</v>
      </c>
      <c r="AA4" s="161">
        <v>0</v>
      </c>
      <c r="AB4" s="161">
        <v>0</v>
      </c>
      <c r="AC4" s="161">
        <v>0</v>
      </c>
      <c r="AD4" s="161">
        <v>3</v>
      </c>
      <c r="AE4" s="161">
        <v>0</v>
      </c>
      <c r="AF4" s="161">
        <v>2</v>
      </c>
      <c r="AG4" s="161">
        <v>1</v>
      </c>
      <c r="AH4" s="161">
        <v>2100</v>
      </c>
      <c r="AI4" s="161" t="s">
        <v>1131</v>
      </c>
      <c r="AJ4" s="161">
        <v>0</v>
      </c>
      <c r="AK4" s="161" t="s">
        <v>432</v>
      </c>
      <c r="AL4" s="161" t="s">
        <v>1139</v>
      </c>
      <c r="AM4" s="161">
        <v>0.45</v>
      </c>
      <c r="AN4" s="161">
        <v>0.15</v>
      </c>
      <c r="AO4" s="161">
        <v>0.3</v>
      </c>
      <c r="AP4" s="161">
        <v>0.15</v>
      </c>
      <c r="AQ4" s="161">
        <v>1</v>
      </c>
      <c r="AR4" s="161" t="s">
        <v>1136</v>
      </c>
      <c r="AS4" s="161">
        <v>0</v>
      </c>
      <c r="AT4" s="161">
        <v>0</v>
      </c>
      <c r="AU4" s="161">
        <v>10</v>
      </c>
      <c r="AV4" s="161">
        <v>1001</v>
      </c>
      <c r="AW4" s="161">
        <v>0</v>
      </c>
      <c r="AX4">
        <f>COUNTIF('Equip Data'!A:A,A4)</f>
        <v>1</v>
      </c>
    </row>
    <row r="5" spans="1:50" hidden="1" x14ac:dyDescent="0.25">
      <c r="A5">
        <v>4</v>
      </c>
      <c r="B5" t="s">
        <v>1140</v>
      </c>
      <c r="C5" t="s">
        <v>1141</v>
      </c>
      <c r="D5" t="s">
        <v>1130</v>
      </c>
      <c r="E5">
        <v>5</v>
      </c>
      <c r="F5">
        <v>1</v>
      </c>
      <c r="G5">
        <v>1</v>
      </c>
      <c r="H5" t="s">
        <v>432</v>
      </c>
      <c r="I5" t="s">
        <v>432</v>
      </c>
      <c r="J5" t="s">
        <v>432</v>
      </c>
      <c r="K5" t="s">
        <v>432</v>
      </c>
      <c r="L5" t="s">
        <v>432</v>
      </c>
      <c r="M5" t="s">
        <v>432</v>
      </c>
      <c r="N5" t="s">
        <v>431</v>
      </c>
      <c r="O5" t="s">
        <v>432</v>
      </c>
      <c r="P5" t="s">
        <v>432</v>
      </c>
      <c r="Q5" t="s">
        <v>432</v>
      </c>
      <c r="R5" t="s">
        <v>432</v>
      </c>
      <c r="S5" t="s">
        <v>432</v>
      </c>
      <c r="T5" t="s">
        <v>432</v>
      </c>
      <c r="U5" t="s">
        <v>432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4</v>
      </c>
      <c r="AE5">
        <v>0</v>
      </c>
      <c r="AF5">
        <v>3</v>
      </c>
      <c r="AG5">
        <v>2</v>
      </c>
      <c r="AH5">
        <v>2700</v>
      </c>
      <c r="AI5" t="s">
        <v>1131</v>
      </c>
      <c r="AJ5">
        <v>0</v>
      </c>
      <c r="AK5" t="s">
        <v>432</v>
      </c>
      <c r="AL5" t="s">
        <v>1142</v>
      </c>
      <c r="AM5">
        <v>0.45</v>
      </c>
      <c r="AN5">
        <v>0.15</v>
      </c>
      <c r="AO5">
        <v>0.3</v>
      </c>
      <c r="AP5">
        <v>0.15</v>
      </c>
      <c r="AQ5">
        <v>1</v>
      </c>
      <c r="AR5" t="s">
        <v>1136</v>
      </c>
      <c r="AS5">
        <v>0</v>
      </c>
      <c r="AT5">
        <v>0</v>
      </c>
      <c r="AU5">
        <v>10</v>
      </c>
      <c r="AV5">
        <v>1001</v>
      </c>
      <c r="AW5">
        <v>0</v>
      </c>
      <c r="AX5">
        <f>COUNTIF('Equip Data'!A:A,A5)</f>
        <v>1</v>
      </c>
    </row>
    <row r="6" spans="1:50" hidden="1" x14ac:dyDescent="0.25">
      <c r="A6">
        <v>5</v>
      </c>
      <c r="B6" t="s">
        <v>1143</v>
      </c>
      <c r="C6" t="s">
        <v>1144</v>
      </c>
      <c r="D6" t="s">
        <v>1145</v>
      </c>
      <c r="E6">
        <v>2</v>
      </c>
      <c r="F6">
        <v>1</v>
      </c>
      <c r="G6">
        <v>2</v>
      </c>
      <c r="H6" t="s">
        <v>433</v>
      </c>
      <c r="I6" t="s">
        <v>433</v>
      </c>
      <c r="J6" t="s">
        <v>432</v>
      </c>
      <c r="K6" t="s">
        <v>432</v>
      </c>
      <c r="L6" t="s">
        <v>434</v>
      </c>
      <c r="M6" t="s">
        <v>432</v>
      </c>
      <c r="N6" t="s">
        <v>432</v>
      </c>
      <c r="O6" t="s">
        <v>432</v>
      </c>
      <c r="P6" t="s">
        <v>432</v>
      </c>
      <c r="Q6" t="s">
        <v>432</v>
      </c>
      <c r="R6" t="s">
        <v>432</v>
      </c>
      <c r="S6" t="s">
        <v>432</v>
      </c>
      <c r="T6" t="s">
        <v>432</v>
      </c>
      <c r="U6" t="s">
        <v>432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0</v>
      </c>
      <c r="AF6">
        <v>1</v>
      </c>
      <c r="AG6">
        <v>0</v>
      </c>
      <c r="AH6">
        <v>480</v>
      </c>
      <c r="AI6" t="s">
        <v>828</v>
      </c>
      <c r="AJ6">
        <v>0</v>
      </c>
      <c r="AK6" t="s">
        <v>432</v>
      </c>
      <c r="AL6" t="s">
        <v>1146</v>
      </c>
      <c r="AM6">
        <v>0</v>
      </c>
      <c r="AN6">
        <v>0</v>
      </c>
      <c r="AO6">
        <v>0</v>
      </c>
      <c r="AP6">
        <v>0</v>
      </c>
      <c r="AQ6">
        <v>1</v>
      </c>
      <c r="AR6" t="s">
        <v>432</v>
      </c>
      <c r="AS6">
        <v>0</v>
      </c>
      <c r="AT6">
        <v>0</v>
      </c>
      <c r="AU6">
        <v>0</v>
      </c>
      <c r="AV6">
        <v>2001</v>
      </c>
      <c r="AW6">
        <v>0</v>
      </c>
      <c r="AX6">
        <f>COUNTIF('Equip Data'!A:A,A6)</f>
        <v>1</v>
      </c>
    </row>
    <row r="7" spans="1:50" hidden="1" x14ac:dyDescent="0.25">
      <c r="A7">
        <v>6</v>
      </c>
      <c r="B7" t="s">
        <v>1147</v>
      </c>
      <c r="C7" t="s">
        <v>1148</v>
      </c>
      <c r="D7" t="s">
        <v>1145</v>
      </c>
      <c r="E7">
        <v>3</v>
      </c>
      <c r="F7">
        <v>1</v>
      </c>
      <c r="G7">
        <v>2</v>
      </c>
      <c r="H7" t="s">
        <v>435</v>
      </c>
      <c r="I7" t="s">
        <v>436</v>
      </c>
      <c r="J7" t="s">
        <v>432</v>
      </c>
      <c r="K7" t="s">
        <v>432</v>
      </c>
      <c r="L7" t="s">
        <v>437</v>
      </c>
      <c r="M7" t="s">
        <v>432</v>
      </c>
      <c r="N7" t="s">
        <v>432</v>
      </c>
      <c r="O7" t="s">
        <v>432</v>
      </c>
      <c r="P7" t="s">
        <v>432</v>
      </c>
      <c r="Q7" t="s">
        <v>432</v>
      </c>
      <c r="R7" t="s">
        <v>432</v>
      </c>
      <c r="S7" t="s">
        <v>432</v>
      </c>
      <c r="T7" t="s">
        <v>432</v>
      </c>
      <c r="U7" t="s">
        <v>432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2</v>
      </c>
      <c r="AE7">
        <v>0</v>
      </c>
      <c r="AF7">
        <v>1</v>
      </c>
      <c r="AG7">
        <v>0</v>
      </c>
      <c r="AH7">
        <v>1380</v>
      </c>
      <c r="AI7" t="s">
        <v>828</v>
      </c>
      <c r="AJ7">
        <v>0</v>
      </c>
      <c r="AK7" t="s">
        <v>432</v>
      </c>
      <c r="AL7" t="s">
        <v>1149</v>
      </c>
      <c r="AM7">
        <v>0.45</v>
      </c>
      <c r="AN7">
        <v>0.15</v>
      </c>
      <c r="AO7">
        <v>0.3</v>
      </c>
      <c r="AP7">
        <v>0.15</v>
      </c>
      <c r="AQ7">
        <v>1</v>
      </c>
      <c r="AR7" t="s">
        <v>1150</v>
      </c>
      <c r="AS7">
        <v>0</v>
      </c>
      <c r="AT7">
        <v>0</v>
      </c>
      <c r="AU7">
        <v>10</v>
      </c>
      <c r="AV7">
        <v>2001</v>
      </c>
      <c r="AW7">
        <v>0</v>
      </c>
      <c r="AX7">
        <f>COUNTIF('Equip Data'!A:A,A7)</f>
        <v>1</v>
      </c>
    </row>
    <row r="8" spans="1:50" hidden="1" x14ac:dyDescent="0.25">
      <c r="A8">
        <v>7</v>
      </c>
      <c r="B8" t="s">
        <v>1151</v>
      </c>
      <c r="C8" t="s">
        <v>1152</v>
      </c>
      <c r="D8" t="s">
        <v>1145</v>
      </c>
      <c r="E8">
        <v>4</v>
      </c>
      <c r="F8">
        <v>1</v>
      </c>
      <c r="G8">
        <v>2</v>
      </c>
      <c r="H8" t="s">
        <v>438</v>
      </c>
      <c r="I8" t="s">
        <v>439</v>
      </c>
      <c r="J8" t="s">
        <v>432</v>
      </c>
      <c r="K8" t="s">
        <v>432</v>
      </c>
      <c r="L8" t="s">
        <v>440</v>
      </c>
      <c r="M8" t="s">
        <v>432</v>
      </c>
      <c r="N8" t="s">
        <v>432</v>
      </c>
      <c r="O8" t="s">
        <v>432</v>
      </c>
      <c r="P8" t="s">
        <v>432</v>
      </c>
      <c r="Q8" t="s">
        <v>432</v>
      </c>
      <c r="R8" t="s">
        <v>432</v>
      </c>
      <c r="S8" t="s">
        <v>432</v>
      </c>
      <c r="T8" t="s">
        <v>432</v>
      </c>
      <c r="U8" t="s">
        <v>432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3</v>
      </c>
      <c r="AE8">
        <v>0</v>
      </c>
      <c r="AF8">
        <v>2</v>
      </c>
      <c r="AG8">
        <v>1</v>
      </c>
      <c r="AH8">
        <v>2280</v>
      </c>
      <c r="AI8" t="s">
        <v>828</v>
      </c>
      <c r="AJ8">
        <v>0</v>
      </c>
      <c r="AK8" t="s">
        <v>432</v>
      </c>
      <c r="AL8" t="s">
        <v>1153</v>
      </c>
      <c r="AM8">
        <v>0.45</v>
      </c>
      <c r="AN8">
        <v>0.15</v>
      </c>
      <c r="AO8">
        <v>0.3</v>
      </c>
      <c r="AP8">
        <v>0.15</v>
      </c>
      <c r="AQ8">
        <v>1</v>
      </c>
      <c r="AR8" t="s">
        <v>1154</v>
      </c>
      <c r="AS8">
        <v>0</v>
      </c>
      <c r="AT8">
        <v>0</v>
      </c>
      <c r="AU8">
        <v>10</v>
      </c>
      <c r="AV8">
        <v>2001</v>
      </c>
      <c r="AW8">
        <v>0</v>
      </c>
      <c r="AX8">
        <f>COUNTIF('Equip Data'!A:A,A8)</f>
        <v>1</v>
      </c>
    </row>
    <row r="9" spans="1:50" hidden="1" x14ac:dyDescent="0.25">
      <c r="A9">
        <v>8</v>
      </c>
      <c r="B9" t="s">
        <v>1155</v>
      </c>
      <c r="C9" t="s">
        <v>1156</v>
      </c>
      <c r="D9" t="s">
        <v>1145</v>
      </c>
      <c r="E9">
        <v>5</v>
      </c>
      <c r="F9">
        <v>1</v>
      </c>
      <c r="G9">
        <v>2</v>
      </c>
      <c r="H9" t="s">
        <v>441</v>
      </c>
      <c r="I9" t="s">
        <v>442</v>
      </c>
      <c r="J9" t="s">
        <v>432</v>
      </c>
      <c r="K9" t="s">
        <v>432</v>
      </c>
      <c r="L9" t="s">
        <v>443</v>
      </c>
      <c r="M9" t="s">
        <v>432</v>
      </c>
      <c r="N9" t="s">
        <v>432</v>
      </c>
      <c r="O9" t="s">
        <v>432</v>
      </c>
      <c r="P9" t="s">
        <v>432</v>
      </c>
      <c r="Q9" t="s">
        <v>432</v>
      </c>
      <c r="R9" t="s">
        <v>432</v>
      </c>
      <c r="S9" t="s">
        <v>432</v>
      </c>
      <c r="T9" t="s">
        <v>432</v>
      </c>
      <c r="U9" t="s">
        <v>432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4</v>
      </c>
      <c r="AE9">
        <v>0</v>
      </c>
      <c r="AF9">
        <v>3</v>
      </c>
      <c r="AG9">
        <v>2</v>
      </c>
      <c r="AH9">
        <v>2880</v>
      </c>
      <c r="AI9" t="s">
        <v>828</v>
      </c>
      <c r="AJ9">
        <v>0</v>
      </c>
      <c r="AK9" t="s">
        <v>432</v>
      </c>
      <c r="AL9" t="s">
        <v>1157</v>
      </c>
      <c r="AM9">
        <v>0.45</v>
      </c>
      <c r="AN9">
        <v>0.15</v>
      </c>
      <c r="AO9">
        <v>0.3</v>
      </c>
      <c r="AP9">
        <v>0.15</v>
      </c>
      <c r="AQ9">
        <v>1</v>
      </c>
      <c r="AR9" t="s">
        <v>1154</v>
      </c>
      <c r="AS9">
        <v>0</v>
      </c>
      <c r="AT9">
        <v>0</v>
      </c>
      <c r="AU9">
        <v>10</v>
      </c>
      <c r="AV9">
        <v>2001</v>
      </c>
      <c r="AW9">
        <v>0</v>
      </c>
      <c r="AX9">
        <f>COUNTIF('Equip Data'!A:A,A9)</f>
        <v>1</v>
      </c>
    </row>
    <row r="10" spans="1:50" hidden="1" x14ac:dyDescent="0.25">
      <c r="A10">
        <v>9</v>
      </c>
      <c r="B10" t="s">
        <v>1158</v>
      </c>
      <c r="C10" t="s">
        <v>1159</v>
      </c>
      <c r="D10" t="s">
        <v>1160</v>
      </c>
      <c r="E10">
        <v>2</v>
      </c>
      <c r="F10">
        <v>1</v>
      </c>
      <c r="G10">
        <v>3</v>
      </c>
      <c r="H10" t="s">
        <v>432</v>
      </c>
      <c r="I10" t="s">
        <v>438</v>
      </c>
      <c r="J10" t="s">
        <v>432</v>
      </c>
      <c r="K10" t="s">
        <v>432</v>
      </c>
      <c r="L10" t="s">
        <v>434</v>
      </c>
      <c r="M10" t="s">
        <v>432</v>
      </c>
      <c r="N10" t="s">
        <v>432</v>
      </c>
      <c r="O10" t="s">
        <v>432</v>
      </c>
      <c r="P10" t="s">
        <v>432</v>
      </c>
      <c r="Q10" t="s">
        <v>432</v>
      </c>
      <c r="R10" t="s">
        <v>432</v>
      </c>
      <c r="S10" t="s">
        <v>432</v>
      </c>
      <c r="T10" t="s">
        <v>432</v>
      </c>
      <c r="U10" t="s">
        <v>432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0</v>
      </c>
      <c r="AF10">
        <v>1</v>
      </c>
      <c r="AG10">
        <v>0</v>
      </c>
      <c r="AH10">
        <v>600</v>
      </c>
      <c r="AI10" t="s">
        <v>1161</v>
      </c>
      <c r="AJ10">
        <v>0</v>
      </c>
      <c r="AK10" t="s">
        <v>432</v>
      </c>
      <c r="AL10" t="s">
        <v>1162</v>
      </c>
      <c r="AM10">
        <v>0</v>
      </c>
      <c r="AN10">
        <v>0</v>
      </c>
      <c r="AO10">
        <v>0</v>
      </c>
      <c r="AP10">
        <v>0</v>
      </c>
      <c r="AQ10">
        <v>1</v>
      </c>
      <c r="AR10" t="s">
        <v>432</v>
      </c>
      <c r="AS10">
        <v>0</v>
      </c>
      <c r="AT10">
        <v>0</v>
      </c>
      <c r="AU10">
        <v>0</v>
      </c>
      <c r="AV10">
        <v>3001</v>
      </c>
      <c r="AW10">
        <v>0</v>
      </c>
      <c r="AX10">
        <f>COUNTIF('Equip Data'!A:A,A10)</f>
        <v>1</v>
      </c>
    </row>
    <row r="11" spans="1:50" hidden="1" x14ac:dyDescent="0.25">
      <c r="A11">
        <v>10</v>
      </c>
      <c r="B11" t="s">
        <v>1163</v>
      </c>
      <c r="C11" t="s">
        <v>1164</v>
      </c>
      <c r="D11" t="s">
        <v>1160</v>
      </c>
      <c r="E11">
        <v>3</v>
      </c>
      <c r="F11">
        <v>1</v>
      </c>
      <c r="G11">
        <v>3</v>
      </c>
      <c r="H11" t="s">
        <v>432</v>
      </c>
      <c r="I11" t="s">
        <v>441</v>
      </c>
      <c r="J11" t="s">
        <v>432</v>
      </c>
      <c r="K11" t="s">
        <v>432</v>
      </c>
      <c r="L11" t="s">
        <v>444</v>
      </c>
      <c r="M11" t="s">
        <v>432</v>
      </c>
      <c r="N11" t="s">
        <v>432</v>
      </c>
      <c r="O11" t="s">
        <v>432</v>
      </c>
      <c r="P11" t="s">
        <v>432</v>
      </c>
      <c r="Q11" t="s">
        <v>432</v>
      </c>
      <c r="R11" t="s">
        <v>432</v>
      </c>
      <c r="S11" t="s">
        <v>432</v>
      </c>
      <c r="T11" t="s">
        <v>432</v>
      </c>
      <c r="U11" t="s">
        <v>432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2</v>
      </c>
      <c r="AE11">
        <v>0</v>
      </c>
      <c r="AF11">
        <v>1</v>
      </c>
      <c r="AG11">
        <v>0</v>
      </c>
      <c r="AH11">
        <v>1500</v>
      </c>
      <c r="AI11" t="s">
        <v>1161</v>
      </c>
      <c r="AJ11">
        <v>0</v>
      </c>
      <c r="AK11" t="s">
        <v>432</v>
      </c>
      <c r="AL11" t="s">
        <v>1165</v>
      </c>
      <c r="AM11">
        <v>0.45</v>
      </c>
      <c r="AN11">
        <v>0.15</v>
      </c>
      <c r="AO11">
        <v>0.3</v>
      </c>
      <c r="AP11">
        <v>0.15</v>
      </c>
      <c r="AQ11">
        <v>1</v>
      </c>
      <c r="AR11" t="s">
        <v>1166</v>
      </c>
      <c r="AS11">
        <v>0</v>
      </c>
      <c r="AT11">
        <v>0</v>
      </c>
      <c r="AU11">
        <v>10</v>
      </c>
      <c r="AV11">
        <v>3001</v>
      </c>
      <c r="AW11">
        <v>0</v>
      </c>
      <c r="AX11">
        <f>COUNTIF('Equip Data'!A:A,A11)</f>
        <v>1</v>
      </c>
    </row>
    <row r="12" spans="1:50" hidden="1" x14ac:dyDescent="0.25">
      <c r="A12">
        <v>11</v>
      </c>
      <c r="B12" t="s">
        <v>1167</v>
      </c>
      <c r="C12" t="s">
        <v>1168</v>
      </c>
      <c r="D12" t="s">
        <v>1160</v>
      </c>
      <c r="E12">
        <v>4</v>
      </c>
      <c r="F12">
        <v>1</v>
      </c>
      <c r="G12">
        <v>3</v>
      </c>
      <c r="H12" t="s">
        <v>432</v>
      </c>
      <c r="I12" t="s">
        <v>445</v>
      </c>
      <c r="J12" t="s">
        <v>432</v>
      </c>
      <c r="K12" t="s">
        <v>432</v>
      </c>
      <c r="L12" t="s">
        <v>446</v>
      </c>
      <c r="M12" t="s">
        <v>432</v>
      </c>
      <c r="N12" t="s">
        <v>432</v>
      </c>
      <c r="O12" t="s">
        <v>432</v>
      </c>
      <c r="P12" t="s">
        <v>432</v>
      </c>
      <c r="Q12" t="s">
        <v>432</v>
      </c>
      <c r="R12" t="s">
        <v>432</v>
      </c>
      <c r="S12" t="s">
        <v>432</v>
      </c>
      <c r="T12" t="s">
        <v>432</v>
      </c>
      <c r="U12" t="s">
        <v>432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3</v>
      </c>
      <c r="AE12">
        <v>0</v>
      </c>
      <c r="AF12">
        <v>2</v>
      </c>
      <c r="AG12">
        <v>1</v>
      </c>
      <c r="AH12">
        <v>2400</v>
      </c>
      <c r="AI12" t="s">
        <v>1161</v>
      </c>
      <c r="AJ12">
        <v>0</v>
      </c>
      <c r="AK12" t="s">
        <v>432</v>
      </c>
      <c r="AL12" t="s">
        <v>1169</v>
      </c>
      <c r="AM12">
        <v>0.45</v>
      </c>
      <c r="AN12">
        <v>0.15</v>
      </c>
      <c r="AO12">
        <v>0.3</v>
      </c>
      <c r="AP12">
        <v>0.15</v>
      </c>
      <c r="AQ12">
        <v>1</v>
      </c>
      <c r="AR12" t="s">
        <v>1166</v>
      </c>
      <c r="AS12">
        <v>0</v>
      </c>
      <c r="AT12">
        <v>0</v>
      </c>
      <c r="AU12">
        <v>10</v>
      </c>
      <c r="AV12">
        <v>3001</v>
      </c>
      <c r="AW12">
        <v>0</v>
      </c>
      <c r="AX12">
        <f>COUNTIF('Equip Data'!A:A,A12)</f>
        <v>1</v>
      </c>
    </row>
    <row r="13" spans="1:50" hidden="1" x14ac:dyDescent="0.25">
      <c r="A13">
        <v>12</v>
      </c>
      <c r="B13" t="s">
        <v>1170</v>
      </c>
      <c r="C13" t="s">
        <v>1171</v>
      </c>
      <c r="D13" t="s">
        <v>1160</v>
      </c>
      <c r="E13">
        <v>5</v>
      </c>
      <c r="F13">
        <v>1</v>
      </c>
      <c r="G13">
        <v>3</v>
      </c>
      <c r="H13" t="s">
        <v>432</v>
      </c>
      <c r="I13" t="s">
        <v>447</v>
      </c>
      <c r="J13" t="s">
        <v>432</v>
      </c>
      <c r="K13" t="s">
        <v>432</v>
      </c>
      <c r="L13" t="s">
        <v>448</v>
      </c>
      <c r="M13" t="s">
        <v>432</v>
      </c>
      <c r="N13" t="s">
        <v>432</v>
      </c>
      <c r="O13" t="s">
        <v>432</v>
      </c>
      <c r="P13" t="s">
        <v>432</v>
      </c>
      <c r="Q13" t="s">
        <v>432</v>
      </c>
      <c r="R13" t="s">
        <v>432</v>
      </c>
      <c r="S13" t="s">
        <v>432</v>
      </c>
      <c r="T13" t="s">
        <v>432</v>
      </c>
      <c r="U13" t="s">
        <v>432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4</v>
      </c>
      <c r="AE13">
        <v>0</v>
      </c>
      <c r="AF13">
        <v>3</v>
      </c>
      <c r="AG13">
        <v>2</v>
      </c>
      <c r="AH13">
        <v>3000</v>
      </c>
      <c r="AI13" t="s">
        <v>1161</v>
      </c>
      <c r="AJ13">
        <v>0</v>
      </c>
      <c r="AK13" t="s">
        <v>432</v>
      </c>
      <c r="AL13" t="s">
        <v>1172</v>
      </c>
      <c r="AM13">
        <v>0.45</v>
      </c>
      <c r="AN13">
        <v>0.15</v>
      </c>
      <c r="AO13">
        <v>0.3</v>
      </c>
      <c r="AP13">
        <v>0.15</v>
      </c>
      <c r="AQ13">
        <v>1</v>
      </c>
      <c r="AR13" t="s">
        <v>1166</v>
      </c>
      <c r="AS13">
        <v>0</v>
      </c>
      <c r="AT13">
        <v>0</v>
      </c>
      <c r="AU13">
        <v>10</v>
      </c>
      <c r="AV13">
        <v>3001</v>
      </c>
      <c r="AW13">
        <v>0</v>
      </c>
      <c r="AX13">
        <f>COUNTIF('Equip Data'!A:A,A13)</f>
        <v>1</v>
      </c>
    </row>
    <row r="14" spans="1:50" hidden="1" x14ac:dyDescent="0.25">
      <c r="A14">
        <v>13</v>
      </c>
      <c r="B14" t="s">
        <v>1173</v>
      </c>
      <c r="C14" t="s">
        <v>1174</v>
      </c>
      <c r="D14" t="s">
        <v>1175</v>
      </c>
      <c r="E14">
        <v>2</v>
      </c>
      <c r="F14">
        <v>1</v>
      </c>
      <c r="G14">
        <v>4</v>
      </c>
      <c r="H14" t="s">
        <v>432</v>
      </c>
      <c r="I14" t="s">
        <v>432</v>
      </c>
      <c r="J14" t="s">
        <v>432</v>
      </c>
      <c r="K14" t="s">
        <v>432</v>
      </c>
      <c r="L14" t="s">
        <v>432</v>
      </c>
      <c r="M14" t="s">
        <v>432</v>
      </c>
      <c r="N14" t="s">
        <v>432</v>
      </c>
      <c r="O14" t="s">
        <v>432</v>
      </c>
      <c r="P14" t="s">
        <v>432</v>
      </c>
      <c r="Q14" t="s">
        <v>432</v>
      </c>
      <c r="R14" t="s">
        <v>432</v>
      </c>
      <c r="S14" t="s">
        <v>432</v>
      </c>
      <c r="T14" t="s">
        <v>449</v>
      </c>
      <c r="U14" t="s">
        <v>432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1</v>
      </c>
      <c r="AE14">
        <v>0</v>
      </c>
      <c r="AF14">
        <v>1</v>
      </c>
      <c r="AG14">
        <v>0</v>
      </c>
      <c r="AH14">
        <v>540</v>
      </c>
      <c r="AI14" t="s">
        <v>1176</v>
      </c>
      <c r="AJ14">
        <v>0</v>
      </c>
      <c r="AK14" t="s">
        <v>432</v>
      </c>
      <c r="AL14" t="s">
        <v>1177</v>
      </c>
      <c r="AM14">
        <v>0</v>
      </c>
      <c r="AN14">
        <v>0</v>
      </c>
      <c r="AO14">
        <v>0</v>
      </c>
      <c r="AP14">
        <v>0</v>
      </c>
      <c r="AQ14">
        <v>1</v>
      </c>
      <c r="AR14" t="s">
        <v>432</v>
      </c>
      <c r="AS14">
        <v>0</v>
      </c>
      <c r="AT14">
        <v>0</v>
      </c>
      <c r="AU14">
        <v>0</v>
      </c>
      <c r="AV14">
        <v>4001</v>
      </c>
      <c r="AW14">
        <v>0</v>
      </c>
      <c r="AX14">
        <f>COUNTIF('Equip Data'!A:A,A14)</f>
        <v>1</v>
      </c>
    </row>
    <row r="15" spans="1:50" hidden="1" x14ac:dyDescent="0.25">
      <c r="A15">
        <v>14</v>
      </c>
      <c r="B15" t="s">
        <v>1178</v>
      </c>
      <c r="C15" t="s">
        <v>1179</v>
      </c>
      <c r="D15" t="s">
        <v>1175</v>
      </c>
      <c r="E15">
        <v>3</v>
      </c>
      <c r="F15">
        <v>1</v>
      </c>
      <c r="G15">
        <v>4</v>
      </c>
      <c r="H15" t="s">
        <v>432</v>
      </c>
      <c r="I15" t="s">
        <v>432</v>
      </c>
      <c r="J15" t="s">
        <v>432</v>
      </c>
      <c r="K15" t="s">
        <v>432</v>
      </c>
      <c r="L15" t="s">
        <v>432</v>
      </c>
      <c r="M15" t="s">
        <v>432</v>
      </c>
      <c r="N15" t="s">
        <v>432</v>
      </c>
      <c r="O15" t="s">
        <v>432</v>
      </c>
      <c r="P15" t="s">
        <v>432</v>
      </c>
      <c r="Q15" t="s">
        <v>432</v>
      </c>
      <c r="R15" t="s">
        <v>432</v>
      </c>
      <c r="S15" t="s">
        <v>432</v>
      </c>
      <c r="T15" t="s">
        <v>450</v>
      </c>
      <c r="U15" t="s">
        <v>432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0</v>
      </c>
      <c r="AF15">
        <v>2</v>
      </c>
      <c r="AG15">
        <v>0</v>
      </c>
      <c r="AH15">
        <v>1440</v>
      </c>
      <c r="AI15" t="s">
        <v>1176</v>
      </c>
      <c r="AJ15">
        <v>0</v>
      </c>
      <c r="AK15" t="s">
        <v>432</v>
      </c>
      <c r="AL15" t="s">
        <v>1180</v>
      </c>
      <c r="AM15">
        <v>0</v>
      </c>
      <c r="AN15">
        <v>0</v>
      </c>
      <c r="AO15">
        <v>0</v>
      </c>
      <c r="AP15">
        <v>0</v>
      </c>
      <c r="AQ15">
        <v>1</v>
      </c>
      <c r="AR15" t="s">
        <v>432</v>
      </c>
      <c r="AS15">
        <v>0</v>
      </c>
      <c r="AT15">
        <v>0</v>
      </c>
      <c r="AU15">
        <v>0</v>
      </c>
      <c r="AV15">
        <v>4001</v>
      </c>
      <c r="AW15">
        <v>0</v>
      </c>
      <c r="AX15">
        <f>COUNTIF('Equip Data'!A:A,A15)</f>
        <v>1</v>
      </c>
    </row>
    <row r="16" spans="1:50" hidden="1" x14ac:dyDescent="0.25">
      <c r="A16">
        <v>15</v>
      </c>
      <c r="B16" t="s">
        <v>1181</v>
      </c>
      <c r="C16" t="s">
        <v>1182</v>
      </c>
      <c r="D16" t="s">
        <v>1175</v>
      </c>
      <c r="E16">
        <v>4</v>
      </c>
      <c r="F16">
        <v>1</v>
      </c>
      <c r="G16">
        <v>4</v>
      </c>
      <c r="H16" t="s">
        <v>432</v>
      </c>
      <c r="I16" t="s">
        <v>432</v>
      </c>
      <c r="J16" t="s">
        <v>432</v>
      </c>
      <c r="K16" t="s">
        <v>432</v>
      </c>
      <c r="L16" t="s">
        <v>432</v>
      </c>
      <c r="M16" t="s">
        <v>432</v>
      </c>
      <c r="N16" t="s">
        <v>432</v>
      </c>
      <c r="O16" t="s">
        <v>432</v>
      </c>
      <c r="P16" t="s">
        <v>432</v>
      </c>
      <c r="Q16" t="s">
        <v>432</v>
      </c>
      <c r="R16" t="s">
        <v>432</v>
      </c>
      <c r="S16" t="s">
        <v>432</v>
      </c>
      <c r="T16" t="s">
        <v>451</v>
      </c>
      <c r="U16" t="s">
        <v>432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2</v>
      </c>
      <c r="AE16">
        <v>0</v>
      </c>
      <c r="AF16">
        <v>3</v>
      </c>
      <c r="AG16">
        <v>1</v>
      </c>
      <c r="AH16">
        <v>2340</v>
      </c>
      <c r="AI16" t="s">
        <v>1176</v>
      </c>
      <c r="AJ16">
        <v>0</v>
      </c>
      <c r="AK16" t="s">
        <v>432</v>
      </c>
      <c r="AL16" t="s">
        <v>1183</v>
      </c>
      <c r="AM16">
        <v>0</v>
      </c>
      <c r="AN16">
        <v>0</v>
      </c>
      <c r="AO16">
        <v>0</v>
      </c>
      <c r="AP16">
        <v>0</v>
      </c>
      <c r="AQ16">
        <v>1</v>
      </c>
      <c r="AR16" t="s">
        <v>432</v>
      </c>
      <c r="AS16">
        <v>0</v>
      </c>
      <c r="AT16">
        <v>0</v>
      </c>
      <c r="AU16">
        <v>0</v>
      </c>
      <c r="AV16">
        <v>4001</v>
      </c>
      <c r="AW16">
        <v>0</v>
      </c>
      <c r="AX16">
        <f>COUNTIF('Equip Data'!A:A,A16)</f>
        <v>1</v>
      </c>
    </row>
    <row r="17" spans="1:50" hidden="1" x14ac:dyDescent="0.25">
      <c r="A17">
        <v>16</v>
      </c>
      <c r="B17" t="s">
        <v>1184</v>
      </c>
      <c r="C17" t="s">
        <v>1185</v>
      </c>
      <c r="D17" t="s">
        <v>1175</v>
      </c>
      <c r="E17">
        <v>5</v>
      </c>
      <c r="F17">
        <v>1</v>
      </c>
      <c r="G17">
        <v>4</v>
      </c>
      <c r="H17" t="s">
        <v>432</v>
      </c>
      <c r="I17" t="s">
        <v>432</v>
      </c>
      <c r="J17" t="s">
        <v>432</v>
      </c>
      <c r="K17" t="s">
        <v>432</v>
      </c>
      <c r="L17" t="s">
        <v>432</v>
      </c>
      <c r="M17" t="s">
        <v>432</v>
      </c>
      <c r="N17" t="s">
        <v>432</v>
      </c>
      <c r="O17" t="s">
        <v>432</v>
      </c>
      <c r="P17" t="s">
        <v>432</v>
      </c>
      <c r="Q17" t="s">
        <v>432</v>
      </c>
      <c r="R17" t="s">
        <v>432</v>
      </c>
      <c r="S17" t="s">
        <v>432</v>
      </c>
      <c r="T17" t="s">
        <v>452</v>
      </c>
      <c r="U17" t="s">
        <v>432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0</v>
      </c>
      <c r="AF17">
        <v>4</v>
      </c>
      <c r="AG17">
        <v>2</v>
      </c>
      <c r="AH17">
        <v>2940</v>
      </c>
      <c r="AI17" t="s">
        <v>1176</v>
      </c>
      <c r="AJ17">
        <v>0</v>
      </c>
      <c r="AK17" t="s">
        <v>432</v>
      </c>
      <c r="AL17" t="s">
        <v>1186</v>
      </c>
      <c r="AM17">
        <v>0</v>
      </c>
      <c r="AN17">
        <v>0</v>
      </c>
      <c r="AO17">
        <v>0</v>
      </c>
      <c r="AP17">
        <v>0</v>
      </c>
      <c r="AQ17">
        <v>1</v>
      </c>
      <c r="AR17" t="s">
        <v>432</v>
      </c>
      <c r="AS17">
        <v>0</v>
      </c>
      <c r="AT17">
        <v>0</v>
      </c>
      <c r="AU17">
        <v>0</v>
      </c>
      <c r="AV17">
        <v>4001</v>
      </c>
      <c r="AW17">
        <v>0</v>
      </c>
      <c r="AX17">
        <f>COUNTIF('Equip Data'!A:A,A17)</f>
        <v>1</v>
      </c>
    </row>
    <row r="18" spans="1:50" hidden="1" x14ac:dyDescent="0.25">
      <c r="A18">
        <v>17</v>
      </c>
      <c r="B18" t="s">
        <v>1187</v>
      </c>
      <c r="C18" t="s">
        <v>1188</v>
      </c>
      <c r="D18" t="s">
        <v>1189</v>
      </c>
      <c r="E18">
        <v>2</v>
      </c>
      <c r="F18">
        <v>2</v>
      </c>
      <c r="G18">
        <v>5</v>
      </c>
      <c r="H18" t="s">
        <v>432</v>
      </c>
      <c r="I18" t="s">
        <v>432</v>
      </c>
      <c r="J18" t="s">
        <v>432</v>
      </c>
      <c r="K18" t="s">
        <v>432</v>
      </c>
      <c r="L18" t="s">
        <v>432</v>
      </c>
      <c r="M18" t="s">
        <v>432</v>
      </c>
      <c r="N18" t="s">
        <v>432</v>
      </c>
      <c r="O18" t="s">
        <v>453</v>
      </c>
      <c r="P18" t="s">
        <v>432</v>
      </c>
      <c r="Q18" t="s">
        <v>432</v>
      </c>
      <c r="R18" t="s">
        <v>432</v>
      </c>
      <c r="S18" t="s">
        <v>432</v>
      </c>
      <c r="T18" t="s">
        <v>432</v>
      </c>
      <c r="U18" t="s">
        <v>432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2</v>
      </c>
      <c r="AF18">
        <v>0</v>
      </c>
      <c r="AG18">
        <v>0</v>
      </c>
      <c r="AH18">
        <v>900</v>
      </c>
      <c r="AI18" t="s">
        <v>1176</v>
      </c>
      <c r="AJ18">
        <v>0</v>
      </c>
      <c r="AK18" t="s">
        <v>432</v>
      </c>
      <c r="AL18" t="s">
        <v>1190</v>
      </c>
      <c r="AM18">
        <v>0</v>
      </c>
      <c r="AN18">
        <v>0</v>
      </c>
      <c r="AO18">
        <v>0</v>
      </c>
      <c r="AP18">
        <v>0</v>
      </c>
      <c r="AQ18">
        <v>1</v>
      </c>
      <c r="AR18" t="s">
        <v>432</v>
      </c>
      <c r="AS18">
        <v>0</v>
      </c>
      <c r="AT18">
        <v>0</v>
      </c>
      <c r="AU18">
        <v>0</v>
      </c>
      <c r="AV18">
        <v>5001</v>
      </c>
      <c r="AW18">
        <v>0</v>
      </c>
      <c r="AX18">
        <f>COUNTIF('Equip Data'!A:A,A18)</f>
        <v>1</v>
      </c>
    </row>
    <row r="19" spans="1:50" hidden="1" x14ac:dyDescent="0.25">
      <c r="A19">
        <v>18</v>
      </c>
      <c r="B19" t="s">
        <v>1191</v>
      </c>
      <c r="C19" t="s">
        <v>1192</v>
      </c>
      <c r="D19" t="s">
        <v>1189</v>
      </c>
      <c r="E19">
        <v>3</v>
      </c>
      <c r="F19">
        <v>2</v>
      </c>
      <c r="G19">
        <v>5</v>
      </c>
      <c r="H19" t="s">
        <v>432</v>
      </c>
      <c r="I19" t="s">
        <v>432</v>
      </c>
      <c r="J19" t="s">
        <v>432</v>
      </c>
      <c r="K19" t="s">
        <v>432</v>
      </c>
      <c r="L19" t="s">
        <v>432</v>
      </c>
      <c r="M19" t="s">
        <v>432</v>
      </c>
      <c r="N19" t="s">
        <v>432</v>
      </c>
      <c r="O19" t="s">
        <v>454</v>
      </c>
      <c r="P19" t="s">
        <v>432</v>
      </c>
      <c r="Q19" t="s">
        <v>432</v>
      </c>
      <c r="R19" t="s">
        <v>432</v>
      </c>
      <c r="S19" t="s">
        <v>432</v>
      </c>
      <c r="T19" t="s">
        <v>432</v>
      </c>
      <c r="U19" t="s">
        <v>432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2</v>
      </c>
      <c r="AF19">
        <v>0</v>
      </c>
      <c r="AG19">
        <v>1</v>
      </c>
      <c r="AH19">
        <v>1800</v>
      </c>
      <c r="AI19" t="s">
        <v>1176</v>
      </c>
      <c r="AJ19">
        <v>0</v>
      </c>
      <c r="AK19" t="s">
        <v>432</v>
      </c>
      <c r="AL19" t="s">
        <v>1193</v>
      </c>
      <c r="AM19">
        <v>0.08</v>
      </c>
      <c r="AN19">
        <v>0.5</v>
      </c>
      <c r="AO19">
        <v>0.3</v>
      </c>
      <c r="AP19">
        <v>0.3</v>
      </c>
      <c r="AQ19">
        <v>1</v>
      </c>
      <c r="AR19" t="s">
        <v>1194</v>
      </c>
      <c r="AS19">
        <v>0</v>
      </c>
      <c r="AT19">
        <v>0</v>
      </c>
      <c r="AU19">
        <v>10</v>
      </c>
      <c r="AV19">
        <v>5001</v>
      </c>
      <c r="AW19">
        <v>0</v>
      </c>
      <c r="AX19">
        <f>COUNTIF('Equip Data'!A:A,A19)</f>
        <v>1</v>
      </c>
    </row>
    <row r="20" spans="1:50" hidden="1" x14ac:dyDescent="0.25">
      <c r="A20">
        <v>19</v>
      </c>
      <c r="B20" t="s">
        <v>1195</v>
      </c>
      <c r="C20" t="s">
        <v>1196</v>
      </c>
      <c r="D20" t="s">
        <v>1189</v>
      </c>
      <c r="E20">
        <v>4</v>
      </c>
      <c r="F20">
        <v>2</v>
      </c>
      <c r="G20">
        <v>5</v>
      </c>
      <c r="H20" t="s">
        <v>432</v>
      </c>
      <c r="I20" t="s">
        <v>432</v>
      </c>
      <c r="J20" t="s">
        <v>432</v>
      </c>
      <c r="K20" t="s">
        <v>432</v>
      </c>
      <c r="L20" t="s">
        <v>432</v>
      </c>
      <c r="M20" t="s">
        <v>432</v>
      </c>
      <c r="N20" t="s">
        <v>432</v>
      </c>
      <c r="O20" t="s">
        <v>455</v>
      </c>
      <c r="P20" t="s">
        <v>432</v>
      </c>
      <c r="Q20" t="s">
        <v>432</v>
      </c>
      <c r="R20" t="s">
        <v>432</v>
      </c>
      <c r="S20" t="s">
        <v>432</v>
      </c>
      <c r="T20" t="s">
        <v>432</v>
      </c>
      <c r="U20" t="s">
        <v>432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3</v>
      </c>
      <c r="AF20">
        <v>1</v>
      </c>
      <c r="AG20">
        <v>2</v>
      </c>
      <c r="AH20">
        <v>2700</v>
      </c>
      <c r="AI20" t="s">
        <v>1176</v>
      </c>
      <c r="AJ20">
        <v>0</v>
      </c>
      <c r="AK20" t="s">
        <v>432</v>
      </c>
      <c r="AL20" t="s">
        <v>1197</v>
      </c>
      <c r="AM20">
        <v>0.08</v>
      </c>
      <c r="AN20">
        <v>0.5</v>
      </c>
      <c r="AO20">
        <v>0.3</v>
      </c>
      <c r="AP20">
        <v>0.3</v>
      </c>
      <c r="AQ20">
        <v>1</v>
      </c>
      <c r="AR20" t="s">
        <v>1194</v>
      </c>
      <c r="AS20">
        <v>0</v>
      </c>
      <c r="AT20">
        <v>0</v>
      </c>
      <c r="AU20">
        <v>10</v>
      </c>
      <c r="AV20">
        <v>5001</v>
      </c>
      <c r="AW20">
        <v>0</v>
      </c>
      <c r="AX20">
        <f>COUNTIF('Equip Data'!A:A,A20)</f>
        <v>1</v>
      </c>
    </row>
    <row r="21" spans="1:50" hidden="1" x14ac:dyDescent="0.25">
      <c r="A21">
        <v>20</v>
      </c>
      <c r="B21" t="s">
        <v>1198</v>
      </c>
      <c r="C21" t="s">
        <v>1199</v>
      </c>
      <c r="D21" t="s">
        <v>1189</v>
      </c>
      <c r="E21">
        <v>5</v>
      </c>
      <c r="F21">
        <v>2</v>
      </c>
      <c r="G21">
        <v>5</v>
      </c>
      <c r="H21" t="s">
        <v>432</v>
      </c>
      <c r="I21" t="s">
        <v>432</v>
      </c>
      <c r="J21" t="s">
        <v>432</v>
      </c>
      <c r="K21" t="s">
        <v>432</v>
      </c>
      <c r="L21" t="s">
        <v>432</v>
      </c>
      <c r="M21" t="s">
        <v>432</v>
      </c>
      <c r="N21" t="s">
        <v>432</v>
      </c>
      <c r="O21" t="s">
        <v>456</v>
      </c>
      <c r="P21" t="s">
        <v>432</v>
      </c>
      <c r="Q21" t="s">
        <v>432</v>
      </c>
      <c r="R21" t="s">
        <v>432</v>
      </c>
      <c r="S21" t="s">
        <v>432</v>
      </c>
      <c r="T21" t="s">
        <v>432</v>
      </c>
      <c r="U21" t="s">
        <v>432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4</v>
      </c>
      <c r="AF21">
        <v>2</v>
      </c>
      <c r="AG21">
        <v>3</v>
      </c>
      <c r="AH21">
        <v>3300</v>
      </c>
      <c r="AI21" t="s">
        <v>1176</v>
      </c>
      <c r="AJ21">
        <v>0</v>
      </c>
      <c r="AK21" t="s">
        <v>432</v>
      </c>
      <c r="AL21" t="s">
        <v>1200</v>
      </c>
      <c r="AM21">
        <v>0.08</v>
      </c>
      <c r="AN21">
        <v>0.5</v>
      </c>
      <c r="AO21">
        <v>0.3</v>
      </c>
      <c r="AP21">
        <v>0.3</v>
      </c>
      <c r="AQ21">
        <v>1</v>
      </c>
      <c r="AR21" t="s">
        <v>1194</v>
      </c>
      <c r="AS21">
        <v>0</v>
      </c>
      <c r="AT21">
        <v>0</v>
      </c>
      <c r="AU21">
        <v>10</v>
      </c>
      <c r="AV21">
        <v>5001</v>
      </c>
      <c r="AW21">
        <v>0</v>
      </c>
      <c r="AX21">
        <f>COUNTIF('Equip Data'!A:A,A21)</f>
        <v>1</v>
      </c>
    </row>
    <row r="22" spans="1:50" hidden="1" x14ac:dyDescent="0.25">
      <c r="A22">
        <v>21</v>
      </c>
      <c r="B22" t="s">
        <v>1201</v>
      </c>
      <c r="C22" t="s">
        <v>1202</v>
      </c>
      <c r="D22" t="s">
        <v>1094</v>
      </c>
      <c r="E22">
        <v>2</v>
      </c>
      <c r="F22">
        <v>2</v>
      </c>
      <c r="G22">
        <v>6</v>
      </c>
      <c r="H22" t="s">
        <v>432</v>
      </c>
      <c r="I22" t="s">
        <v>432</v>
      </c>
      <c r="J22" t="s">
        <v>432</v>
      </c>
      <c r="K22" t="s">
        <v>432</v>
      </c>
      <c r="L22" t="s">
        <v>432</v>
      </c>
      <c r="M22" t="s">
        <v>432</v>
      </c>
      <c r="N22" t="s">
        <v>432</v>
      </c>
      <c r="O22" t="s">
        <v>432</v>
      </c>
      <c r="P22" t="s">
        <v>432</v>
      </c>
      <c r="Q22" t="s">
        <v>432</v>
      </c>
      <c r="R22" t="s">
        <v>432</v>
      </c>
      <c r="S22" t="s">
        <v>432</v>
      </c>
      <c r="T22" t="s">
        <v>432</v>
      </c>
      <c r="U22" t="s">
        <v>432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2</v>
      </c>
      <c r="AF22">
        <v>0</v>
      </c>
      <c r="AG22">
        <v>0</v>
      </c>
      <c r="AH22">
        <v>840</v>
      </c>
      <c r="AI22" t="s">
        <v>432</v>
      </c>
      <c r="AJ22">
        <v>0</v>
      </c>
      <c r="AK22" t="s">
        <v>432</v>
      </c>
      <c r="AL22" t="s">
        <v>1203</v>
      </c>
      <c r="AM22">
        <v>0</v>
      </c>
      <c r="AN22">
        <v>0</v>
      </c>
      <c r="AO22">
        <v>0</v>
      </c>
      <c r="AP22">
        <v>0</v>
      </c>
      <c r="AQ22">
        <v>1</v>
      </c>
      <c r="AR22" t="s">
        <v>432</v>
      </c>
      <c r="AS22">
        <v>0</v>
      </c>
      <c r="AT22">
        <v>0</v>
      </c>
      <c r="AU22">
        <v>0</v>
      </c>
      <c r="AV22">
        <v>6001</v>
      </c>
      <c r="AW22">
        <v>0</v>
      </c>
      <c r="AX22">
        <f>COUNTIF('Equip Data'!A:A,A22)</f>
        <v>0</v>
      </c>
    </row>
    <row r="23" spans="1:50" hidden="1" x14ac:dyDescent="0.25">
      <c r="A23">
        <v>22</v>
      </c>
      <c r="B23" t="s">
        <v>1204</v>
      </c>
      <c r="C23" t="s">
        <v>1205</v>
      </c>
      <c r="D23" t="s">
        <v>1206</v>
      </c>
      <c r="E23">
        <v>3</v>
      </c>
      <c r="F23">
        <v>2</v>
      </c>
      <c r="G23">
        <v>6</v>
      </c>
      <c r="H23" t="s">
        <v>432</v>
      </c>
      <c r="I23" t="s">
        <v>432</v>
      </c>
      <c r="J23" t="s">
        <v>432</v>
      </c>
      <c r="K23" t="s">
        <v>432</v>
      </c>
      <c r="L23" t="s">
        <v>432</v>
      </c>
      <c r="M23" t="s">
        <v>432</v>
      </c>
      <c r="N23" t="s">
        <v>432</v>
      </c>
      <c r="O23" t="s">
        <v>432</v>
      </c>
      <c r="P23" t="s">
        <v>432</v>
      </c>
      <c r="Q23" t="s">
        <v>432</v>
      </c>
      <c r="R23" t="s">
        <v>432</v>
      </c>
      <c r="S23" t="s">
        <v>432</v>
      </c>
      <c r="T23" t="s">
        <v>432</v>
      </c>
      <c r="U23" t="s">
        <v>432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2</v>
      </c>
      <c r="AF23">
        <v>0</v>
      </c>
      <c r="AG23">
        <v>1</v>
      </c>
      <c r="AH23">
        <v>1740</v>
      </c>
      <c r="AI23" t="s">
        <v>432</v>
      </c>
      <c r="AJ23">
        <v>0</v>
      </c>
      <c r="AK23" t="s">
        <v>432</v>
      </c>
      <c r="AL23" t="s">
        <v>1207</v>
      </c>
      <c r="AM23">
        <v>0</v>
      </c>
      <c r="AN23">
        <v>0</v>
      </c>
      <c r="AO23">
        <v>0</v>
      </c>
      <c r="AP23">
        <v>0</v>
      </c>
      <c r="AQ23">
        <v>1</v>
      </c>
      <c r="AR23" t="s">
        <v>432</v>
      </c>
      <c r="AS23">
        <v>0</v>
      </c>
      <c r="AT23">
        <v>0</v>
      </c>
      <c r="AU23">
        <v>0</v>
      </c>
      <c r="AV23">
        <v>6001</v>
      </c>
      <c r="AW23">
        <v>0</v>
      </c>
      <c r="AX23">
        <f>COUNTIF('Equip Data'!A:A,A23)</f>
        <v>0</v>
      </c>
    </row>
    <row r="24" spans="1:50" hidden="1" x14ac:dyDescent="0.25">
      <c r="A24">
        <v>23</v>
      </c>
      <c r="B24" t="s">
        <v>1208</v>
      </c>
      <c r="C24" t="s">
        <v>1209</v>
      </c>
      <c r="D24" t="s">
        <v>1091</v>
      </c>
      <c r="E24">
        <v>4</v>
      </c>
      <c r="F24">
        <v>2</v>
      </c>
      <c r="G24">
        <v>6</v>
      </c>
      <c r="H24" t="s">
        <v>432</v>
      </c>
      <c r="I24" t="s">
        <v>432</v>
      </c>
      <c r="J24" t="s">
        <v>432</v>
      </c>
      <c r="K24" t="s">
        <v>432</v>
      </c>
      <c r="L24" t="s">
        <v>432</v>
      </c>
      <c r="M24" t="s">
        <v>432</v>
      </c>
      <c r="N24" t="s">
        <v>432</v>
      </c>
      <c r="O24" t="s">
        <v>432</v>
      </c>
      <c r="P24" t="s">
        <v>432</v>
      </c>
      <c r="Q24" t="s">
        <v>432</v>
      </c>
      <c r="R24" t="s">
        <v>432</v>
      </c>
      <c r="S24" t="s">
        <v>432</v>
      </c>
      <c r="T24" t="s">
        <v>432</v>
      </c>
      <c r="U24" t="s">
        <v>432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</v>
      </c>
      <c r="AF24">
        <v>1</v>
      </c>
      <c r="AG24">
        <v>2</v>
      </c>
      <c r="AH24">
        <v>2640</v>
      </c>
      <c r="AI24" t="s">
        <v>432</v>
      </c>
      <c r="AJ24">
        <v>0</v>
      </c>
      <c r="AK24" t="s">
        <v>432</v>
      </c>
      <c r="AL24" t="s">
        <v>1210</v>
      </c>
      <c r="AM24">
        <v>0</v>
      </c>
      <c r="AN24">
        <v>0</v>
      </c>
      <c r="AO24">
        <v>0</v>
      </c>
      <c r="AP24">
        <v>0</v>
      </c>
      <c r="AQ24">
        <v>1</v>
      </c>
      <c r="AR24" t="s">
        <v>432</v>
      </c>
      <c r="AS24">
        <v>0</v>
      </c>
      <c r="AT24">
        <v>0</v>
      </c>
      <c r="AU24">
        <v>0</v>
      </c>
      <c r="AV24">
        <v>6001</v>
      </c>
      <c r="AW24">
        <v>0</v>
      </c>
      <c r="AX24">
        <f>COUNTIF('Equip Data'!A:A,A24)</f>
        <v>0</v>
      </c>
    </row>
    <row r="25" spans="1:50" hidden="1" x14ac:dyDescent="0.25">
      <c r="A25">
        <v>24</v>
      </c>
      <c r="B25" t="s">
        <v>1211</v>
      </c>
      <c r="C25" t="s">
        <v>1212</v>
      </c>
      <c r="D25" t="s">
        <v>1213</v>
      </c>
      <c r="E25">
        <v>5</v>
      </c>
      <c r="F25">
        <v>2</v>
      </c>
      <c r="G25">
        <v>6</v>
      </c>
      <c r="H25" t="s">
        <v>432</v>
      </c>
      <c r="I25" t="s">
        <v>432</v>
      </c>
      <c r="J25" t="s">
        <v>432</v>
      </c>
      <c r="K25" t="s">
        <v>432</v>
      </c>
      <c r="L25" t="s">
        <v>432</v>
      </c>
      <c r="M25" t="s">
        <v>432</v>
      </c>
      <c r="N25" t="s">
        <v>432</v>
      </c>
      <c r="O25" t="s">
        <v>432</v>
      </c>
      <c r="P25" t="s">
        <v>432</v>
      </c>
      <c r="Q25" t="s">
        <v>432</v>
      </c>
      <c r="R25" t="s">
        <v>432</v>
      </c>
      <c r="S25" t="s">
        <v>432</v>
      </c>
      <c r="T25" t="s">
        <v>432</v>
      </c>
      <c r="U25" t="s">
        <v>432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4</v>
      </c>
      <c r="AF25">
        <v>2</v>
      </c>
      <c r="AG25">
        <v>3</v>
      </c>
      <c r="AH25">
        <v>3240</v>
      </c>
      <c r="AI25" t="s">
        <v>432</v>
      </c>
      <c r="AJ25">
        <v>0</v>
      </c>
      <c r="AK25" t="s">
        <v>432</v>
      </c>
      <c r="AL25" t="s">
        <v>1214</v>
      </c>
      <c r="AM25">
        <v>0</v>
      </c>
      <c r="AN25">
        <v>0</v>
      </c>
      <c r="AO25">
        <v>0</v>
      </c>
      <c r="AP25">
        <v>0</v>
      </c>
      <c r="AQ25">
        <v>1</v>
      </c>
      <c r="AR25" t="s">
        <v>432</v>
      </c>
      <c r="AS25">
        <v>0</v>
      </c>
      <c r="AT25">
        <v>0</v>
      </c>
      <c r="AU25">
        <v>0</v>
      </c>
      <c r="AV25">
        <v>6001</v>
      </c>
      <c r="AW25">
        <v>0</v>
      </c>
      <c r="AX25">
        <f>COUNTIF('Equip Data'!A:A,A25)</f>
        <v>0</v>
      </c>
    </row>
    <row r="26" spans="1:50" hidden="1" x14ac:dyDescent="0.25">
      <c r="A26">
        <v>25</v>
      </c>
      <c r="B26" t="s">
        <v>1215</v>
      </c>
      <c r="C26" t="s">
        <v>1216</v>
      </c>
      <c r="D26" t="s">
        <v>1093</v>
      </c>
      <c r="E26">
        <v>2</v>
      </c>
      <c r="F26">
        <v>2</v>
      </c>
      <c r="G26">
        <v>6</v>
      </c>
      <c r="H26" t="s">
        <v>432</v>
      </c>
      <c r="I26" t="s">
        <v>432</v>
      </c>
      <c r="J26" t="s">
        <v>432</v>
      </c>
      <c r="K26" t="s">
        <v>432</v>
      </c>
      <c r="L26" t="s">
        <v>432</v>
      </c>
      <c r="M26" t="s">
        <v>432</v>
      </c>
      <c r="N26" t="s">
        <v>432</v>
      </c>
      <c r="O26" t="s">
        <v>432</v>
      </c>
      <c r="P26" t="s">
        <v>432</v>
      </c>
      <c r="Q26" t="s">
        <v>432</v>
      </c>
      <c r="R26" t="s">
        <v>432</v>
      </c>
      <c r="S26" t="s">
        <v>432</v>
      </c>
      <c r="T26" t="s">
        <v>432</v>
      </c>
      <c r="U26" t="s">
        <v>432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2</v>
      </c>
      <c r="AF26">
        <v>0</v>
      </c>
      <c r="AG26">
        <v>0</v>
      </c>
      <c r="AH26">
        <v>1020</v>
      </c>
      <c r="AI26" t="s">
        <v>432</v>
      </c>
      <c r="AJ26">
        <v>0</v>
      </c>
      <c r="AK26" t="s">
        <v>432</v>
      </c>
      <c r="AL26" t="s">
        <v>1217</v>
      </c>
      <c r="AM26">
        <v>0</v>
      </c>
      <c r="AN26">
        <v>0</v>
      </c>
      <c r="AO26">
        <v>0</v>
      </c>
      <c r="AP26">
        <v>0</v>
      </c>
      <c r="AQ26">
        <v>1</v>
      </c>
      <c r="AR26" t="s">
        <v>432</v>
      </c>
      <c r="AS26">
        <v>0</v>
      </c>
      <c r="AT26">
        <v>0</v>
      </c>
      <c r="AU26">
        <v>0</v>
      </c>
      <c r="AV26">
        <v>6002</v>
      </c>
      <c r="AW26">
        <v>0</v>
      </c>
      <c r="AX26">
        <f>COUNTIF('Equip Data'!A:A,A26)</f>
        <v>0</v>
      </c>
    </row>
    <row r="27" spans="1:50" hidden="1" x14ac:dyDescent="0.25">
      <c r="A27">
        <v>26</v>
      </c>
      <c r="B27" t="s">
        <v>1218</v>
      </c>
      <c r="C27" t="s">
        <v>1219</v>
      </c>
      <c r="D27" t="s">
        <v>1220</v>
      </c>
      <c r="E27">
        <v>3</v>
      </c>
      <c r="F27">
        <v>2</v>
      </c>
      <c r="G27">
        <v>6</v>
      </c>
      <c r="H27" t="s">
        <v>432</v>
      </c>
      <c r="I27" t="s">
        <v>432</v>
      </c>
      <c r="J27" t="s">
        <v>432</v>
      </c>
      <c r="K27" t="s">
        <v>432</v>
      </c>
      <c r="L27" t="s">
        <v>432</v>
      </c>
      <c r="M27" t="s">
        <v>432</v>
      </c>
      <c r="N27" t="s">
        <v>432</v>
      </c>
      <c r="O27" t="s">
        <v>432</v>
      </c>
      <c r="P27" t="s">
        <v>432</v>
      </c>
      <c r="Q27" t="s">
        <v>432</v>
      </c>
      <c r="R27" t="s">
        <v>432</v>
      </c>
      <c r="S27" t="s">
        <v>432</v>
      </c>
      <c r="T27" t="s">
        <v>432</v>
      </c>
      <c r="U27" t="s">
        <v>432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2</v>
      </c>
      <c r="AF27">
        <v>0</v>
      </c>
      <c r="AG27">
        <v>1</v>
      </c>
      <c r="AH27">
        <v>1920</v>
      </c>
      <c r="AI27" t="s">
        <v>432</v>
      </c>
      <c r="AJ27">
        <v>0</v>
      </c>
      <c r="AK27" t="s">
        <v>432</v>
      </c>
      <c r="AL27" t="s">
        <v>1221</v>
      </c>
      <c r="AM27">
        <v>0</v>
      </c>
      <c r="AN27">
        <v>0</v>
      </c>
      <c r="AO27">
        <v>0</v>
      </c>
      <c r="AP27">
        <v>0</v>
      </c>
      <c r="AQ27">
        <v>1</v>
      </c>
      <c r="AR27" t="s">
        <v>432</v>
      </c>
      <c r="AS27">
        <v>0</v>
      </c>
      <c r="AT27">
        <v>0</v>
      </c>
      <c r="AU27">
        <v>0</v>
      </c>
      <c r="AV27">
        <v>6002</v>
      </c>
      <c r="AW27">
        <v>0</v>
      </c>
      <c r="AX27">
        <f>COUNTIF('Equip Data'!A:A,A27)</f>
        <v>0</v>
      </c>
    </row>
    <row r="28" spans="1:50" hidden="1" x14ac:dyDescent="0.25">
      <c r="A28">
        <v>27</v>
      </c>
      <c r="B28" t="s">
        <v>1222</v>
      </c>
      <c r="C28" t="s">
        <v>1223</v>
      </c>
      <c r="D28" t="s">
        <v>457</v>
      </c>
      <c r="E28">
        <v>4</v>
      </c>
      <c r="F28">
        <v>2</v>
      </c>
      <c r="G28">
        <v>6</v>
      </c>
      <c r="H28" t="s">
        <v>432</v>
      </c>
      <c r="I28" t="s">
        <v>432</v>
      </c>
      <c r="J28" t="s">
        <v>432</v>
      </c>
      <c r="K28" t="s">
        <v>432</v>
      </c>
      <c r="L28" t="s">
        <v>432</v>
      </c>
      <c r="M28" t="s">
        <v>432</v>
      </c>
      <c r="N28" t="s">
        <v>432</v>
      </c>
      <c r="O28" t="s">
        <v>432</v>
      </c>
      <c r="P28" t="s">
        <v>432</v>
      </c>
      <c r="Q28" t="s">
        <v>432</v>
      </c>
      <c r="R28" t="s">
        <v>432</v>
      </c>
      <c r="S28" t="s">
        <v>432</v>
      </c>
      <c r="T28" t="s">
        <v>432</v>
      </c>
      <c r="U28" t="s">
        <v>432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3</v>
      </c>
      <c r="AF28">
        <v>1</v>
      </c>
      <c r="AG28">
        <v>2</v>
      </c>
      <c r="AH28">
        <v>2820</v>
      </c>
      <c r="AI28" t="s">
        <v>432</v>
      </c>
      <c r="AJ28">
        <v>0</v>
      </c>
      <c r="AK28" t="s">
        <v>432</v>
      </c>
      <c r="AL28" t="s">
        <v>1224</v>
      </c>
      <c r="AM28">
        <v>0</v>
      </c>
      <c r="AN28">
        <v>0</v>
      </c>
      <c r="AO28">
        <v>0</v>
      </c>
      <c r="AP28">
        <v>0</v>
      </c>
      <c r="AQ28">
        <v>1</v>
      </c>
      <c r="AR28" t="s">
        <v>432</v>
      </c>
      <c r="AS28">
        <v>0</v>
      </c>
      <c r="AT28">
        <v>0</v>
      </c>
      <c r="AU28">
        <v>0</v>
      </c>
      <c r="AV28">
        <v>6002</v>
      </c>
      <c r="AW28">
        <v>0</v>
      </c>
      <c r="AX28">
        <f>COUNTIF('Equip Data'!A:A,A28)</f>
        <v>0</v>
      </c>
    </row>
    <row r="29" spans="1:50" hidden="1" x14ac:dyDescent="0.25">
      <c r="A29">
        <v>28</v>
      </c>
      <c r="B29" t="s">
        <v>1225</v>
      </c>
      <c r="C29" t="s">
        <v>1226</v>
      </c>
      <c r="D29" t="s">
        <v>1092</v>
      </c>
      <c r="E29">
        <v>5</v>
      </c>
      <c r="F29">
        <v>2</v>
      </c>
      <c r="G29">
        <v>6</v>
      </c>
      <c r="H29" t="s">
        <v>432</v>
      </c>
      <c r="I29" t="s">
        <v>432</v>
      </c>
      <c r="J29" t="s">
        <v>432</v>
      </c>
      <c r="K29" t="s">
        <v>432</v>
      </c>
      <c r="L29" t="s">
        <v>432</v>
      </c>
      <c r="M29" t="s">
        <v>432</v>
      </c>
      <c r="N29" t="s">
        <v>432</v>
      </c>
      <c r="O29" t="s">
        <v>432</v>
      </c>
      <c r="P29" t="s">
        <v>432</v>
      </c>
      <c r="Q29" t="s">
        <v>432</v>
      </c>
      <c r="R29" t="s">
        <v>432</v>
      </c>
      <c r="S29" t="s">
        <v>432</v>
      </c>
      <c r="T29" t="s">
        <v>432</v>
      </c>
      <c r="U29" t="s">
        <v>432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4</v>
      </c>
      <c r="AF29">
        <v>2</v>
      </c>
      <c r="AG29">
        <v>3</v>
      </c>
      <c r="AH29">
        <v>3420</v>
      </c>
      <c r="AI29" t="s">
        <v>432</v>
      </c>
      <c r="AJ29">
        <v>0</v>
      </c>
      <c r="AK29" t="s">
        <v>432</v>
      </c>
      <c r="AL29" t="s">
        <v>1227</v>
      </c>
      <c r="AM29">
        <v>0</v>
      </c>
      <c r="AN29">
        <v>0</v>
      </c>
      <c r="AO29">
        <v>0</v>
      </c>
      <c r="AP29">
        <v>0</v>
      </c>
      <c r="AQ29">
        <v>1</v>
      </c>
      <c r="AR29" t="s">
        <v>432</v>
      </c>
      <c r="AS29">
        <v>0</v>
      </c>
      <c r="AT29">
        <v>0</v>
      </c>
      <c r="AU29">
        <v>0</v>
      </c>
      <c r="AV29">
        <v>6002</v>
      </c>
      <c r="AW29">
        <v>0</v>
      </c>
      <c r="AX29">
        <f>COUNTIF('Equip Data'!A:A,A29)</f>
        <v>0</v>
      </c>
    </row>
    <row r="30" spans="1:50" hidden="1" x14ac:dyDescent="0.25">
      <c r="A30">
        <v>29</v>
      </c>
      <c r="B30" t="s">
        <v>1228</v>
      </c>
      <c r="C30" t="s">
        <v>1229</v>
      </c>
      <c r="D30" t="s">
        <v>1230</v>
      </c>
      <c r="E30">
        <v>2</v>
      </c>
      <c r="F30">
        <v>2</v>
      </c>
      <c r="G30">
        <v>8</v>
      </c>
      <c r="H30" t="s">
        <v>436</v>
      </c>
      <c r="I30" t="s">
        <v>432</v>
      </c>
      <c r="J30" t="s">
        <v>432</v>
      </c>
      <c r="K30" t="s">
        <v>432</v>
      </c>
      <c r="L30" t="s">
        <v>432</v>
      </c>
      <c r="M30" t="s">
        <v>432</v>
      </c>
      <c r="N30" t="s">
        <v>432</v>
      </c>
      <c r="O30" t="s">
        <v>432</v>
      </c>
      <c r="P30" t="s">
        <v>432</v>
      </c>
      <c r="Q30" t="s">
        <v>432</v>
      </c>
      <c r="R30" t="s">
        <v>432</v>
      </c>
      <c r="S30" t="s">
        <v>432</v>
      </c>
      <c r="T30" t="s">
        <v>432</v>
      </c>
      <c r="U30" t="s">
        <v>432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3</v>
      </c>
      <c r="AF30">
        <v>0</v>
      </c>
      <c r="AG30">
        <v>0</v>
      </c>
      <c r="AH30">
        <v>1080</v>
      </c>
      <c r="AI30" t="s">
        <v>1231</v>
      </c>
      <c r="AJ30">
        <v>0</v>
      </c>
      <c r="AK30" t="s">
        <v>432</v>
      </c>
      <c r="AL30" t="s">
        <v>1232</v>
      </c>
      <c r="AM30">
        <v>0</v>
      </c>
      <c r="AN30">
        <v>0</v>
      </c>
      <c r="AO30">
        <v>0</v>
      </c>
      <c r="AP30">
        <v>0</v>
      </c>
      <c r="AQ30">
        <v>1</v>
      </c>
      <c r="AR30" t="s">
        <v>432</v>
      </c>
      <c r="AS30">
        <v>0</v>
      </c>
      <c r="AT30">
        <v>0</v>
      </c>
      <c r="AU30">
        <v>0</v>
      </c>
      <c r="AV30">
        <v>8001</v>
      </c>
      <c r="AW30">
        <v>0</v>
      </c>
      <c r="AX30">
        <f>COUNTIF('Equip Data'!A:A,A30)</f>
        <v>1</v>
      </c>
    </row>
    <row r="31" spans="1:50" hidden="1" x14ac:dyDescent="0.25">
      <c r="A31">
        <v>30</v>
      </c>
      <c r="B31" t="s">
        <v>1233</v>
      </c>
      <c r="C31" t="s">
        <v>1234</v>
      </c>
      <c r="D31" t="s">
        <v>1230</v>
      </c>
      <c r="E31">
        <v>3</v>
      </c>
      <c r="F31">
        <v>2</v>
      </c>
      <c r="G31">
        <v>8</v>
      </c>
      <c r="H31" t="s">
        <v>458</v>
      </c>
      <c r="I31" t="s">
        <v>432</v>
      </c>
      <c r="J31" t="s">
        <v>432</v>
      </c>
      <c r="K31" t="s">
        <v>432</v>
      </c>
      <c r="L31" t="s">
        <v>432</v>
      </c>
      <c r="M31" t="s">
        <v>432</v>
      </c>
      <c r="N31" t="s">
        <v>432</v>
      </c>
      <c r="O31" t="s">
        <v>432</v>
      </c>
      <c r="P31" t="s">
        <v>432</v>
      </c>
      <c r="Q31" t="s">
        <v>432</v>
      </c>
      <c r="R31" t="s">
        <v>432</v>
      </c>
      <c r="S31" t="s">
        <v>432</v>
      </c>
      <c r="T31" t="s">
        <v>432</v>
      </c>
      <c r="U31" t="s">
        <v>432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3</v>
      </c>
      <c r="AF31">
        <v>1</v>
      </c>
      <c r="AG31">
        <v>0</v>
      </c>
      <c r="AH31">
        <v>1980</v>
      </c>
      <c r="AI31" t="s">
        <v>1231</v>
      </c>
      <c r="AJ31">
        <v>0</v>
      </c>
      <c r="AK31" t="s">
        <v>432</v>
      </c>
      <c r="AL31" t="s">
        <v>1235</v>
      </c>
      <c r="AM31">
        <v>0.15</v>
      </c>
      <c r="AN31">
        <v>0.6</v>
      </c>
      <c r="AO31">
        <v>0.38</v>
      </c>
      <c r="AP31">
        <v>0.23</v>
      </c>
      <c r="AQ31">
        <v>1</v>
      </c>
      <c r="AR31" t="s">
        <v>1236</v>
      </c>
      <c r="AS31">
        <v>0</v>
      </c>
      <c r="AT31">
        <v>0</v>
      </c>
      <c r="AU31">
        <v>10</v>
      </c>
      <c r="AV31">
        <v>8001</v>
      </c>
      <c r="AW31">
        <v>0</v>
      </c>
      <c r="AX31">
        <f>COUNTIF('Equip Data'!A:A,A31)</f>
        <v>1</v>
      </c>
    </row>
    <row r="32" spans="1:50" hidden="1" x14ac:dyDescent="0.25">
      <c r="A32">
        <v>31</v>
      </c>
      <c r="B32" t="s">
        <v>1237</v>
      </c>
      <c r="C32" t="s">
        <v>1238</v>
      </c>
      <c r="D32" t="s">
        <v>1230</v>
      </c>
      <c r="E32">
        <v>4</v>
      </c>
      <c r="F32">
        <v>2</v>
      </c>
      <c r="G32">
        <v>8</v>
      </c>
      <c r="H32" t="s">
        <v>459</v>
      </c>
      <c r="I32" t="s">
        <v>432</v>
      </c>
      <c r="J32" t="s">
        <v>432</v>
      </c>
      <c r="K32" t="s">
        <v>432</v>
      </c>
      <c r="L32" t="s">
        <v>432</v>
      </c>
      <c r="M32" t="s">
        <v>432</v>
      </c>
      <c r="N32" t="s">
        <v>432</v>
      </c>
      <c r="O32" t="s">
        <v>432</v>
      </c>
      <c r="P32" t="s">
        <v>432</v>
      </c>
      <c r="Q32" t="s">
        <v>432</v>
      </c>
      <c r="R32" t="s">
        <v>432</v>
      </c>
      <c r="S32" t="s">
        <v>432</v>
      </c>
      <c r="T32" t="s">
        <v>432</v>
      </c>
      <c r="U32" t="s">
        <v>432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4</v>
      </c>
      <c r="AF32">
        <v>2</v>
      </c>
      <c r="AG32">
        <v>1</v>
      </c>
      <c r="AH32">
        <v>2880</v>
      </c>
      <c r="AI32" t="s">
        <v>1231</v>
      </c>
      <c r="AJ32">
        <v>0</v>
      </c>
      <c r="AK32" t="s">
        <v>432</v>
      </c>
      <c r="AL32" t="s">
        <v>1239</v>
      </c>
      <c r="AM32">
        <v>0.15</v>
      </c>
      <c r="AN32">
        <v>0.6</v>
      </c>
      <c r="AO32">
        <v>0.38</v>
      </c>
      <c r="AP32">
        <v>0.23</v>
      </c>
      <c r="AQ32">
        <v>1</v>
      </c>
      <c r="AR32" t="s">
        <v>1240</v>
      </c>
      <c r="AS32">
        <v>0</v>
      </c>
      <c r="AT32">
        <v>0</v>
      </c>
      <c r="AU32">
        <v>10</v>
      </c>
      <c r="AV32">
        <v>8001</v>
      </c>
      <c r="AW32">
        <v>0</v>
      </c>
      <c r="AX32">
        <f>COUNTIF('Equip Data'!A:A,A32)</f>
        <v>1</v>
      </c>
    </row>
    <row r="33" spans="1:50" hidden="1" x14ac:dyDescent="0.25">
      <c r="A33">
        <v>32</v>
      </c>
      <c r="B33" t="s">
        <v>1241</v>
      </c>
      <c r="C33" t="s">
        <v>1242</v>
      </c>
      <c r="D33" t="s">
        <v>1230</v>
      </c>
      <c r="E33">
        <v>5</v>
      </c>
      <c r="F33">
        <v>2</v>
      </c>
      <c r="G33">
        <v>8</v>
      </c>
      <c r="H33" t="s">
        <v>460</v>
      </c>
      <c r="I33" t="s">
        <v>432</v>
      </c>
      <c r="J33" t="s">
        <v>432</v>
      </c>
      <c r="K33" t="s">
        <v>432</v>
      </c>
      <c r="L33" t="s">
        <v>432</v>
      </c>
      <c r="M33" t="s">
        <v>432</v>
      </c>
      <c r="N33" t="s">
        <v>432</v>
      </c>
      <c r="O33" t="s">
        <v>432</v>
      </c>
      <c r="P33" t="s">
        <v>432</v>
      </c>
      <c r="Q33" t="s">
        <v>432</v>
      </c>
      <c r="R33" t="s">
        <v>432</v>
      </c>
      <c r="S33" t="s">
        <v>432</v>
      </c>
      <c r="T33" t="s">
        <v>432</v>
      </c>
      <c r="U33" t="s">
        <v>432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5</v>
      </c>
      <c r="AF33">
        <v>3</v>
      </c>
      <c r="AG33">
        <v>2</v>
      </c>
      <c r="AH33">
        <v>3480</v>
      </c>
      <c r="AI33" t="s">
        <v>1231</v>
      </c>
      <c r="AJ33">
        <v>0</v>
      </c>
      <c r="AK33" t="s">
        <v>432</v>
      </c>
      <c r="AL33" t="s">
        <v>1243</v>
      </c>
      <c r="AM33">
        <v>0.15</v>
      </c>
      <c r="AN33">
        <v>0.6</v>
      </c>
      <c r="AO33">
        <v>0.38</v>
      </c>
      <c r="AP33">
        <v>0.23</v>
      </c>
      <c r="AQ33">
        <v>1</v>
      </c>
      <c r="AR33" t="s">
        <v>1244</v>
      </c>
      <c r="AS33">
        <v>0</v>
      </c>
      <c r="AT33">
        <v>0</v>
      </c>
      <c r="AU33">
        <v>10</v>
      </c>
      <c r="AV33">
        <v>8001</v>
      </c>
      <c r="AW33">
        <v>0</v>
      </c>
      <c r="AX33">
        <f>COUNTIF('Equip Data'!A:A,A33)</f>
        <v>1</v>
      </c>
    </row>
    <row r="34" spans="1:50" hidden="1" x14ac:dyDescent="0.25">
      <c r="A34">
        <v>33</v>
      </c>
      <c r="B34" t="s">
        <v>1245</v>
      </c>
      <c r="C34" t="s">
        <v>1246</v>
      </c>
      <c r="D34" t="s">
        <v>1096</v>
      </c>
      <c r="E34">
        <v>2</v>
      </c>
      <c r="F34">
        <v>3</v>
      </c>
      <c r="G34">
        <v>9</v>
      </c>
      <c r="H34" t="s">
        <v>432</v>
      </c>
      <c r="I34" t="s">
        <v>432</v>
      </c>
      <c r="J34" t="s">
        <v>432</v>
      </c>
      <c r="K34" t="s">
        <v>432</v>
      </c>
      <c r="L34" t="s">
        <v>432</v>
      </c>
      <c r="M34" t="s">
        <v>432</v>
      </c>
      <c r="N34" t="s">
        <v>432</v>
      </c>
      <c r="O34" t="s">
        <v>432</v>
      </c>
      <c r="P34" t="s">
        <v>432</v>
      </c>
      <c r="Q34" t="s">
        <v>432</v>
      </c>
      <c r="R34" t="s">
        <v>432</v>
      </c>
      <c r="S34" t="s">
        <v>432</v>
      </c>
      <c r="T34" t="s">
        <v>432</v>
      </c>
      <c r="U34" t="s">
        <v>432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1</v>
      </c>
      <c r="AF34">
        <v>0</v>
      </c>
      <c r="AG34">
        <v>0</v>
      </c>
      <c r="AH34">
        <v>660</v>
      </c>
      <c r="AI34" t="s">
        <v>432</v>
      </c>
      <c r="AJ34">
        <v>0</v>
      </c>
      <c r="AK34" t="s">
        <v>432</v>
      </c>
      <c r="AL34" t="s">
        <v>1247</v>
      </c>
      <c r="AM34">
        <v>0</v>
      </c>
      <c r="AN34">
        <v>0</v>
      </c>
      <c r="AO34">
        <v>0</v>
      </c>
      <c r="AP34">
        <v>0</v>
      </c>
      <c r="AQ34">
        <v>1</v>
      </c>
      <c r="AR34" t="s">
        <v>432</v>
      </c>
      <c r="AS34">
        <v>0</v>
      </c>
      <c r="AT34">
        <v>0</v>
      </c>
      <c r="AU34">
        <v>0</v>
      </c>
      <c r="AV34">
        <v>9001</v>
      </c>
      <c r="AW34">
        <v>0</v>
      </c>
      <c r="AX34">
        <f>COUNTIF('Equip Data'!A:A,A34)</f>
        <v>0</v>
      </c>
    </row>
    <row r="35" spans="1:50" hidden="1" x14ac:dyDescent="0.25">
      <c r="A35">
        <v>34</v>
      </c>
      <c r="B35" t="s">
        <v>1248</v>
      </c>
      <c r="C35" t="s">
        <v>1249</v>
      </c>
      <c r="D35" t="s">
        <v>1250</v>
      </c>
      <c r="E35">
        <v>3</v>
      </c>
      <c r="F35">
        <v>3</v>
      </c>
      <c r="G35">
        <v>9</v>
      </c>
      <c r="H35" t="s">
        <v>432</v>
      </c>
      <c r="I35" t="s">
        <v>432</v>
      </c>
      <c r="J35" t="s">
        <v>432</v>
      </c>
      <c r="K35" t="s">
        <v>432</v>
      </c>
      <c r="L35" t="s">
        <v>432</v>
      </c>
      <c r="M35" t="s">
        <v>432</v>
      </c>
      <c r="N35" t="s">
        <v>432</v>
      </c>
      <c r="O35" t="s">
        <v>432</v>
      </c>
      <c r="P35" t="s">
        <v>432</v>
      </c>
      <c r="Q35" t="s">
        <v>432</v>
      </c>
      <c r="R35" t="s">
        <v>432</v>
      </c>
      <c r="S35" t="s">
        <v>432</v>
      </c>
      <c r="T35" t="s">
        <v>432</v>
      </c>
      <c r="U35" t="s">
        <v>432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2</v>
      </c>
      <c r="AE35">
        <v>1</v>
      </c>
      <c r="AF35">
        <v>0</v>
      </c>
      <c r="AG35">
        <v>0</v>
      </c>
      <c r="AH35">
        <v>1560</v>
      </c>
      <c r="AI35" t="s">
        <v>432</v>
      </c>
      <c r="AJ35">
        <v>0</v>
      </c>
      <c r="AK35" t="s">
        <v>432</v>
      </c>
      <c r="AL35" t="s">
        <v>1251</v>
      </c>
      <c r="AM35">
        <v>0</v>
      </c>
      <c r="AN35">
        <v>0</v>
      </c>
      <c r="AO35">
        <v>0</v>
      </c>
      <c r="AP35">
        <v>0</v>
      </c>
      <c r="AQ35">
        <v>1</v>
      </c>
      <c r="AR35" t="s">
        <v>432</v>
      </c>
      <c r="AS35">
        <v>0</v>
      </c>
      <c r="AT35">
        <v>0</v>
      </c>
      <c r="AU35">
        <v>0</v>
      </c>
      <c r="AV35">
        <v>9001</v>
      </c>
      <c r="AW35">
        <v>0</v>
      </c>
      <c r="AX35">
        <f>COUNTIF('Equip Data'!A:A,A35)</f>
        <v>0</v>
      </c>
    </row>
    <row r="36" spans="1:50" hidden="1" x14ac:dyDescent="0.25">
      <c r="A36">
        <v>35</v>
      </c>
      <c r="B36" t="s">
        <v>1252</v>
      </c>
      <c r="C36" t="s">
        <v>1253</v>
      </c>
      <c r="D36" t="s">
        <v>1101</v>
      </c>
      <c r="E36">
        <v>4</v>
      </c>
      <c r="F36">
        <v>3</v>
      </c>
      <c r="G36">
        <v>9</v>
      </c>
      <c r="H36" t="s">
        <v>432</v>
      </c>
      <c r="I36" t="s">
        <v>432</v>
      </c>
      <c r="J36" t="s">
        <v>432</v>
      </c>
      <c r="K36" t="s">
        <v>432</v>
      </c>
      <c r="L36" t="s">
        <v>432</v>
      </c>
      <c r="M36" t="s">
        <v>432</v>
      </c>
      <c r="N36" t="s">
        <v>432</v>
      </c>
      <c r="O36" t="s">
        <v>432</v>
      </c>
      <c r="P36" t="s">
        <v>432</v>
      </c>
      <c r="Q36" t="s">
        <v>432</v>
      </c>
      <c r="R36" t="s">
        <v>432</v>
      </c>
      <c r="S36" t="s">
        <v>432</v>
      </c>
      <c r="T36" t="s">
        <v>432</v>
      </c>
      <c r="U36" t="s">
        <v>432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3</v>
      </c>
      <c r="AE36">
        <v>2</v>
      </c>
      <c r="AF36">
        <v>0</v>
      </c>
      <c r="AG36">
        <v>1</v>
      </c>
      <c r="AH36">
        <v>2460</v>
      </c>
      <c r="AI36" t="s">
        <v>432</v>
      </c>
      <c r="AJ36">
        <v>0</v>
      </c>
      <c r="AK36" t="s">
        <v>432</v>
      </c>
      <c r="AL36" t="s">
        <v>1254</v>
      </c>
      <c r="AM36">
        <v>0</v>
      </c>
      <c r="AN36">
        <v>0</v>
      </c>
      <c r="AO36">
        <v>0</v>
      </c>
      <c r="AP36">
        <v>0</v>
      </c>
      <c r="AQ36">
        <v>1</v>
      </c>
      <c r="AR36" t="s">
        <v>432</v>
      </c>
      <c r="AS36">
        <v>0</v>
      </c>
      <c r="AT36">
        <v>0</v>
      </c>
      <c r="AU36">
        <v>0</v>
      </c>
      <c r="AV36">
        <v>9001</v>
      </c>
      <c r="AW36">
        <v>0</v>
      </c>
      <c r="AX36">
        <f>COUNTIF('Equip Data'!A:A,A36)</f>
        <v>0</v>
      </c>
    </row>
    <row r="37" spans="1:50" hidden="1" x14ac:dyDescent="0.25">
      <c r="A37">
        <v>36</v>
      </c>
      <c r="B37" t="s">
        <v>1255</v>
      </c>
      <c r="C37" t="s">
        <v>1256</v>
      </c>
      <c r="D37" t="s">
        <v>461</v>
      </c>
      <c r="E37">
        <v>5</v>
      </c>
      <c r="F37">
        <v>3</v>
      </c>
      <c r="G37">
        <v>9</v>
      </c>
      <c r="H37" t="s">
        <v>432</v>
      </c>
      <c r="I37" t="s">
        <v>432</v>
      </c>
      <c r="J37" t="s">
        <v>432</v>
      </c>
      <c r="K37" t="s">
        <v>432</v>
      </c>
      <c r="L37" t="s">
        <v>432</v>
      </c>
      <c r="M37" t="s">
        <v>432</v>
      </c>
      <c r="N37" t="s">
        <v>432</v>
      </c>
      <c r="O37" t="s">
        <v>432</v>
      </c>
      <c r="P37" t="s">
        <v>432</v>
      </c>
      <c r="Q37" t="s">
        <v>432</v>
      </c>
      <c r="R37" t="s">
        <v>432</v>
      </c>
      <c r="S37" t="s">
        <v>432</v>
      </c>
      <c r="T37" t="s">
        <v>432</v>
      </c>
      <c r="U37" t="s">
        <v>432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4</v>
      </c>
      <c r="AE37">
        <v>3</v>
      </c>
      <c r="AF37">
        <v>0</v>
      </c>
      <c r="AG37">
        <v>2</v>
      </c>
      <c r="AH37">
        <v>3060</v>
      </c>
      <c r="AI37" t="s">
        <v>432</v>
      </c>
      <c r="AJ37">
        <v>0</v>
      </c>
      <c r="AK37" t="s">
        <v>432</v>
      </c>
      <c r="AL37" t="s">
        <v>1257</v>
      </c>
      <c r="AM37">
        <v>0</v>
      </c>
      <c r="AN37">
        <v>0</v>
      </c>
      <c r="AO37">
        <v>0</v>
      </c>
      <c r="AP37">
        <v>0</v>
      </c>
      <c r="AQ37">
        <v>1</v>
      </c>
      <c r="AR37" t="s">
        <v>432</v>
      </c>
      <c r="AS37">
        <v>0</v>
      </c>
      <c r="AT37">
        <v>0</v>
      </c>
      <c r="AU37">
        <v>0</v>
      </c>
      <c r="AV37">
        <v>9001</v>
      </c>
      <c r="AW37">
        <v>0</v>
      </c>
      <c r="AX37">
        <f>COUNTIF('Equip Data'!A:A,A37)</f>
        <v>0</v>
      </c>
    </row>
    <row r="38" spans="1:50" hidden="1" x14ac:dyDescent="0.25">
      <c r="A38">
        <v>37</v>
      </c>
      <c r="B38" t="s">
        <v>1258</v>
      </c>
      <c r="C38" t="s">
        <v>1259</v>
      </c>
      <c r="D38" t="s">
        <v>1260</v>
      </c>
      <c r="E38">
        <v>2</v>
      </c>
      <c r="F38">
        <v>3</v>
      </c>
      <c r="G38">
        <v>10</v>
      </c>
      <c r="H38" t="s">
        <v>444</v>
      </c>
      <c r="I38" t="s">
        <v>432</v>
      </c>
      <c r="J38" t="s">
        <v>462</v>
      </c>
      <c r="K38" t="s">
        <v>432</v>
      </c>
      <c r="L38" t="s">
        <v>432</v>
      </c>
      <c r="M38" t="s">
        <v>432</v>
      </c>
      <c r="N38" t="s">
        <v>432</v>
      </c>
      <c r="O38" t="s">
        <v>432</v>
      </c>
      <c r="P38" t="s">
        <v>432</v>
      </c>
      <c r="Q38" t="s">
        <v>432</v>
      </c>
      <c r="R38" t="s">
        <v>432</v>
      </c>
      <c r="S38" t="s">
        <v>432</v>
      </c>
      <c r="T38" t="s">
        <v>432</v>
      </c>
      <c r="U38" t="s">
        <v>432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0</v>
      </c>
      <c r="AF38">
        <v>0</v>
      </c>
      <c r="AG38">
        <v>1</v>
      </c>
      <c r="AH38">
        <v>720</v>
      </c>
      <c r="AI38" t="s">
        <v>1176</v>
      </c>
      <c r="AJ38">
        <v>0</v>
      </c>
      <c r="AK38" t="s">
        <v>432</v>
      </c>
      <c r="AL38" t="s">
        <v>1261</v>
      </c>
      <c r="AM38">
        <v>0</v>
      </c>
      <c r="AN38">
        <v>0</v>
      </c>
      <c r="AO38">
        <v>0</v>
      </c>
      <c r="AP38">
        <v>0</v>
      </c>
      <c r="AQ38">
        <v>1</v>
      </c>
      <c r="AR38" t="s">
        <v>432</v>
      </c>
      <c r="AS38">
        <v>0</v>
      </c>
      <c r="AT38">
        <v>0</v>
      </c>
      <c r="AU38">
        <v>0</v>
      </c>
      <c r="AV38">
        <v>10001</v>
      </c>
      <c r="AW38">
        <v>0</v>
      </c>
      <c r="AX38">
        <f>COUNTIF('Equip Data'!A:A,A38)</f>
        <v>1</v>
      </c>
    </row>
    <row r="39" spans="1:50" hidden="1" x14ac:dyDescent="0.25">
      <c r="A39">
        <v>38</v>
      </c>
      <c r="B39" t="s">
        <v>1262</v>
      </c>
      <c r="C39" t="s">
        <v>1263</v>
      </c>
      <c r="D39" t="s">
        <v>1260</v>
      </c>
      <c r="E39">
        <v>3</v>
      </c>
      <c r="F39">
        <v>3</v>
      </c>
      <c r="G39">
        <v>10</v>
      </c>
      <c r="H39" t="s">
        <v>440</v>
      </c>
      <c r="I39" t="s">
        <v>432</v>
      </c>
      <c r="J39" t="s">
        <v>463</v>
      </c>
      <c r="K39" t="s">
        <v>432</v>
      </c>
      <c r="L39" t="s">
        <v>432</v>
      </c>
      <c r="M39" t="s">
        <v>432</v>
      </c>
      <c r="N39" t="s">
        <v>432</v>
      </c>
      <c r="O39" t="s">
        <v>432</v>
      </c>
      <c r="P39" t="s">
        <v>432</v>
      </c>
      <c r="Q39" t="s">
        <v>432</v>
      </c>
      <c r="R39" t="s">
        <v>432</v>
      </c>
      <c r="S39" t="s">
        <v>432</v>
      </c>
      <c r="T39" t="s">
        <v>432</v>
      </c>
      <c r="U39" t="s">
        <v>432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2</v>
      </c>
      <c r="AE39">
        <v>1</v>
      </c>
      <c r="AF39">
        <v>0</v>
      </c>
      <c r="AG39">
        <v>2</v>
      </c>
      <c r="AH39">
        <v>1620</v>
      </c>
      <c r="AI39" t="s">
        <v>1176</v>
      </c>
      <c r="AJ39">
        <v>0</v>
      </c>
      <c r="AK39" t="s">
        <v>432</v>
      </c>
      <c r="AL39" t="s">
        <v>1264</v>
      </c>
      <c r="AM39">
        <v>0.3</v>
      </c>
      <c r="AN39">
        <v>0.23</v>
      </c>
      <c r="AO39">
        <v>0.15</v>
      </c>
      <c r="AP39">
        <v>0.38</v>
      </c>
      <c r="AQ39">
        <v>1</v>
      </c>
      <c r="AR39" t="s">
        <v>1265</v>
      </c>
      <c r="AS39">
        <v>0</v>
      </c>
      <c r="AT39">
        <v>0</v>
      </c>
      <c r="AU39">
        <v>10</v>
      </c>
      <c r="AV39">
        <v>10001</v>
      </c>
      <c r="AW39">
        <v>0</v>
      </c>
      <c r="AX39">
        <f>COUNTIF('Equip Data'!A:A,A39)</f>
        <v>1</v>
      </c>
    </row>
    <row r="40" spans="1:50" hidden="1" x14ac:dyDescent="0.25">
      <c r="A40">
        <v>39</v>
      </c>
      <c r="B40" t="s">
        <v>1266</v>
      </c>
      <c r="C40" t="s">
        <v>1267</v>
      </c>
      <c r="D40" t="s">
        <v>1260</v>
      </c>
      <c r="E40">
        <v>4</v>
      </c>
      <c r="F40">
        <v>3</v>
      </c>
      <c r="G40">
        <v>10</v>
      </c>
      <c r="H40" t="s">
        <v>464</v>
      </c>
      <c r="I40" t="s">
        <v>432</v>
      </c>
      <c r="J40" t="s">
        <v>465</v>
      </c>
      <c r="K40" t="s">
        <v>432</v>
      </c>
      <c r="L40" t="s">
        <v>432</v>
      </c>
      <c r="M40" t="s">
        <v>432</v>
      </c>
      <c r="N40" t="s">
        <v>432</v>
      </c>
      <c r="O40" t="s">
        <v>432</v>
      </c>
      <c r="P40" t="s">
        <v>432</v>
      </c>
      <c r="Q40" t="s">
        <v>432</v>
      </c>
      <c r="R40" t="s">
        <v>432</v>
      </c>
      <c r="S40" t="s">
        <v>432</v>
      </c>
      <c r="T40" t="s">
        <v>432</v>
      </c>
      <c r="U40" t="s">
        <v>432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3</v>
      </c>
      <c r="AE40">
        <v>1</v>
      </c>
      <c r="AF40">
        <v>0</v>
      </c>
      <c r="AG40">
        <v>3</v>
      </c>
      <c r="AH40">
        <v>2520</v>
      </c>
      <c r="AI40" t="s">
        <v>1176</v>
      </c>
      <c r="AJ40">
        <v>0</v>
      </c>
      <c r="AK40" t="s">
        <v>432</v>
      </c>
      <c r="AL40" t="s">
        <v>1268</v>
      </c>
      <c r="AM40">
        <v>0.3</v>
      </c>
      <c r="AN40">
        <v>0.23</v>
      </c>
      <c r="AO40">
        <v>0.15</v>
      </c>
      <c r="AP40">
        <v>0.38</v>
      </c>
      <c r="AQ40">
        <v>1</v>
      </c>
      <c r="AR40" t="s">
        <v>1265</v>
      </c>
      <c r="AS40">
        <v>0</v>
      </c>
      <c r="AT40">
        <v>0</v>
      </c>
      <c r="AU40">
        <v>10</v>
      </c>
      <c r="AV40">
        <v>10001</v>
      </c>
      <c r="AW40">
        <v>0</v>
      </c>
      <c r="AX40">
        <f>COUNTIF('Equip Data'!A:A,A40)</f>
        <v>1</v>
      </c>
    </row>
    <row r="41" spans="1:50" hidden="1" x14ac:dyDescent="0.25">
      <c r="A41">
        <v>40</v>
      </c>
      <c r="B41" t="s">
        <v>1269</v>
      </c>
      <c r="C41" t="s">
        <v>1270</v>
      </c>
      <c r="D41" t="s">
        <v>1260</v>
      </c>
      <c r="E41">
        <v>5</v>
      </c>
      <c r="F41">
        <v>3</v>
      </c>
      <c r="G41">
        <v>10</v>
      </c>
      <c r="H41" t="s">
        <v>466</v>
      </c>
      <c r="I41" t="s">
        <v>432</v>
      </c>
      <c r="J41" t="s">
        <v>467</v>
      </c>
      <c r="K41" t="s">
        <v>432</v>
      </c>
      <c r="L41" t="s">
        <v>432</v>
      </c>
      <c r="M41" t="s">
        <v>432</v>
      </c>
      <c r="N41" t="s">
        <v>432</v>
      </c>
      <c r="O41" t="s">
        <v>432</v>
      </c>
      <c r="P41" t="s">
        <v>432</v>
      </c>
      <c r="Q41" t="s">
        <v>432</v>
      </c>
      <c r="R41" t="s">
        <v>432</v>
      </c>
      <c r="S41" t="s">
        <v>432</v>
      </c>
      <c r="T41" t="s">
        <v>432</v>
      </c>
      <c r="U41" t="s">
        <v>432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4</v>
      </c>
      <c r="AE41">
        <v>2</v>
      </c>
      <c r="AF41">
        <v>0</v>
      </c>
      <c r="AG41">
        <v>4</v>
      </c>
      <c r="AH41">
        <v>3120</v>
      </c>
      <c r="AI41" t="s">
        <v>1176</v>
      </c>
      <c r="AJ41">
        <v>0</v>
      </c>
      <c r="AK41" t="s">
        <v>432</v>
      </c>
      <c r="AL41" t="s">
        <v>1271</v>
      </c>
      <c r="AM41">
        <v>0.3</v>
      </c>
      <c r="AN41">
        <v>0.23</v>
      </c>
      <c r="AO41">
        <v>0.15</v>
      </c>
      <c r="AP41">
        <v>0.38</v>
      </c>
      <c r="AQ41">
        <v>1</v>
      </c>
      <c r="AR41" t="s">
        <v>1265</v>
      </c>
      <c r="AS41">
        <v>0</v>
      </c>
      <c r="AT41">
        <v>0</v>
      </c>
      <c r="AU41">
        <v>10</v>
      </c>
      <c r="AV41">
        <v>10001</v>
      </c>
      <c r="AW41">
        <v>0</v>
      </c>
      <c r="AX41">
        <f>COUNTIF('Equip Data'!A:A,A41)</f>
        <v>1</v>
      </c>
    </row>
    <row r="42" spans="1:50" hidden="1" x14ac:dyDescent="0.25">
      <c r="A42">
        <v>42</v>
      </c>
      <c r="B42" t="s">
        <v>1272</v>
      </c>
      <c r="C42" t="s">
        <v>1273</v>
      </c>
      <c r="D42" t="s">
        <v>1274</v>
      </c>
      <c r="E42">
        <v>3</v>
      </c>
      <c r="F42">
        <v>3</v>
      </c>
      <c r="G42">
        <v>11</v>
      </c>
      <c r="H42" t="s">
        <v>432</v>
      </c>
      <c r="I42" t="s">
        <v>432</v>
      </c>
      <c r="J42" t="s">
        <v>434</v>
      </c>
      <c r="K42" t="s">
        <v>432</v>
      </c>
      <c r="L42" t="s">
        <v>432</v>
      </c>
      <c r="M42" t="s">
        <v>432</v>
      </c>
      <c r="N42" t="s">
        <v>432</v>
      </c>
      <c r="O42" t="s">
        <v>432</v>
      </c>
      <c r="P42" t="s">
        <v>468</v>
      </c>
      <c r="Q42" t="s">
        <v>432</v>
      </c>
      <c r="R42" t="s">
        <v>432</v>
      </c>
      <c r="S42" t="s">
        <v>432</v>
      </c>
      <c r="T42" t="s">
        <v>432</v>
      </c>
      <c r="U42" t="s">
        <v>432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2</v>
      </c>
      <c r="AG42">
        <v>2</v>
      </c>
      <c r="AH42">
        <v>1560</v>
      </c>
      <c r="AI42" t="s">
        <v>1176</v>
      </c>
      <c r="AJ42">
        <v>0</v>
      </c>
      <c r="AK42" t="s">
        <v>432</v>
      </c>
      <c r="AL42" t="s">
        <v>1275</v>
      </c>
      <c r="AM42">
        <v>0.23</v>
      </c>
      <c r="AN42">
        <v>0.23</v>
      </c>
      <c r="AO42">
        <v>0.33</v>
      </c>
      <c r="AP42">
        <v>0.33</v>
      </c>
      <c r="AQ42">
        <v>1</v>
      </c>
      <c r="AR42" t="s">
        <v>1276</v>
      </c>
      <c r="AS42">
        <v>0</v>
      </c>
      <c r="AT42">
        <v>0</v>
      </c>
      <c r="AU42">
        <v>10</v>
      </c>
      <c r="AV42">
        <v>11001</v>
      </c>
      <c r="AW42">
        <v>0</v>
      </c>
      <c r="AX42">
        <f>COUNTIF('Equip Data'!A:A,A42)</f>
        <v>1</v>
      </c>
    </row>
    <row r="43" spans="1:50" hidden="1" x14ac:dyDescent="0.25">
      <c r="A43">
        <v>43</v>
      </c>
      <c r="B43" t="s">
        <v>1277</v>
      </c>
      <c r="C43" t="s">
        <v>1278</v>
      </c>
      <c r="D43" t="s">
        <v>1274</v>
      </c>
      <c r="E43">
        <v>4</v>
      </c>
      <c r="F43">
        <v>3</v>
      </c>
      <c r="G43">
        <v>11</v>
      </c>
      <c r="H43" t="s">
        <v>432</v>
      </c>
      <c r="I43" t="s">
        <v>432</v>
      </c>
      <c r="J43" t="s">
        <v>434</v>
      </c>
      <c r="K43" t="s">
        <v>432</v>
      </c>
      <c r="L43" t="s">
        <v>432</v>
      </c>
      <c r="M43" t="s">
        <v>432</v>
      </c>
      <c r="N43" t="s">
        <v>432</v>
      </c>
      <c r="O43" t="s">
        <v>432</v>
      </c>
      <c r="P43" t="s">
        <v>469</v>
      </c>
      <c r="Q43" t="s">
        <v>432</v>
      </c>
      <c r="R43" t="s">
        <v>432</v>
      </c>
      <c r="S43" t="s">
        <v>432</v>
      </c>
      <c r="T43" t="s">
        <v>432</v>
      </c>
      <c r="U43" t="s">
        <v>432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1</v>
      </c>
      <c r="AF43">
        <v>2</v>
      </c>
      <c r="AG43">
        <v>2</v>
      </c>
      <c r="AH43">
        <v>2460</v>
      </c>
      <c r="AI43" t="s">
        <v>1176</v>
      </c>
      <c r="AJ43">
        <v>0</v>
      </c>
      <c r="AK43" t="s">
        <v>432</v>
      </c>
      <c r="AL43" t="s">
        <v>1279</v>
      </c>
      <c r="AM43">
        <v>0.23</v>
      </c>
      <c r="AN43">
        <v>0.23</v>
      </c>
      <c r="AO43">
        <v>0.33</v>
      </c>
      <c r="AP43">
        <v>0.33</v>
      </c>
      <c r="AQ43">
        <v>1</v>
      </c>
      <c r="AR43" t="s">
        <v>1276</v>
      </c>
      <c r="AS43">
        <v>0</v>
      </c>
      <c r="AT43">
        <v>0</v>
      </c>
      <c r="AU43">
        <v>10</v>
      </c>
      <c r="AV43">
        <v>11001</v>
      </c>
      <c r="AW43">
        <v>0</v>
      </c>
      <c r="AX43">
        <f>COUNTIF('Equip Data'!A:A,A43)</f>
        <v>1</v>
      </c>
    </row>
    <row r="44" spans="1:50" hidden="1" x14ac:dyDescent="0.25">
      <c r="A44">
        <v>44</v>
      </c>
      <c r="B44" t="s">
        <v>1280</v>
      </c>
      <c r="C44" t="s">
        <v>1281</v>
      </c>
      <c r="D44" t="s">
        <v>1274</v>
      </c>
      <c r="E44">
        <v>5</v>
      </c>
      <c r="F44">
        <v>3</v>
      </c>
      <c r="G44">
        <v>11</v>
      </c>
      <c r="H44" t="s">
        <v>432</v>
      </c>
      <c r="I44" t="s">
        <v>432</v>
      </c>
      <c r="J44" t="s">
        <v>470</v>
      </c>
      <c r="K44" t="s">
        <v>432</v>
      </c>
      <c r="L44" t="s">
        <v>432</v>
      </c>
      <c r="M44" t="s">
        <v>432</v>
      </c>
      <c r="N44" t="s">
        <v>432</v>
      </c>
      <c r="O44" t="s">
        <v>432</v>
      </c>
      <c r="P44" t="s">
        <v>462</v>
      </c>
      <c r="Q44" t="s">
        <v>432</v>
      </c>
      <c r="R44" t="s">
        <v>432</v>
      </c>
      <c r="S44" t="s">
        <v>432</v>
      </c>
      <c r="T44" t="s">
        <v>432</v>
      </c>
      <c r="U44" t="s">
        <v>432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2</v>
      </c>
      <c r="AE44">
        <v>2</v>
      </c>
      <c r="AF44">
        <v>3</v>
      </c>
      <c r="AG44">
        <v>3</v>
      </c>
      <c r="AH44">
        <v>3060</v>
      </c>
      <c r="AI44" t="s">
        <v>1176</v>
      </c>
      <c r="AJ44">
        <v>0</v>
      </c>
      <c r="AK44" t="s">
        <v>432</v>
      </c>
      <c r="AL44" t="s">
        <v>1282</v>
      </c>
      <c r="AM44">
        <v>0.23</v>
      </c>
      <c r="AN44">
        <v>0.23</v>
      </c>
      <c r="AO44">
        <v>0.33</v>
      </c>
      <c r="AP44">
        <v>0.33</v>
      </c>
      <c r="AQ44">
        <v>1</v>
      </c>
      <c r="AR44" t="s">
        <v>1276</v>
      </c>
      <c r="AS44">
        <v>0</v>
      </c>
      <c r="AT44">
        <v>0</v>
      </c>
      <c r="AU44">
        <v>10</v>
      </c>
      <c r="AV44">
        <v>11001</v>
      </c>
      <c r="AW44">
        <v>0</v>
      </c>
      <c r="AX44">
        <f>COUNTIF('Equip Data'!A:A,A44)</f>
        <v>1</v>
      </c>
    </row>
    <row r="45" spans="1:50" hidden="1" x14ac:dyDescent="0.25">
      <c r="A45">
        <v>45</v>
      </c>
      <c r="B45" t="s">
        <v>1283</v>
      </c>
      <c r="C45" t="s">
        <v>1284</v>
      </c>
      <c r="D45" t="s">
        <v>1285</v>
      </c>
      <c r="E45">
        <v>2</v>
      </c>
      <c r="F45">
        <v>3</v>
      </c>
      <c r="G45">
        <v>12</v>
      </c>
      <c r="H45" t="s">
        <v>432</v>
      </c>
      <c r="I45" t="s">
        <v>432</v>
      </c>
      <c r="J45" t="s">
        <v>432</v>
      </c>
      <c r="K45" t="s">
        <v>432</v>
      </c>
      <c r="L45" t="s">
        <v>432</v>
      </c>
      <c r="M45" t="s">
        <v>432</v>
      </c>
      <c r="N45" t="s">
        <v>432</v>
      </c>
      <c r="O45" t="s">
        <v>432</v>
      </c>
      <c r="P45" t="s">
        <v>432</v>
      </c>
      <c r="Q45" t="s">
        <v>432</v>
      </c>
      <c r="R45" t="s">
        <v>432</v>
      </c>
      <c r="S45" t="s">
        <v>432</v>
      </c>
      <c r="T45" t="s">
        <v>432</v>
      </c>
      <c r="U45" t="s">
        <v>432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2</v>
      </c>
      <c r="AE45">
        <v>0</v>
      </c>
      <c r="AF45">
        <v>0</v>
      </c>
      <c r="AG45">
        <v>1</v>
      </c>
      <c r="AH45">
        <v>1200</v>
      </c>
      <c r="AI45" t="s">
        <v>432</v>
      </c>
      <c r="AJ45">
        <v>0</v>
      </c>
      <c r="AK45" t="s">
        <v>432</v>
      </c>
      <c r="AL45" t="s">
        <v>1286</v>
      </c>
      <c r="AM45">
        <v>0</v>
      </c>
      <c r="AN45">
        <v>0</v>
      </c>
      <c r="AO45">
        <v>0</v>
      </c>
      <c r="AP45">
        <v>0</v>
      </c>
      <c r="AQ45">
        <v>1</v>
      </c>
      <c r="AR45" t="s">
        <v>432</v>
      </c>
      <c r="AS45">
        <v>0</v>
      </c>
      <c r="AT45">
        <v>0</v>
      </c>
      <c r="AU45">
        <v>0</v>
      </c>
      <c r="AV45">
        <v>12001</v>
      </c>
      <c r="AW45">
        <v>0</v>
      </c>
      <c r="AX45">
        <f>COUNTIF('Equip Data'!A:A,A45)</f>
        <v>0</v>
      </c>
    </row>
    <row r="46" spans="1:50" hidden="1" x14ac:dyDescent="0.25">
      <c r="A46">
        <v>46</v>
      </c>
      <c r="B46" t="s">
        <v>1287</v>
      </c>
      <c r="C46" t="s">
        <v>1288</v>
      </c>
      <c r="D46" t="s">
        <v>471</v>
      </c>
      <c r="E46">
        <v>3</v>
      </c>
      <c r="F46">
        <v>3</v>
      </c>
      <c r="G46">
        <v>12</v>
      </c>
      <c r="H46" t="s">
        <v>432</v>
      </c>
      <c r="I46" t="s">
        <v>432</v>
      </c>
      <c r="J46" t="s">
        <v>432</v>
      </c>
      <c r="K46" t="s">
        <v>432</v>
      </c>
      <c r="L46" t="s">
        <v>432</v>
      </c>
      <c r="M46" t="s">
        <v>432</v>
      </c>
      <c r="N46" t="s">
        <v>432</v>
      </c>
      <c r="O46" t="s">
        <v>432</v>
      </c>
      <c r="P46" t="s">
        <v>432</v>
      </c>
      <c r="Q46" t="s">
        <v>432</v>
      </c>
      <c r="R46" t="s">
        <v>432</v>
      </c>
      <c r="S46" t="s">
        <v>432</v>
      </c>
      <c r="T46" t="s">
        <v>432</v>
      </c>
      <c r="U46" t="s">
        <v>432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3</v>
      </c>
      <c r="AE46">
        <v>0</v>
      </c>
      <c r="AF46">
        <v>0</v>
      </c>
      <c r="AG46">
        <v>1</v>
      </c>
      <c r="AH46">
        <v>2100</v>
      </c>
      <c r="AI46" t="s">
        <v>432</v>
      </c>
      <c r="AJ46">
        <v>0</v>
      </c>
      <c r="AK46" t="s">
        <v>432</v>
      </c>
      <c r="AL46" t="s">
        <v>1289</v>
      </c>
      <c r="AM46">
        <v>0</v>
      </c>
      <c r="AN46">
        <v>0</v>
      </c>
      <c r="AO46">
        <v>0</v>
      </c>
      <c r="AP46">
        <v>0</v>
      </c>
      <c r="AQ46">
        <v>1</v>
      </c>
      <c r="AR46" t="s">
        <v>432</v>
      </c>
      <c r="AS46">
        <v>0</v>
      </c>
      <c r="AT46">
        <v>0</v>
      </c>
      <c r="AU46">
        <v>0</v>
      </c>
      <c r="AV46">
        <v>12001</v>
      </c>
      <c r="AW46">
        <v>0</v>
      </c>
      <c r="AX46">
        <f>COUNTIF('Equip Data'!A:A,A46)</f>
        <v>0</v>
      </c>
    </row>
    <row r="47" spans="1:50" hidden="1" x14ac:dyDescent="0.25">
      <c r="A47">
        <v>47</v>
      </c>
      <c r="B47" t="s">
        <v>1290</v>
      </c>
      <c r="C47" t="s">
        <v>1291</v>
      </c>
      <c r="D47" t="s">
        <v>1292</v>
      </c>
      <c r="E47">
        <v>4</v>
      </c>
      <c r="F47">
        <v>3</v>
      </c>
      <c r="G47">
        <v>12</v>
      </c>
      <c r="H47" t="s">
        <v>432</v>
      </c>
      <c r="I47" t="s">
        <v>432</v>
      </c>
      <c r="J47" t="s">
        <v>432</v>
      </c>
      <c r="K47" t="s">
        <v>432</v>
      </c>
      <c r="L47" t="s">
        <v>432</v>
      </c>
      <c r="M47" t="s">
        <v>432</v>
      </c>
      <c r="N47" t="s">
        <v>432</v>
      </c>
      <c r="O47" t="s">
        <v>432</v>
      </c>
      <c r="P47" t="s">
        <v>432</v>
      </c>
      <c r="Q47" t="s">
        <v>432</v>
      </c>
      <c r="R47" t="s">
        <v>432</v>
      </c>
      <c r="S47" t="s">
        <v>432</v>
      </c>
      <c r="T47" t="s">
        <v>432</v>
      </c>
      <c r="U47" t="s">
        <v>432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4</v>
      </c>
      <c r="AE47">
        <v>1</v>
      </c>
      <c r="AF47">
        <v>1</v>
      </c>
      <c r="AG47">
        <v>2</v>
      </c>
      <c r="AH47">
        <v>3000</v>
      </c>
      <c r="AI47" t="s">
        <v>432</v>
      </c>
      <c r="AJ47">
        <v>0</v>
      </c>
      <c r="AK47" t="s">
        <v>432</v>
      </c>
      <c r="AL47" t="s">
        <v>1293</v>
      </c>
      <c r="AM47">
        <v>0</v>
      </c>
      <c r="AN47">
        <v>0</v>
      </c>
      <c r="AO47">
        <v>0</v>
      </c>
      <c r="AP47">
        <v>0</v>
      </c>
      <c r="AQ47">
        <v>1</v>
      </c>
      <c r="AR47" t="s">
        <v>432</v>
      </c>
      <c r="AS47">
        <v>0</v>
      </c>
      <c r="AT47">
        <v>0</v>
      </c>
      <c r="AU47">
        <v>0</v>
      </c>
      <c r="AV47">
        <v>12001</v>
      </c>
      <c r="AW47">
        <v>0</v>
      </c>
      <c r="AX47">
        <f>COUNTIF('Equip Data'!A:A,A47)</f>
        <v>0</v>
      </c>
    </row>
    <row r="48" spans="1:50" hidden="1" x14ac:dyDescent="0.25">
      <c r="A48">
        <v>48</v>
      </c>
      <c r="B48" t="s">
        <v>1294</v>
      </c>
      <c r="C48" t="s">
        <v>1295</v>
      </c>
      <c r="D48" t="s">
        <v>1080</v>
      </c>
      <c r="E48">
        <v>5</v>
      </c>
      <c r="F48">
        <v>3</v>
      </c>
      <c r="G48">
        <v>12</v>
      </c>
      <c r="H48" t="s">
        <v>432</v>
      </c>
      <c r="I48" t="s">
        <v>432</v>
      </c>
      <c r="J48" t="s">
        <v>432</v>
      </c>
      <c r="K48" t="s">
        <v>432</v>
      </c>
      <c r="L48" t="s">
        <v>432</v>
      </c>
      <c r="M48" t="s">
        <v>432</v>
      </c>
      <c r="N48" t="s">
        <v>432</v>
      </c>
      <c r="O48" t="s">
        <v>432</v>
      </c>
      <c r="P48" t="s">
        <v>432</v>
      </c>
      <c r="Q48" t="s">
        <v>432</v>
      </c>
      <c r="R48" t="s">
        <v>432</v>
      </c>
      <c r="S48" t="s">
        <v>432</v>
      </c>
      <c r="T48" t="s">
        <v>432</v>
      </c>
      <c r="U48" t="s">
        <v>432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5</v>
      </c>
      <c r="AE48">
        <v>1</v>
      </c>
      <c r="AF48">
        <v>1</v>
      </c>
      <c r="AG48">
        <v>3</v>
      </c>
      <c r="AH48">
        <v>3600</v>
      </c>
      <c r="AI48" t="s">
        <v>432</v>
      </c>
      <c r="AJ48">
        <v>0</v>
      </c>
      <c r="AK48" t="s">
        <v>432</v>
      </c>
      <c r="AL48" t="s">
        <v>1296</v>
      </c>
      <c r="AM48">
        <v>0</v>
      </c>
      <c r="AN48">
        <v>0</v>
      </c>
      <c r="AO48">
        <v>0</v>
      </c>
      <c r="AP48">
        <v>0</v>
      </c>
      <c r="AQ48">
        <v>1</v>
      </c>
      <c r="AR48" t="s">
        <v>432</v>
      </c>
      <c r="AS48">
        <v>0</v>
      </c>
      <c r="AT48">
        <v>0</v>
      </c>
      <c r="AU48">
        <v>0</v>
      </c>
      <c r="AV48">
        <v>12001</v>
      </c>
      <c r="AW48">
        <v>0</v>
      </c>
      <c r="AX48">
        <f>COUNTIF('Equip Data'!A:A,A48)</f>
        <v>0</v>
      </c>
    </row>
    <row r="49" spans="1:50" hidden="1" x14ac:dyDescent="0.25">
      <c r="A49">
        <v>49</v>
      </c>
      <c r="B49" t="s">
        <v>1297</v>
      </c>
      <c r="C49" t="s">
        <v>1298</v>
      </c>
      <c r="D49" t="s">
        <v>1299</v>
      </c>
      <c r="E49">
        <v>5</v>
      </c>
      <c r="F49">
        <v>1</v>
      </c>
      <c r="G49">
        <v>4</v>
      </c>
      <c r="H49" t="s">
        <v>432</v>
      </c>
      <c r="I49" t="s">
        <v>432</v>
      </c>
      <c r="J49" t="s">
        <v>432</v>
      </c>
      <c r="K49" t="s">
        <v>432</v>
      </c>
      <c r="L49" t="s">
        <v>432</v>
      </c>
      <c r="M49" t="s">
        <v>432</v>
      </c>
      <c r="N49" t="s">
        <v>432</v>
      </c>
      <c r="O49" t="s">
        <v>432</v>
      </c>
      <c r="P49" t="s">
        <v>432</v>
      </c>
      <c r="Q49" t="s">
        <v>432</v>
      </c>
      <c r="R49" t="s">
        <v>432</v>
      </c>
      <c r="S49" t="s">
        <v>432</v>
      </c>
      <c r="T49" t="s">
        <v>472</v>
      </c>
      <c r="U49" t="s">
        <v>432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3</v>
      </c>
      <c r="AE49">
        <v>0</v>
      </c>
      <c r="AF49">
        <v>4</v>
      </c>
      <c r="AG49">
        <v>2</v>
      </c>
      <c r="AH49">
        <v>3120</v>
      </c>
      <c r="AI49" t="s">
        <v>1300</v>
      </c>
      <c r="AJ49">
        <v>0</v>
      </c>
      <c r="AK49" t="s">
        <v>432</v>
      </c>
      <c r="AL49" t="s">
        <v>1301</v>
      </c>
      <c r="AM49">
        <v>0</v>
      </c>
      <c r="AN49">
        <v>0</v>
      </c>
      <c r="AO49">
        <v>0</v>
      </c>
      <c r="AP49">
        <v>0</v>
      </c>
      <c r="AQ49">
        <v>1</v>
      </c>
      <c r="AR49" t="s">
        <v>432</v>
      </c>
      <c r="AS49">
        <v>0</v>
      </c>
      <c r="AT49">
        <v>0</v>
      </c>
      <c r="AU49">
        <v>0</v>
      </c>
      <c r="AV49">
        <v>4001</v>
      </c>
      <c r="AW49">
        <v>0</v>
      </c>
      <c r="AX49">
        <f>COUNTIF('Equip Data'!A:A,A49)</f>
        <v>0</v>
      </c>
    </row>
    <row r="50" spans="1:50" hidden="1" x14ac:dyDescent="0.25">
      <c r="A50">
        <v>50</v>
      </c>
      <c r="B50" t="s">
        <v>1302</v>
      </c>
      <c r="C50" t="s">
        <v>1303</v>
      </c>
      <c r="D50" t="s">
        <v>1305</v>
      </c>
      <c r="E50">
        <v>5</v>
      </c>
      <c r="F50">
        <v>2</v>
      </c>
      <c r="G50">
        <v>5</v>
      </c>
      <c r="H50" t="s">
        <v>432</v>
      </c>
      <c r="I50" t="s">
        <v>432</v>
      </c>
      <c r="J50" t="s">
        <v>432</v>
      </c>
      <c r="K50" t="s">
        <v>432</v>
      </c>
      <c r="L50" t="s">
        <v>432</v>
      </c>
      <c r="M50" t="s">
        <v>432</v>
      </c>
      <c r="N50" t="s">
        <v>432</v>
      </c>
      <c r="O50" t="s">
        <v>1304</v>
      </c>
      <c r="P50" t="s">
        <v>432</v>
      </c>
      <c r="Q50" t="s">
        <v>432</v>
      </c>
      <c r="R50" t="s">
        <v>432</v>
      </c>
      <c r="S50" t="s">
        <v>432</v>
      </c>
      <c r="T50" t="s">
        <v>432</v>
      </c>
      <c r="U50" t="s">
        <v>432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4</v>
      </c>
      <c r="AF50">
        <v>2</v>
      </c>
      <c r="AG50">
        <v>3</v>
      </c>
      <c r="AH50">
        <v>3420</v>
      </c>
      <c r="AI50" t="s">
        <v>1300</v>
      </c>
      <c r="AJ50">
        <v>0</v>
      </c>
      <c r="AK50" t="s">
        <v>432</v>
      </c>
      <c r="AL50" t="s">
        <v>1306</v>
      </c>
      <c r="AM50">
        <v>0.08</v>
      </c>
      <c r="AN50">
        <v>0.55000000000000004</v>
      </c>
      <c r="AO50">
        <v>0.3</v>
      </c>
      <c r="AP50">
        <v>0.3</v>
      </c>
      <c r="AQ50">
        <v>1</v>
      </c>
      <c r="AR50" t="s">
        <v>1194</v>
      </c>
      <c r="AS50">
        <v>0</v>
      </c>
      <c r="AT50">
        <v>0</v>
      </c>
      <c r="AU50">
        <v>10</v>
      </c>
      <c r="AV50">
        <v>5001</v>
      </c>
      <c r="AW50">
        <v>0</v>
      </c>
      <c r="AX50">
        <f>COUNTIF('Equip Data'!A:A,A50)</f>
        <v>0</v>
      </c>
    </row>
    <row r="51" spans="1:50" hidden="1" x14ac:dyDescent="0.25">
      <c r="A51">
        <v>51</v>
      </c>
      <c r="B51" t="s">
        <v>1307</v>
      </c>
      <c r="C51" t="s">
        <v>1308</v>
      </c>
      <c r="D51" t="s">
        <v>1090</v>
      </c>
      <c r="E51">
        <v>2</v>
      </c>
      <c r="F51">
        <v>2</v>
      </c>
      <c r="G51">
        <v>5</v>
      </c>
      <c r="H51" t="s">
        <v>473</v>
      </c>
      <c r="I51" t="s">
        <v>432</v>
      </c>
      <c r="J51" t="s">
        <v>432</v>
      </c>
      <c r="K51" t="s">
        <v>432</v>
      </c>
      <c r="L51" t="s">
        <v>432</v>
      </c>
      <c r="M51" t="s">
        <v>432</v>
      </c>
      <c r="N51" t="s">
        <v>432</v>
      </c>
      <c r="O51" t="s">
        <v>1309</v>
      </c>
      <c r="P51" t="s">
        <v>432</v>
      </c>
      <c r="Q51" t="s">
        <v>432</v>
      </c>
      <c r="R51" t="s">
        <v>432</v>
      </c>
      <c r="S51" t="s">
        <v>432</v>
      </c>
      <c r="T51" t="s">
        <v>432</v>
      </c>
      <c r="U51" t="s">
        <v>432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2</v>
      </c>
      <c r="AF51">
        <v>0</v>
      </c>
      <c r="AG51">
        <v>0</v>
      </c>
      <c r="AH51">
        <v>960</v>
      </c>
      <c r="AI51" t="s">
        <v>1176</v>
      </c>
      <c r="AJ51">
        <v>0</v>
      </c>
      <c r="AK51" t="s">
        <v>432</v>
      </c>
      <c r="AL51" t="s">
        <v>1310</v>
      </c>
      <c r="AM51">
        <v>0</v>
      </c>
      <c r="AN51">
        <v>0</v>
      </c>
      <c r="AO51">
        <v>0</v>
      </c>
      <c r="AP51">
        <v>0</v>
      </c>
      <c r="AQ51">
        <v>1</v>
      </c>
      <c r="AR51" t="s">
        <v>432</v>
      </c>
      <c r="AS51">
        <v>0</v>
      </c>
      <c r="AT51">
        <v>0</v>
      </c>
      <c r="AU51">
        <v>0</v>
      </c>
      <c r="AV51">
        <v>5002</v>
      </c>
      <c r="AW51">
        <v>0</v>
      </c>
      <c r="AX51">
        <f>COUNTIF('Equip Data'!A:A,A51)</f>
        <v>0</v>
      </c>
    </row>
    <row r="52" spans="1:50" hidden="1" x14ac:dyDescent="0.25">
      <c r="A52">
        <v>52</v>
      </c>
      <c r="B52" t="s">
        <v>1311</v>
      </c>
      <c r="C52" t="s">
        <v>1312</v>
      </c>
      <c r="D52" t="s">
        <v>474</v>
      </c>
      <c r="E52">
        <v>3</v>
      </c>
      <c r="F52">
        <v>2</v>
      </c>
      <c r="G52">
        <v>5</v>
      </c>
      <c r="H52" t="s">
        <v>1313</v>
      </c>
      <c r="I52" t="s">
        <v>432</v>
      </c>
      <c r="J52" t="s">
        <v>432</v>
      </c>
      <c r="K52" t="s">
        <v>432</v>
      </c>
      <c r="L52" t="s">
        <v>432</v>
      </c>
      <c r="M52" t="s">
        <v>432</v>
      </c>
      <c r="N52" t="s">
        <v>432</v>
      </c>
      <c r="O52" t="s">
        <v>1314</v>
      </c>
      <c r="P52" t="s">
        <v>432</v>
      </c>
      <c r="Q52" t="s">
        <v>432</v>
      </c>
      <c r="R52" t="s">
        <v>432</v>
      </c>
      <c r="S52" t="s">
        <v>432</v>
      </c>
      <c r="T52" t="s">
        <v>432</v>
      </c>
      <c r="U52" t="s">
        <v>432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2</v>
      </c>
      <c r="AF52">
        <v>0</v>
      </c>
      <c r="AG52">
        <v>1</v>
      </c>
      <c r="AH52">
        <v>1860</v>
      </c>
      <c r="AI52" t="s">
        <v>1176</v>
      </c>
      <c r="AJ52">
        <v>0</v>
      </c>
      <c r="AK52" t="s">
        <v>432</v>
      </c>
      <c r="AL52" t="s">
        <v>1315</v>
      </c>
      <c r="AM52">
        <v>0</v>
      </c>
      <c r="AN52">
        <v>0</v>
      </c>
      <c r="AO52">
        <v>0</v>
      </c>
      <c r="AP52">
        <v>0</v>
      </c>
      <c r="AQ52">
        <v>1</v>
      </c>
      <c r="AR52" t="s">
        <v>432</v>
      </c>
      <c r="AS52">
        <v>0</v>
      </c>
      <c r="AT52">
        <v>0</v>
      </c>
      <c r="AU52">
        <v>0</v>
      </c>
      <c r="AV52">
        <v>5002</v>
      </c>
      <c r="AW52">
        <v>0</v>
      </c>
      <c r="AX52">
        <f>COUNTIF('Equip Data'!A:A,A52)</f>
        <v>0</v>
      </c>
    </row>
    <row r="53" spans="1:50" hidden="1" x14ac:dyDescent="0.25">
      <c r="A53">
        <v>53</v>
      </c>
      <c r="B53" t="s">
        <v>1316</v>
      </c>
      <c r="C53" t="s">
        <v>1317</v>
      </c>
      <c r="D53" t="s">
        <v>1095</v>
      </c>
      <c r="E53">
        <v>4</v>
      </c>
      <c r="F53">
        <v>2</v>
      </c>
      <c r="G53">
        <v>5</v>
      </c>
      <c r="H53" t="s">
        <v>1318</v>
      </c>
      <c r="I53" t="s">
        <v>432</v>
      </c>
      <c r="J53" t="s">
        <v>432</v>
      </c>
      <c r="K53" t="s">
        <v>432</v>
      </c>
      <c r="L53" t="s">
        <v>432</v>
      </c>
      <c r="M53" t="s">
        <v>432</v>
      </c>
      <c r="N53" t="s">
        <v>432</v>
      </c>
      <c r="O53" t="s">
        <v>1319</v>
      </c>
      <c r="P53" t="s">
        <v>432</v>
      </c>
      <c r="Q53" t="s">
        <v>432</v>
      </c>
      <c r="R53" t="s">
        <v>432</v>
      </c>
      <c r="S53" t="s">
        <v>432</v>
      </c>
      <c r="T53" t="s">
        <v>432</v>
      </c>
      <c r="U53" t="s">
        <v>432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3</v>
      </c>
      <c r="AF53">
        <v>1</v>
      </c>
      <c r="AG53">
        <v>2</v>
      </c>
      <c r="AH53">
        <v>2760</v>
      </c>
      <c r="AI53" t="s">
        <v>1176</v>
      </c>
      <c r="AJ53">
        <v>0</v>
      </c>
      <c r="AK53" t="s">
        <v>432</v>
      </c>
      <c r="AL53" t="s">
        <v>1320</v>
      </c>
      <c r="AM53">
        <v>0</v>
      </c>
      <c r="AN53">
        <v>0</v>
      </c>
      <c r="AO53">
        <v>0</v>
      </c>
      <c r="AP53">
        <v>0</v>
      </c>
      <c r="AQ53">
        <v>1</v>
      </c>
      <c r="AR53" t="s">
        <v>432</v>
      </c>
      <c r="AS53">
        <v>0</v>
      </c>
      <c r="AT53">
        <v>0</v>
      </c>
      <c r="AU53">
        <v>0</v>
      </c>
      <c r="AV53">
        <v>5002</v>
      </c>
      <c r="AW53">
        <v>0</v>
      </c>
      <c r="AX53">
        <f>COUNTIF('Equip Data'!A:A,A53)</f>
        <v>0</v>
      </c>
    </row>
    <row r="54" spans="1:50" hidden="1" x14ac:dyDescent="0.25">
      <c r="A54">
        <v>54</v>
      </c>
      <c r="B54" t="s">
        <v>1321</v>
      </c>
      <c r="C54" t="s">
        <v>1322</v>
      </c>
      <c r="D54" t="s">
        <v>475</v>
      </c>
      <c r="E54">
        <v>5</v>
      </c>
      <c r="F54">
        <v>2</v>
      </c>
      <c r="G54">
        <v>5</v>
      </c>
      <c r="H54" t="s">
        <v>1323</v>
      </c>
      <c r="I54" t="s">
        <v>432</v>
      </c>
      <c r="J54" t="s">
        <v>432</v>
      </c>
      <c r="K54" t="s">
        <v>432</v>
      </c>
      <c r="L54" t="s">
        <v>432</v>
      </c>
      <c r="M54" t="s">
        <v>432</v>
      </c>
      <c r="N54" t="s">
        <v>432</v>
      </c>
      <c r="O54" t="s">
        <v>1324</v>
      </c>
      <c r="P54" t="s">
        <v>432</v>
      </c>
      <c r="Q54" t="s">
        <v>432</v>
      </c>
      <c r="R54" t="s">
        <v>432</v>
      </c>
      <c r="S54" t="s">
        <v>432</v>
      </c>
      <c r="T54" t="s">
        <v>432</v>
      </c>
      <c r="U54" t="s">
        <v>432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4</v>
      </c>
      <c r="AF54">
        <v>2</v>
      </c>
      <c r="AG54">
        <v>3</v>
      </c>
      <c r="AH54">
        <v>3360</v>
      </c>
      <c r="AI54" t="s">
        <v>1176</v>
      </c>
      <c r="AJ54">
        <v>0</v>
      </c>
      <c r="AK54" t="s">
        <v>432</v>
      </c>
      <c r="AL54" t="s">
        <v>1325</v>
      </c>
      <c r="AM54">
        <v>0</v>
      </c>
      <c r="AN54">
        <v>0</v>
      </c>
      <c r="AO54">
        <v>0</v>
      </c>
      <c r="AP54">
        <v>0</v>
      </c>
      <c r="AQ54">
        <v>1</v>
      </c>
      <c r="AR54" t="s">
        <v>432</v>
      </c>
      <c r="AS54">
        <v>0</v>
      </c>
      <c r="AT54">
        <v>0</v>
      </c>
      <c r="AU54">
        <v>0</v>
      </c>
      <c r="AV54">
        <v>5002</v>
      </c>
      <c r="AW54">
        <v>0</v>
      </c>
      <c r="AX54">
        <f>COUNTIF('Equip Data'!A:A,A54)</f>
        <v>0</v>
      </c>
    </row>
    <row r="55" spans="1:50" hidden="1" x14ac:dyDescent="0.25">
      <c r="A55">
        <v>55</v>
      </c>
      <c r="B55" t="s">
        <v>1326</v>
      </c>
      <c r="C55" t="s">
        <v>1327</v>
      </c>
      <c r="D55" t="s">
        <v>1328</v>
      </c>
      <c r="E55">
        <v>2</v>
      </c>
      <c r="F55">
        <v>3</v>
      </c>
      <c r="G55">
        <v>10</v>
      </c>
      <c r="H55" t="s">
        <v>432</v>
      </c>
      <c r="I55" t="s">
        <v>432</v>
      </c>
      <c r="J55" t="s">
        <v>438</v>
      </c>
      <c r="K55" t="s">
        <v>432</v>
      </c>
      <c r="L55" t="s">
        <v>432</v>
      </c>
      <c r="M55" t="s">
        <v>432</v>
      </c>
      <c r="N55" t="s">
        <v>432</v>
      </c>
      <c r="O55" t="s">
        <v>432</v>
      </c>
      <c r="P55" t="s">
        <v>432</v>
      </c>
      <c r="Q55" t="s">
        <v>432</v>
      </c>
      <c r="R55" t="s">
        <v>432</v>
      </c>
      <c r="S55" t="s">
        <v>432</v>
      </c>
      <c r="T55" t="s">
        <v>432</v>
      </c>
      <c r="U55" t="s">
        <v>432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0</v>
      </c>
      <c r="AF55">
        <v>0</v>
      </c>
      <c r="AG55">
        <v>1</v>
      </c>
      <c r="AH55">
        <v>720</v>
      </c>
      <c r="AI55" t="s">
        <v>1176</v>
      </c>
      <c r="AJ55">
        <v>0</v>
      </c>
      <c r="AK55" t="s">
        <v>432</v>
      </c>
      <c r="AL55" t="s">
        <v>1329</v>
      </c>
      <c r="AM55">
        <v>0</v>
      </c>
      <c r="AN55">
        <v>0</v>
      </c>
      <c r="AO55">
        <v>0</v>
      </c>
      <c r="AP55">
        <v>0</v>
      </c>
      <c r="AQ55">
        <v>1</v>
      </c>
      <c r="AR55" t="s">
        <v>432</v>
      </c>
      <c r="AS55">
        <v>0</v>
      </c>
      <c r="AT55">
        <v>0</v>
      </c>
      <c r="AU55">
        <v>0</v>
      </c>
      <c r="AV55">
        <v>10002</v>
      </c>
      <c r="AW55">
        <v>0</v>
      </c>
      <c r="AX55">
        <f>COUNTIF('Equip Data'!A:A,A55)</f>
        <v>1</v>
      </c>
    </row>
    <row r="56" spans="1:50" hidden="1" x14ac:dyDescent="0.25">
      <c r="A56">
        <v>56</v>
      </c>
      <c r="B56" t="s">
        <v>1330</v>
      </c>
      <c r="C56" t="s">
        <v>1331</v>
      </c>
      <c r="D56" t="s">
        <v>1328</v>
      </c>
      <c r="E56">
        <v>3</v>
      </c>
      <c r="F56">
        <v>3</v>
      </c>
      <c r="G56">
        <v>10</v>
      </c>
      <c r="H56" t="s">
        <v>432</v>
      </c>
      <c r="I56" t="s">
        <v>432</v>
      </c>
      <c r="J56" t="s">
        <v>469</v>
      </c>
      <c r="K56" t="s">
        <v>432</v>
      </c>
      <c r="L56" t="s">
        <v>432</v>
      </c>
      <c r="M56" t="s">
        <v>432</v>
      </c>
      <c r="N56" t="s">
        <v>432</v>
      </c>
      <c r="O56" t="s">
        <v>432</v>
      </c>
      <c r="P56" t="s">
        <v>432</v>
      </c>
      <c r="Q56" t="s">
        <v>432</v>
      </c>
      <c r="R56" t="s">
        <v>432</v>
      </c>
      <c r="S56" t="s">
        <v>432</v>
      </c>
      <c r="T56" t="s">
        <v>432</v>
      </c>
      <c r="U56" t="s">
        <v>432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2</v>
      </c>
      <c r="AE56">
        <v>1</v>
      </c>
      <c r="AF56">
        <v>0</v>
      </c>
      <c r="AG56">
        <v>2</v>
      </c>
      <c r="AH56">
        <v>1620</v>
      </c>
      <c r="AI56" t="s">
        <v>1176</v>
      </c>
      <c r="AJ56">
        <v>0</v>
      </c>
      <c r="AK56" t="s">
        <v>432</v>
      </c>
      <c r="AL56" t="s">
        <v>1332</v>
      </c>
      <c r="AM56">
        <v>0.3</v>
      </c>
      <c r="AN56">
        <v>0.25</v>
      </c>
      <c r="AO56">
        <v>0.12</v>
      </c>
      <c r="AP56">
        <v>0.38</v>
      </c>
      <c r="AQ56">
        <v>1</v>
      </c>
      <c r="AR56" t="s">
        <v>1333</v>
      </c>
      <c r="AS56">
        <v>0</v>
      </c>
      <c r="AT56">
        <v>0</v>
      </c>
      <c r="AU56">
        <v>10</v>
      </c>
      <c r="AV56">
        <v>10002</v>
      </c>
      <c r="AW56">
        <v>0</v>
      </c>
      <c r="AX56">
        <f>COUNTIF('Equip Data'!A:A,A56)</f>
        <v>1</v>
      </c>
    </row>
    <row r="57" spans="1:50" hidden="1" x14ac:dyDescent="0.25">
      <c r="A57">
        <v>57</v>
      </c>
      <c r="B57" t="s">
        <v>1334</v>
      </c>
      <c r="C57" t="s">
        <v>1335</v>
      </c>
      <c r="D57" t="s">
        <v>1328</v>
      </c>
      <c r="E57">
        <v>4</v>
      </c>
      <c r="F57">
        <v>3</v>
      </c>
      <c r="G57">
        <v>10</v>
      </c>
      <c r="H57" t="s">
        <v>432</v>
      </c>
      <c r="I57" t="s">
        <v>432</v>
      </c>
      <c r="J57" t="s">
        <v>476</v>
      </c>
      <c r="K57" t="s">
        <v>432</v>
      </c>
      <c r="L57" t="s">
        <v>432</v>
      </c>
      <c r="M57" t="s">
        <v>432</v>
      </c>
      <c r="N57" t="s">
        <v>432</v>
      </c>
      <c r="O57" t="s">
        <v>432</v>
      </c>
      <c r="P57" t="s">
        <v>432</v>
      </c>
      <c r="Q57" t="s">
        <v>432</v>
      </c>
      <c r="R57" t="s">
        <v>432</v>
      </c>
      <c r="S57" t="s">
        <v>432</v>
      </c>
      <c r="T57" t="s">
        <v>432</v>
      </c>
      <c r="U57" t="s">
        <v>432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3</v>
      </c>
      <c r="AE57">
        <v>1</v>
      </c>
      <c r="AF57">
        <v>0</v>
      </c>
      <c r="AG57">
        <v>3</v>
      </c>
      <c r="AH57">
        <v>2520</v>
      </c>
      <c r="AI57" t="s">
        <v>1176</v>
      </c>
      <c r="AJ57">
        <v>0</v>
      </c>
      <c r="AK57" t="s">
        <v>432</v>
      </c>
      <c r="AL57" t="s">
        <v>1336</v>
      </c>
      <c r="AM57">
        <v>0.3</v>
      </c>
      <c r="AN57">
        <v>0.25</v>
      </c>
      <c r="AO57">
        <v>0.12</v>
      </c>
      <c r="AP57">
        <v>0.38</v>
      </c>
      <c r="AQ57">
        <v>1</v>
      </c>
      <c r="AR57" t="s">
        <v>1337</v>
      </c>
      <c r="AS57">
        <v>0</v>
      </c>
      <c r="AT57">
        <v>0</v>
      </c>
      <c r="AU57">
        <v>10</v>
      </c>
      <c r="AV57">
        <v>10002</v>
      </c>
      <c r="AW57">
        <v>0</v>
      </c>
      <c r="AX57">
        <f>COUNTIF('Equip Data'!A:A,A57)</f>
        <v>1</v>
      </c>
    </row>
    <row r="58" spans="1:50" hidden="1" x14ac:dyDescent="0.25">
      <c r="A58">
        <v>58</v>
      </c>
      <c r="B58" t="s">
        <v>1338</v>
      </c>
      <c r="C58" t="s">
        <v>1339</v>
      </c>
      <c r="D58" t="s">
        <v>1328</v>
      </c>
      <c r="E58">
        <v>5</v>
      </c>
      <c r="F58">
        <v>3</v>
      </c>
      <c r="G58">
        <v>10</v>
      </c>
      <c r="H58" t="s">
        <v>432</v>
      </c>
      <c r="I58" t="s">
        <v>432</v>
      </c>
      <c r="J58" t="s">
        <v>460</v>
      </c>
      <c r="K58" t="s">
        <v>432</v>
      </c>
      <c r="L58" t="s">
        <v>432</v>
      </c>
      <c r="M58" t="s">
        <v>432</v>
      </c>
      <c r="N58" t="s">
        <v>432</v>
      </c>
      <c r="O58" t="s">
        <v>432</v>
      </c>
      <c r="P58" t="s">
        <v>432</v>
      </c>
      <c r="Q58" t="s">
        <v>432</v>
      </c>
      <c r="R58" t="s">
        <v>432</v>
      </c>
      <c r="S58" t="s">
        <v>432</v>
      </c>
      <c r="T58" t="s">
        <v>432</v>
      </c>
      <c r="U58" t="s">
        <v>432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4</v>
      </c>
      <c r="AE58">
        <v>2</v>
      </c>
      <c r="AF58">
        <v>0</v>
      </c>
      <c r="AG58">
        <v>4</v>
      </c>
      <c r="AH58">
        <v>3120</v>
      </c>
      <c r="AI58" t="s">
        <v>1176</v>
      </c>
      <c r="AJ58">
        <v>0</v>
      </c>
      <c r="AK58" t="s">
        <v>432</v>
      </c>
      <c r="AL58" t="s">
        <v>1340</v>
      </c>
      <c r="AM58">
        <v>0.3</v>
      </c>
      <c r="AN58">
        <v>0.25</v>
      </c>
      <c r="AO58">
        <v>0.12</v>
      </c>
      <c r="AP58">
        <v>0.38</v>
      </c>
      <c r="AQ58">
        <v>1</v>
      </c>
      <c r="AR58" t="s">
        <v>1341</v>
      </c>
      <c r="AS58">
        <v>0</v>
      </c>
      <c r="AT58">
        <v>0</v>
      </c>
      <c r="AU58">
        <v>10</v>
      </c>
      <c r="AV58">
        <v>10002</v>
      </c>
      <c r="AW58">
        <v>0</v>
      </c>
      <c r="AX58">
        <f>COUNTIF('Equip Data'!A:A,A58)</f>
        <v>1</v>
      </c>
    </row>
    <row r="59" spans="1:50" hidden="1" x14ac:dyDescent="0.25">
      <c r="A59">
        <v>59</v>
      </c>
      <c r="B59" t="s">
        <v>1342</v>
      </c>
      <c r="C59" t="s">
        <v>1343</v>
      </c>
      <c r="D59" t="s">
        <v>1344</v>
      </c>
      <c r="E59">
        <v>5</v>
      </c>
      <c r="F59">
        <v>2</v>
      </c>
      <c r="G59">
        <v>5</v>
      </c>
      <c r="H59" t="s">
        <v>432</v>
      </c>
      <c r="I59" t="s">
        <v>432</v>
      </c>
      <c r="J59" t="s">
        <v>432</v>
      </c>
      <c r="K59" t="s">
        <v>432</v>
      </c>
      <c r="L59" t="s">
        <v>477</v>
      </c>
      <c r="M59" t="s">
        <v>432</v>
      </c>
      <c r="N59" t="s">
        <v>432</v>
      </c>
      <c r="O59" t="s">
        <v>478</v>
      </c>
      <c r="P59" t="s">
        <v>432</v>
      </c>
      <c r="Q59" t="s">
        <v>432</v>
      </c>
      <c r="R59" t="s">
        <v>432</v>
      </c>
      <c r="S59" t="s">
        <v>432</v>
      </c>
      <c r="T59" t="s">
        <v>432</v>
      </c>
      <c r="U59" t="s">
        <v>432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4</v>
      </c>
      <c r="AF59">
        <v>2</v>
      </c>
      <c r="AG59">
        <v>3</v>
      </c>
      <c r="AH59">
        <v>3420</v>
      </c>
      <c r="AI59" t="s">
        <v>1345</v>
      </c>
      <c r="AJ59">
        <v>0</v>
      </c>
      <c r="AK59" t="s">
        <v>461</v>
      </c>
      <c r="AL59" t="s">
        <v>1346</v>
      </c>
      <c r="AM59">
        <v>0.08</v>
      </c>
      <c r="AN59">
        <v>0.55000000000000004</v>
      </c>
      <c r="AO59">
        <v>0.3</v>
      </c>
      <c r="AP59">
        <v>0.3</v>
      </c>
      <c r="AQ59">
        <v>3</v>
      </c>
      <c r="AR59" t="s">
        <v>1347</v>
      </c>
      <c r="AS59">
        <v>0</v>
      </c>
      <c r="AT59">
        <v>0</v>
      </c>
      <c r="AU59">
        <v>10</v>
      </c>
      <c r="AV59">
        <v>5003</v>
      </c>
      <c r="AW59">
        <v>0</v>
      </c>
      <c r="AX59">
        <f>COUNTIF('Equip Data'!A:A,A59)</f>
        <v>1</v>
      </c>
    </row>
    <row r="60" spans="1:50" hidden="1" x14ac:dyDescent="0.25">
      <c r="A60">
        <v>60</v>
      </c>
      <c r="B60" t="s">
        <v>1348</v>
      </c>
      <c r="C60" t="s">
        <v>1349</v>
      </c>
      <c r="D60" t="s">
        <v>1350</v>
      </c>
      <c r="E60">
        <v>5</v>
      </c>
      <c r="F60">
        <v>2</v>
      </c>
      <c r="G60">
        <v>8</v>
      </c>
      <c r="H60" t="s">
        <v>479</v>
      </c>
      <c r="I60" t="s">
        <v>480</v>
      </c>
      <c r="J60" t="s">
        <v>432</v>
      </c>
      <c r="K60" t="s">
        <v>432</v>
      </c>
      <c r="L60" t="s">
        <v>432</v>
      </c>
      <c r="M60" t="s">
        <v>432</v>
      </c>
      <c r="N60" t="s">
        <v>432</v>
      </c>
      <c r="O60" t="s">
        <v>432</v>
      </c>
      <c r="P60" t="s">
        <v>432</v>
      </c>
      <c r="Q60" t="s">
        <v>432</v>
      </c>
      <c r="R60" t="s">
        <v>432</v>
      </c>
      <c r="S60" t="s">
        <v>432</v>
      </c>
      <c r="T60" t="s">
        <v>432</v>
      </c>
      <c r="U60" t="s">
        <v>432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5</v>
      </c>
      <c r="AF60">
        <v>3</v>
      </c>
      <c r="AG60">
        <v>2</v>
      </c>
      <c r="AH60">
        <v>3420</v>
      </c>
      <c r="AI60" t="s">
        <v>1300</v>
      </c>
      <c r="AJ60">
        <v>0</v>
      </c>
      <c r="AK60" t="s">
        <v>481</v>
      </c>
      <c r="AL60" t="s">
        <v>1351</v>
      </c>
      <c r="AM60">
        <v>0.15</v>
      </c>
      <c r="AN60">
        <v>0.6</v>
      </c>
      <c r="AO60">
        <v>0.38</v>
      </c>
      <c r="AP60">
        <v>0.23</v>
      </c>
      <c r="AQ60">
        <v>3</v>
      </c>
      <c r="AR60" t="s">
        <v>1352</v>
      </c>
      <c r="AS60">
        <v>0</v>
      </c>
      <c r="AT60">
        <v>0</v>
      </c>
      <c r="AU60">
        <v>10</v>
      </c>
      <c r="AV60">
        <v>8002</v>
      </c>
      <c r="AW60">
        <v>0</v>
      </c>
      <c r="AX60">
        <f>COUNTIF('Equip Data'!A:A,A60)</f>
        <v>1</v>
      </c>
    </row>
    <row r="61" spans="1:50" hidden="1" x14ac:dyDescent="0.25">
      <c r="A61">
        <v>61</v>
      </c>
      <c r="B61" t="s">
        <v>1353</v>
      </c>
      <c r="C61" t="s">
        <v>1354</v>
      </c>
      <c r="D61" t="s">
        <v>1355</v>
      </c>
      <c r="E61">
        <v>5</v>
      </c>
      <c r="F61">
        <v>3</v>
      </c>
      <c r="G61">
        <v>14</v>
      </c>
      <c r="H61" t="s">
        <v>482</v>
      </c>
      <c r="I61" t="s">
        <v>432</v>
      </c>
      <c r="J61" t="s">
        <v>432</v>
      </c>
      <c r="K61" t="s">
        <v>432</v>
      </c>
      <c r="L61" t="s">
        <v>483</v>
      </c>
      <c r="M61" t="s">
        <v>432</v>
      </c>
      <c r="N61" t="s">
        <v>432</v>
      </c>
      <c r="O61" t="s">
        <v>432</v>
      </c>
      <c r="P61" t="s">
        <v>432</v>
      </c>
      <c r="Q61" t="s">
        <v>432</v>
      </c>
      <c r="R61" t="s">
        <v>432</v>
      </c>
      <c r="S61" t="s">
        <v>432</v>
      </c>
      <c r="T61" t="s">
        <v>432</v>
      </c>
      <c r="U61" t="s">
        <v>458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5</v>
      </c>
      <c r="AF61">
        <v>3</v>
      </c>
      <c r="AG61">
        <v>2</v>
      </c>
      <c r="AH61">
        <v>3420</v>
      </c>
      <c r="AI61" t="s">
        <v>1300</v>
      </c>
      <c r="AJ61">
        <v>0</v>
      </c>
      <c r="AK61" t="s">
        <v>484</v>
      </c>
      <c r="AL61" t="s">
        <v>1356</v>
      </c>
      <c r="AM61">
        <v>0.1</v>
      </c>
      <c r="AN61">
        <v>0.1</v>
      </c>
      <c r="AO61">
        <v>0.1</v>
      </c>
      <c r="AP61">
        <v>0.55000000000000004</v>
      </c>
      <c r="AQ61">
        <v>3</v>
      </c>
      <c r="AR61" t="s">
        <v>1357</v>
      </c>
      <c r="AS61">
        <v>0</v>
      </c>
      <c r="AT61">
        <v>0</v>
      </c>
      <c r="AU61">
        <v>10</v>
      </c>
      <c r="AV61">
        <v>9002</v>
      </c>
      <c r="AW61">
        <v>0</v>
      </c>
      <c r="AX61">
        <f>COUNTIF('Equip Data'!A:A,A61)</f>
        <v>1</v>
      </c>
    </row>
    <row r="62" spans="1:50" hidden="1" x14ac:dyDescent="0.25">
      <c r="A62">
        <v>62</v>
      </c>
      <c r="B62" t="s">
        <v>1358</v>
      </c>
      <c r="C62" t="s">
        <v>1359</v>
      </c>
      <c r="D62" t="s">
        <v>1360</v>
      </c>
      <c r="E62">
        <v>5</v>
      </c>
      <c r="F62">
        <v>3</v>
      </c>
      <c r="G62">
        <v>10</v>
      </c>
      <c r="H62" t="s">
        <v>485</v>
      </c>
      <c r="I62" t="s">
        <v>432</v>
      </c>
      <c r="J62" t="s">
        <v>486</v>
      </c>
      <c r="K62" t="s">
        <v>432</v>
      </c>
      <c r="L62" t="s">
        <v>432</v>
      </c>
      <c r="M62" t="s">
        <v>432</v>
      </c>
      <c r="N62" t="s">
        <v>432</v>
      </c>
      <c r="O62" t="s">
        <v>432</v>
      </c>
      <c r="P62" t="s">
        <v>432</v>
      </c>
      <c r="Q62" t="s">
        <v>432</v>
      </c>
      <c r="R62" t="s">
        <v>432</v>
      </c>
      <c r="S62" t="s">
        <v>432</v>
      </c>
      <c r="T62" t="s">
        <v>432</v>
      </c>
      <c r="U62" t="s">
        <v>432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4</v>
      </c>
      <c r="AE62">
        <v>2</v>
      </c>
      <c r="AF62">
        <v>0</v>
      </c>
      <c r="AG62">
        <v>4</v>
      </c>
      <c r="AH62">
        <v>3120</v>
      </c>
      <c r="AI62" t="s">
        <v>1300</v>
      </c>
      <c r="AJ62">
        <v>0</v>
      </c>
      <c r="AK62" t="s">
        <v>487</v>
      </c>
      <c r="AL62" t="s">
        <v>1361</v>
      </c>
      <c r="AM62">
        <v>0.3</v>
      </c>
      <c r="AN62">
        <v>0.25</v>
      </c>
      <c r="AO62">
        <v>0.12</v>
      </c>
      <c r="AP62">
        <v>0.38</v>
      </c>
      <c r="AQ62">
        <v>3</v>
      </c>
      <c r="AR62" t="s">
        <v>1362</v>
      </c>
      <c r="AS62">
        <v>0</v>
      </c>
      <c r="AT62">
        <v>0</v>
      </c>
      <c r="AU62">
        <v>10</v>
      </c>
      <c r="AV62">
        <v>10003</v>
      </c>
      <c r="AW62">
        <v>0</v>
      </c>
      <c r="AX62">
        <f>COUNTIF('Equip Data'!A:A,A62)</f>
        <v>1</v>
      </c>
    </row>
    <row r="63" spans="1:50" hidden="1" x14ac:dyDescent="0.25">
      <c r="A63">
        <v>63</v>
      </c>
      <c r="B63" t="s">
        <v>1363</v>
      </c>
      <c r="C63" t="s">
        <v>1364</v>
      </c>
      <c r="D63" t="s">
        <v>1365</v>
      </c>
      <c r="E63">
        <v>2</v>
      </c>
      <c r="F63">
        <v>1</v>
      </c>
      <c r="G63">
        <v>13</v>
      </c>
      <c r="H63" t="s">
        <v>432</v>
      </c>
      <c r="I63" t="s">
        <v>432</v>
      </c>
      <c r="J63" t="s">
        <v>436</v>
      </c>
      <c r="K63" t="s">
        <v>432</v>
      </c>
      <c r="L63" t="s">
        <v>432</v>
      </c>
      <c r="M63" t="s">
        <v>432</v>
      </c>
      <c r="N63" t="s">
        <v>469</v>
      </c>
      <c r="O63" t="s">
        <v>432</v>
      </c>
      <c r="P63" t="s">
        <v>432</v>
      </c>
      <c r="Q63" t="s">
        <v>432</v>
      </c>
      <c r="R63" t="s">
        <v>432</v>
      </c>
      <c r="S63" t="s">
        <v>432</v>
      </c>
      <c r="T63" t="s">
        <v>432</v>
      </c>
      <c r="U63" t="s">
        <v>432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2</v>
      </c>
      <c r="AE63">
        <v>0</v>
      </c>
      <c r="AF63">
        <v>0</v>
      </c>
      <c r="AG63">
        <v>0</v>
      </c>
      <c r="AH63">
        <v>420</v>
      </c>
      <c r="AI63" t="s">
        <v>1366</v>
      </c>
      <c r="AJ63">
        <v>0</v>
      </c>
      <c r="AK63" t="s">
        <v>432</v>
      </c>
      <c r="AL63" t="s">
        <v>1367</v>
      </c>
      <c r="AM63">
        <v>0</v>
      </c>
      <c r="AN63">
        <v>0</v>
      </c>
      <c r="AO63">
        <v>0</v>
      </c>
      <c r="AP63">
        <v>0</v>
      </c>
      <c r="AQ63">
        <v>1</v>
      </c>
      <c r="AR63" t="s">
        <v>432</v>
      </c>
      <c r="AS63">
        <v>0</v>
      </c>
      <c r="AT63">
        <v>0</v>
      </c>
      <c r="AU63">
        <v>0</v>
      </c>
      <c r="AV63">
        <v>13001</v>
      </c>
      <c r="AW63">
        <v>0</v>
      </c>
      <c r="AX63">
        <f>COUNTIF('Equip Data'!A:A,A63)</f>
        <v>1</v>
      </c>
    </row>
    <row r="64" spans="1:50" hidden="1" x14ac:dyDescent="0.25">
      <c r="A64">
        <v>64</v>
      </c>
      <c r="B64" t="s">
        <v>1368</v>
      </c>
      <c r="C64" t="s">
        <v>1369</v>
      </c>
      <c r="D64" t="s">
        <v>1365</v>
      </c>
      <c r="E64">
        <v>3</v>
      </c>
      <c r="F64">
        <v>1</v>
      </c>
      <c r="G64">
        <v>13</v>
      </c>
      <c r="H64" t="s">
        <v>432</v>
      </c>
      <c r="I64" t="s">
        <v>432</v>
      </c>
      <c r="J64" t="s">
        <v>468</v>
      </c>
      <c r="K64" t="s">
        <v>432</v>
      </c>
      <c r="L64" t="s">
        <v>432</v>
      </c>
      <c r="M64" t="s">
        <v>432</v>
      </c>
      <c r="N64" t="s">
        <v>462</v>
      </c>
      <c r="O64" t="s">
        <v>432</v>
      </c>
      <c r="P64" t="s">
        <v>432</v>
      </c>
      <c r="Q64" t="s">
        <v>432</v>
      </c>
      <c r="R64" t="s">
        <v>432</v>
      </c>
      <c r="S64" t="s">
        <v>432</v>
      </c>
      <c r="T64" t="s">
        <v>432</v>
      </c>
      <c r="U64" t="s">
        <v>432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3</v>
      </c>
      <c r="AE64">
        <v>0</v>
      </c>
      <c r="AF64">
        <v>0</v>
      </c>
      <c r="AG64">
        <v>0</v>
      </c>
      <c r="AH64">
        <v>1320</v>
      </c>
      <c r="AI64" t="s">
        <v>1366</v>
      </c>
      <c r="AJ64">
        <v>0</v>
      </c>
      <c r="AK64" t="s">
        <v>432</v>
      </c>
      <c r="AL64" t="s">
        <v>1370</v>
      </c>
      <c r="AM64">
        <v>0.55000000000000004</v>
      </c>
      <c r="AN64">
        <v>0.23</v>
      </c>
      <c r="AO64">
        <v>0.23</v>
      </c>
      <c r="AP64">
        <v>0.23</v>
      </c>
      <c r="AQ64">
        <v>1</v>
      </c>
      <c r="AR64" t="s">
        <v>1371</v>
      </c>
      <c r="AS64">
        <v>0</v>
      </c>
      <c r="AT64">
        <v>0</v>
      </c>
      <c r="AU64">
        <v>10</v>
      </c>
      <c r="AV64">
        <v>13001</v>
      </c>
      <c r="AW64">
        <v>0</v>
      </c>
      <c r="AX64">
        <f>COUNTIF('Equip Data'!A:A,A64)</f>
        <v>1</v>
      </c>
    </row>
    <row r="65" spans="1:50" hidden="1" x14ac:dyDescent="0.25">
      <c r="A65">
        <v>65</v>
      </c>
      <c r="B65" t="s">
        <v>1372</v>
      </c>
      <c r="C65" t="s">
        <v>1373</v>
      </c>
      <c r="D65" t="s">
        <v>1365</v>
      </c>
      <c r="E65">
        <v>4</v>
      </c>
      <c r="F65">
        <v>1</v>
      </c>
      <c r="G65">
        <v>13</v>
      </c>
      <c r="H65" t="s">
        <v>432</v>
      </c>
      <c r="I65" t="s">
        <v>432</v>
      </c>
      <c r="J65" t="s">
        <v>469</v>
      </c>
      <c r="K65" t="s">
        <v>432</v>
      </c>
      <c r="L65" t="s">
        <v>432</v>
      </c>
      <c r="M65" t="s">
        <v>432</v>
      </c>
      <c r="N65" t="s">
        <v>488</v>
      </c>
      <c r="O65" t="s">
        <v>432</v>
      </c>
      <c r="P65" t="s">
        <v>432</v>
      </c>
      <c r="Q65" t="s">
        <v>432</v>
      </c>
      <c r="R65" t="s">
        <v>432</v>
      </c>
      <c r="S65" t="s">
        <v>432</v>
      </c>
      <c r="T65" t="s">
        <v>432</v>
      </c>
      <c r="U65" t="s">
        <v>432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3</v>
      </c>
      <c r="AE65">
        <v>1</v>
      </c>
      <c r="AF65">
        <v>1</v>
      </c>
      <c r="AG65">
        <v>1</v>
      </c>
      <c r="AH65">
        <v>2220</v>
      </c>
      <c r="AI65" t="s">
        <v>1366</v>
      </c>
      <c r="AJ65">
        <v>0</v>
      </c>
      <c r="AK65" t="s">
        <v>432</v>
      </c>
      <c r="AL65" t="s">
        <v>1374</v>
      </c>
      <c r="AM65">
        <v>0.55000000000000004</v>
      </c>
      <c r="AN65">
        <v>0.23</v>
      </c>
      <c r="AO65">
        <v>0.23</v>
      </c>
      <c r="AP65">
        <v>0.23</v>
      </c>
      <c r="AQ65">
        <v>1</v>
      </c>
      <c r="AR65" t="s">
        <v>1371</v>
      </c>
      <c r="AS65">
        <v>0</v>
      </c>
      <c r="AT65">
        <v>0</v>
      </c>
      <c r="AU65">
        <v>10</v>
      </c>
      <c r="AV65">
        <v>13001</v>
      </c>
      <c r="AW65">
        <v>0</v>
      </c>
      <c r="AX65">
        <f>COUNTIF('Equip Data'!A:A,A65)</f>
        <v>1</v>
      </c>
    </row>
    <row r="66" spans="1:50" hidden="1" x14ac:dyDescent="0.25">
      <c r="A66">
        <v>66</v>
      </c>
      <c r="B66" t="s">
        <v>1375</v>
      </c>
      <c r="C66" t="s">
        <v>1376</v>
      </c>
      <c r="D66" t="s">
        <v>1365</v>
      </c>
      <c r="E66">
        <v>5</v>
      </c>
      <c r="F66">
        <v>1</v>
      </c>
      <c r="G66">
        <v>13</v>
      </c>
      <c r="H66" t="s">
        <v>432</v>
      </c>
      <c r="I66" t="s">
        <v>432</v>
      </c>
      <c r="J66" t="s">
        <v>462</v>
      </c>
      <c r="K66" t="s">
        <v>432</v>
      </c>
      <c r="L66" t="s">
        <v>432</v>
      </c>
      <c r="M66" t="s">
        <v>432</v>
      </c>
      <c r="N66" t="s">
        <v>489</v>
      </c>
      <c r="O66" t="s">
        <v>432</v>
      </c>
      <c r="P66" t="s">
        <v>432</v>
      </c>
      <c r="Q66" t="s">
        <v>432</v>
      </c>
      <c r="R66" t="s">
        <v>432</v>
      </c>
      <c r="S66" t="s">
        <v>432</v>
      </c>
      <c r="T66" t="s">
        <v>432</v>
      </c>
      <c r="U66" t="s">
        <v>432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4</v>
      </c>
      <c r="AE66">
        <v>2</v>
      </c>
      <c r="AF66">
        <v>2</v>
      </c>
      <c r="AG66">
        <v>2</v>
      </c>
      <c r="AH66">
        <v>2820</v>
      </c>
      <c r="AI66" t="s">
        <v>1366</v>
      </c>
      <c r="AJ66">
        <v>0</v>
      </c>
      <c r="AK66" t="s">
        <v>432</v>
      </c>
      <c r="AL66" t="s">
        <v>1377</v>
      </c>
      <c r="AM66">
        <v>0.55000000000000004</v>
      </c>
      <c r="AN66">
        <v>0.23</v>
      </c>
      <c r="AO66">
        <v>0.23</v>
      </c>
      <c r="AP66">
        <v>0.23</v>
      </c>
      <c r="AQ66">
        <v>1</v>
      </c>
      <c r="AR66" t="s">
        <v>1378</v>
      </c>
      <c r="AS66">
        <v>0</v>
      </c>
      <c r="AT66">
        <v>0</v>
      </c>
      <c r="AU66">
        <v>10</v>
      </c>
      <c r="AV66">
        <v>13001</v>
      </c>
      <c r="AW66">
        <v>0</v>
      </c>
      <c r="AX66">
        <f>COUNTIF('Equip Data'!A:A,A66)</f>
        <v>1</v>
      </c>
    </row>
    <row r="67" spans="1:50" hidden="1" x14ac:dyDescent="0.25">
      <c r="A67">
        <v>67</v>
      </c>
      <c r="B67" t="s">
        <v>1379</v>
      </c>
      <c r="C67" t="s">
        <v>1380</v>
      </c>
      <c r="D67" t="s">
        <v>1381</v>
      </c>
      <c r="E67">
        <v>4</v>
      </c>
      <c r="F67">
        <v>3</v>
      </c>
      <c r="G67">
        <v>14</v>
      </c>
      <c r="H67" t="s">
        <v>432</v>
      </c>
      <c r="I67" t="s">
        <v>432</v>
      </c>
      <c r="J67" t="s">
        <v>434</v>
      </c>
      <c r="K67" t="s">
        <v>432</v>
      </c>
      <c r="L67" t="s">
        <v>432</v>
      </c>
      <c r="M67" t="s">
        <v>432</v>
      </c>
      <c r="N67" t="s">
        <v>432</v>
      </c>
      <c r="O67" t="s">
        <v>432</v>
      </c>
      <c r="P67" t="s">
        <v>432</v>
      </c>
      <c r="Q67" t="s">
        <v>432</v>
      </c>
      <c r="R67" t="s">
        <v>432</v>
      </c>
      <c r="S67" t="s">
        <v>432</v>
      </c>
      <c r="T67" t="s">
        <v>432</v>
      </c>
      <c r="U67" t="s">
        <v>433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4</v>
      </c>
      <c r="AH67">
        <v>2820</v>
      </c>
      <c r="AI67" t="s">
        <v>1176</v>
      </c>
      <c r="AJ67">
        <v>0</v>
      </c>
      <c r="AK67" t="s">
        <v>432</v>
      </c>
      <c r="AL67" t="s">
        <v>1382</v>
      </c>
      <c r="AM67">
        <v>0.1</v>
      </c>
      <c r="AN67">
        <v>0.1</v>
      </c>
      <c r="AO67">
        <v>0.1</v>
      </c>
      <c r="AP67">
        <v>0.55000000000000004</v>
      </c>
      <c r="AQ67">
        <v>1</v>
      </c>
      <c r="AR67" t="s">
        <v>1383</v>
      </c>
      <c r="AS67">
        <v>0</v>
      </c>
      <c r="AT67">
        <v>0</v>
      </c>
      <c r="AU67">
        <v>10</v>
      </c>
      <c r="AV67">
        <v>14001</v>
      </c>
      <c r="AW67">
        <v>0</v>
      </c>
      <c r="AX67">
        <f>COUNTIF('Equip Data'!A:A,A67)</f>
        <v>1</v>
      </c>
    </row>
    <row r="68" spans="1:50" hidden="1" x14ac:dyDescent="0.25">
      <c r="A68">
        <v>68</v>
      </c>
      <c r="B68" t="s">
        <v>1384</v>
      </c>
      <c r="C68" t="s">
        <v>1385</v>
      </c>
      <c r="D68" t="s">
        <v>1381</v>
      </c>
      <c r="E68">
        <v>5</v>
      </c>
      <c r="F68">
        <v>3</v>
      </c>
      <c r="G68">
        <v>14</v>
      </c>
      <c r="H68" t="s">
        <v>432</v>
      </c>
      <c r="I68" t="s">
        <v>432</v>
      </c>
      <c r="J68" t="s">
        <v>470</v>
      </c>
      <c r="K68" t="s">
        <v>432</v>
      </c>
      <c r="L68" t="s">
        <v>432</v>
      </c>
      <c r="M68" t="s">
        <v>432</v>
      </c>
      <c r="N68" t="s">
        <v>432</v>
      </c>
      <c r="O68" t="s">
        <v>432</v>
      </c>
      <c r="P68" t="s">
        <v>432</v>
      </c>
      <c r="Q68" t="s">
        <v>432</v>
      </c>
      <c r="R68" t="s">
        <v>432</v>
      </c>
      <c r="S68" t="s">
        <v>432</v>
      </c>
      <c r="T68" t="s">
        <v>432</v>
      </c>
      <c r="U68" t="s">
        <v>438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1</v>
      </c>
      <c r="AF68">
        <v>1</v>
      </c>
      <c r="AG68">
        <v>5</v>
      </c>
      <c r="AH68">
        <v>3420</v>
      </c>
      <c r="AI68" t="s">
        <v>1176</v>
      </c>
      <c r="AJ68">
        <v>0</v>
      </c>
      <c r="AK68" t="s">
        <v>432</v>
      </c>
      <c r="AL68" t="s">
        <v>1386</v>
      </c>
      <c r="AM68">
        <v>0.1</v>
      </c>
      <c r="AN68">
        <v>0.1</v>
      </c>
      <c r="AO68">
        <v>0.1</v>
      </c>
      <c r="AP68">
        <v>0.55000000000000004</v>
      </c>
      <c r="AQ68">
        <v>1</v>
      </c>
      <c r="AR68" t="s">
        <v>1387</v>
      </c>
      <c r="AS68">
        <v>0</v>
      </c>
      <c r="AT68">
        <v>0</v>
      </c>
      <c r="AU68">
        <v>10</v>
      </c>
      <c r="AV68">
        <v>14001</v>
      </c>
      <c r="AW68">
        <v>0</v>
      </c>
      <c r="AX68">
        <f>COUNTIF('Equip Data'!A:A,A68)</f>
        <v>1</v>
      </c>
    </row>
    <row r="69" spans="1:50" hidden="1" x14ac:dyDescent="0.25">
      <c r="A69">
        <v>69</v>
      </c>
      <c r="B69" t="s">
        <v>1388</v>
      </c>
      <c r="C69" t="s">
        <v>1389</v>
      </c>
      <c r="D69" t="s">
        <v>1390</v>
      </c>
      <c r="E69">
        <v>2</v>
      </c>
      <c r="F69">
        <v>2</v>
      </c>
      <c r="G69">
        <v>6</v>
      </c>
      <c r="H69" t="s">
        <v>433</v>
      </c>
      <c r="I69" t="s">
        <v>432</v>
      </c>
      <c r="J69" t="s">
        <v>432</v>
      </c>
      <c r="K69" t="s">
        <v>432</v>
      </c>
      <c r="L69" t="s">
        <v>432</v>
      </c>
      <c r="M69" t="s">
        <v>432</v>
      </c>
      <c r="N69" t="s">
        <v>432</v>
      </c>
      <c r="O69" t="s">
        <v>434</v>
      </c>
      <c r="P69" t="s">
        <v>432</v>
      </c>
      <c r="Q69" t="s">
        <v>432</v>
      </c>
      <c r="R69" t="s">
        <v>432</v>
      </c>
      <c r="S69" t="s">
        <v>432</v>
      </c>
      <c r="T69" t="s">
        <v>432</v>
      </c>
      <c r="U69" t="s">
        <v>432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1</v>
      </c>
      <c r="AE69">
        <v>1</v>
      </c>
      <c r="AF69">
        <v>0</v>
      </c>
      <c r="AG69">
        <v>0</v>
      </c>
      <c r="AH69">
        <v>780</v>
      </c>
      <c r="AI69" t="s">
        <v>1391</v>
      </c>
      <c r="AJ69">
        <v>0</v>
      </c>
      <c r="AK69" t="s">
        <v>432</v>
      </c>
      <c r="AL69" t="s">
        <v>1392</v>
      </c>
      <c r="AM69">
        <v>0</v>
      </c>
      <c r="AN69">
        <v>0</v>
      </c>
      <c r="AO69">
        <v>0</v>
      </c>
      <c r="AP69">
        <v>0</v>
      </c>
      <c r="AQ69">
        <v>1</v>
      </c>
      <c r="AR69" t="s">
        <v>432</v>
      </c>
      <c r="AS69">
        <v>0</v>
      </c>
      <c r="AT69">
        <v>0</v>
      </c>
      <c r="AU69">
        <v>0</v>
      </c>
      <c r="AV69">
        <v>6003</v>
      </c>
      <c r="AW69">
        <v>0</v>
      </c>
      <c r="AX69">
        <f>COUNTIF('Equip Data'!A:A,A69)</f>
        <v>1</v>
      </c>
    </row>
    <row r="70" spans="1:50" hidden="1" x14ac:dyDescent="0.25">
      <c r="A70">
        <v>70</v>
      </c>
      <c r="B70" t="s">
        <v>1393</v>
      </c>
      <c r="C70" t="s">
        <v>1394</v>
      </c>
      <c r="D70" t="s">
        <v>1390</v>
      </c>
      <c r="E70">
        <v>3</v>
      </c>
      <c r="F70">
        <v>2</v>
      </c>
      <c r="G70">
        <v>6</v>
      </c>
      <c r="H70" t="s">
        <v>438</v>
      </c>
      <c r="I70" t="s">
        <v>432</v>
      </c>
      <c r="J70" t="s">
        <v>432</v>
      </c>
      <c r="K70" t="s">
        <v>432</v>
      </c>
      <c r="L70" t="s">
        <v>432</v>
      </c>
      <c r="M70" t="s">
        <v>432</v>
      </c>
      <c r="N70" t="s">
        <v>432</v>
      </c>
      <c r="O70" t="s">
        <v>470</v>
      </c>
      <c r="P70" t="s">
        <v>432</v>
      </c>
      <c r="Q70" t="s">
        <v>432</v>
      </c>
      <c r="R70" t="s">
        <v>432</v>
      </c>
      <c r="S70" t="s">
        <v>432</v>
      </c>
      <c r="T70" t="s">
        <v>432</v>
      </c>
      <c r="U70" t="s">
        <v>432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2</v>
      </c>
      <c r="AE70">
        <v>2</v>
      </c>
      <c r="AF70">
        <v>0</v>
      </c>
      <c r="AG70">
        <v>1</v>
      </c>
      <c r="AH70">
        <v>1680</v>
      </c>
      <c r="AI70" t="s">
        <v>1391</v>
      </c>
      <c r="AJ70">
        <v>0</v>
      </c>
      <c r="AK70" t="s">
        <v>432</v>
      </c>
      <c r="AL70" t="s">
        <v>1395</v>
      </c>
      <c r="AM70">
        <v>0.48</v>
      </c>
      <c r="AN70">
        <v>0.48</v>
      </c>
      <c r="AO70">
        <v>0.08</v>
      </c>
      <c r="AP70">
        <v>0.25</v>
      </c>
      <c r="AQ70">
        <v>1</v>
      </c>
      <c r="AR70" t="s">
        <v>1244</v>
      </c>
      <c r="AS70">
        <v>0</v>
      </c>
      <c r="AT70">
        <v>0</v>
      </c>
      <c r="AU70">
        <v>10</v>
      </c>
      <c r="AV70">
        <v>6003</v>
      </c>
      <c r="AW70">
        <v>0</v>
      </c>
      <c r="AX70">
        <f>COUNTIF('Equip Data'!A:A,A70)</f>
        <v>1</v>
      </c>
    </row>
    <row r="71" spans="1:50" hidden="1" x14ac:dyDescent="0.25">
      <c r="A71">
        <v>71</v>
      </c>
      <c r="B71" t="s">
        <v>1396</v>
      </c>
      <c r="C71" t="s">
        <v>1397</v>
      </c>
      <c r="D71" t="s">
        <v>1390</v>
      </c>
      <c r="E71">
        <v>4</v>
      </c>
      <c r="F71">
        <v>2</v>
      </c>
      <c r="G71">
        <v>6</v>
      </c>
      <c r="H71" t="s">
        <v>441</v>
      </c>
      <c r="I71" t="s">
        <v>432</v>
      </c>
      <c r="J71" t="s">
        <v>432</v>
      </c>
      <c r="K71" t="s">
        <v>432</v>
      </c>
      <c r="L71" t="s">
        <v>432</v>
      </c>
      <c r="M71" t="s">
        <v>432</v>
      </c>
      <c r="N71" t="s">
        <v>432</v>
      </c>
      <c r="O71" t="s">
        <v>443</v>
      </c>
      <c r="P71" t="s">
        <v>432</v>
      </c>
      <c r="Q71" t="s">
        <v>432</v>
      </c>
      <c r="R71" t="s">
        <v>432</v>
      </c>
      <c r="S71" t="s">
        <v>432</v>
      </c>
      <c r="T71" t="s">
        <v>432</v>
      </c>
      <c r="U71" t="s">
        <v>432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3</v>
      </c>
      <c r="AE71">
        <v>3</v>
      </c>
      <c r="AF71">
        <v>0</v>
      </c>
      <c r="AG71">
        <v>1</v>
      </c>
      <c r="AH71">
        <v>2580</v>
      </c>
      <c r="AI71" t="s">
        <v>1391</v>
      </c>
      <c r="AJ71">
        <v>0</v>
      </c>
      <c r="AK71" t="s">
        <v>432</v>
      </c>
      <c r="AL71" t="s">
        <v>1398</v>
      </c>
      <c r="AM71">
        <v>0.48</v>
      </c>
      <c r="AN71">
        <v>0.48</v>
      </c>
      <c r="AO71">
        <v>0.08</v>
      </c>
      <c r="AP71">
        <v>0.25</v>
      </c>
      <c r="AQ71">
        <v>1</v>
      </c>
      <c r="AR71" t="s">
        <v>1399</v>
      </c>
      <c r="AS71">
        <v>0</v>
      </c>
      <c r="AT71">
        <v>0</v>
      </c>
      <c r="AU71">
        <v>10</v>
      </c>
      <c r="AV71">
        <v>6003</v>
      </c>
      <c r="AW71">
        <v>0</v>
      </c>
      <c r="AX71">
        <f>COUNTIF('Equip Data'!A:A,A71)</f>
        <v>1</v>
      </c>
    </row>
    <row r="72" spans="1:50" hidden="1" x14ac:dyDescent="0.25">
      <c r="A72">
        <v>72</v>
      </c>
      <c r="B72" t="s">
        <v>1400</v>
      </c>
      <c r="C72" t="s">
        <v>1401</v>
      </c>
      <c r="D72" t="s">
        <v>1390</v>
      </c>
      <c r="E72">
        <v>5</v>
      </c>
      <c r="F72">
        <v>2</v>
      </c>
      <c r="G72">
        <v>6</v>
      </c>
      <c r="H72" t="s">
        <v>445</v>
      </c>
      <c r="I72" t="s">
        <v>432</v>
      </c>
      <c r="J72" t="s">
        <v>432</v>
      </c>
      <c r="K72" t="s">
        <v>432</v>
      </c>
      <c r="L72" t="s">
        <v>432</v>
      </c>
      <c r="M72" t="s">
        <v>432</v>
      </c>
      <c r="N72" t="s">
        <v>432</v>
      </c>
      <c r="O72" t="s">
        <v>490</v>
      </c>
      <c r="P72" t="s">
        <v>432</v>
      </c>
      <c r="Q72" t="s">
        <v>432</v>
      </c>
      <c r="R72" t="s">
        <v>432</v>
      </c>
      <c r="S72" t="s">
        <v>432</v>
      </c>
      <c r="T72" t="s">
        <v>432</v>
      </c>
      <c r="U72" t="s">
        <v>432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4</v>
      </c>
      <c r="AE72">
        <v>4</v>
      </c>
      <c r="AF72">
        <v>0</v>
      </c>
      <c r="AG72">
        <v>2</v>
      </c>
      <c r="AH72">
        <v>3180</v>
      </c>
      <c r="AI72" t="s">
        <v>1391</v>
      </c>
      <c r="AJ72">
        <v>0</v>
      </c>
      <c r="AK72" t="s">
        <v>432</v>
      </c>
      <c r="AL72" t="s">
        <v>1402</v>
      </c>
      <c r="AM72">
        <v>0.48</v>
      </c>
      <c r="AN72">
        <v>0.48</v>
      </c>
      <c r="AO72">
        <v>0.08</v>
      </c>
      <c r="AP72">
        <v>0.25</v>
      </c>
      <c r="AQ72">
        <v>1</v>
      </c>
      <c r="AR72" t="s">
        <v>1399</v>
      </c>
      <c r="AS72">
        <v>0</v>
      </c>
      <c r="AT72">
        <v>0</v>
      </c>
      <c r="AU72">
        <v>10</v>
      </c>
      <c r="AV72">
        <v>6003</v>
      </c>
      <c r="AW72">
        <v>0</v>
      </c>
      <c r="AX72">
        <f>COUNTIF('Equip Data'!A:A,A72)</f>
        <v>1</v>
      </c>
    </row>
    <row r="73" spans="1:50" hidden="1" x14ac:dyDescent="0.25">
      <c r="A73">
        <v>73</v>
      </c>
      <c r="B73" t="s">
        <v>1403</v>
      </c>
      <c r="C73" t="s">
        <v>1404</v>
      </c>
      <c r="D73" t="s">
        <v>1405</v>
      </c>
      <c r="E73">
        <v>2</v>
      </c>
      <c r="F73">
        <v>2</v>
      </c>
      <c r="G73">
        <v>7</v>
      </c>
      <c r="H73" t="s">
        <v>433</v>
      </c>
      <c r="I73" t="s">
        <v>432</v>
      </c>
      <c r="J73" t="s">
        <v>432</v>
      </c>
      <c r="K73" t="s">
        <v>432</v>
      </c>
      <c r="L73" t="s">
        <v>432</v>
      </c>
      <c r="M73" t="s">
        <v>458</v>
      </c>
      <c r="N73" t="s">
        <v>432</v>
      </c>
      <c r="O73" t="s">
        <v>432</v>
      </c>
      <c r="P73" t="s">
        <v>432</v>
      </c>
      <c r="Q73" t="s">
        <v>432</v>
      </c>
      <c r="R73" t="s">
        <v>432</v>
      </c>
      <c r="S73" t="s">
        <v>432</v>
      </c>
      <c r="T73" t="s">
        <v>432</v>
      </c>
      <c r="U73" t="s">
        <v>432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1</v>
      </c>
      <c r="AF73">
        <v>0</v>
      </c>
      <c r="AG73">
        <v>1</v>
      </c>
      <c r="AH73">
        <v>840</v>
      </c>
      <c r="AI73" t="s">
        <v>1176</v>
      </c>
      <c r="AJ73">
        <v>0</v>
      </c>
      <c r="AK73" t="s">
        <v>432</v>
      </c>
      <c r="AL73" t="s">
        <v>1406</v>
      </c>
      <c r="AM73">
        <v>0</v>
      </c>
      <c r="AN73">
        <v>0</v>
      </c>
      <c r="AO73">
        <v>0</v>
      </c>
      <c r="AP73">
        <v>0</v>
      </c>
      <c r="AQ73">
        <v>1</v>
      </c>
      <c r="AR73" t="s">
        <v>432</v>
      </c>
      <c r="AS73">
        <v>0</v>
      </c>
      <c r="AT73">
        <v>0</v>
      </c>
      <c r="AU73">
        <v>0</v>
      </c>
      <c r="AV73">
        <v>7001</v>
      </c>
      <c r="AW73">
        <v>0</v>
      </c>
      <c r="AX73">
        <f>COUNTIF('Equip Data'!A:A,A73)</f>
        <v>1</v>
      </c>
    </row>
    <row r="74" spans="1:50" hidden="1" x14ac:dyDescent="0.25">
      <c r="A74">
        <v>74</v>
      </c>
      <c r="B74" t="s">
        <v>1407</v>
      </c>
      <c r="C74" t="s">
        <v>1408</v>
      </c>
      <c r="D74" t="s">
        <v>1405</v>
      </c>
      <c r="E74">
        <v>3</v>
      </c>
      <c r="F74">
        <v>2</v>
      </c>
      <c r="G74">
        <v>7</v>
      </c>
      <c r="H74" t="s">
        <v>438</v>
      </c>
      <c r="I74" t="s">
        <v>432</v>
      </c>
      <c r="J74" t="s">
        <v>432</v>
      </c>
      <c r="K74" t="s">
        <v>432</v>
      </c>
      <c r="L74" t="s">
        <v>432</v>
      </c>
      <c r="M74" t="s">
        <v>491</v>
      </c>
      <c r="N74" t="s">
        <v>432</v>
      </c>
      <c r="O74" t="s">
        <v>432</v>
      </c>
      <c r="P74" t="s">
        <v>432</v>
      </c>
      <c r="Q74" t="s">
        <v>432</v>
      </c>
      <c r="R74" t="s">
        <v>432</v>
      </c>
      <c r="S74" t="s">
        <v>432</v>
      </c>
      <c r="T74" t="s">
        <v>432</v>
      </c>
      <c r="U74" t="s">
        <v>432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2</v>
      </c>
      <c r="AF74">
        <v>0</v>
      </c>
      <c r="AG74">
        <v>2</v>
      </c>
      <c r="AH74">
        <v>1740</v>
      </c>
      <c r="AI74" t="s">
        <v>1176</v>
      </c>
      <c r="AJ74">
        <v>0</v>
      </c>
      <c r="AK74" t="s">
        <v>432</v>
      </c>
      <c r="AL74" t="s">
        <v>1409</v>
      </c>
      <c r="AM74">
        <v>0.08</v>
      </c>
      <c r="AN74">
        <v>0.53</v>
      </c>
      <c r="AO74">
        <v>0.08</v>
      </c>
      <c r="AP74">
        <v>0.45</v>
      </c>
      <c r="AQ74">
        <v>1</v>
      </c>
      <c r="AR74" t="s">
        <v>1410</v>
      </c>
      <c r="AS74">
        <v>0</v>
      </c>
      <c r="AT74">
        <v>0</v>
      </c>
      <c r="AU74">
        <v>10</v>
      </c>
      <c r="AV74">
        <v>7001</v>
      </c>
      <c r="AW74">
        <v>0</v>
      </c>
      <c r="AX74">
        <f>COUNTIF('Equip Data'!A:A,A74)</f>
        <v>1</v>
      </c>
    </row>
    <row r="75" spans="1:50" hidden="1" x14ac:dyDescent="0.25">
      <c r="A75">
        <v>75</v>
      </c>
      <c r="B75" t="s">
        <v>1411</v>
      </c>
      <c r="C75" t="s">
        <v>1412</v>
      </c>
      <c r="D75" t="s">
        <v>1405</v>
      </c>
      <c r="E75">
        <v>4</v>
      </c>
      <c r="F75">
        <v>2</v>
      </c>
      <c r="G75">
        <v>7</v>
      </c>
      <c r="H75" t="s">
        <v>441</v>
      </c>
      <c r="I75" t="s">
        <v>432</v>
      </c>
      <c r="J75" t="s">
        <v>432</v>
      </c>
      <c r="K75" t="s">
        <v>432</v>
      </c>
      <c r="L75" t="s">
        <v>432</v>
      </c>
      <c r="M75" t="s">
        <v>492</v>
      </c>
      <c r="N75" t="s">
        <v>432</v>
      </c>
      <c r="O75" t="s">
        <v>432</v>
      </c>
      <c r="P75" t="s">
        <v>432</v>
      </c>
      <c r="Q75" t="s">
        <v>432</v>
      </c>
      <c r="R75" t="s">
        <v>432</v>
      </c>
      <c r="S75" t="s">
        <v>432</v>
      </c>
      <c r="T75" t="s">
        <v>432</v>
      </c>
      <c r="U75" t="s">
        <v>432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1</v>
      </c>
      <c r="AE75">
        <v>3</v>
      </c>
      <c r="AF75">
        <v>1</v>
      </c>
      <c r="AG75">
        <v>2</v>
      </c>
      <c r="AH75">
        <v>2640</v>
      </c>
      <c r="AI75" t="s">
        <v>1176</v>
      </c>
      <c r="AJ75">
        <v>0</v>
      </c>
      <c r="AK75" t="s">
        <v>432</v>
      </c>
      <c r="AL75" t="s">
        <v>1413</v>
      </c>
      <c r="AM75">
        <v>0.08</v>
      </c>
      <c r="AN75">
        <v>0.53</v>
      </c>
      <c r="AO75">
        <v>0.08</v>
      </c>
      <c r="AP75">
        <v>0.45</v>
      </c>
      <c r="AQ75">
        <v>1</v>
      </c>
      <c r="AR75" t="s">
        <v>1414</v>
      </c>
      <c r="AS75">
        <v>0</v>
      </c>
      <c r="AT75">
        <v>0</v>
      </c>
      <c r="AU75">
        <v>10</v>
      </c>
      <c r="AV75">
        <v>7001</v>
      </c>
      <c r="AW75">
        <v>0</v>
      </c>
      <c r="AX75">
        <f>COUNTIF('Equip Data'!A:A,A75)</f>
        <v>1</v>
      </c>
    </row>
    <row r="76" spans="1:50" hidden="1" x14ac:dyDescent="0.25">
      <c r="A76">
        <v>76</v>
      </c>
      <c r="B76" t="s">
        <v>1415</v>
      </c>
      <c r="C76" t="s">
        <v>1416</v>
      </c>
      <c r="D76" t="s">
        <v>1405</v>
      </c>
      <c r="E76">
        <v>5</v>
      </c>
      <c r="F76">
        <v>2</v>
      </c>
      <c r="G76">
        <v>7</v>
      </c>
      <c r="H76" t="s">
        <v>445</v>
      </c>
      <c r="I76" t="s">
        <v>432</v>
      </c>
      <c r="J76" t="s">
        <v>432</v>
      </c>
      <c r="K76" t="s">
        <v>432</v>
      </c>
      <c r="L76" t="s">
        <v>432</v>
      </c>
      <c r="M76" t="s">
        <v>493</v>
      </c>
      <c r="N76" t="s">
        <v>432</v>
      </c>
      <c r="O76" t="s">
        <v>432</v>
      </c>
      <c r="P76" t="s">
        <v>432</v>
      </c>
      <c r="Q76" t="s">
        <v>432</v>
      </c>
      <c r="R76" t="s">
        <v>432</v>
      </c>
      <c r="S76" t="s">
        <v>432</v>
      </c>
      <c r="T76" t="s">
        <v>432</v>
      </c>
      <c r="U76" t="s">
        <v>432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4</v>
      </c>
      <c r="AF76">
        <v>1</v>
      </c>
      <c r="AG76">
        <v>3</v>
      </c>
      <c r="AH76">
        <v>3240</v>
      </c>
      <c r="AI76" t="s">
        <v>1176</v>
      </c>
      <c r="AJ76">
        <v>0</v>
      </c>
      <c r="AK76" t="s">
        <v>432</v>
      </c>
      <c r="AL76" t="s">
        <v>1417</v>
      </c>
      <c r="AM76">
        <v>0.08</v>
      </c>
      <c r="AN76">
        <v>0.53</v>
      </c>
      <c r="AO76">
        <v>0.08</v>
      </c>
      <c r="AP76">
        <v>0.45</v>
      </c>
      <c r="AQ76">
        <v>1</v>
      </c>
      <c r="AR76" t="s">
        <v>1410</v>
      </c>
      <c r="AS76">
        <v>0</v>
      </c>
      <c r="AT76">
        <v>0</v>
      </c>
      <c r="AU76">
        <v>10</v>
      </c>
      <c r="AV76">
        <v>7001</v>
      </c>
      <c r="AW76">
        <v>0</v>
      </c>
      <c r="AX76">
        <f>COUNTIF('Equip Data'!A:A,A76)</f>
        <v>1</v>
      </c>
    </row>
    <row r="77" spans="1:50" hidden="1" x14ac:dyDescent="0.25">
      <c r="A77">
        <v>77</v>
      </c>
      <c r="B77" t="s">
        <v>1418</v>
      </c>
      <c r="C77" t="s">
        <v>1419</v>
      </c>
      <c r="D77" t="s">
        <v>1420</v>
      </c>
      <c r="E77">
        <v>2</v>
      </c>
      <c r="F77">
        <v>2</v>
      </c>
      <c r="G77">
        <v>7</v>
      </c>
      <c r="H77" t="s">
        <v>432</v>
      </c>
      <c r="I77" t="s">
        <v>435</v>
      </c>
      <c r="J77" t="s">
        <v>432</v>
      </c>
      <c r="K77" t="s">
        <v>432</v>
      </c>
      <c r="L77" t="s">
        <v>432</v>
      </c>
      <c r="M77" t="s">
        <v>432</v>
      </c>
      <c r="N77" t="s">
        <v>432</v>
      </c>
      <c r="O77" t="s">
        <v>432</v>
      </c>
      <c r="P77" t="s">
        <v>432</v>
      </c>
      <c r="Q77" t="s">
        <v>432</v>
      </c>
      <c r="R77" t="s">
        <v>432</v>
      </c>
      <c r="S77" t="s">
        <v>432</v>
      </c>
      <c r="T77" t="s">
        <v>432</v>
      </c>
      <c r="U77" t="s">
        <v>432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1</v>
      </c>
      <c r="AF77">
        <v>0</v>
      </c>
      <c r="AG77">
        <v>1</v>
      </c>
      <c r="AH77">
        <v>840</v>
      </c>
      <c r="AI77" t="s">
        <v>1176</v>
      </c>
      <c r="AJ77">
        <v>0</v>
      </c>
      <c r="AK77" t="s">
        <v>432</v>
      </c>
      <c r="AL77" t="s">
        <v>1421</v>
      </c>
      <c r="AM77">
        <v>0</v>
      </c>
      <c r="AN77">
        <v>0</v>
      </c>
      <c r="AO77">
        <v>0</v>
      </c>
      <c r="AP77">
        <v>0</v>
      </c>
      <c r="AQ77">
        <v>1</v>
      </c>
      <c r="AR77" t="s">
        <v>432</v>
      </c>
      <c r="AS77">
        <v>300701</v>
      </c>
      <c r="AT77">
        <v>0</v>
      </c>
      <c r="AU77">
        <v>0</v>
      </c>
      <c r="AV77">
        <v>7002</v>
      </c>
      <c r="AW77">
        <v>0</v>
      </c>
      <c r="AX77">
        <f>COUNTIF('Equip Data'!A:A,A77)</f>
        <v>1</v>
      </c>
    </row>
    <row r="78" spans="1:50" hidden="1" x14ac:dyDescent="0.25">
      <c r="A78">
        <v>78</v>
      </c>
      <c r="B78" t="s">
        <v>1422</v>
      </c>
      <c r="C78" t="s">
        <v>1423</v>
      </c>
      <c r="D78" t="s">
        <v>1420</v>
      </c>
      <c r="E78">
        <v>3</v>
      </c>
      <c r="F78">
        <v>2</v>
      </c>
      <c r="G78">
        <v>7</v>
      </c>
      <c r="H78" t="s">
        <v>432</v>
      </c>
      <c r="I78" t="s">
        <v>458</v>
      </c>
      <c r="J78" t="s">
        <v>432</v>
      </c>
      <c r="K78" t="s">
        <v>432</v>
      </c>
      <c r="L78" t="s">
        <v>432</v>
      </c>
      <c r="M78" t="s">
        <v>432</v>
      </c>
      <c r="N78" t="s">
        <v>432</v>
      </c>
      <c r="O78" t="s">
        <v>432</v>
      </c>
      <c r="P78" t="s">
        <v>432</v>
      </c>
      <c r="Q78" t="s">
        <v>432</v>
      </c>
      <c r="R78" t="s">
        <v>432</v>
      </c>
      <c r="S78" t="s">
        <v>432</v>
      </c>
      <c r="T78" t="s">
        <v>432</v>
      </c>
      <c r="U78" t="s">
        <v>432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2</v>
      </c>
      <c r="AF78">
        <v>0</v>
      </c>
      <c r="AG78">
        <v>2</v>
      </c>
      <c r="AH78">
        <v>1740</v>
      </c>
      <c r="AI78" t="s">
        <v>1176</v>
      </c>
      <c r="AJ78">
        <v>0</v>
      </c>
      <c r="AK78" t="s">
        <v>432</v>
      </c>
      <c r="AL78" t="s">
        <v>1424</v>
      </c>
      <c r="AM78">
        <v>0.08</v>
      </c>
      <c r="AN78">
        <v>0.39</v>
      </c>
      <c r="AO78">
        <v>0.08</v>
      </c>
      <c r="AP78">
        <v>0.48</v>
      </c>
      <c r="AQ78">
        <v>1</v>
      </c>
      <c r="AR78" t="s">
        <v>1166</v>
      </c>
      <c r="AS78">
        <v>300701</v>
      </c>
      <c r="AT78">
        <v>0</v>
      </c>
      <c r="AU78">
        <v>10</v>
      </c>
      <c r="AV78">
        <v>7002</v>
      </c>
      <c r="AW78">
        <v>0</v>
      </c>
      <c r="AX78">
        <f>COUNTIF('Equip Data'!A:A,A78)</f>
        <v>1</v>
      </c>
    </row>
    <row r="79" spans="1:50" hidden="1" x14ac:dyDescent="0.25">
      <c r="A79">
        <v>79</v>
      </c>
      <c r="B79" t="s">
        <v>1425</v>
      </c>
      <c r="C79" t="s">
        <v>1426</v>
      </c>
      <c r="D79" t="s">
        <v>1420</v>
      </c>
      <c r="E79">
        <v>4</v>
      </c>
      <c r="F79">
        <v>2</v>
      </c>
      <c r="G79">
        <v>7</v>
      </c>
      <c r="H79" t="s">
        <v>432</v>
      </c>
      <c r="I79" t="s">
        <v>459</v>
      </c>
      <c r="J79" t="s">
        <v>432</v>
      </c>
      <c r="K79" t="s">
        <v>432</v>
      </c>
      <c r="L79" t="s">
        <v>432</v>
      </c>
      <c r="M79" t="s">
        <v>432</v>
      </c>
      <c r="N79" t="s">
        <v>432</v>
      </c>
      <c r="O79" t="s">
        <v>432</v>
      </c>
      <c r="P79" t="s">
        <v>432</v>
      </c>
      <c r="Q79" t="s">
        <v>432</v>
      </c>
      <c r="R79" t="s">
        <v>432</v>
      </c>
      <c r="S79" t="s">
        <v>432</v>
      </c>
      <c r="T79" t="s">
        <v>432</v>
      </c>
      <c r="U79" t="s">
        <v>432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2</v>
      </c>
      <c r="AF79">
        <v>1</v>
      </c>
      <c r="AG79">
        <v>3</v>
      </c>
      <c r="AH79">
        <v>2640</v>
      </c>
      <c r="AI79" t="s">
        <v>1176</v>
      </c>
      <c r="AJ79">
        <v>0</v>
      </c>
      <c r="AK79" t="s">
        <v>432</v>
      </c>
      <c r="AL79" t="s">
        <v>1427</v>
      </c>
      <c r="AM79">
        <v>0.08</v>
      </c>
      <c r="AN79">
        <v>0.39</v>
      </c>
      <c r="AO79">
        <v>0.08</v>
      </c>
      <c r="AP79">
        <v>0.48</v>
      </c>
      <c r="AQ79">
        <v>1</v>
      </c>
      <c r="AR79" t="s">
        <v>1428</v>
      </c>
      <c r="AS79">
        <v>300701</v>
      </c>
      <c r="AT79">
        <v>0</v>
      </c>
      <c r="AU79">
        <v>10</v>
      </c>
      <c r="AV79">
        <v>7002</v>
      </c>
      <c r="AW79">
        <v>0</v>
      </c>
      <c r="AX79">
        <f>COUNTIF('Equip Data'!A:A,A79)</f>
        <v>1</v>
      </c>
    </row>
    <row r="80" spans="1:50" hidden="1" x14ac:dyDescent="0.25">
      <c r="A80">
        <v>80</v>
      </c>
      <c r="B80" t="s">
        <v>1429</v>
      </c>
      <c r="C80" t="s">
        <v>1430</v>
      </c>
      <c r="D80" t="s">
        <v>1420</v>
      </c>
      <c r="E80">
        <v>5</v>
      </c>
      <c r="F80">
        <v>2</v>
      </c>
      <c r="G80">
        <v>7</v>
      </c>
      <c r="H80" t="s">
        <v>432</v>
      </c>
      <c r="I80" t="s">
        <v>460</v>
      </c>
      <c r="J80" t="s">
        <v>432</v>
      </c>
      <c r="K80" t="s">
        <v>432</v>
      </c>
      <c r="L80" t="s">
        <v>432</v>
      </c>
      <c r="M80" t="s">
        <v>432</v>
      </c>
      <c r="N80" t="s">
        <v>432</v>
      </c>
      <c r="O80" t="s">
        <v>432</v>
      </c>
      <c r="P80" t="s">
        <v>432</v>
      </c>
      <c r="Q80" t="s">
        <v>432</v>
      </c>
      <c r="R80" t="s">
        <v>432</v>
      </c>
      <c r="S80" t="s">
        <v>432</v>
      </c>
      <c r="T80" t="s">
        <v>432</v>
      </c>
      <c r="U80" t="s">
        <v>432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3</v>
      </c>
      <c r="AF80">
        <v>1</v>
      </c>
      <c r="AG80">
        <v>4</v>
      </c>
      <c r="AH80">
        <v>3240</v>
      </c>
      <c r="AI80" t="s">
        <v>1176</v>
      </c>
      <c r="AJ80">
        <v>0</v>
      </c>
      <c r="AK80" t="s">
        <v>432</v>
      </c>
      <c r="AL80" t="s">
        <v>1431</v>
      </c>
      <c r="AM80">
        <v>0.08</v>
      </c>
      <c r="AN80">
        <v>0.39</v>
      </c>
      <c r="AO80">
        <v>0.08</v>
      </c>
      <c r="AP80">
        <v>0.48</v>
      </c>
      <c r="AQ80">
        <v>1</v>
      </c>
      <c r="AR80" t="s">
        <v>1432</v>
      </c>
      <c r="AS80">
        <v>300701</v>
      </c>
      <c r="AT80">
        <v>0</v>
      </c>
      <c r="AU80">
        <v>10</v>
      </c>
      <c r="AV80">
        <v>7002</v>
      </c>
      <c r="AW80">
        <v>0</v>
      </c>
      <c r="AX80">
        <f>COUNTIF('Equip Data'!A:A,A80)</f>
        <v>1</v>
      </c>
    </row>
    <row r="81" spans="1:50" hidden="1" x14ac:dyDescent="0.25">
      <c r="A81">
        <v>81</v>
      </c>
      <c r="B81" t="s">
        <v>1433</v>
      </c>
      <c r="C81" t="s">
        <v>1434</v>
      </c>
      <c r="D81" t="s">
        <v>1435</v>
      </c>
      <c r="E81">
        <v>5</v>
      </c>
      <c r="F81">
        <v>3</v>
      </c>
      <c r="G81">
        <v>11</v>
      </c>
      <c r="H81" t="s">
        <v>432</v>
      </c>
      <c r="I81" t="s">
        <v>432</v>
      </c>
      <c r="J81" t="s">
        <v>437</v>
      </c>
      <c r="K81" t="s">
        <v>432</v>
      </c>
      <c r="L81" t="s">
        <v>432</v>
      </c>
      <c r="M81" t="s">
        <v>432</v>
      </c>
      <c r="N81" t="s">
        <v>432</v>
      </c>
      <c r="O81" t="s">
        <v>432</v>
      </c>
      <c r="P81" t="s">
        <v>494</v>
      </c>
      <c r="Q81" t="s">
        <v>432</v>
      </c>
      <c r="R81" t="s">
        <v>432</v>
      </c>
      <c r="S81" t="s">
        <v>432</v>
      </c>
      <c r="T81" t="s">
        <v>432</v>
      </c>
      <c r="U81" t="s">
        <v>432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2</v>
      </c>
      <c r="AE81">
        <v>2</v>
      </c>
      <c r="AF81">
        <v>3</v>
      </c>
      <c r="AG81">
        <v>3</v>
      </c>
      <c r="AH81">
        <v>3060</v>
      </c>
      <c r="AI81" t="s">
        <v>1300</v>
      </c>
      <c r="AJ81">
        <v>0</v>
      </c>
      <c r="AK81" t="s">
        <v>432</v>
      </c>
      <c r="AL81" t="s">
        <v>1436</v>
      </c>
      <c r="AM81">
        <v>0.23</v>
      </c>
      <c r="AN81">
        <v>0.23</v>
      </c>
      <c r="AO81">
        <v>0.33</v>
      </c>
      <c r="AP81">
        <v>0.33</v>
      </c>
      <c r="AQ81">
        <v>1</v>
      </c>
      <c r="AR81" t="s">
        <v>1276</v>
      </c>
      <c r="AS81">
        <v>0</v>
      </c>
      <c r="AT81">
        <v>0</v>
      </c>
      <c r="AU81">
        <v>10</v>
      </c>
      <c r="AV81">
        <v>11001</v>
      </c>
      <c r="AW81">
        <v>0</v>
      </c>
      <c r="AX81">
        <f>COUNTIF('Equip Data'!A:A,A81)</f>
        <v>0</v>
      </c>
    </row>
    <row r="82" spans="1:50" hidden="1" x14ac:dyDescent="0.25">
      <c r="A82">
        <v>82</v>
      </c>
      <c r="B82" t="s">
        <v>1437</v>
      </c>
      <c r="C82" t="s">
        <v>1438</v>
      </c>
      <c r="D82" t="s">
        <v>1439</v>
      </c>
      <c r="E82">
        <v>5</v>
      </c>
      <c r="F82">
        <v>2</v>
      </c>
      <c r="G82">
        <v>7</v>
      </c>
      <c r="H82" t="s">
        <v>495</v>
      </c>
      <c r="I82" t="s">
        <v>432</v>
      </c>
      <c r="J82" t="s">
        <v>432</v>
      </c>
      <c r="K82" t="s">
        <v>432</v>
      </c>
      <c r="L82" t="s">
        <v>432</v>
      </c>
      <c r="M82" t="s">
        <v>496</v>
      </c>
      <c r="N82" t="s">
        <v>432</v>
      </c>
      <c r="O82" t="s">
        <v>432</v>
      </c>
      <c r="P82" t="s">
        <v>432</v>
      </c>
      <c r="Q82" t="s">
        <v>432</v>
      </c>
      <c r="R82" t="s">
        <v>432</v>
      </c>
      <c r="S82" t="s">
        <v>432</v>
      </c>
      <c r="T82" t="s">
        <v>432</v>
      </c>
      <c r="U82" t="s">
        <v>432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4</v>
      </c>
      <c r="AF82">
        <v>1</v>
      </c>
      <c r="AG82">
        <v>3</v>
      </c>
      <c r="AH82">
        <v>3240</v>
      </c>
      <c r="AI82" t="s">
        <v>1300</v>
      </c>
      <c r="AJ82">
        <v>0</v>
      </c>
      <c r="AK82" t="s">
        <v>432</v>
      </c>
      <c r="AL82" t="s">
        <v>1440</v>
      </c>
      <c r="AM82">
        <v>0.08</v>
      </c>
      <c r="AN82">
        <v>0.53</v>
      </c>
      <c r="AO82">
        <v>0.08</v>
      </c>
      <c r="AP82">
        <v>0.45</v>
      </c>
      <c r="AQ82">
        <v>1</v>
      </c>
      <c r="AR82" t="s">
        <v>1410</v>
      </c>
      <c r="AS82">
        <v>0</v>
      </c>
      <c r="AT82">
        <v>0</v>
      </c>
      <c r="AU82">
        <v>10</v>
      </c>
      <c r="AV82">
        <v>7001</v>
      </c>
      <c r="AW82">
        <v>0</v>
      </c>
      <c r="AX82">
        <f>COUNTIF('Equip Data'!A:A,A82)</f>
        <v>0</v>
      </c>
    </row>
    <row r="83" spans="1:50" hidden="1" x14ac:dyDescent="0.25">
      <c r="A83">
        <v>83</v>
      </c>
      <c r="B83" t="s">
        <v>1441</v>
      </c>
      <c r="C83" t="s">
        <v>1442</v>
      </c>
      <c r="D83" t="s">
        <v>1443</v>
      </c>
      <c r="E83">
        <v>5</v>
      </c>
      <c r="F83">
        <v>1</v>
      </c>
      <c r="G83">
        <v>1</v>
      </c>
      <c r="H83" t="s">
        <v>432</v>
      </c>
      <c r="I83" t="s">
        <v>432</v>
      </c>
      <c r="J83" t="s">
        <v>432</v>
      </c>
      <c r="K83" t="s">
        <v>432</v>
      </c>
      <c r="L83" t="s">
        <v>432</v>
      </c>
      <c r="M83" t="s">
        <v>497</v>
      </c>
      <c r="N83" t="s">
        <v>498</v>
      </c>
      <c r="O83" t="s">
        <v>432</v>
      </c>
      <c r="P83" t="s">
        <v>432</v>
      </c>
      <c r="Q83" t="s">
        <v>432</v>
      </c>
      <c r="R83" t="s">
        <v>432</v>
      </c>
      <c r="S83" t="s">
        <v>432</v>
      </c>
      <c r="T83" t="s">
        <v>432</v>
      </c>
      <c r="U83" t="s">
        <v>432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4</v>
      </c>
      <c r="AE83">
        <v>0</v>
      </c>
      <c r="AF83">
        <v>3</v>
      </c>
      <c r="AG83">
        <v>2</v>
      </c>
      <c r="AH83">
        <v>2700</v>
      </c>
      <c r="AI83" t="s">
        <v>1444</v>
      </c>
      <c r="AJ83">
        <v>0</v>
      </c>
      <c r="AK83" t="s">
        <v>499</v>
      </c>
      <c r="AL83" t="s">
        <v>1445</v>
      </c>
      <c r="AM83">
        <v>0.45</v>
      </c>
      <c r="AN83">
        <v>0.15</v>
      </c>
      <c r="AO83">
        <v>0.3</v>
      </c>
      <c r="AP83">
        <v>0.15</v>
      </c>
      <c r="AQ83">
        <v>3</v>
      </c>
      <c r="AR83" t="s">
        <v>1446</v>
      </c>
      <c r="AS83">
        <v>0</v>
      </c>
      <c r="AT83">
        <v>0</v>
      </c>
      <c r="AU83">
        <v>10</v>
      </c>
      <c r="AV83">
        <v>1002</v>
      </c>
      <c r="AW83">
        <v>0</v>
      </c>
      <c r="AX83">
        <f>COUNTIF('Equip Data'!A:A,A83)</f>
        <v>1</v>
      </c>
    </row>
    <row r="84" spans="1:50" hidden="1" x14ac:dyDescent="0.25">
      <c r="A84">
        <v>84</v>
      </c>
      <c r="B84" t="s">
        <v>1447</v>
      </c>
      <c r="C84" t="s">
        <v>1448</v>
      </c>
      <c r="D84" t="s">
        <v>1443</v>
      </c>
      <c r="E84">
        <v>5</v>
      </c>
      <c r="F84">
        <v>1</v>
      </c>
      <c r="G84">
        <v>1</v>
      </c>
      <c r="H84" t="s">
        <v>432</v>
      </c>
      <c r="I84" t="s">
        <v>432</v>
      </c>
      <c r="J84" t="s">
        <v>432</v>
      </c>
      <c r="K84" t="s">
        <v>432</v>
      </c>
      <c r="L84" t="s">
        <v>432</v>
      </c>
      <c r="M84" t="s">
        <v>500</v>
      </c>
      <c r="N84" t="s">
        <v>498</v>
      </c>
      <c r="O84" t="s">
        <v>432</v>
      </c>
      <c r="P84" t="s">
        <v>432</v>
      </c>
      <c r="Q84" t="s">
        <v>432</v>
      </c>
      <c r="R84" t="s">
        <v>432</v>
      </c>
      <c r="S84" t="s">
        <v>432</v>
      </c>
      <c r="T84" t="s">
        <v>432</v>
      </c>
      <c r="U84" t="s">
        <v>432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4</v>
      </c>
      <c r="AE84">
        <v>0</v>
      </c>
      <c r="AF84">
        <v>3</v>
      </c>
      <c r="AG84">
        <v>2</v>
      </c>
      <c r="AH84">
        <v>2700</v>
      </c>
      <c r="AI84" t="s">
        <v>1444</v>
      </c>
      <c r="AJ84">
        <v>0</v>
      </c>
      <c r="AK84" t="s">
        <v>499</v>
      </c>
      <c r="AL84" t="s">
        <v>1449</v>
      </c>
      <c r="AM84">
        <v>0.45</v>
      </c>
      <c r="AN84">
        <v>0.15</v>
      </c>
      <c r="AO84">
        <v>0.3</v>
      </c>
      <c r="AP84">
        <v>0.15</v>
      </c>
      <c r="AQ84">
        <v>3</v>
      </c>
      <c r="AR84" t="s">
        <v>1450</v>
      </c>
      <c r="AS84">
        <v>0</v>
      </c>
      <c r="AT84">
        <v>0</v>
      </c>
      <c r="AU84">
        <v>10</v>
      </c>
      <c r="AV84">
        <v>1002</v>
      </c>
      <c r="AW84">
        <v>0</v>
      </c>
      <c r="AX84">
        <f>COUNTIF('Equip Data'!A:A,A84)</f>
        <v>1</v>
      </c>
    </row>
    <row r="85" spans="1:50" hidden="1" x14ac:dyDescent="0.25">
      <c r="A85">
        <v>85</v>
      </c>
      <c r="B85" t="s">
        <v>1451</v>
      </c>
      <c r="C85" t="s">
        <v>1452</v>
      </c>
      <c r="D85" t="s">
        <v>1443</v>
      </c>
      <c r="E85">
        <v>5</v>
      </c>
      <c r="F85">
        <v>1</v>
      </c>
      <c r="G85">
        <v>1</v>
      </c>
      <c r="H85" t="s">
        <v>432</v>
      </c>
      <c r="I85" t="s">
        <v>432</v>
      </c>
      <c r="J85" t="s">
        <v>432</v>
      </c>
      <c r="K85" t="s">
        <v>432</v>
      </c>
      <c r="L85" t="s">
        <v>432</v>
      </c>
      <c r="M85" t="s">
        <v>495</v>
      </c>
      <c r="N85" t="s">
        <v>498</v>
      </c>
      <c r="O85" t="s">
        <v>432</v>
      </c>
      <c r="P85" t="s">
        <v>432</v>
      </c>
      <c r="Q85" t="s">
        <v>432</v>
      </c>
      <c r="R85" t="s">
        <v>432</v>
      </c>
      <c r="S85" t="s">
        <v>432</v>
      </c>
      <c r="T85" t="s">
        <v>432</v>
      </c>
      <c r="U85" t="s">
        <v>432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4</v>
      </c>
      <c r="AE85">
        <v>0</v>
      </c>
      <c r="AF85">
        <v>3</v>
      </c>
      <c r="AG85">
        <v>2</v>
      </c>
      <c r="AH85">
        <v>2700</v>
      </c>
      <c r="AI85" t="s">
        <v>1444</v>
      </c>
      <c r="AJ85">
        <v>0</v>
      </c>
      <c r="AK85" t="s">
        <v>499</v>
      </c>
      <c r="AL85" t="s">
        <v>1453</v>
      </c>
      <c r="AM85">
        <v>0.45</v>
      </c>
      <c r="AN85">
        <v>0.15</v>
      </c>
      <c r="AO85">
        <v>0.3</v>
      </c>
      <c r="AP85">
        <v>0.15</v>
      </c>
      <c r="AQ85">
        <v>3</v>
      </c>
      <c r="AR85" t="s">
        <v>1454</v>
      </c>
      <c r="AS85">
        <v>0</v>
      </c>
      <c r="AT85">
        <v>0</v>
      </c>
      <c r="AU85">
        <v>10</v>
      </c>
      <c r="AV85">
        <v>1002</v>
      </c>
      <c r="AW85">
        <v>0</v>
      </c>
      <c r="AX85">
        <f>COUNTIF('Equip Data'!A:A,A85)</f>
        <v>1</v>
      </c>
    </row>
    <row r="86" spans="1:50" hidden="1" x14ac:dyDescent="0.25">
      <c r="A86">
        <v>86</v>
      </c>
      <c r="B86" t="s">
        <v>1455</v>
      </c>
      <c r="C86" t="s">
        <v>1456</v>
      </c>
      <c r="D86" t="s">
        <v>1457</v>
      </c>
      <c r="E86">
        <v>5</v>
      </c>
      <c r="F86">
        <v>3</v>
      </c>
      <c r="G86">
        <v>15</v>
      </c>
      <c r="H86" t="s">
        <v>501</v>
      </c>
      <c r="I86" t="s">
        <v>432</v>
      </c>
      <c r="J86" t="s">
        <v>502</v>
      </c>
      <c r="K86" t="s">
        <v>432</v>
      </c>
      <c r="L86" t="s">
        <v>432</v>
      </c>
      <c r="M86" t="s">
        <v>503</v>
      </c>
      <c r="N86" t="s">
        <v>432</v>
      </c>
      <c r="O86" t="s">
        <v>432</v>
      </c>
      <c r="P86" t="s">
        <v>432</v>
      </c>
      <c r="Q86" t="s">
        <v>432</v>
      </c>
      <c r="R86" t="s">
        <v>432</v>
      </c>
      <c r="S86" t="s">
        <v>432</v>
      </c>
      <c r="T86" t="s">
        <v>432</v>
      </c>
      <c r="U86" t="s">
        <v>432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4</v>
      </c>
      <c r="AE86">
        <v>1</v>
      </c>
      <c r="AF86">
        <v>4</v>
      </c>
      <c r="AG86">
        <v>1</v>
      </c>
      <c r="AH86">
        <v>3420</v>
      </c>
      <c r="AI86" t="s">
        <v>1300</v>
      </c>
      <c r="AJ86">
        <v>0</v>
      </c>
      <c r="AK86" t="s">
        <v>504</v>
      </c>
      <c r="AL86" t="s">
        <v>1458</v>
      </c>
      <c r="AM86">
        <v>0.6</v>
      </c>
      <c r="AN86">
        <v>0.16</v>
      </c>
      <c r="AO86">
        <v>0.6</v>
      </c>
      <c r="AP86">
        <v>0.16</v>
      </c>
      <c r="AQ86">
        <v>3</v>
      </c>
      <c r="AR86" t="s">
        <v>1459</v>
      </c>
      <c r="AS86">
        <v>0</v>
      </c>
      <c r="AT86">
        <v>0</v>
      </c>
      <c r="AU86">
        <v>10</v>
      </c>
      <c r="AV86">
        <v>9003</v>
      </c>
      <c r="AW86">
        <v>0</v>
      </c>
      <c r="AX86">
        <f>COUNTIF('Equip Data'!A:A,A86)</f>
        <v>1</v>
      </c>
    </row>
    <row r="87" spans="1:50" hidden="1" x14ac:dyDescent="0.25">
      <c r="A87">
        <v>87</v>
      </c>
      <c r="B87" t="s">
        <v>1460</v>
      </c>
      <c r="C87" t="s">
        <v>1461</v>
      </c>
      <c r="D87" t="s">
        <v>1462</v>
      </c>
      <c r="E87">
        <v>2</v>
      </c>
      <c r="F87">
        <v>3</v>
      </c>
      <c r="G87">
        <v>15</v>
      </c>
      <c r="H87" t="s">
        <v>432</v>
      </c>
      <c r="I87" t="s">
        <v>432</v>
      </c>
      <c r="J87" t="s">
        <v>432</v>
      </c>
      <c r="K87" t="s">
        <v>505</v>
      </c>
      <c r="L87" t="s">
        <v>432</v>
      </c>
      <c r="M87" t="s">
        <v>458</v>
      </c>
      <c r="N87" t="s">
        <v>432</v>
      </c>
      <c r="O87" t="s">
        <v>432</v>
      </c>
      <c r="P87" t="s">
        <v>432</v>
      </c>
      <c r="Q87" t="s">
        <v>432</v>
      </c>
      <c r="R87" t="s">
        <v>432</v>
      </c>
      <c r="S87" t="s">
        <v>432</v>
      </c>
      <c r="T87" t="s">
        <v>432</v>
      </c>
      <c r="U87" t="s">
        <v>432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1</v>
      </c>
      <c r="AE87">
        <v>0</v>
      </c>
      <c r="AF87">
        <v>2</v>
      </c>
      <c r="AG87">
        <v>0</v>
      </c>
      <c r="AH87">
        <v>960</v>
      </c>
      <c r="AI87" t="s">
        <v>1176</v>
      </c>
      <c r="AJ87">
        <v>0</v>
      </c>
      <c r="AK87" t="s">
        <v>432</v>
      </c>
      <c r="AL87" t="s">
        <v>1463</v>
      </c>
      <c r="AM87">
        <v>0</v>
      </c>
      <c r="AN87">
        <v>0</v>
      </c>
      <c r="AO87">
        <v>0</v>
      </c>
      <c r="AP87">
        <v>0</v>
      </c>
      <c r="AQ87">
        <v>1</v>
      </c>
      <c r="AR87" t="s">
        <v>432</v>
      </c>
      <c r="AS87">
        <v>0</v>
      </c>
      <c r="AT87">
        <v>0</v>
      </c>
      <c r="AU87">
        <v>0</v>
      </c>
      <c r="AV87">
        <v>15001</v>
      </c>
      <c r="AW87">
        <v>0</v>
      </c>
      <c r="AX87">
        <f>COUNTIF('Equip Data'!A:A,A87)</f>
        <v>1</v>
      </c>
    </row>
    <row r="88" spans="1:50" hidden="1" x14ac:dyDescent="0.25">
      <c r="A88">
        <v>88</v>
      </c>
      <c r="B88" t="s">
        <v>1464</v>
      </c>
      <c r="C88" t="s">
        <v>1465</v>
      </c>
      <c r="D88" t="s">
        <v>1462</v>
      </c>
      <c r="E88">
        <v>3</v>
      </c>
      <c r="F88">
        <v>3</v>
      </c>
      <c r="G88">
        <v>15</v>
      </c>
      <c r="H88" t="s">
        <v>432</v>
      </c>
      <c r="I88" t="s">
        <v>432</v>
      </c>
      <c r="J88" t="s">
        <v>432</v>
      </c>
      <c r="K88" t="s">
        <v>505</v>
      </c>
      <c r="L88" t="s">
        <v>432</v>
      </c>
      <c r="M88" t="s">
        <v>459</v>
      </c>
      <c r="N88" t="s">
        <v>432</v>
      </c>
      <c r="O88" t="s">
        <v>432</v>
      </c>
      <c r="P88" t="s">
        <v>432</v>
      </c>
      <c r="Q88" t="s">
        <v>432</v>
      </c>
      <c r="R88" t="s">
        <v>432</v>
      </c>
      <c r="S88" t="s">
        <v>432</v>
      </c>
      <c r="T88" t="s">
        <v>432</v>
      </c>
      <c r="U88" t="s">
        <v>432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2</v>
      </c>
      <c r="AE88">
        <v>0</v>
      </c>
      <c r="AF88">
        <v>3</v>
      </c>
      <c r="AG88">
        <v>0</v>
      </c>
      <c r="AH88">
        <v>1860</v>
      </c>
      <c r="AI88" t="s">
        <v>1176</v>
      </c>
      <c r="AJ88">
        <v>0</v>
      </c>
      <c r="AK88" t="s">
        <v>432</v>
      </c>
      <c r="AL88" t="s">
        <v>1466</v>
      </c>
      <c r="AM88">
        <v>0.55000000000000004</v>
      </c>
      <c r="AN88">
        <v>0.16</v>
      </c>
      <c r="AO88">
        <v>0.6</v>
      </c>
      <c r="AP88">
        <v>0.16</v>
      </c>
      <c r="AQ88">
        <v>1</v>
      </c>
      <c r="AR88" t="s">
        <v>1467</v>
      </c>
      <c r="AS88">
        <v>0</v>
      </c>
      <c r="AT88">
        <v>0</v>
      </c>
      <c r="AU88">
        <v>10</v>
      </c>
      <c r="AV88">
        <v>15001</v>
      </c>
      <c r="AW88">
        <v>0</v>
      </c>
      <c r="AX88">
        <f>COUNTIF('Equip Data'!A:A,A88)</f>
        <v>1</v>
      </c>
    </row>
    <row r="89" spans="1:50" hidden="1" x14ac:dyDescent="0.25">
      <c r="A89">
        <v>89</v>
      </c>
      <c r="B89" t="s">
        <v>1468</v>
      </c>
      <c r="C89" t="s">
        <v>1469</v>
      </c>
      <c r="D89" t="s">
        <v>1470</v>
      </c>
      <c r="E89">
        <v>4</v>
      </c>
      <c r="F89">
        <v>3</v>
      </c>
      <c r="G89">
        <v>15</v>
      </c>
      <c r="H89" t="s">
        <v>432</v>
      </c>
      <c r="I89" t="s">
        <v>432</v>
      </c>
      <c r="J89" t="s">
        <v>432</v>
      </c>
      <c r="K89" t="s">
        <v>505</v>
      </c>
      <c r="L89" t="s">
        <v>432</v>
      </c>
      <c r="M89" t="s">
        <v>506</v>
      </c>
      <c r="N89" t="s">
        <v>432</v>
      </c>
      <c r="O89" t="s">
        <v>432</v>
      </c>
      <c r="P89" t="s">
        <v>432</v>
      </c>
      <c r="Q89" t="s">
        <v>432</v>
      </c>
      <c r="R89" t="s">
        <v>432</v>
      </c>
      <c r="S89" t="s">
        <v>432</v>
      </c>
      <c r="T89" t="s">
        <v>432</v>
      </c>
      <c r="U89" t="s">
        <v>432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3</v>
      </c>
      <c r="AE89">
        <v>0</v>
      </c>
      <c r="AF89">
        <v>4</v>
      </c>
      <c r="AG89">
        <v>0</v>
      </c>
      <c r="AH89">
        <v>2760</v>
      </c>
      <c r="AI89" t="s">
        <v>1176</v>
      </c>
      <c r="AJ89">
        <v>0</v>
      </c>
      <c r="AK89" t="s">
        <v>432</v>
      </c>
      <c r="AL89" t="s">
        <v>1471</v>
      </c>
      <c r="AM89">
        <v>0.55000000000000004</v>
      </c>
      <c r="AN89">
        <v>0.16</v>
      </c>
      <c r="AO89">
        <v>0.6</v>
      </c>
      <c r="AP89">
        <v>0.16</v>
      </c>
      <c r="AQ89">
        <v>1</v>
      </c>
      <c r="AR89" t="s">
        <v>1472</v>
      </c>
      <c r="AS89">
        <v>0</v>
      </c>
      <c r="AT89">
        <v>0</v>
      </c>
      <c r="AU89">
        <v>10</v>
      </c>
      <c r="AV89">
        <v>15001</v>
      </c>
      <c r="AW89">
        <v>0</v>
      </c>
      <c r="AX89">
        <f>COUNTIF('Equip Data'!A:A,A89)</f>
        <v>1</v>
      </c>
    </row>
    <row r="90" spans="1:50" hidden="1" x14ac:dyDescent="0.25">
      <c r="A90">
        <v>90</v>
      </c>
      <c r="B90" t="s">
        <v>1473</v>
      </c>
      <c r="C90" t="s">
        <v>1474</v>
      </c>
      <c r="D90" t="s">
        <v>1475</v>
      </c>
      <c r="E90">
        <v>5</v>
      </c>
      <c r="F90">
        <v>3</v>
      </c>
      <c r="G90">
        <v>15</v>
      </c>
      <c r="H90" t="s">
        <v>432</v>
      </c>
      <c r="I90" t="s">
        <v>432</v>
      </c>
      <c r="J90" t="s">
        <v>432</v>
      </c>
      <c r="K90" t="s">
        <v>505</v>
      </c>
      <c r="L90" t="s">
        <v>432</v>
      </c>
      <c r="M90" t="s">
        <v>447</v>
      </c>
      <c r="N90" t="s">
        <v>432</v>
      </c>
      <c r="O90" t="s">
        <v>432</v>
      </c>
      <c r="P90" t="s">
        <v>432</v>
      </c>
      <c r="Q90" t="s">
        <v>432</v>
      </c>
      <c r="R90" t="s">
        <v>432</v>
      </c>
      <c r="S90" t="s">
        <v>432</v>
      </c>
      <c r="T90" t="s">
        <v>432</v>
      </c>
      <c r="U90" t="s">
        <v>432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4</v>
      </c>
      <c r="AE90">
        <v>0</v>
      </c>
      <c r="AF90">
        <v>5</v>
      </c>
      <c r="AG90">
        <v>0</v>
      </c>
      <c r="AH90">
        <v>3360</v>
      </c>
      <c r="AI90" t="s">
        <v>1176</v>
      </c>
      <c r="AJ90">
        <v>0</v>
      </c>
      <c r="AK90" t="s">
        <v>432</v>
      </c>
      <c r="AL90" t="s">
        <v>1476</v>
      </c>
      <c r="AM90">
        <v>0.55000000000000004</v>
      </c>
      <c r="AN90">
        <v>0.16</v>
      </c>
      <c r="AO90">
        <v>0.6</v>
      </c>
      <c r="AP90">
        <v>0.16</v>
      </c>
      <c r="AQ90">
        <v>1</v>
      </c>
      <c r="AR90" t="s">
        <v>1477</v>
      </c>
      <c r="AS90">
        <v>0</v>
      </c>
      <c r="AT90">
        <v>0</v>
      </c>
      <c r="AU90">
        <v>10</v>
      </c>
      <c r="AV90">
        <v>15001</v>
      </c>
      <c r="AW90">
        <v>0</v>
      </c>
      <c r="AX90">
        <f>COUNTIF('Equip Data'!A:A,A90)</f>
        <v>1</v>
      </c>
    </row>
    <row r="91" spans="1:50" hidden="1" x14ac:dyDescent="0.25">
      <c r="A91">
        <v>91</v>
      </c>
      <c r="B91" t="s">
        <v>1478</v>
      </c>
      <c r="C91" t="s">
        <v>1479</v>
      </c>
      <c r="D91" t="s">
        <v>1480</v>
      </c>
      <c r="E91">
        <v>5</v>
      </c>
      <c r="F91">
        <v>3</v>
      </c>
      <c r="G91">
        <v>11</v>
      </c>
      <c r="H91" t="s">
        <v>432</v>
      </c>
      <c r="I91" t="s">
        <v>507</v>
      </c>
      <c r="J91" t="s">
        <v>494</v>
      </c>
      <c r="K91" t="s">
        <v>432</v>
      </c>
      <c r="L91" t="s">
        <v>508</v>
      </c>
      <c r="M91" t="s">
        <v>432</v>
      </c>
      <c r="N91" t="s">
        <v>432</v>
      </c>
      <c r="O91" t="s">
        <v>432</v>
      </c>
      <c r="P91" t="s">
        <v>496</v>
      </c>
      <c r="Q91" t="s">
        <v>432</v>
      </c>
      <c r="R91" t="s">
        <v>432</v>
      </c>
      <c r="S91" t="s">
        <v>432</v>
      </c>
      <c r="T91" t="s">
        <v>432</v>
      </c>
      <c r="U91" t="s">
        <v>432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2</v>
      </c>
      <c r="AE91">
        <v>2</v>
      </c>
      <c r="AF91">
        <v>3</v>
      </c>
      <c r="AG91">
        <v>3</v>
      </c>
      <c r="AH91">
        <v>3060</v>
      </c>
      <c r="AI91" t="s">
        <v>1481</v>
      </c>
      <c r="AJ91">
        <v>0</v>
      </c>
      <c r="AK91" t="s">
        <v>475</v>
      </c>
      <c r="AL91" t="s">
        <v>1482</v>
      </c>
      <c r="AM91">
        <v>0.23</v>
      </c>
      <c r="AN91">
        <v>0.23</v>
      </c>
      <c r="AO91">
        <v>0.33</v>
      </c>
      <c r="AP91">
        <v>0.33</v>
      </c>
      <c r="AQ91">
        <v>3</v>
      </c>
      <c r="AR91" t="s">
        <v>1483</v>
      </c>
      <c r="AS91">
        <v>0</v>
      </c>
      <c r="AT91">
        <v>0</v>
      </c>
      <c r="AU91">
        <v>10</v>
      </c>
      <c r="AV91">
        <v>11002</v>
      </c>
      <c r="AW91">
        <v>0</v>
      </c>
      <c r="AX91">
        <f>COUNTIF('Equip Data'!A:A,A91)</f>
        <v>1</v>
      </c>
    </row>
    <row r="92" spans="1:50" hidden="1" x14ac:dyDescent="0.25">
      <c r="A92">
        <v>92</v>
      </c>
      <c r="B92" t="s">
        <v>1484</v>
      </c>
      <c r="C92" t="s">
        <v>1485</v>
      </c>
      <c r="D92" t="s">
        <v>1486</v>
      </c>
      <c r="E92">
        <v>5</v>
      </c>
      <c r="F92">
        <v>3</v>
      </c>
      <c r="G92">
        <v>10</v>
      </c>
      <c r="H92" t="s">
        <v>432</v>
      </c>
      <c r="I92" t="s">
        <v>432</v>
      </c>
      <c r="J92" t="s">
        <v>467</v>
      </c>
      <c r="K92" t="s">
        <v>432</v>
      </c>
      <c r="L92" t="s">
        <v>432</v>
      </c>
      <c r="M92" t="s">
        <v>447</v>
      </c>
      <c r="N92" t="s">
        <v>432</v>
      </c>
      <c r="O92" t="s">
        <v>432</v>
      </c>
      <c r="P92" t="s">
        <v>432</v>
      </c>
      <c r="Q92" t="s">
        <v>432</v>
      </c>
      <c r="R92" t="s">
        <v>432</v>
      </c>
      <c r="S92" t="s">
        <v>432</v>
      </c>
      <c r="T92" t="s">
        <v>432</v>
      </c>
      <c r="U92" t="s">
        <v>432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4</v>
      </c>
      <c r="AE92">
        <v>2</v>
      </c>
      <c r="AF92">
        <v>0</v>
      </c>
      <c r="AG92">
        <v>4</v>
      </c>
      <c r="AH92">
        <v>3120</v>
      </c>
      <c r="AI92" t="s">
        <v>1176</v>
      </c>
      <c r="AJ92">
        <v>0</v>
      </c>
      <c r="AK92" t="s">
        <v>509</v>
      </c>
      <c r="AL92" t="s">
        <v>1487</v>
      </c>
      <c r="AM92">
        <v>0.3</v>
      </c>
      <c r="AN92">
        <v>0.23</v>
      </c>
      <c r="AO92">
        <v>0.15</v>
      </c>
      <c r="AP92">
        <v>0.38</v>
      </c>
      <c r="AQ92">
        <v>3</v>
      </c>
      <c r="AR92" t="s">
        <v>1488</v>
      </c>
      <c r="AS92">
        <v>0</v>
      </c>
      <c r="AT92">
        <v>0</v>
      </c>
      <c r="AU92">
        <v>10</v>
      </c>
      <c r="AV92">
        <v>10004</v>
      </c>
      <c r="AW92">
        <v>0</v>
      </c>
      <c r="AX92">
        <f>COUNTIF('Equip Data'!A:A,A92)</f>
        <v>1</v>
      </c>
    </row>
    <row r="93" spans="1:50" hidden="1" x14ac:dyDescent="0.25">
      <c r="A93">
        <v>93</v>
      </c>
      <c r="B93" t="s">
        <v>1489</v>
      </c>
      <c r="C93" t="s">
        <v>1490</v>
      </c>
      <c r="D93" t="s">
        <v>1491</v>
      </c>
      <c r="E93">
        <v>5</v>
      </c>
      <c r="F93">
        <v>1</v>
      </c>
      <c r="G93">
        <v>4</v>
      </c>
      <c r="H93" t="s">
        <v>510</v>
      </c>
      <c r="I93" t="s">
        <v>432</v>
      </c>
      <c r="J93" t="s">
        <v>432</v>
      </c>
      <c r="K93" t="s">
        <v>432</v>
      </c>
      <c r="L93" t="s">
        <v>432</v>
      </c>
      <c r="M93" t="s">
        <v>432</v>
      </c>
      <c r="N93" t="s">
        <v>432</v>
      </c>
      <c r="O93" t="s">
        <v>432</v>
      </c>
      <c r="P93" t="s">
        <v>432</v>
      </c>
      <c r="Q93" t="s">
        <v>432</v>
      </c>
      <c r="R93" t="s">
        <v>432</v>
      </c>
      <c r="S93" t="s">
        <v>432</v>
      </c>
      <c r="T93" t="s">
        <v>472</v>
      </c>
      <c r="U93" t="s">
        <v>432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3</v>
      </c>
      <c r="AE93">
        <v>0</v>
      </c>
      <c r="AF93">
        <v>4</v>
      </c>
      <c r="AG93">
        <v>2</v>
      </c>
      <c r="AH93">
        <v>2940</v>
      </c>
      <c r="AI93" t="s">
        <v>1492</v>
      </c>
      <c r="AJ93">
        <v>0</v>
      </c>
      <c r="AK93" t="s">
        <v>511</v>
      </c>
      <c r="AL93" t="s">
        <v>1493</v>
      </c>
      <c r="AM93">
        <v>0.33</v>
      </c>
      <c r="AN93">
        <v>0.22</v>
      </c>
      <c r="AO93">
        <v>0.5</v>
      </c>
      <c r="AP93">
        <v>0.18</v>
      </c>
      <c r="AQ93">
        <v>3</v>
      </c>
      <c r="AR93" t="s">
        <v>1352</v>
      </c>
      <c r="AS93">
        <v>0</v>
      </c>
      <c r="AT93">
        <v>0</v>
      </c>
      <c r="AU93">
        <v>10</v>
      </c>
      <c r="AV93">
        <v>4002</v>
      </c>
      <c r="AW93">
        <v>0</v>
      </c>
      <c r="AX93">
        <f>COUNTIF('Equip Data'!A:A,A93)</f>
        <v>1</v>
      </c>
    </row>
    <row r="94" spans="1:50" hidden="1" x14ac:dyDescent="0.25">
      <c r="A94">
        <v>94</v>
      </c>
      <c r="B94" t="s">
        <v>1494</v>
      </c>
      <c r="C94" t="s">
        <v>1495</v>
      </c>
      <c r="D94" t="s">
        <v>1496</v>
      </c>
      <c r="E94">
        <v>5</v>
      </c>
      <c r="F94">
        <v>3</v>
      </c>
      <c r="G94">
        <v>14</v>
      </c>
      <c r="H94" t="s">
        <v>439</v>
      </c>
      <c r="I94" t="s">
        <v>512</v>
      </c>
      <c r="J94" t="s">
        <v>432</v>
      </c>
      <c r="K94" t="s">
        <v>432</v>
      </c>
      <c r="L94" t="s">
        <v>432</v>
      </c>
      <c r="M94" t="s">
        <v>432</v>
      </c>
      <c r="N94" t="s">
        <v>432</v>
      </c>
      <c r="O94" t="s">
        <v>432</v>
      </c>
      <c r="P94" t="s">
        <v>432</v>
      </c>
      <c r="Q94" t="s">
        <v>432</v>
      </c>
      <c r="R94" t="s">
        <v>432</v>
      </c>
      <c r="S94" t="s">
        <v>432</v>
      </c>
      <c r="T94" t="s">
        <v>432</v>
      </c>
      <c r="U94" t="s">
        <v>458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1</v>
      </c>
      <c r="AE94">
        <v>1</v>
      </c>
      <c r="AF94">
        <v>1</v>
      </c>
      <c r="AG94">
        <v>5</v>
      </c>
      <c r="AH94">
        <v>3420</v>
      </c>
      <c r="AI94" t="s">
        <v>1300</v>
      </c>
      <c r="AJ94">
        <v>0</v>
      </c>
      <c r="AK94" t="s">
        <v>513</v>
      </c>
      <c r="AL94" t="s">
        <v>1497</v>
      </c>
      <c r="AM94">
        <v>0.1</v>
      </c>
      <c r="AN94">
        <v>0.1</v>
      </c>
      <c r="AO94">
        <v>0.1</v>
      </c>
      <c r="AP94">
        <v>0.55000000000000004</v>
      </c>
      <c r="AQ94">
        <v>3</v>
      </c>
      <c r="AR94" t="s">
        <v>1498</v>
      </c>
      <c r="AS94">
        <v>0</v>
      </c>
      <c r="AT94">
        <v>0</v>
      </c>
      <c r="AU94">
        <v>10</v>
      </c>
      <c r="AV94">
        <v>9004</v>
      </c>
      <c r="AW94">
        <v>0</v>
      </c>
      <c r="AX94">
        <f>COUNTIF('Equip Data'!A:A,A94)</f>
        <v>1</v>
      </c>
    </row>
    <row r="95" spans="1:50" hidden="1" x14ac:dyDescent="0.25">
      <c r="A95">
        <v>95</v>
      </c>
      <c r="B95" t="s">
        <v>1499</v>
      </c>
      <c r="C95" t="s">
        <v>1500</v>
      </c>
      <c r="D95" t="s">
        <v>1501</v>
      </c>
      <c r="E95">
        <v>5</v>
      </c>
      <c r="F95">
        <v>2</v>
      </c>
      <c r="G95">
        <v>6</v>
      </c>
      <c r="H95" t="s">
        <v>495</v>
      </c>
      <c r="I95" t="s">
        <v>432</v>
      </c>
      <c r="J95" t="s">
        <v>432</v>
      </c>
      <c r="K95" t="s">
        <v>432</v>
      </c>
      <c r="L95" t="s">
        <v>432</v>
      </c>
      <c r="M95" t="s">
        <v>432</v>
      </c>
      <c r="N95" t="s">
        <v>432</v>
      </c>
      <c r="O95" t="s">
        <v>514</v>
      </c>
      <c r="P95" t="s">
        <v>432</v>
      </c>
      <c r="Q95" t="s">
        <v>432</v>
      </c>
      <c r="R95" t="s">
        <v>432</v>
      </c>
      <c r="S95" t="s">
        <v>432</v>
      </c>
      <c r="T95" t="s">
        <v>432</v>
      </c>
      <c r="U95" t="s">
        <v>432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4</v>
      </c>
      <c r="AE95">
        <v>4</v>
      </c>
      <c r="AF95">
        <v>0</v>
      </c>
      <c r="AG95">
        <v>2</v>
      </c>
      <c r="AH95">
        <v>3180</v>
      </c>
      <c r="AI95" t="s">
        <v>1300</v>
      </c>
      <c r="AJ95">
        <v>0</v>
      </c>
      <c r="AK95" t="s">
        <v>432</v>
      </c>
      <c r="AL95" t="s">
        <v>1502</v>
      </c>
      <c r="AM95">
        <v>0.48</v>
      </c>
      <c r="AN95">
        <v>0.48</v>
      </c>
      <c r="AO95">
        <v>0.08</v>
      </c>
      <c r="AP95">
        <v>0.25</v>
      </c>
      <c r="AQ95">
        <v>1</v>
      </c>
      <c r="AR95" t="s">
        <v>1399</v>
      </c>
      <c r="AS95">
        <v>0</v>
      </c>
      <c r="AT95">
        <v>0</v>
      </c>
      <c r="AU95">
        <v>10</v>
      </c>
      <c r="AV95">
        <v>6003</v>
      </c>
      <c r="AW95">
        <v>0</v>
      </c>
      <c r="AX95">
        <f>COUNTIF('Equip Data'!A:A,A95)</f>
        <v>0</v>
      </c>
    </row>
    <row r="96" spans="1:50" hidden="1" x14ac:dyDescent="0.25">
      <c r="A96">
        <v>96</v>
      </c>
      <c r="B96" t="s">
        <v>1503</v>
      </c>
      <c r="C96" t="s">
        <v>1504</v>
      </c>
      <c r="D96" t="s">
        <v>1505</v>
      </c>
      <c r="E96">
        <v>5</v>
      </c>
      <c r="F96">
        <v>3</v>
      </c>
      <c r="G96">
        <v>15</v>
      </c>
      <c r="H96" t="s">
        <v>432</v>
      </c>
      <c r="I96" t="s">
        <v>432</v>
      </c>
      <c r="J96" t="s">
        <v>432</v>
      </c>
      <c r="K96" t="s">
        <v>505</v>
      </c>
      <c r="L96" t="s">
        <v>432</v>
      </c>
      <c r="M96" t="s">
        <v>496</v>
      </c>
      <c r="N96" t="s">
        <v>432</v>
      </c>
      <c r="O96" t="s">
        <v>432</v>
      </c>
      <c r="P96" t="s">
        <v>432</v>
      </c>
      <c r="Q96" t="s">
        <v>432</v>
      </c>
      <c r="R96" t="s">
        <v>432</v>
      </c>
      <c r="S96" t="s">
        <v>432</v>
      </c>
      <c r="T96" t="s">
        <v>432</v>
      </c>
      <c r="U96" t="s">
        <v>432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4</v>
      </c>
      <c r="AE96">
        <v>0</v>
      </c>
      <c r="AF96">
        <v>5</v>
      </c>
      <c r="AG96">
        <v>0</v>
      </c>
      <c r="AH96">
        <v>3360</v>
      </c>
      <c r="AI96" t="s">
        <v>1300</v>
      </c>
      <c r="AJ96">
        <v>0</v>
      </c>
      <c r="AK96" t="s">
        <v>432</v>
      </c>
      <c r="AL96" t="s">
        <v>1506</v>
      </c>
      <c r="AM96">
        <v>0.55000000000000004</v>
      </c>
      <c r="AN96">
        <v>0.16</v>
      </c>
      <c r="AO96">
        <v>0.6</v>
      </c>
      <c r="AP96">
        <v>0.16</v>
      </c>
      <c r="AQ96">
        <v>1</v>
      </c>
      <c r="AR96" t="s">
        <v>1477</v>
      </c>
      <c r="AS96">
        <v>0</v>
      </c>
      <c r="AT96">
        <v>0</v>
      </c>
      <c r="AU96">
        <v>10</v>
      </c>
      <c r="AV96">
        <v>15001</v>
      </c>
      <c r="AW96">
        <v>0</v>
      </c>
      <c r="AX96">
        <f>COUNTIF('Equip Data'!A:A,A96)</f>
        <v>0</v>
      </c>
    </row>
    <row r="97" spans="1:50" hidden="1" x14ac:dyDescent="0.25">
      <c r="A97">
        <v>97</v>
      </c>
      <c r="B97" t="s">
        <v>1507</v>
      </c>
      <c r="C97" t="s">
        <v>1508</v>
      </c>
      <c r="D97" t="s">
        <v>1274</v>
      </c>
      <c r="E97">
        <v>5</v>
      </c>
      <c r="F97">
        <v>3</v>
      </c>
      <c r="G97">
        <v>11</v>
      </c>
      <c r="H97" t="s">
        <v>432</v>
      </c>
      <c r="I97" t="s">
        <v>432</v>
      </c>
      <c r="J97" t="s">
        <v>432</v>
      </c>
      <c r="K97" t="s">
        <v>432</v>
      </c>
      <c r="L97" t="s">
        <v>432</v>
      </c>
      <c r="M97" t="s">
        <v>432</v>
      </c>
      <c r="N97" t="s">
        <v>432</v>
      </c>
      <c r="O97" t="s">
        <v>432</v>
      </c>
      <c r="P97" t="s">
        <v>1509</v>
      </c>
      <c r="Q97" t="s">
        <v>432</v>
      </c>
      <c r="R97" t="s">
        <v>432</v>
      </c>
      <c r="S97" t="s">
        <v>432</v>
      </c>
      <c r="T97" t="s">
        <v>432</v>
      </c>
      <c r="U97" t="s">
        <v>432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2</v>
      </c>
      <c r="AE97">
        <v>2</v>
      </c>
      <c r="AF97">
        <v>3</v>
      </c>
      <c r="AG97">
        <v>3</v>
      </c>
      <c r="AH97">
        <v>3600</v>
      </c>
      <c r="AI97" t="s">
        <v>432</v>
      </c>
      <c r="AJ97">
        <v>0</v>
      </c>
      <c r="AK97" t="s">
        <v>1510</v>
      </c>
      <c r="AL97" t="s">
        <v>1511</v>
      </c>
      <c r="AM97">
        <v>100</v>
      </c>
      <c r="AN97">
        <v>100</v>
      </c>
      <c r="AO97">
        <v>100</v>
      </c>
      <c r="AP97">
        <v>100</v>
      </c>
      <c r="AQ97">
        <v>1</v>
      </c>
      <c r="AR97" t="s">
        <v>1276</v>
      </c>
      <c r="AS97">
        <v>0</v>
      </c>
      <c r="AT97">
        <v>0</v>
      </c>
      <c r="AU97">
        <v>10</v>
      </c>
      <c r="AV97">
        <v>11999</v>
      </c>
      <c r="AW97">
        <v>0</v>
      </c>
      <c r="AX97">
        <f>COUNTIF('Equip Data'!A:A,A97)</f>
        <v>0</v>
      </c>
    </row>
    <row r="98" spans="1:50" hidden="1" x14ac:dyDescent="0.25">
      <c r="A98">
        <v>98</v>
      </c>
      <c r="B98" t="s">
        <v>1512</v>
      </c>
      <c r="C98" t="s">
        <v>1513</v>
      </c>
      <c r="D98" t="s">
        <v>1189</v>
      </c>
      <c r="E98">
        <v>5</v>
      </c>
      <c r="F98">
        <v>2</v>
      </c>
      <c r="G98">
        <v>5</v>
      </c>
      <c r="H98" t="s">
        <v>432</v>
      </c>
      <c r="I98" t="s">
        <v>432</v>
      </c>
      <c r="J98" t="s">
        <v>432</v>
      </c>
      <c r="K98" t="s">
        <v>432</v>
      </c>
      <c r="L98" t="s">
        <v>432</v>
      </c>
      <c r="M98" t="s">
        <v>432</v>
      </c>
      <c r="N98" t="s">
        <v>432</v>
      </c>
      <c r="O98" t="s">
        <v>1509</v>
      </c>
      <c r="P98" t="s">
        <v>432</v>
      </c>
      <c r="Q98" t="s">
        <v>432</v>
      </c>
      <c r="R98" t="s">
        <v>432</v>
      </c>
      <c r="S98" t="s">
        <v>432</v>
      </c>
      <c r="T98" t="s">
        <v>432</v>
      </c>
      <c r="U98" t="s">
        <v>432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4</v>
      </c>
      <c r="AF98">
        <v>2</v>
      </c>
      <c r="AG98">
        <v>3</v>
      </c>
      <c r="AH98">
        <v>3600</v>
      </c>
      <c r="AI98" t="s">
        <v>432</v>
      </c>
      <c r="AJ98">
        <v>0</v>
      </c>
      <c r="AK98" t="s">
        <v>1510</v>
      </c>
      <c r="AL98" t="s">
        <v>1514</v>
      </c>
      <c r="AM98">
        <v>100</v>
      </c>
      <c r="AN98">
        <v>100</v>
      </c>
      <c r="AO98">
        <v>100</v>
      </c>
      <c r="AP98">
        <v>100</v>
      </c>
      <c r="AQ98">
        <v>1</v>
      </c>
      <c r="AR98" t="s">
        <v>1194</v>
      </c>
      <c r="AS98">
        <v>0</v>
      </c>
      <c r="AT98">
        <v>0</v>
      </c>
      <c r="AU98">
        <v>10</v>
      </c>
      <c r="AV98">
        <v>5999</v>
      </c>
      <c r="AW98">
        <v>0</v>
      </c>
      <c r="AX98">
        <f>COUNTIF('Equip Data'!A:A,A98)</f>
        <v>0</v>
      </c>
    </row>
    <row r="99" spans="1:50" hidden="1" x14ac:dyDescent="0.25">
      <c r="A99">
        <v>99</v>
      </c>
      <c r="B99" t="s">
        <v>1515</v>
      </c>
      <c r="C99" t="s">
        <v>1516</v>
      </c>
      <c r="D99" t="s">
        <v>1517</v>
      </c>
      <c r="E99">
        <v>5</v>
      </c>
      <c r="F99">
        <v>3</v>
      </c>
      <c r="G99">
        <v>12</v>
      </c>
      <c r="H99" t="s">
        <v>438</v>
      </c>
      <c r="I99" t="s">
        <v>432</v>
      </c>
      <c r="J99" t="s">
        <v>432</v>
      </c>
      <c r="K99" t="s">
        <v>432</v>
      </c>
      <c r="L99" t="s">
        <v>432</v>
      </c>
      <c r="M99" t="s">
        <v>432</v>
      </c>
      <c r="N99" t="s">
        <v>432</v>
      </c>
      <c r="O99" t="s">
        <v>432</v>
      </c>
      <c r="P99" t="s">
        <v>429</v>
      </c>
      <c r="Q99" t="s">
        <v>432</v>
      </c>
      <c r="R99" t="s">
        <v>432</v>
      </c>
      <c r="S99" t="s">
        <v>432</v>
      </c>
      <c r="T99" t="s">
        <v>432</v>
      </c>
      <c r="U99" t="s">
        <v>432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1</v>
      </c>
      <c r="AE99">
        <v>4</v>
      </c>
      <c r="AF99">
        <v>4</v>
      </c>
      <c r="AG99">
        <v>1</v>
      </c>
      <c r="AH99">
        <v>3600</v>
      </c>
      <c r="AI99" t="s">
        <v>1300</v>
      </c>
      <c r="AJ99">
        <v>0</v>
      </c>
      <c r="AK99" t="s">
        <v>515</v>
      </c>
      <c r="AL99" t="s">
        <v>1518</v>
      </c>
      <c r="AM99">
        <v>0.15</v>
      </c>
      <c r="AN99">
        <v>0.6</v>
      </c>
      <c r="AO99">
        <v>0.6</v>
      </c>
      <c r="AP99">
        <v>0.15</v>
      </c>
      <c r="AQ99">
        <v>3</v>
      </c>
      <c r="AR99" t="s">
        <v>1519</v>
      </c>
      <c r="AS99">
        <v>0</v>
      </c>
      <c r="AT99">
        <v>0</v>
      </c>
      <c r="AU99">
        <v>10</v>
      </c>
      <c r="AV99">
        <v>12002</v>
      </c>
      <c r="AW99">
        <v>0</v>
      </c>
      <c r="AX99">
        <f>COUNTIF('Equip Data'!A:A,A99)</f>
        <v>1</v>
      </c>
    </row>
    <row r="100" spans="1:50" hidden="1" x14ac:dyDescent="0.25">
      <c r="A100">
        <v>100</v>
      </c>
      <c r="B100" t="s">
        <v>1520</v>
      </c>
      <c r="C100" t="s">
        <v>1521</v>
      </c>
      <c r="D100" t="s">
        <v>1522</v>
      </c>
      <c r="E100">
        <v>5</v>
      </c>
      <c r="F100">
        <v>1</v>
      </c>
      <c r="G100">
        <v>16</v>
      </c>
      <c r="H100" t="s">
        <v>432</v>
      </c>
      <c r="I100" t="s">
        <v>441</v>
      </c>
      <c r="J100" t="s">
        <v>432</v>
      </c>
      <c r="K100" t="s">
        <v>432</v>
      </c>
      <c r="L100" t="s">
        <v>432</v>
      </c>
      <c r="M100" t="s">
        <v>447</v>
      </c>
      <c r="N100" t="s">
        <v>432</v>
      </c>
      <c r="O100" t="s">
        <v>432</v>
      </c>
      <c r="P100" t="s">
        <v>432</v>
      </c>
      <c r="Q100" t="s">
        <v>432</v>
      </c>
      <c r="R100" t="s">
        <v>432</v>
      </c>
      <c r="S100" t="s">
        <v>432</v>
      </c>
      <c r="T100" t="s">
        <v>432</v>
      </c>
      <c r="U100" t="s">
        <v>432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4</v>
      </c>
      <c r="AE100">
        <v>1</v>
      </c>
      <c r="AF100">
        <v>4</v>
      </c>
      <c r="AG100">
        <v>1</v>
      </c>
      <c r="AH100">
        <v>3600</v>
      </c>
      <c r="AI100" t="s">
        <v>1300</v>
      </c>
      <c r="AJ100">
        <v>0</v>
      </c>
      <c r="AK100" t="s">
        <v>516</v>
      </c>
      <c r="AL100" t="s">
        <v>1523</v>
      </c>
      <c r="AM100">
        <v>0.5</v>
      </c>
      <c r="AN100">
        <v>0.25</v>
      </c>
      <c r="AO100">
        <v>0.55000000000000004</v>
      </c>
      <c r="AP100">
        <v>0.15</v>
      </c>
      <c r="AQ100">
        <v>3</v>
      </c>
      <c r="AR100" t="s">
        <v>1524</v>
      </c>
      <c r="AS100">
        <v>0</v>
      </c>
      <c r="AT100">
        <v>0</v>
      </c>
      <c r="AU100">
        <v>10</v>
      </c>
      <c r="AV100">
        <v>16001</v>
      </c>
      <c r="AW100">
        <v>0</v>
      </c>
      <c r="AX100">
        <f>COUNTIF('Equip Data'!A:A,A100)</f>
        <v>1</v>
      </c>
    </row>
    <row r="101" spans="1:50" hidden="1" x14ac:dyDescent="0.25">
      <c r="A101">
        <v>101</v>
      </c>
      <c r="B101" t="s">
        <v>1525</v>
      </c>
      <c r="C101" t="s">
        <v>1526</v>
      </c>
      <c r="D101" t="s">
        <v>1527</v>
      </c>
      <c r="E101">
        <v>5</v>
      </c>
      <c r="F101">
        <v>2</v>
      </c>
      <c r="G101">
        <v>6</v>
      </c>
      <c r="H101" t="s">
        <v>517</v>
      </c>
      <c r="I101" t="s">
        <v>432</v>
      </c>
      <c r="J101" t="s">
        <v>432</v>
      </c>
      <c r="K101" t="s">
        <v>432</v>
      </c>
      <c r="L101" t="s">
        <v>432</v>
      </c>
      <c r="M101" t="s">
        <v>432</v>
      </c>
      <c r="N101" t="s">
        <v>432</v>
      </c>
      <c r="O101" t="s">
        <v>490</v>
      </c>
      <c r="P101" t="s">
        <v>432</v>
      </c>
      <c r="Q101" t="s">
        <v>432</v>
      </c>
      <c r="R101" t="s">
        <v>432</v>
      </c>
      <c r="S101" t="s">
        <v>432</v>
      </c>
      <c r="T101" t="s">
        <v>432</v>
      </c>
      <c r="U101" t="s">
        <v>432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4</v>
      </c>
      <c r="AE101">
        <v>4</v>
      </c>
      <c r="AF101">
        <v>0</v>
      </c>
      <c r="AG101">
        <v>2</v>
      </c>
      <c r="AH101">
        <v>3600</v>
      </c>
      <c r="AI101" t="s">
        <v>1528</v>
      </c>
      <c r="AJ101">
        <v>0</v>
      </c>
      <c r="AK101" t="s">
        <v>518</v>
      </c>
      <c r="AL101" t="s">
        <v>1529</v>
      </c>
      <c r="AM101">
        <v>0.48</v>
      </c>
      <c r="AN101">
        <v>0.48</v>
      </c>
      <c r="AO101">
        <v>0.08</v>
      </c>
      <c r="AP101">
        <v>0.25</v>
      </c>
      <c r="AQ101">
        <v>3</v>
      </c>
      <c r="AR101" t="s">
        <v>1530</v>
      </c>
      <c r="AS101">
        <v>0</v>
      </c>
      <c r="AT101">
        <v>0</v>
      </c>
      <c r="AU101">
        <v>10</v>
      </c>
      <c r="AV101">
        <v>6004</v>
      </c>
      <c r="AW101">
        <v>0</v>
      </c>
      <c r="AX101">
        <f>COUNTIF('Equip Data'!A:A,A101)</f>
        <v>1</v>
      </c>
    </row>
    <row r="102" spans="1:50" hidden="1" x14ac:dyDescent="0.25">
      <c r="A102">
        <v>102</v>
      </c>
      <c r="B102" t="s">
        <v>1531</v>
      </c>
      <c r="C102" t="s">
        <v>1532</v>
      </c>
      <c r="D102" t="s">
        <v>1533</v>
      </c>
      <c r="E102">
        <v>5</v>
      </c>
      <c r="F102">
        <v>3</v>
      </c>
      <c r="G102">
        <v>9</v>
      </c>
      <c r="H102" t="s">
        <v>485</v>
      </c>
      <c r="I102" t="s">
        <v>432</v>
      </c>
      <c r="J102" t="s">
        <v>519</v>
      </c>
      <c r="K102" t="s">
        <v>432</v>
      </c>
      <c r="L102" t="s">
        <v>435</v>
      </c>
      <c r="M102" t="s">
        <v>432</v>
      </c>
      <c r="N102" t="s">
        <v>432</v>
      </c>
      <c r="O102" t="s">
        <v>432</v>
      </c>
      <c r="P102" t="s">
        <v>432</v>
      </c>
      <c r="Q102" t="s">
        <v>432</v>
      </c>
      <c r="R102" t="s">
        <v>432</v>
      </c>
      <c r="S102" t="s">
        <v>432</v>
      </c>
      <c r="T102" t="s">
        <v>432</v>
      </c>
      <c r="U102" t="s">
        <v>432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4</v>
      </c>
      <c r="AE102">
        <v>2</v>
      </c>
      <c r="AF102">
        <v>0</v>
      </c>
      <c r="AG102">
        <v>4</v>
      </c>
      <c r="AH102">
        <v>3600</v>
      </c>
      <c r="AI102" t="s">
        <v>1534</v>
      </c>
      <c r="AJ102">
        <v>0</v>
      </c>
      <c r="AK102" t="s">
        <v>520</v>
      </c>
      <c r="AL102" t="s">
        <v>1535</v>
      </c>
      <c r="AM102">
        <v>0.3</v>
      </c>
      <c r="AN102">
        <v>0.25</v>
      </c>
      <c r="AO102">
        <v>0.12</v>
      </c>
      <c r="AP102">
        <v>0.38</v>
      </c>
      <c r="AQ102">
        <v>3</v>
      </c>
      <c r="AR102" t="s">
        <v>1536</v>
      </c>
      <c r="AS102">
        <v>0</v>
      </c>
      <c r="AT102">
        <v>0</v>
      </c>
      <c r="AU102">
        <v>10</v>
      </c>
      <c r="AV102">
        <v>9005</v>
      </c>
      <c r="AW102">
        <v>0</v>
      </c>
      <c r="AX102">
        <f>COUNTIF('Equip Data'!A:A,A102)</f>
        <v>1</v>
      </c>
    </row>
    <row r="103" spans="1:50" hidden="1" x14ac:dyDescent="0.25">
      <c r="A103">
        <v>103</v>
      </c>
      <c r="B103" t="s">
        <v>1537</v>
      </c>
      <c r="C103" t="s">
        <v>1538</v>
      </c>
      <c r="D103" t="s">
        <v>1539</v>
      </c>
      <c r="E103">
        <v>5</v>
      </c>
      <c r="F103">
        <v>1</v>
      </c>
      <c r="G103">
        <v>13</v>
      </c>
      <c r="H103" t="s">
        <v>432</v>
      </c>
      <c r="I103" t="s">
        <v>432</v>
      </c>
      <c r="J103" t="s">
        <v>517</v>
      </c>
      <c r="K103" t="s">
        <v>432</v>
      </c>
      <c r="L103" t="s">
        <v>432</v>
      </c>
      <c r="M103" t="s">
        <v>432</v>
      </c>
      <c r="N103" t="s">
        <v>489</v>
      </c>
      <c r="O103" t="s">
        <v>432</v>
      </c>
      <c r="P103" t="s">
        <v>432</v>
      </c>
      <c r="Q103" t="s">
        <v>432</v>
      </c>
      <c r="R103" t="s">
        <v>432</v>
      </c>
      <c r="S103" t="s">
        <v>432</v>
      </c>
      <c r="T103" t="s">
        <v>432</v>
      </c>
      <c r="U103" t="s">
        <v>432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4</v>
      </c>
      <c r="AE103">
        <v>2</v>
      </c>
      <c r="AF103">
        <v>2</v>
      </c>
      <c r="AG103">
        <v>2</v>
      </c>
      <c r="AH103">
        <v>3600</v>
      </c>
      <c r="AI103" t="s">
        <v>1540</v>
      </c>
      <c r="AJ103">
        <v>0</v>
      </c>
      <c r="AK103" t="s">
        <v>521</v>
      </c>
      <c r="AL103" t="s">
        <v>1541</v>
      </c>
      <c r="AM103">
        <v>0.55000000000000004</v>
      </c>
      <c r="AN103">
        <v>0.25</v>
      </c>
      <c r="AO103">
        <v>0.25</v>
      </c>
      <c r="AP103">
        <v>0.23</v>
      </c>
      <c r="AQ103">
        <v>3</v>
      </c>
      <c r="AR103" t="s">
        <v>1542</v>
      </c>
      <c r="AS103">
        <v>0</v>
      </c>
      <c r="AT103">
        <v>0</v>
      </c>
      <c r="AU103">
        <v>10</v>
      </c>
      <c r="AV103">
        <v>13002</v>
      </c>
      <c r="AW103">
        <v>0</v>
      </c>
      <c r="AX103">
        <f>COUNTIF('Equip Data'!A:A,A103)</f>
        <v>1</v>
      </c>
    </row>
    <row r="104" spans="1:50" hidden="1" x14ac:dyDescent="0.25">
      <c r="A104">
        <v>104</v>
      </c>
      <c r="B104" t="s">
        <v>1543</v>
      </c>
      <c r="C104" t="s">
        <v>1544</v>
      </c>
      <c r="D104" t="s">
        <v>1545</v>
      </c>
      <c r="E104">
        <v>5</v>
      </c>
      <c r="F104">
        <v>1</v>
      </c>
      <c r="G104">
        <v>1</v>
      </c>
      <c r="H104" t="s">
        <v>432</v>
      </c>
      <c r="I104" t="s">
        <v>432</v>
      </c>
      <c r="J104" t="s">
        <v>432</v>
      </c>
      <c r="K104" t="s">
        <v>432</v>
      </c>
      <c r="L104" t="s">
        <v>438</v>
      </c>
      <c r="M104" t="s">
        <v>432</v>
      </c>
      <c r="N104" t="s">
        <v>431</v>
      </c>
      <c r="O104" t="s">
        <v>432</v>
      </c>
      <c r="P104" t="s">
        <v>432</v>
      </c>
      <c r="Q104" t="s">
        <v>432</v>
      </c>
      <c r="R104" t="s">
        <v>432</v>
      </c>
      <c r="S104" t="s">
        <v>432</v>
      </c>
      <c r="T104" t="s">
        <v>432</v>
      </c>
      <c r="U104" t="s">
        <v>432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3</v>
      </c>
      <c r="AE104">
        <v>2</v>
      </c>
      <c r="AF104">
        <v>4</v>
      </c>
      <c r="AG104">
        <v>1</v>
      </c>
      <c r="AH104">
        <v>3600</v>
      </c>
      <c r="AI104" t="s">
        <v>1546</v>
      </c>
      <c r="AJ104">
        <v>0</v>
      </c>
      <c r="AK104" t="s">
        <v>522</v>
      </c>
      <c r="AL104" t="s">
        <v>1547</v>
      </c>
      <c r="AM104">
        <v>0.4</v>
      </c>
      <c r="AN104">
        <v>0.2</v>
      </c>
      <c r="AO104">
        <v>0.6</v>
      </c>
      <c r="AP104">
        <v>0.18</v>
      </c>
      <c r="AQ104">
        <v>3</v>
      </c>
      <c r="AR104" t="s">
        <v>1548</v>
      </c>
      <c r="AS104">
        <v>0</v>
      </c>
      <c r="AT104">
        <v>0</v>
      </c>
      <c r="AU104">
        <v>10</v>
      </c>
      <c r="AV104">
        <v>1017</v>
      </c>
      <c r="AW104">
        <v>0</v>
      </c>
      <c r="AX104">
        <f>COUNTIF('Equip Data'!A:A,A104)</f>
        <v>1</v>
      </c>
    </row>
    <row r="105" spans="1:50" hidden="1" x14ac:dyDescent="0.25">
      <c r="A105">
        <v>105</v>
      </c>
      <c r="B105" t="s">
        <v>1549</v>
      </c>
      <c r="C105" t="s">
        <v>1550</v>
      </c>
      <c r="D105" t="s">
        <v>1551</v>
      </c>
      <c r="E105">
        <v>5</v>
      </c>
      <c r="F105">
        <v>1</v>
      </c>
      <c r="G105">
        <v>1</v>
      </c>
      <c r="H105" t="s">
        <v>432</v>
      </c>
      <c r="I105" t="s">
        <v>432</v>
      </c>
      <c r="J105" t="s">
        <v>432</v>
      </c>
      <c r="K105" t="s">
        <v>432</v>
      </c>
      <c r="L105" t="s">
        <v>432</v>
      </c>
      <c r="M105" t="s">
        <v>495</v>
      </c>
      <c r="N105" t="s">
        <v>523</v>
      </c>
      <c r="O105" t="s">
        <v>432</v>
      </c>
      <c r="P105" t="s">
        <v>432</v>
      </c>
      <c r="Q105" t="s">
        <v>432</v>
      </c>
      <c r="R105" t="s">
        <v>432</v>
      </c>
      <c r="S105" t="s">
        <v>432</v>
      </c>
      <c r="T105" t="s">
        <v>432</v>
      </c>
      <c r="U105" t="s">
        <v>432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4</v>
      </c>
      <c r="AE105">
        <v>0</v>
      </c>
      <c r="AF105">
        <v>3</v>
      </c>
      <c r="AG105">
        <v>2</v>
      </c>
      <c r="AH105">
        <v>3600</v>
      </c>
      <c r="AI105" t="s">
        <v>1552</v>
      </c>
      <c r="AJ105">
        <v>0</v>
      </c>
      <c r="AK105" t="s">
        <v>471</v>
      </c>
      <c r="AL105" t="s">
        <v>1553</v>
      </c>
      <c r="AM105">
        <v>0.45</v>
      </c>
      <c r="AN105">
        <v>0.15</v>
      </c>
      <c r="AO105">
        <v>0.3</v>
      </c>
      <c r="AP105">
        <v>0.15</v>
      </c>
      <c r="AQ105">
        <v>3</v>
      </c>
      <c r="AR105" t="s">
        <v>1554</v>
      </c>
      <c r="AS105">
        <v>0</v>
      </c>
      <c r="AT105">
        <v>0</v>
      </c>
      <c r="AU105">
        <v>10</v>
      </c>
      <c r="AV105">
        <v>1003</v>
      </c>
      <c r="AW105">
        <v>0</v>
      </c>
      <c r="AX105">
        <f>COUNTIF('Equip Data'!A:A,A105)</f>
        <v>1</v>
      </c>
    </row>
    <row r="106" spans="1:50" hidden="1" x14ac:dyDescent="0.25">
      <c r="A106">
        <v>106</v>
      </c>
      <c r="B106" t="s">
        <v>1555</v>
      </c>
      <c r="C106" t="s">
        <v>1556</v>
      </c>
      <c r="D106" t="s">
        <v>1557</v>
      </c>
      <c r="E106">
        <v>5</v>
      </c>
      <c r="F106">
        <v>1</v>
      </c>
      <c r="G106">
        <v>2</v>
      </c>
      <c r="H106" t="s">
        <v>441</v>
      </c>
      <c r="I106" t="s">
        <v>442</v>
      </c>
      <c r="J106" t="s">
        <v>432</v>
      </c>
      <c r="K106" t="s">
        <v>432</v>
      </c>
      <c r="L106" t="s">
        <v>432</v>
      </c>
      <c r="M106" t="s">
        <v>432</v>
      </c>
      <c r="N106" t="s">
        <v>489</v>
      </c>
      <c r="O106" t="s">
        <v>432</v>
      </c>
      <c r="P106" t="s">
        <v>432</v>
      </c>
      <c r="Q106" t="s">
        <v>432</v>
      </c>
      <c r="R106" t="s">
        <v>432</v>
      </c>
      <c r="S106" t="s">
        <v>432</v>
      </c>
      <c r="T106" t="s">
        <v>432</v>
      </c>
      <c r="U106" t="s">
        <v>432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4</v>
      </c>
      <c r="AE106">
        <v>0</v>
      </c>
      <c r="AF106">
        <v>3</v>
      </c>
      <c r="AG106">
        <v>2</v>
      </c>
      <c r="AH106">
        <v>3600</v>
      </c>
      <c r="AI106" t="s">
        <v>1300</v>
      </c>
      <c r="AJ106">
        <v>0</v>
      </c>
      <c r="AK106" t="s">
        <v>524</v>
      </c>
      <c r="AL106" t="s">
        <v>1558</v>
      </c>
      <c r="AM106">
        <v>0.45</v>
      </c>
      <c r="AN106">
        <v>0.15</v>
      </c>
      <c r="AO106">
        <v>0.3</v>
      </c>
      <c r="AP106">
        <v>0.15</v>
      </c>
      <c r="AQ106">
        <v>3</v>
      </c>
      <c r="AR106" t="s">
        <v>1559</v>
      </c>
      <c r="AS106">
        <v>0</v>
      </c>
      <c r="AT106">
        <v>0</v>
      </c>
      <c r="AU106">
        <v>10</v>
      </c>
      <c r="AV106">
        <v>2002</v>
      </c>
      <c r="AW106">
        <v>0</v>
      </c>
      <c r="AX106">
        <f>COUNTIF('Equip Data'!A:A,A106)</f>
        <v>1</v>
      </c>
    </row>
    <row r="107" spans="1:50" hidden="1" x14ac:dyDescent="0.25">
      <c r="A107">
        <v>107</v>
      </c>
      <c r="B107" t="s">
        <v>1560</v>
      </c>
      <c r="C107" t="s">
        <v>1561</v>
      </c>
      <c r="D107" t="s">
        <v>1562</v>
      </c>
      <c r="E107">
        <v>5</v>
      </c>
      <c r="F107">
        <v>3</v>
      </c>
      <c r="G107">
        <v>14</v>
      </c>
      <c r="H107" t="s">
        <v>525</v>
      </c>
      <c r="I107" t="s">
        <v>508</v>
      </c>
      <c r="J107" t="s">
        <v>437</v>
      </c>
      <c r="K107" t="s">
        <v>432</v>
      </c>
      <c r="L107" t="s">
        <v>432</v>
      </c>
      <c r="M107" t="s">
        <v>432</v>
      </c>
      <c r="N107" t="s">
        <v>432</v>
      </c>
      <c r="O107" t="s">
        <v>432</v>
      </c>
      <c r="P107" t="s">
        <v>432</v>
      </c>
      <c r="Q107" t="s">
        <v>432</v>
      </c>
      <c r="R107" t="s">
        <v>432</v>
      </c>
      <c r="S107" t="s">
        <v>432</v>
      </c>
      <c r="T107" t="s">
        <v>432</v>
      </c>
      <c r="U107" t="s">
        <v>526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1</v>
      </c>
      <c r="AE107">
        <v>1</v>
      </c>
      <c r="AF107">
        <v>1</v>
      </c>
      <c r="AG107">
        <v>5</v>
      </c>
      <c r="AH107">
        <v>3600</v>
      </c>
      <c r="AI107" t="s">
        <v>1300</v>
      </c>
      <c r="AJ107">
        <v>0</v>
      </c>
      <c r="AK107" t="s">
        <v>527</v>
      </c>
      <c r="AL107" t="s">
        <v>1563</v>
      </c>
      <c r="AM107">
        <v>0.1</v>
      </c>
      <c r="AN107">
        <v>0.1</v>
      </c>
      <c r="AO107">
        <v>0.1</v>
      </c>
      <c r="AP107">
        <v>0.55000000000000004</v>
      </c>
      <c r="AQ107">
        <v>3</v>
      </c>
      <c r="AR107" t="s">
        <v>1357</v>
      </c>
      <c r="AS107">
        <v>0</v>
      </c>
      <c r="AT107">
        <v>0</v>
      </c>
      <c r="AU107">
        <v>10</v>
      </c>
      <c r="AV107">
        <v>14002</v>
      </c>
      <c r="AW107">
        <v>0</v>
      </c>
      <c r="AX107">
        <f>COUNTIF('Equip Data'!A:A,A107)</f>
        <v>1</v>
      </c>
    </row>
    <row r="108" spans="1:50" hidden="1" x14ac:dyDescent="0.25">
      <c r="A108">
        <v>108</v>
      </c>
      <c r="B108" t="s">
        <v>1564</v>
      </c>
      <c r="C108" t="s">
        <v>1565</v>
      </c>
      <c r="D108" t="s">
        <v>1566</v>
      </c>
      <c r="E108">
        <v>5</v>
      </c>
      <c r="F108">
        <v>3</v>
      </c>
      <c r="G108">
        <v>15</v>
      </c>
      <c r="H108" t="s">
        <v>432</v>
      </c>
      <c r="I108" t="s">
        <v>432</v>
      </c>
      <c r="J108" t="s">
        <v>432</v>
      </c>
      <c r="K108" t="s">
        <v>505</v>
      </c>
      <c r="L108" t="s">
        <v>435</v>
      </c>
      <c r="M108" t="s">
        <v>447</v>
      </c>
      <c r="N108" t="s">
        <v>432</v>
      </c>
      <c r="O108" t="s">
        <v>432</v>
      </c>
      <c r="P108" t="s">
        <v>432</v>
      </c>
      <c r="Q108" t="s">
        <v>432</v>
      </c>
      <c r="R108" t="s">
        <v>432</v>
      </c>
      <c r="S108" t="s">
        <v>432</v>
      </c>
      <c r="T108" t="s">
        <v>432</v>
      </c>
      <c r="U108" t="s">
        <v>432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4</v>
      </c>
      <c r="AE108">
        <v>0</v>
      </c>
      <c r="AF108">
        <v>5</v>
      </c>
      <c r="AG108">
        <v>0</v>
      </c>
      <c r="AH108">
        <v>3600</v>
      </c>
      <c r="AI108" t="s">
        <v>1300</v>
      </c>
      <c r="AJ108">
        <v>0</v>
      </c>
      <c r="AK108" t="s">
        <v>528</v>
      </c>
      <c r="AL108" t="s">
        <v>1567</v>
      </c>
      <c r="AM108">
        <v>0.55000000000000004</v>
      </c>
      <c r="AN108">
        <v>0.16</v>
      </c>
      <c r="AO108">
        <v>0.6</v>
      </c>
      <c r="AP108">
        <v>0.16</v>
      </c>
      <c r="AQ108">
        <v>3</v>
      </c>
      <c r="AR108" t="s">
        <v>1568</v>
      </c>
      <c r="AS108">
        <v>0</v>
      </c>
      <c r="AT108">
        <v>0</v>
      </c>
      <c r="AU108">
        <v>10</v>
      </c>
      <c r="AV108">
        <v>15002</v>
      </c>
      <c r="AW108">
        <v>0</v>
      </c>
      <c r="AX108">
        <f>COUNTIF('Equip Data'!A:A,A108)</f>
        <v>1</v>
      </c>
    </row>
    <row r="109" spans="1:50" hidden="1" x14ac:dyDescent="0.25">
      <c r="A109">
        <v>109</v>
      </c>
      <c r="B109" t="s">
        <v>1569</v>
      </c>
      <c r="C109" t="s">
        <v>1570</v>
      </c>
      <c r="D109" t="s">
        <v>1571</v>
      </c>
      <c r="E109">
        <v>5</v>
      </c>
      <c r="F109">
        <v>1</v>
      </c>
      <c r="G109">
        <v>1</v>
      </c>
      <c r="H109" t="s">
        <v>432</v>
      </c>
      <c r="I109" t="s">
        <v>432</v>
      </c>
      <c r="J109" t="s">
        <v>432</v>
      </c>
      <c r="K109" t="s">
        <v>432</v>
      </c>
      <c r="L109" t="s">
        <v>432</v>
      </c>
      <c r="M109" t="s">
        <v>432</v>
      </c>
      <c r="N109" t="s">
        <v>523</v>
      </c>
      <c r="O109" t="s">
        <v>432</v>
      </c>
      <c r="P109" t="s">
        <v>432</v>
      </c>
      <c r="Q109" t="s">
        <v>432</v>
      </c>
      <c r="R109" t="s">
        <v>432</v>
      </c>
      <c r="S109" t="s">
        <v>432</v>
      </c>
      <c r="T109" t="s">
        <v>432</v>
      </c>
      <c r="U109" t="s">
        <v>432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4</v>
      </c>
      <c r="AE109">
        <v>0</v>
      </c>
      <c r="AF109">
        <v>3</v>
      </c>
      <c r="AG109">
        <v>2</v>
      </c>
      <c r="AH109">
        <v>3600</v>
      </c>
      <c r="AI109" t="s">
        <v>1300</v>
      </c>
      <c r="AJ109">
        <v>0</v>
      </c>
      <c r="AK109" t="s">
        <v>432</v>
      </c>
      <c r="AL109" t="s">
        <v>1572</v>
      </c>
      <c r="AM109">
        <v>0.45</v>
      </c>
      <c r="AN109">
        <v>0.15</v>
      </c>
      <c r="AO109">
        <v>0.3</v>
      </c>
      <c r="AP109">
        <v>0.15</v>
      </c>
      <c r="AQ109">
        <v>1</v>
      </c>
      <c r="AR109" t="s">
        <v>1136</v>
      </c>
      <c r="AS109">
        <v>0</v>
      </c>
      <c r="AT109">
        <v>0</v>
      </c>
      <c r="AU109">
        <v>10</v>
      </c>
      <c r="AV109">
        <v>1001</v>
      </c>
      <c r="AW109">
        <v>0</v>
      </c>
      <c r="AX109">
        <f>COUNTIF('Equip Data'!A:A,A109)</f>
        <v>0</v>
      </c>
    </row>
    <row r="110" spans="1:50" hidden="1" x14ac:dyDescent="0.25">
      <c r="A110">
        <v>110</v>
      </c>
      <c r="B110" t="s">
        <v>1573</v>
      </c>
      <c r="C110" t="s">
        <v>1574</v>
      </c>
      <c r="D110" t="s">
        <v>1575</v>
      </c>
      <c r="E110">
        <v>5</v>
      </c>
      <c r="F110">
        <v>2</v>
      </c>
      <c r="G110">
        <v>8</v>
      </c>
      <c r="H110" t="s">
        <v>529</v>
      </c>
      <c r="I110" t="s">
        <v>432</v>
      </c>
      <c r="J110" t="s">
        <v>432</v>
      </c>
      <c r="K110" t="s">
        <v>432</v>
      </c>
      <c r="L110" t="s">
        <v>432</v>
      </c>
      <c r="M110" t="s">
        <v>432</v>
      </c>
      <c r="N110" t="s">
        <v>432</v>
      </c>
      <c r="O110" t="s">
        <v>432</v>
      </c>
      <c r="P110" t="s">
        <v>432</v>
      </c>
      <c r="Q110" t="s">
        <v>432</v>
      </c>
      <c r="R110" t="s">
        <v>432</v>
      </c>
      <c r="S110" t="s">
        <v>432</v>
      </c>
      <c r="T110" t="s">
        <v>432</v>
      </c>
      <c r="U110" t="s">
        <v>432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5</v>
      </c>
      <c r="AF110">
        <v>3</v>
      </c>
      <c r="AG110">
        <v>2</v>
      </c>
      <c r="AH110">
        <v>3600</v>
      </c>
      <c r="AI110" t="s">
        <v>1300</v>
      </c>
      <c r="AJ110">
        <v>0</v>
      </c>
      <c r="AK110" t="s">
        <v>432</v>
      </c>
      <c r="AL110" t="s">
        <v>1576</v>
      </c>
      <c r="AM110">
        <v>0.15</v>
      </c>
      <c r="AN110">
        <v>0.6</v>
      </c>
      <c r="AO110">
        <v>0.38</v>
      </c>
      <c r="AP110">
        <v>0.23</v>
      </c>
      <c r="AQ110">
        <v>1</v>
      </c>
      <c r="AR110" t="s">
        <v>1244</v>
      </c>
      <c r="AS110">
        <v>0</v>
      </c>
      <c r="AT110">
        <v>0</v>
      </c>
      <c r="AU110">
        <v>10</v>
      </c>
      <c r="AV110">
        <v>8001</v>
      </c>
      <c r="AW110">
        <v>0</v>
      </c>
      <c r="AX110">
        <f>COUNTIF('Equip Data'!A:A,A110)</f>
        <v>0</v>
      </c>
    </row>
    <row r="111" spans="1:50" hidden="1" x14ac:dyDescent="0.25">
      <c r="A111">
        <v>111</v>
      </c>
      <c r="B111" t="s">
        <v>1577</v>
      </c>
      <c r="C111" t="s">
        <v>1578</v>
      </c>
      <c r="D111" t="s">
        <v>1579</v>
      </c>
      <c r="E111">
        <v>5</v>
      </c>
      <c r="F111">
        <v>1</v>
      </c>
      <c r="G111">
        <v>1</v>
      </c>
      <c r="H111" t="s">
        <v>432</v>
      </c>
      <c r="I111" t="s">
        <v>438</v>
      </c>
      <c r="J111" t="s">
        <v>432</v>
      </c>
      <c r="K111" t="s">
        <v>432</v>
      </c>
      <c r="L111" t="s">
        <v>432</v>
      </c>
      <c r="M111" t="s">
        <v>432</v>
      </c>
      <c r="N111" t="s">
        <v>501</v>
      </c>
      <c r="O111" t="s">
        <v>432</v>
      </c>
      <c r="P111" t="s">
        <v>432</v>
      </c>
      <c r="Q111" t="s">
        <v>432</v>
      </c>
      <c r="R111" t="s">
        <v>432</v>
      </c>
      <c r="S111" t="s">
        <v>432</v>
      </c>
      <c r="T111" t="s">
        <v>432</v>
      </c>
      <c r="U111" t="s">
        <v>432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4</v>
      </c>
      <c r="AE111">
        <v>0</v>
      </c>
      <c r="AF111">
        <v>3</v>
      </c>
      <c r="AG111">
        <v>2</v>
      </c>
      <c r="AH111">
        <v>3600</v>
      </c>
      <c r="AI111" t="s">
        <v>1580</v>
      </c>
      <c r="AJ111">
        <v>0</v>
      </c>
      <c r="AK111" t="s">
        <v>530</v>
      </c>
      <c r="AL111" t="s">
        <v>1581</v>
      </c>
      <c r="AM111">
        <v>0.45</v>
      </c>
      <c r="AN111">
        <v>0.15</v>
      </c>
      <c r="AO111">
        <v>0.3</v>
      </c>
      <c r="AP111">
        <v>0.15</v>
      </c>
      <c r="AQ111">
        <v>3</v>
      </c>
      <c r="AR111" t="s">
        <v>1582</v>
      </c>
      <c r="AS111">
        <v>0</v>
      </c>
      <c r="AT111">
        <v>0</v>
      </c>
      <c r="AU111">
        <v>10</v>
      </c>
      <c r="AV111">
        <v>1004</v>
      </c>
      <c r="AW111">
        <v>0</v>
      </c>
      <c r="AX111">
        <f>COUNTIF('Equip Data'!A:A,A111)</f>
        <v>1</v>
      </c>
    </row>
    <row r="112" spans="1:50" hidden="1" x14ac:dyDescent="0.25">
      <c r="A112">
        <v>112</v>
      </c>
      <c r="B112" t="s">
        <v>1583</v>
      </c>
      <c r="C112" t="s">
        <v>1584</v>
      </c>
      <c r="D112" t="s">
        <v>1585</v>
      </c>
      <c r="E112">
        <v>5</v>
      </c>
      <c r="F112">
        <v>1</v>
      </c>
      <c r="G112">
        <v>3</v>
      </c>
      <c r="H112" t="s">
        <v>432</v>
      </c>
      <c r="I112" t="s">
        <v>447</v>
      </c>
      <c r="J112" t="s">
        <v>432</v>
      </c>
      <c r="K112" t="s">
        <v>432</v>
      </c>
      <c r="L112" t="s">
        <v>448</v>
      </c>
      <c r="M112" t="s">
        <v>432</v>
      </c>
      <c r="N112" t="s">
        <v>439</v>
      </c>
      <c r="O112" t="s">
        <v>432</v>
      </c>
      <c r="P112" t="s">
        <v>432</v>
      </c>
      <c r="Q112" t="s">
        <v>432</v>
      </c>
      <c r="R112" t="s">
        <v>432</v>
      </c>
      <c r="S112" t="s">
        <v>432</v>
      </c>
      <c r="T112" t="s">
        <v>432</v>
      </c>
      <c r="U112" t="s">
        <v>432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4</v>
      </c>
      <c r="AE112">
        <v>0</v>
      </c>
      <c r="AF112">
        <v>3</v>
      </c>
      <c r="AG112">
        <v>2</v>
      </c>
      <c r="AH112">
        <v>3600</v>
      </c>
      <c r="AI112" t="s">
        <v>1586</v>
      </c>
      <c r="AJ112">
        <v>0</v>
      </c>
      <c r="AK112" t="s">
        <v>531</v>
      </c>
      <c r="AL112" t="s">
        <v>1587</v>
      </c>
      <c r="AM112">
        <v>0.45</v>
      </c>
      <c r="AN112">
        <v>0.15</v>
      </c>
      <c r="AO112">
        <v>0.3</v>
      </c>
      <c r="AP112">
        <v>0.15</v>
      </c>
      <c r="AQ112">
        <v>3</v>
      </c>
      <c r="AR112" t="s">
        <v>1588</v>
      </c>
      <c r="AS112">
        <v>0</v>
      </c>
      <c r="AT112">
        <v>0</v>
      </c>
      <c r="AU112">
        <v>10</v>
      </c>
      <c r="AV112">
        <v>3002</v>
      </c>
      <c r="AW112">
        <v>0</v>
      </c>
      <c r="AX112">
        <f>COUNTIF('Equip Data'!A:A,A112)</f>
        <v>1</v>
      </c>
    </row>
    <row r="113" spans="1:50" hidden="1" x14ac:dyDescent="0.25">
      <c r="A113">
        <v>113</v>
      </c>
      <c r="B113" t="s">
        <v>1589</v>
      </c>
      <c r="C113" t="s">
        <v>1590</v>
      </c>
      <c r="D113" t="s">
        <v>1591</v>
      </c>
      <c r="E113">
        <v>5</v>
      </c>
      <c r="F113">
        <v>1</v>
      </c>
      <c r="G113">
        <v>13</v>
      </c>
      <c r="H113" t="s">
        <v>432</v>
      </c>
      <c r="I113" t="s">
        <v>435</v>
      </c>
      <c r="J113" t="s">
        <v>445</v>
      </c>
      <c r="K113" t="s">
        <v>432</v>
      </c>
      <c r="L113" t="s">
        <v>432</v>
      </c>
      <c r="M113" t="s">
        <v>432</v>
      </c>
      <c r="N113" t="s">
        <v>489</v>
      </c>
      <c r="O113" t="s">
        <v>432</v>
      </c>
      <c r="P113" t="s">
        <v>432</v>
      </c>
      <c r="Q113" t="s">
        <v>432</v>
      </c>
      <c r="R113" t="s">
        <v>432</v>
      </c>
      <c r="S113" t="s">
        <v>432</v>
      </c>
      <c r="T113" t="s">
        <v>432</v>
      </c>
      <c r="U113" t="s">
        <v>432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4</v>
      </c>
      <c r="AE113">
        <v>2</v>
      </c>
      <c r="AF113">
        <v>2</v>
      </c>
      <c r="AG113">
        <v>2</v>
      </c>
      <c r="AH113">
        <v>3600</v>
      </c>
      <c r="AI113" t="s">
        <v>1592</v>
      </c>
      <c r="AJ113">
        <v>0</v>
      </c>
      <c r="AK113" t="s">
        <v>532</v>
      </c>
      <c r="AL113" t="s">
        <v>1593</v>
      </c>
      <c r="AM113">
        <v>0.55000000000000004</v>
      </c>
      <c r="AN113">
        <v>0.23</v>
      </c>
      <c r="AO113">
        <v>0.23</v>
      </c>
      <c r="AP113">
        <v>0.23</v>
      </c>
      <c r="AQ113">
        <v>3</v>
      </c>
      <c r="AR113" t="s">
        <v>1594</v>
      </c>
      <c r="AS113">
        <v>0</v>
      </c>
      <c r="AT113">
        <v>0</v>
      </c>
      <c r="AU113">
        <v>10</v>
      </c>
      <c r="AV113">
        <v>13003</v>
      </c>
      <c r="AW113">
        <v>0</v>
      </c>
      <c r="AX113">
        <f>COUNTIF('Equip Data'!A:A,A113)</f>
        <v>1</v>
      </c>
    </row>
    <row r="114" spans="1:50" hidden="1" x14ac:dyDescent="0.25">
      <c r="A114">
        <v>114</v>
      </c>
      <c r="B114" t="s">
        <v>1595</v>
      </c>
      <c r="C114" t="s">
        <v>1596</v>
      </c>
      <c r="D114" t="s">
        <v>1597</v>
      </c>
      <c r="E114">
        <v>5</v>
      </c>
      <c r="F114">
        <v>1</v>
      </c>
      <c r="G114">
        <v>16</v>
      </c>
      <c r="H114" t="s">
        <v>432</v>
      </c>
      <c r="I114" t="s">
        <v>458</v>
      </c>
      <c r="J114" t="s">
        <v>462</v>
      </c>
      <c r="K114" t="s">
        <v>432</v>
      </c>
      <c r="L114" t="s">
        <v>432</v>
      </c>
      <c r="M114" t="s">
        <v>432</v>
      </c>
      <c r="N114" t="s">
        <v>489</v>
      </c>
      <c r="O114" t="s">
        <v>432</v>
      </c>
      <c r="P114" t="s">
        <v>432</v>
      </c>
      <c r="Q114" t="s">
        <v>432</v>
      </c>
      <c r="R114" t="s">
        <v>432</v>
      </c>
      <c r="S114" t="s">
        <v>432</v>
      </c>
      <c r="T114" t="s">
        <v>432</v>
      </c>
      <c r="U114" t="s">
        <v>432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4</v>
      </c>
      <c r="AE114">
        <v>2</v>
      </c>
      <c r="AF114">
        <v>2</v>
      </c>
      <c r="AG114">
        <v>2</v>
      </c>
      <c r="AH114">
        <v>3600</v>
      </c>
      <c r="AI114" t="s">
        <v>1598</v>
      </c>
      <c r="AJ114">
        <v>0</v>
      </c>
      <c r="AK114" t="s">
        <v>533</v>
      </c>
      <c r="AL114" t="s">
        <v>1599</v>
      </c>
      <c r="AM114">
        <v>0.55000000000000004</v>
      </c>
      <c r="AN114">
        <v>0.23</v>
      </c>
      <c r="AO114">
        <v>0.23</v>
      </c>
      <c r="AP114">
        <v>0.23</v>
      </c>
      <c r="AQ114">
        <v>3</v>
      </c>
      <c r="AR114" t="s">
        <v>1600</v>
      </c>
      <c r="AS114">
        <v>0</v>
      </c>
      <c r="AT114">
        <v>0</v>
      </c>
      <c r="AU114">
        <v>10</v>
      </c>
      <c r="AV114">
        <v>16003</v>
      </c>
      <c r="AW114">
        <v>0</v>
      </c>
      <c r="AX114">
        <f>COUNTIF('Equip Data'!A:A,A114)</f>
        <v>1</v>
      </c>
    </row>
    <row r="115" spans="1:50" hidden="1" x14ac:dyDescent="0.25">
      <c r="A115">
        <v>115</v>
      </c>
      <c r="B115" t="s">
        <v>1601</v>
      </c>
      <c r="C115" t="s">
        <v>1602</v>
      </c>
      <c r="D115" t="s">
        <v>1603</v>
      </c>
      <c r="E115">
        <v>5</v>
      </c>
      <c r="F115">
        <v>3</v>
      </c>
      <c r="G115">
        <v>15</v>
      </c>
      <c r="H115" t="s">
        <v>438</v>
      </c>
      <c r="I115" t="s">
        <v>432</v>
      </c>
      <c r="J115" t="s">
        <v>432</v>
      </c>
      <c r="K115" t="s">
        <v>505</v>
      </c>
      <c r="L115" t="s">
        <v>432</v>
      </c>
      <c r="M115" t="s">
        <v>447</v>
      </c>
      <c r="N115" t="s">
        <v>432</v>
      </c>
      <c r="O115" t="s">
        <v>432</v>
      </c>
      <c r="P115" t="s">
        <v>432</v>
      </c>
      <c r="Q115" t="s">
        <v>432</v>
      </c>
      <c r="R115" t="s">
        <v>432</v>
      </c>
      <c r="S115" t="s">
        <v>432</v>
      </c>
      <c r="T115" t="s">
        <v>432</v>
      </c>
      <c r="U115" t="s">
        <v>432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4</v>
      </c>
      <c r="AE115">
        <v>0</v>
      </c>
      <c r="AF115">
        <v>5</v>
      </c>
      <c r="AG115">
        <v>0</v>
      </c>
      <c r="AH115">
        <v>3600</v>
      </c>
      <c r="AI115" t="s">
        <v>1604</v>
      </c>
      <c r="AJ115">
        <v>0</v>
      </c>
      <c r="AK115" t="s">
        <v>534</v>
      </c>
      <c r="AL115" t="s">
        <v>1605</v>
      </c>
      <c r="AM115">
        <v>0.55000000000000004</v>
      </c>
      <c r="AN115">
        <v>0.16</v>
      </c>
      <c r="AO115">
        <v>0.6</v>
      </c>
      <c r="AP115">
        <v>0.16</v>
      </c>
      <c r="AQ115">
        <v>3</v>
      </c>
      <c r="AR115" t="s">
        <v>1606</v>
      </c>
      <c r="AS115">
        <v>0</v>
      </c>
      <c r="AT115">
        <v>0</v>
      </c>
      <c r="AU115">
        <v>10</v>
      </c>
      <c r="AV115">
        <v>15003</v>
      </c>
      <c r="AW115">
        <v>0</v>
      </c>
      <c r="AX115">
        <f>COUNTIF('Equip Data'!A:A,A115)</f>
        <v>1</v>
      </c>
    </row>
    <row r="116" spans="1:50" hidden="1" x14ac:dyDescent="0.25">
      <c r="A116">
        <v>117</v>
      </c>
      <c r="B116" t="s">
        <v>1607</v>
      </c>
      <c r="C116" t="s">
        <v>1608</v>
      </c>
      <c r="D116" t="s">
        <v>1609</v>
      </c>
      <c r="E116">
        <v>5</v>
      </c>
      <c r="F116">
        <v>1</v>
      </c>
      <c r="G116">
        <v>4</v>
      </c>
      <c r="H116" t="s">
        <v>432</v>
      </c>
      <c r="I116" t="s">
        <v>432</v>
      </c>
      <c r="J116" t="s">
        <v>432</v>
      </c>
      <c r="K116" t="s">
        <v>432</v>
      </c>
      <c r="L116" t="s">
        <v>432</v>
      </c>
      <c r="M116" t="s">
        <v>432</v>
      </c>
      <c r="N116" t="s">
        <v>432</v>
      </c>
      <c r="O116" t="s">
        <v>432</v>
      </c>
      <c r="P116" t="s">
        <v>432</v>
      </c>
      <c r="Q116" t="s">
        <v>432</v>
      </c>
      <c r="R116" t="s">
        <v>432</v>
      </c>
      <c r="S116" t="s">
        <v>432</v>
      </c>
      <c r="T116" t="s">
        <v>472</v>
      </c>
      <c r="U116" t="s">
        <v>432</v>
      </c>
      <c r="V116">
        <v>30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3</v>
      </c>
      <c r="AE116">
        <v>0</v>
      </c>
      <c r="AF116">
        <v>4</v>
      </c>
      <c r="AG116">
        <v>2</v>
      </c>
      <c r="AH116">
        <v>3600</v>
      </c>
      <c r="AI116" t="s">
        <v>1610</v>
      </c>
      <c r="AJ116">
        <v>0</v>
      </c>
      <c r="AK116" t="s">
        <v>535</v>
      </c>
      <c r="AL116" t="s">
        <v>1611</v>
      </c>
      <c r="AM116">
        <v>0</v>
      </c>
      <c r="AN116">
        <v>0</v>
      </c>
      <c r="AO116">
        <v>0</v>
      </c>
      <c r="AP116">
        <v>0</v>
      </c>
      <c r="AQ116">
        <v>3</v>
      </c>
      <c r="AR116" t="s">
        <v>432</v>
      </c>
      <c r="AS116">
        <v>109406</v>
      </c>
      <c r="AT116">
        <v>0</v>
      </c>
      <c r="AU116">
        <v>0</v>
      </c>
      <c r="AV116">
        <v>4003</v>
      </c>
      <c r="AW116">
        <v>0</v>
      </c>
      <c r="AX116">
        <f>COUNTIF('Equip Data'!A:A,A116)</f>
        <v>1</v>
      </c>
    </row>
    <row r="117" spans="1:50" hidden="1" x14ac:dyDescent="0.25">
      <c r="A117">
        <v>118</v>
      </c>
      <c r="B117" t="s">
        <v>1612</v>
      </c>
      <c r="C117" t="s">
        <v>1613</v>
      </c>
      <c r="D117" t="s">
        <v>1614</v>
      </c>
      <c r="E117">
        <v>5</v>
      </c>
      <c r="F117">
        <v>1</v>
      </c>
      <c r="G117">
        <v>4</v>
      </c>
      <c r="H117" t="s">
        <v>432</v>
      </c>
      <c r="I117" t="s">
        <v>432</v>
      </c>
      <c r="J117" t="s">
        <v>432</v>
      </c>
      <c r="K117" t="s">
        <v>432</v>
      </c>
      <c r="L117" t="s">
        <v>432</v>
      </c>
      <c r="M117" t="s">
        <v>432</v>
      </c>
      <c r="N117" t="s">
        <v>432</v>
      </c>
      <c r="O117" t="s">
        <v>432</v>
      </c>
      <c r="P117" t="s">
        <v>432</v>
      </c>
      <c r="Q117" t="s">
        <v>432</v>
      </c>
      <c r="R117" t="s">
        <v>432</v>
      </c>
      <c r="S117" t="s">
        <v>432</v>
      </c>
      <c r="T117" t="s">
        <v>472</v>
      </c>
      <c r="U117" t="s">
        <v>432</v>
      </c>
      <c r="V117">
        <v>30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3</v>
      </c>
      <c r="AE117">
        <v>0</v>
      </c>
      <c r="AF117">
        <v>4</v>
      </c>
      <c r="AG117">
        <v>2</v>
      </c>
      <c r="AH117">
        <v>3600</v>
      </c>
      <c r="AI117" t="s">
        <v>1610</v>
      </c>
      <c r="AJ117">
        <v>0</v>
      </c>
      <c r="AK117" t="s">
        <v>536</v>
      </c>
      <c r="AL117" t="s">
        <v>1615</v>
      </c>
      <c r="AM117">
        <v>0</v>
      </c>
      <c r="AN117">
        <v>0</v>
      </c>
      <c r="AO117">
        <v>0</v>
      </c>
      <c r="AP117">
        <v>0</v>
      </c>
      <c r="AQ117">
        <v>3</v>
      </c>
      <c r="AR117" t="s">
        <v>432</v>
      </c>
      <c r="AS117">
        <v>109504</v>
      </c>
      <c r="AT117">
        <v>0</v>
      </c>
      <c r="AU117">
        <v>0</v>
      </c>
      <c r="AV117">
        <v>4004</v>
      </c>
      <c r="AW117">
        <v>0</v>
      </c>
      <c r="AX117">
        <f>COUNTIF('Equip Data'!A:A,A117)</f>
        <v>1</v>
      </c>
    </row>
    <row r="118" spans="1:50" hidden="1" x14ac:dyDescent="0.25">
      <c r="A118">
        <v>119</v>
      </c>
      <c r="B118" t="s">
        <v>1616</v>
      </c>
      <c r="C118" t="s">
        <v>1617</v>
      </c>
      <c r="D118" t="s">
        <v>1618</v>
      </c>
      <c r="E118">
        <v>5</v>
      </c>
      <c r="F118">
        <v>1</v>
      </c>
      <c r="G118">
        <v>1</v>
      </c>
      <c r="H118" t="s">
        <v>435</v>
      </c>
      <c r="I118" t="s">
        <v>435</v>
      </c>
      <c r="J118" t="s">
        <v>432</v>
      </c>
      <c r="K118" t="s">
        <v>432</v>
      </c>
      <c r="L118" t="s">
        <v>432</v>
      </c>
      <c r="M118" t="s">
        <v>432</v>
      </c>
      <c r="N118" t="s">
        <v>431</v>
      </c>
      <c r="O118" t="s">
        <v>432</v>
      </c>
      <c r="P118" t="s">
        <v>432</v>
      </c>
      <c r="Q118" t="s">
        <v>432</v>
      </c>
      <c r="R118" t="s">
        <v>432</v>
      </c>
      <c r="S118" t="s">
        <v>432</v>
      </c>
      <c r="T118" t="s">
        <v>432</v>
      </c>
      <c r="U118" t="s">
        <v>432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4</v>
      </c>
      <c r="AE118">
        <v>0</v>
      </c>
      <c r="AF118">
        <v>3</v>
      </c>
      <c r="AG118">
        <v>2</v>
      </c>
      <c r="AH118">
        <v>3600</v>
      </c>
      <c r="AI118" t="s">
        <v>1619</v>
      </c>
      <c r="AJ118">
        <v>0</v>
      </c>
      <c r="AK118" t="s">
        <v>537</v>
      </c>
      <c r="AL118" t="s">
        <v>1620</v>
      </c>
      <c r="AM118">
        <v>0.45</v>
      </c>
      <c r="AN118">
        <v>0.15</v>
      </c>
      <c r="AO118">
        <v>0.3</v>
      </c>
      <c r="AP118">
        <v>0.15</v>
      </c>
      <c r="AQ118">
        <v>3</v>
      </c>
      <c r="AR118" t="s">
        <v>1621</v>
      </c>
      <c r="AS118">
        <v>0</v>
      </c>
      <c r="AT118">
        <v>0</v>
      </c>
      <c r="AU118">
        <v>10</v>
      </c>
      <c r="AV118">
        <v>1005</v>
      </c>
      <c r="AW118">
        <v>0</v>
      </c>
      <c r="AX118">
        <f>COUNTIF('Equip Data'!A:A,A118)</f>
        <v>1</v>
      </c>
    </row>
    <row r="119" spans="1:50" hidden="1" x14ac:dyDescent="0.25">
      <c r="A119">
        <v>120</v>
      </c>
      <c r="B119" t="s">
        <v>1622</v>
      </c>
      <c r="C119" t="s">
        <v>1623</v>
      </c>
      <c r="D119" t="s">
        <v>1624</v>
      </c>
      <c r="E119">
        <v>5</v>
      </c>
      <c r="F119">
        <v>1</v>
      </c>
      <c r="G119">
        <v>3</v>
      </c>
      <c r="H119" t="s">
        <v>432</v>
      </c>
      <c r="I119" t="s">
        <v>496</v>
      </c>
      <c r="J119" t="s">
        <v>432</v>
      </c>
      <c r="K119" t="s">
        <v>432</v>
      </c>
      <c r="L119" t="s">
        <v>434</v>
      </c>
      <c r="M119" t="s">
        <v>432</v>
      </c>
      <c r="N119" t="s">
        <v>432</v>
      </c>
      <c r="O119" t="s">
        <v>432</v>
      </c>
      <c r="P119" t="s">
        <v>432</v>
      </c>
      <c r="Q119" t="s">
        <v>432</v>
      </c>
      <c r="R119" t="s">
        <v>432</v>
      </c>
      <c r="S119" t="s">
        <v>432</v>
      </c>
      <c r="T119" t="s">
        <v>432</v>
      </c>
      <c r="U119" t="s">
        <v>432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3</v>
      </c>
      <c r="AE119">
        <v>0</v>
      </c>
      <c r="AF119">
        <v>4</v>
      </c>
      <c r="AG119">
        <v>2</v>
      </c>
      <c r="AH119">
        <v>3600</v>
      </c>
      <c r="AI119" t="s">
        <v>1300</v>
      </c>
      <c r="AJ119">
        <v>0</v>
      </c>
      <c r="AK119" t="s">
        <v>432</v>
      </c>
      <c r="AL119" t="s">
        <v>1625</v>
      </c>
      <c r="AM119">
        <v>0.45</v>
      </c>
      <c r="AN119">
        <v>0.15</v>
      </c>
      <c r="AO119">
        <v>0.3</v>
      </c>
      <c r="AP119">
        <v>0.15</v>
      </c>
      <c r="AQ119">
        <v>1</v>
      </c>
      <c r="AR119" t="s">
        <v>1166</v>
      </c>
      <c r="AS119">
        <v>0</v>
      </c>
      <c r="AT119">
        <v>0</v>
      </c>
      <c r="AU119">
        <v>10</v>
      </c>
      <c r="AV119">
        <v>3001</v>
      </c>
      <c r="AW119">
        <v>0</v>
      </c>
      <c r="AX119">
        <f>COUNTIF('Equip Data'!A:A,A119)</f>
        <v>0</v>
      </c>
    </row>
    <row r="120" spans="1:50" hidden="1" x14ac:dyDescent="0.25">
      <c r="A120">
        <v>121</v>
      </c>
      <c r="B120" t="s">
        <v>1626</v>
      </c>
      <c r="C120" t="s">
        <v>1627</v>
      </c>
      <c r="D120" t="s">
        <v>1628</v>
      </c>
      <c r="E120">
        <v>5</v>
      </c>
      <c r="F120">
        <v>3</v>
      </c>
      <c r="G120">
        <v>10</v>
      </c>
      <c r="H120" t="s">
        <v>538</v>
      </c>
      <c r="I120" t="s">
        <v>432</v>
      </c>
      <c r="J120" t="s">
        <v>500</v>
      </c>
      <c r="K120" t="s">
        <v>432</v>
      </c>
      <c r="L120" t="s">
        <v>432</v>
      </c>
      <c r="M120" t="s">
        <v>432</v>
      </c>
      <c r="N120" t="s">
        <v>432</v>
      </c>
      <c r="O120" t="s">
        <v>432</v>
      </c>
      <c r="P120" t="s">
        <v>432</v>
      </c>
      <c r="Q120" t="s">
        <v>432</v>
      </c>
      <c r="R120" t="s">
        <v>432</v>
      </c>
      <c r="S120" t="s">
        <v>432</v>
      </c>
      <c r="T120" t="s">
        <v>432</v>
      </c>
      <c r="U120" t="s">
        <v>432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4</v>
      </c>
      <c r="AE120">
        <v>2</v>
      </c>
      <c r="AF120">
        <v>0</v>
      </c>
      <c r="AG120">
        <v>4</v>
      </c>
      <c r="AH120">
        <v>3600</v>
      </c>
      <c r="AI120" t="s">
        <v>1300</v>
      </c>
      <c r="AJ120">
        <v>0</v>
      </c>
      <c r="AK120" t="s">
        <v>432</v>
      </c>
      <c r="AL120" t="s">
        <v>1629</v>
      </c>
      <c r="AM120">
        <v>0.3</v>
      </c>
      <c r="AN120">
        <v>0.23</v>
      </c>
      <c r="AO120">
        <v>0.15</v>
      </c>
      <c r="AP120">
        <v>0.38</v>
      </c>
      <c r="AQ120">
        <v>1</v>
      </c>
      <c r="AR120" t="s">
        <v>1265</v>
      </c>
      <c r="AS120">
        <v>0</v>
      </c>
      <c r="AT120">
        <v>0</v>
      </c>
      <c r="AU120">
        <v>10</v>
      </c>
      <c r="AV120">
        <v>10001</v>
      </c>
      <c r="AW120">
        <v>0</v>
      </c>
      <c r="AX120">
        <f>COUNTIF('Equip Data'!A:A,A120)</f>
        <v>0</v>
      </c>
    </row>
    <row r="121" spans="1:50" hidden="1" x14ac:dyDescent="0.25">
      <c r="A121">
        <v>122</v>
      </c>
      <c r="B121" t="s">
        <v>1630</v>
      </c>
      <c r="C121" t="s">
        <v>1631</v>
      </c>
      <c r="D121" t="s">
        <v>1632</v>
      </c>
      <c r="E121">
        <v>5</v>
      </c>
      <c r="F121">
        <v>1</v>
      </c>
      <c r="G121">
        <v>16</v>
      </c>
      <c r="H121" t="s">
        <v>435</v>
      </c>
      <c r="I121" t="s">
        <v>432</v>
      </c>
      <c r="J121" t="s">
        <v>462</v>
      </c>
      <c r="K121" t="s">
        <v>432</v>
      </c>
      <c r="L121" t="s">
        <v>432</v>
      </c>
      <c r="M121" t="s">
        <v>432</v>
      </c>
      <c r="N121" t="s">
        <v>489</v>
      </c>
      <c r="O121" t="s">
        <v>432</v>
      </c>
      <c r="P121" t="s">
        <v>432</v>
      </c>
      <c r="Q121" t="s">
        <v>432</v>
      </c>
      <c r="R121" t="s">
        <v>432</v>
      </c>
      <c r="S121" t="s">
        <v>432</v>
      </c>
      <c r="T121" t="s">
        <v>432</v>
      </c>
      <c r="U121" t="s">
        <v>432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4</v>
      </c>
      <c r="AE121">
        <v>2</v>
      </c>
      <c r="AF121">
        <v>2</v>
      </c>
      <c r="AG121">
        <v>2</v>
      </c>
      <c r="AH121">
        <v>2820</v>
      </c>
      <c r="AI121" t="s">
        <v>1586</v>
      </c>
      <c r="AJ121">
        <v>0</v>
      </c>
      <c r="AK121" t="s">
        <v>539</v>
      </c>
      <c r="AL121" t="s">
        <v>1633</v>
      </c>
      <c r="AM121">
        <v>0.55000000000000004</v>
      </c>
      <c r="AN121">
        <v>0.23</v>
      </c>
      <c r="AO121">
        <v>0.23</v>
      </c>
      <c r="AP121">
        <v>0.23</v>
      </c>
      <c r="AQ121">
        <v>3</v>
      </c>
      <c r="AR121" t="s">
        <v>1634</v>
      </c>
      <c r="AS121">
        <v>0</v>
      </c>
      <c r="AT121">
        <v>0</v>
      </c>
      <c r="AU121">
        <v>10</v>
      </c>
      <c r="AV121">
        <v>16004</v>
      </c>
      <c r="AW121">
        <v>0</v>
      </c>
      <c r="AX121">
        <f>COUNTIF('Equip Data'!A:A,A121)</f>
        <v>1</v>
      </c>
    </row>
    <row r="122" spans="1:50" hidden="1" x14ac:dyDescent="0.25">
      <c r="A122">
        <v>123</v>
      </c>
      <c r="B122" t="s">
        <v>1635</v>
      </c>
      <c r="C122" t="s">
        <v>1636</v>
      </c>
      <c r="D122" t="s">
        <v>1637</v>
      </c>
      <c r="E122">
        <v>5</v>
      </c>
      <c r="F122">
        <v>1</v>
      </c>
      <c r="G122">
        <v>16</v>
      </c>
      <c r="H122" t="s">
        <v>438</v>
      </c>
      <c r="I122" t="s">
        <v>447</v>
      </c>
      <c r="J122" t="s">
        <v>432</v>
      </c>
      <c r="K122" t="s">
        <v>432</v>
      </c>
      <c r="L122" t="s">
        <v>448</v>
      </c>
      <c r="M122" t="s">
        <v>432</v>
      </c>
      <c r="N122" t="s">
        <v>432</v>
      </c>
      <c r="O122" t="s">
        <v>432</v>
      </c>
      <c r="P122" t="s">
        <v>432</v>
      </c>
      <c r="Q122" t="s">
        <v>432</v>
      </c>
      <c r="R122" t="s">
        <v>432</v>
      </c>
      <c r="S122" t="s">
        <v>432</v>
      </c>
      <c r="T122" t="s">
        <v>432</v>
      </c>
      <c r="U122" t="s">
        <v>432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4</v>
      </c>
      <c r="AE122">
        <v>0</v>
      </c>
      <c r="AF122">
        <v>3</v>
      </c>
      <c r="AG122">
        <v>2</v>
      </c>
      <c r="AH122">
        <v>3600</v>
      </c>
      <c r="AI122" t="s">
        <v>1638</v>
      </c>
      <c r="AJ122">
        <v>0</v>
      </c>
      <c r="AK122" t="s">
        <v>540</v>
      </c>
      <c r="AL122" t="s">
        <v>1639</v>
      </c>
      <c r="AM122">
        <v>0.45</v>
      </c>
      <c r="AN122">
        <v>0.15</v>
      </c>
      <c r="AO122">
        <v>0.3</v>
      </c>
      <c r="AP122">
        <v>0.15</v>
      </c>
      <c r="AQ122">
        <v>3</v>
      </c>
      <c r="AR122" t="s">
        <v>1640</v>
      </c>
      <c r="AS122">
        <v>0</v>
      </c>
      <c r="AT122">
        <v>0</v>
      </c>
      <c r="AU122">
        <v>10</v>
      </c>
      <c r="AV122">
        <v>16005</v>
      </c>
      <c r="AW122">
        <v>0</v>
      </c>
      <c r="AX122">
        <f>COUNTIF('Equip Data'!A:A,A122)</f>
        <v>1</v>
      </c>
    </row>
    <row r="123" spans="1:50" hidden="1" x14ac:dyDescent="0.25">
      <c r="A123">
        <v>124</v>
      </c>
      <c r="B123" t="s">
        <v>1641</v>
      </c>
      <c r="C123" t="s">
        <v>1642</v>
      </c>
      <c r="D123" t="s">
        <v>1643</v>
      </c>
      <c r="E123">
        <v>5</v>
      </c>
      <c r="F123">
        <v>1</v>
      </c>
      <c r="G123">
        <v>1</v>
      </c>
      <c r="H123" t="s">
        <v>435</v>
      </c>
      <c r="I123" t="s">
        <v>432</v>
      </c>
      <c r="J123" t="s">
        <v>432</v>
      </c>
      <c r="K123" t="s">
        <v>432</v>
      </c>
      <c r="L123" t="s">
        <v>432</v>
      </c>
      <c r="M123" t="s">
        <v>432</v>
      </c>
      <c r="N123" t="s">
        <v>431</v>
      </c>
      <c r="O123" t="s">
        <v>432</v>
      </c>
      <c r="P123" t="s">
        <v>432</v>
      </c>
      <c r="Q123" t="s">
        <v>432</v>
      </c>
      <c r="R123" t="s">
        <v>432</v>
      </c>
      <c r="S123" t="s">
        <v>432</v>
      </c>
      <c r="T123" t="s">
        <v>432</v>
      </c>
      <c r="U123" t="s">
        <v>432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4</v>
      </c>
      <c r="AE123">
        <v>0</v>
      </c>
      <c r="AF123">
        <v>3</v>
      </c>
      <c r="AG123">
        <v>2</v>
      </c>
      <c r="AH123">
        <v>3600</v>
      </c>
      <c r="AI123" t="s">
        <v>1644</v>
      </c>
      <c r="AJ123">
        <v>0</v>
      </c>
      <c r="AK123" t="s">
        <v>541</v>
      </c>
      <c r="AL123" t="s">
        <v>1645</v>
      </c>
      <c r="AM123">
        <v>0.45</v>
      </c>
      <c r="AN123">
        <v>0.15</v>
      </c>
      <c r="AO123">
        <v>0.3</v>
      </c>
      <c r="AP123">
        <v>0.15</v>
      </c>
      <c r="AQ123">
        <v>3</v>
      </c>
      <c r="AR123" t="s">
        <v>1646</v>
      </c>
      <c r="AS123">
        <v>0</v>
      </c>
      <c r="AT123">
        <v>0</v>
      </c>
      <c r="AU123">
        <v>10</v>
      </c>
      <c r="AV123">
        <v>16006</v>
      </c>
      <c r="AW123">
        <v>0</v>
      </c>
      <c r="AX123">
        <f>COUNTIF('Equip Data'!A:A,A123)</f>
        <v>1</v>
      </c>
    </row>
    <row r="124" spans="1:50" hidden="1" x14ac:dyDescent="0.25">
      <c r="A124">
        <v>125</v>
      </c>
      <c r="B124" t="s">
        <v>1647</v>
      </c>
      <c r="C124" t="s">
        <v>1648</v>
      </c>
      <c r="D124" t="s">
        <v>1649</v>
      </c>
      <c r="E124">
        <v>5</v>
      </c>
      <c r="F124">
        <v>1</v>
      </c>
      <c r="G124">
        <v>13</v>
      </c>
      <c r="H124" t="s">
        <v>432</v>
      </c>
      <c r="I124" t="s">
        <v>432</v>
      </c>
      <c r="J124" t="s">
        <v>445</v>
      </c>
      <c r="K124" t="s">
        <v>432</v>
      </c>
      <c r="L124" t="s">
        <v>432</v>
      </c>
      <c r="M124" t="s">
        <v>432</v>
      </c>
      <c r="N124" t="s">
        <v>542</v>
      </c>
      <c r="O124" t="s">
        <v>432</v>
      </c>
      <c r="P124" t="s">
        <v>432</v>
      </c>
      <c r="Q124" t="s">
        <v>432</v>
      </c>
      <c r="R124" t="s">
        <v>432</v>
      </c>
      <c r="S124" t="s">
        <v>432</v>
      </c>
      <c r="T124" t="s">
        <v>432</v>
      </c>
      <c r="U124" t="s">
        <v>432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4</v>
      </c>
      <c r="AE124">
        <v>0</v>
      </c>
      <c r="AF124">
        <v>3</v>
      </c>
      <c r="AG124">
        <v>2</v>
      </c>
      <c r="AH124">
        <v>3600</v>
      </c>
      <c r="AI124" t="s">
        <v>1650</v>
      </c>
      <c r="AJ124">
        <v>0</v>
      </c>
      <c r="AK124" t="s">
        <v>543</v>
      </c>
      <c r="AL124" t="s">
        <v>1651</v>
      </c>
      <c r="AM124">
        <v>0.55000000000000004</v>
      </c>
      <c r="AN124">
        <v>0.23</v>
      </c>
      <c r="AO124">
        <v>0.23</v>
      </c>
      <c r="AP124">
        <v>0.23</v>
      </c>
      <c r="AQ124">
        <v>3</v>
      </c>
      <c r="AR124" t="s">
        <v>1652</v>
      </c>
      <c r="AS124">
        <v>0</v>
      </c>
      <c r="AT124">
        <v>0</v>
      </c>
      <c r="AU124">
        <v>10</v>
      </c>
      <c r="AV124">
        <v>16007</v>
      </c>
      <c r="AW124">
        <v>0</v>
      </c>
      <c r="AX124">
        <f>COUNTIF('Equip Data'!A:A,A124)</f>
        <v>1</v>
      </c>
    </row>
    <row r="125" spans="1:50" hidden="1" x14ac:dyDescent="0.25">
      <c r="A125">
        <v>126</v>
      </c>
      <c r="B125" t="s">
        <v>1653</v>
      </c>
      <c r="C125" t="s">
        <v>1654</v>
      </c>
      <c r="D125" t="s">
        <v>1655</v>
      </c>
      <c r="E125">
        <v>5</v>
      </c>
      <c r="F125">
        <v>1</v>
      </c>
      <c r="G125">
        <v>16</v>
      </c>
      <c r="H125" t="s">
        <v>544</v>
      </c>
      <c r="I125" t="s">
        <v>442</v>
      </c>
      <c r="J125" t="s">
        <v>432</v>
      </c>
      <c r="K125" t="s">
        <v>432</v>
      </c>
      <c r="L125" t="s">
        <v>482</v>
      </c>
      <c r="M125" t="s">
        <v>432</v>
      </c>
      <c r="N125" t="s">
        <v>432</v>
      </c>
      <c r="O125" t="s">
        <v>432</v>
      </c>
      <c r="P125" t="s">
        <v>432</v>
      </c>
      <c r="Q125" t="s">
        <v>432</v>
      </c>
      <c r="R125" t="s">
        <v>432</v>
      </c>
      <c r="S125" t="s">
        <v>432</v>
      </c>
      <c r="T125" t="s">
        <v>432</v>
      </c>
      <c r="U125" t="s">
        <v>432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4</v>
      </c>
      <c r="AE125">
        <v>0</v>
      </c>
      <c r="AF125">
        <v>3</v>
      </c>
      <c r="AG125">
        <v>2</v>
      </c>
      <c r="AH125">
        <v>3600</v>
      </c>
      <c r="AI125" t="s">
        <v>1650</v>
      </c>
      <c r="AJ125">
        <v>0</v>
      </c>
      <c r="AK125" t="s">
        <v>545</v>
      </c>
      <c r="AL125" t="s">
        <v>1656</v>
      </c>
      <c r="AM125">
        <v>0.45</v>
      </c>
      <c r="AN125">
        <v>0.15</v>
      </c>
      <c r="AO125">
        <v>0.3</v>
      </c>
      <c r="AP125">
        <v>0.15</v>
      </c>
      <c r="AQ125">
        <v>3</v>
      </c>
      <c r="AR125" t="s">
        <v>1657</v>
      </c>
      <c r="AS125">
        <v>0</v>
      </c>
      <c r="AT125">
        <v>0</v>
      </c>
      <c r="AU125">
        <v>10</v>
      </c>
      <c r="AV125">
        <v>16008</v>
      </c>
      <c r="AW125">
        <v>0</v>
      </c>
      <c r="AX125">
        <f>COUNTIF('Equip Data'!A:A,A125)</f>
        <v>1</v>
      </c>
    </row>
    <row r="126" spans="1:50" hidden="1" x14ac:dyDescent="0.25">
      <c r="A126">
        <v>127</v>
      </c>
      <c r="B126" t="s">
        <v>1658</v>
      </c>
      <c r="C126" t="s">
        <v>1659</v>
      </c>
      <c r="D126" t="s">
        <v>1660</v>
      </c>
      <c r="E126">
        <v>5</v>
      </c>
      <c r="F126">
        <v>3</v>
      </c>
      <c r="G126">
        <v>12</v>
      </c>
      <c r="H126" t="s">
        <v>468</v>
      </c>
      <c r="I126" t="s">
        <v>468</v>
      </c>
      <c r="J126" t="s">
        <v>529</v>
      </c>
      <c r="K126" t="s">
        <v>432</v>
      </c>
      <c r="L126" t="s">
        <v>432</v>
      </c>
      <c r="M126" t="s">
        <v>432</v>
      </c>
      <c r="N126" t="s">
        <v>432</v>
      </c>
      <c r="O126" t="s">
        <v>432</v>
      </c>
      <c r="P126" t="s">
        <v>432</v>
      </c>
      <c r="Q126" t="s">
        <v>432</v>
      </c>
      <c r="R126" t="s">
        <v>432</v>
      </c>
      <c r="S126" t="s">
        <v>432</v>
      </c>
      <c r="T126" t="s">
        <v>432</v>
      </c>
      <c r="U126" t="s">
        <v>432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4</v>
      </c>
      <c r="AE126">
        <v>2</v>
      </c>
      <c r="AF126">
        <v>0</v>
      </c>
      <c r="AG126">
        <v>4</v>
      </c>
      <c r="AH126">
        <v>3600</v>
      </c>
      <c r="AI126" t="s">
        <v>1661</v>
      </c>
      <c r="AJ126">
        <v>0</v>
      </c>
      <c r="AK126" t="s">
        <v>546</v>
      </c>
      <c r="AL126" t="s">
        <v>1662</v>
      </c>
      <c r="AM126">
        <v>0.3</v>
      </c>
      <c r="AN126">
        <v>0.25</v>
      </c>
      <c r="AO126">
        <v>0.12</v>
      </c>
      <c r="AP126">
        <v>0.38</v>
      </c>
      <c r="AQ126">
        <v>3</v>
      </c>
      <c r="AR126" t="s">
        <v>1663</v>
      </c>
      <c r="AS126">
        <v>0</v>
      </c>
      <c r="AT126">
        <v>0</v>
      </c>
      <c r="AU126">
        <v>10</v>
      </c>
      <c r="AV126">
        <v>12003</v>
      </c>
      <c r="AW126">
        <v>0</v>
      </c>
      <c r="AX126">
        <f>COUNTIF('Equip Data'!A:A,A126)</f>
        <v>1</v>
      </c>
    </row>
    <row r="127" spans="1:50" hidden="1" x14ac:dyDescent="0.25">
      <c r="A127">
        <v>128</v>
      </c>
      <c r="B127" t="s">
        <v>1664</v>
      </c>
      <c r="C127" t="s">
        <v>1665</v>
      </c>
      <c r="D127" t="s">
        <v>1666</v>
      </c>
      <c r="E127">
        <v>5</v>
      </c>
      <c r="F127">
        <v>1</v>
      </c>
      <c r="G127">
        <v>13</v>
      </c>
      <c r="H127" t="s">
        <v>432</v>
      </c>
      <c r="I127" t="s">
        <v>432</v>
      </c>
      <c r="J127" t="s">
        <v>517</v>
      </c>
      <c r="K127" t="s">
        <v>432</v>
      </c>
      <c r="L127" t="s">
        <v>432</v>
      </c>
      <c r="M127" t="s">
        <v>432</v>
      </c>
      <c r="N127" t="s">
        <v>489</v>
      </c>
      <c r="O127" t="s">
        <v>432</v>
      </c>
      <c r="P127" t="s">
        <v>432</v>
      </c>
      <c r="Q127" t="s">
        <v>432</v>
      </c>
      <c r="R127" t="s">
        <v>432</v>
      </c>
      <c r="S127" t="s">
        <v>432</v>
      </c>
      <c r="T127" t="s">
        <v>432</v>
      </c>
      <c r="U127" t="s">
        <v>432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4</v>
      </c>
      <c r="AE127">
        <v>2</v>
      </c>
      <c r="AF127">
        <v>2</v>
      </c>
      <c r="AG127">
        <v>2</v>
      </c>
      <c r="AH127">
        <v>3600</v>
      </c>
      <c r="AI127" t="s">
        <v>1667</v>
      </c>
      <c r="AJ127">
        <v>0</v>
      </c>
      <c r="AK127" t="s">
        <v>547</v>
      </c>
      <c r="AL127" t="s">
        <v>1668</v>
      </c>
      <c r="AM127">
        <v>0.55000000000000004</v>
      </c>
      <c r="AN127">
        <v>0.25</v>
      </c>
      <c r="AO127">
        <v>0.25</v>
      </c>
      <c r="AP127">
        <v>0.23</v>
      </c>
      <c r="AQ127">
        <v>3</v>
      </c>
      <c r="AR127" t="s">
        <v>1542</v>
      </c>
      <c r="AS127">
        <v>0</v>
      </c>
      <c r="AT127">
        <v>0</v>
      </c>
      <c r="AU127">
        <v>10</v>
      </c>
      <c r="AV127">
        <v>13004</v>
      </c>
      <c r="AW127">
        <v>0</v>
      </c>
      <c r="AX127">
        <f>COUNTIF('Equip Data'!A:A,A127)</f>
        <v>1</v>
      </c>
    </row>
    <row r="128" spans="1:50" hidden="1" x14ac:dyDescent="0.25">
      <c r="A128">
        <v>129</v>
      </c>
      <c r="B128" t="s">
        <v>1669</v>
      </c>
      <c r="C128" t="s">
        <v>1670</v>
      </c>
      <c r="D128" t="s">
        <v>1671</v>
      </c>
      <c r="E128">
        <v>5</v>
      </c>
      <c r="F128">
        <v>1</v>
      </c>
      <c r="G128">
        <v>1</v>
      </c>
      <c r="H128" t="s">
        <v>432</v>
      </c>
      <c r="I128" t="s">
        <v>439</v>
      </c>
      <c r="J128" t="s">
        <v>432</v>
      </c>
      <c r="K128" t="s">
        <v>432</v>
      </c>
      <c r="L128" t="s">
        <v>432</v>
      </c>
      <c r="M128" t="s">
        <v>432</v>
      </c>
      <c r="N128" t="s">
        <v>431</v>
      </c>
      <c r="O128" t="s">
        <v>432</v>
      </c>
      <c r="P128" t="s">
        <v>432</v>
      </c>
      <c r="Q128" t="s">
        <v>432</v>
      </c>
      <c r="R128" t="s">
        <v>432</v>
      </c>
      <c r="S128" t="s">
        <v>432</v>
      </c>
      <c r="T128" t="s">
        <v>432</v>
      </c>
      <c r="U128" t="s">
        <v>432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4</v>
      </c>
      <c r="AE128">
        <v>0</v>
      </c>
      <c r="AF128">
        <v>3</v>
      </c>
      <c r="AG128">
        <v>2</v>
      </c>
      <c r="AH128">
        <v>3600</v>
      </c>
      <c r="AI128" t="s">
        <v>1672</v>
      </c>
      <c r="AJ128">
        <v>0</v>
      </c>
      <c r="AK128" t="s">
        <v>548</v>
      </c>
      <c r="AL128" t="s">
        <v>1673</v>
      </c>
      <c r="AM128">
        <v>0.45</v>
      </c>
      <c r="AN128">
        <v>0.15</v>
      </c>
      <c r="AO128">
        <v>0.3</v>
      </c>
      <c r="AP128">
        <v>0.15</v>
      </c>
      <c r="AQ128">
        <v>3</v>
      </c>
      <c r="AR128" t="s">
        <v>1582</v>
      </c>
      <c r="AS128">
        <v>0</v>
      </c>
      <c r="AT128">
        <v>0</v>
      </c>
      <c r="AU128">
        <v>10</v>
      </c>
      <c r="AV128">
        <v>1014</v>
      </c>
      <c r="AW128">
        <v>0</v>
      </c>
      <c r="AX128">
        <f>COUNTIF('Equip Data'!A:A,A128)</f>
        <v>1</v>
      </c>
    </row>
    <row r="129" spans="1:50" hidden="1" x14ac:dyDescent="0.25">
      <c r="A129">
        <v>130</v>
      </c>
      <c r="B129" t="s">
        <v>1674</v>
      </c>
      <c r="C129" t="s">
        <v>1675</v>
      </c>
      <c r="D129" t="s">
        <v>1676</v>
      </c>
      <c r="E129">
        <v>5</v>
      </c>
      <c r="F129">
        <v>1</v>
      </c>
      <c r="G129">
        <v>1</v>
      </c>
      <c r="H129" t="s">
        <v>432</v>
      </c>
      <c r="I129" t="s">
        <v>458</v>
      </c>
      <c r="J129" t="s">
        <v>432</v>
      </c>
      <c r="K129" t="s">
        <v>432</v>
      </c>
      <c r="L129" t="s">
        <v>432</v>
      </c>
      <c r="M129" t="s">
        <v>432</v>
      </c>
      <c r="N129" t="s">
        <v>431</v>
      </c>
      <c r="O129" t="s">
        <v>432</v>
      </c>
      <c r="P129" t="s">
        <v>432</v>
      </c>
      <c r="Q129" t="s">
        <v>432</v>
      </c>
      <c r="R129" t="s">
        <v>432</v>
      </c>
      <c r="S129" t="s">
        <v>432</v>
      </c>
      <c r="T129" t="s">
        <v>432</v>
      </c>
      <c r="U129" t="s">
        <v>432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4</v>
      </c>
      <c r="AE129">
        <v>0</v>
      </c>
      <c r="AF129">
        <v>3</v>
      </c>
      <c r="AG129">
        <v>2</v>
      </c>
      <c r="AH129">
        <v>3600</v>
      </c>
      <c r="AI129" t="s">
        <v>1677</v>
      </c>
      <c r="AJ129">
        <v>0</v>
      </c>
      <c r="AK129" t="s">
        <v>549</v>
      </c>
      <c r="AL129" t="s">
        <v>1678</v>
      </c>
      <c r="AM129">
        <v>0.45</v>
      </c>
      <c r="AN129">
        <v>0.15</v>
      </c>
      <c r="AO129">
        <v>0.3</v>
      </c>
      <c r="AP129">
        <v>0.15</v>
      </c>
      <c r="AQ129">
        <v>3</v>
      </c>
      <c r="AR129" t="s">
        <v>1582</v>
      </c>
      <c r="AS129">
        <v>0</v>
      </c>
      <c r="AT129">
        <v>0</v>
      </c>
      <c r="AU129">
        <v>10</v>
      </c>
      <c r="AV129">
        <v>1006</v>
      </c>
      <c r="AW129">
        <v>0</v>
      </c>
      <c r="AX129">
        <f>COUNTIF('Equip Data'!A:A,A129)</f>
        <v>1</v>
      </c>
    </row>
    <row r="130" spans="1:50" hidden="1" x14ac:dyDescent="0.25">
      <c r="A130">
        <v>131</v>
      </c>
      <c r="B130" t="s">
        <v>1679</v>
      </c>
      <c r="C130" t="s">
        <v>1680</v>
      </c>
      <c r="D130" t="s">
        <v>1681</v>
      </c>
      <c r="E130">
        <v>5</v>
      </c>
      <c r="F130">
        <v>1</v>
      </c>
      <c r="G130">
        <v>3</v>
      </c>
      <c r="H130" t="s">
        <v>433</v>
      </c>
      <c r="I130" t="s">
        <v>550</v>
      </c>
      <c r="J130" t="s">
        <v>432</v>
      </c>
      <c r="K130" t="s">
        <v>432</v>
      </c>
      <c r="L130" t="s">
        <v>448</v>
      </c>
      <c r="M130" t="s">
        <v>432</v>
      </c>
      <c r="N130" t="s">
        <v>432</v>
      </c>
      <c r="O130" t="s">
        <v>432</v>
      </c>
      <c r="P130" t="s">
        <v>432</v>
      </c>
      <c r="Q130" t="s">
        <v>432</v>
      </c>
      <c r="R130" t="s">
        <v>432</v>
      </c>
      <c r="S130" t="s">
        <v>432</v>
      </c>
      <c r="T130" t="s">
        <v>432</v>
      </c>
      <c r="U130" t="s">
        <v>432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4</v>
      </c>
      <c r="AE130">
        <v>0</v>
      </c>
      <c r="AF130">
        <v>3</v>
      </c>
      <c r="AG130">
        <v>2</v>
      </c>
      <c r="AH130">
        <v>3600</v>
      </c>
      <c r="AI130" t="s">
        <v>1682</v>
      </c>
      <c r="AJ130">
        <v>0</v>
      </c>
      <c r="AK130" t="s">
        <v>551</v>
      </c>
      <c r="AL130" t="s">
        <v>1683</v>
      </c>
      <c r="AM130">
        <v>0.45</v>
      </c>
      <c r="AN130">
        <v>0.15</v>
      </c>
      <c r="AO130">
        <v>0.3</v>
      </c>
      <c r="AP130">
        <v>0.15</v>
      </c>
      <c r="AQ130">
        <v>3</v>
      </c>
      <c r="AR130" t="s">
        <v>1684</v>
      </c>
      <c r="AS130">
        <v>0</v>
      </c>
      <c r="AT130">
        <v>0</v>
      </c>
      <c r="AU130">
        <v>10</v>
      </c>
      <c r="AV130">
        <v>3003</v>
      </c>
      <c r="AW130">
        <v>0</v>
      </c>
      <c r="AX130">
        <f>COUNTIF('Equip Data'!A:A,A130)</f>
        <v>1</v>
      </c>
    </row>
    <row r="131" spans="1:50" hidden="1" x14ac:dyDescent="0.25">
      <c r="A131">
        <v>132</v>
      </c>
      <c r="B131" t="s">
        <v>1685</v>
      </c>
      <c r="C131" t="s">
        <v>1686</v>
      </c>
      <c r="D131" t="s">
        <v>1687</v>
      </c>
      <c r="E131">
        <v>5</v>
      </c>
      <c r="F131">
        <v>1</v>
      </c>
      <c r="G131">
        <v>3</v>
      </c>
      <c r="H131" t="s">
        <v>432</v>
      </c>
      <c r="I131" t="s">
        <v>552</v>
      </c>
      <c r="J131" t="s">
        <v>432</v>
      </c>
      <c r="K131" t="s">
        <v>432</v>
      </c>
      <c r="L131" t="s">
        <v>434</v>
      </c>
      <c r="M131" t="s">
        <v>432</v>
      </c>
      <c r="N131" t="s">
        <v>496</v>
      </c>
      <c r="O131" t="s">
        <v>432</v>
      </c>
      <c r="P131" t="s">
        <v>432</v>
      </c>
      <c r="Q131" t="s">
        <v>432</v>
      </c>
      <c r="R131" t="s">
        <v>432</v>
      </c>
      <c r="S131" t="s">
        <v>432</v>
      </c>
      <c r="T131" t="s">
        <v>432</v>
      </c>
      <c r="U131" t="s">
        <v>432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4</v>
      </c>
      <c r="AE131">
        <v>0</v>
      </c>
      <c r="AF131">
        <v>3</v>
      </c>
      <c r="AG131">
        <v>2</v>
      </c>
      <c r="AH131">
        <v>3600</v>
      </c>
      <c r="AI131" t="s">
        <v>1682</v>
      </c>
      <c r="AJ131">
        <v>0</v>
      </c>
      <c r="AK131" t="s">
        <v>553</v>
      </c>
      <c r="AL131" t="s">
        <v>1688</v>
      </c>
      <c r="AM131">
        <v>0.45</v>
      </c>
      <c r="AN131">
        <v>0.15</v>
      </c>
      <c r="AO131">
        <v>0.3</v>
      </c>
      <c r="AP131">
        <v>0.15</v>
      </c>
      <c r="AQ131">
        <v>3</v>
      </c>
      <c r="AR131" t="s">
        <v>1689</v>
      </c>
      <c r="AS131">
        <v>0</v>
      </c>
      <c r="AT131">
        <v>0</v>
      </c>
      <c r="AU131">
        <v>10</v>
      </c>
      <c r="AV131">
        <v>3004</v>
      </c>
      <c r="AW131">
        <v>0</v>
      </c>
      <c r="AX131">
        <f>COUNTIF('Equip Data'!A:A,A131)</f>
        <v>1</v>
      </c>
    </row>
    <row r="132" spans="1:50" hidden="1" x14ac:dyDescent="0.25">
      <c r="A132">
        <v>133</v>
      </c>
      <c r="B132" t="s">
        <v>1690</v>
      </c>
      <c r="C132" t="s">
        <v>1691</v>
      </c>
      <c r="D132" t="s">
        <v>1692</v>
      </c>
      <c r="E132">
        <v>5</v>
      </c>
      <c r="F132">
        <v>1</v>
      </c>
      <c r="G132">
        <v>16</v>
      </c>
      <c r="H132" t="s">
        <v>432</v>
      </c>
      <c r="I132" t="s">
        <v>435</v>
      </c>
      <c r="J132" t="s">
        <v>462</v>
      </c>
      <c r="K132" t="s">
        <v>432</v>
      </c>
      <c r="L132" t="s">
        <v>432</v>
      </c>
      <c r="M132" t="s">
        <v>432</v>
      </c>
      <c r="N132" t="s">
        <v>489</v>
      </c>
      <c r="O132" t="s">
        <v>432</v>
      </c>
      <c r="P132" t="s">
        <v>432</v>
      </c>
      <c r="Q132" t="s">
        <v>432</v>
      </c>
      <c r="R132" t="s">
        <v>432</v>
      </c>
      <c r="S132" t="s">
        <v>432</v>
      </c>
      <c r="T132" t="s">
        <v>432</v>
      </c>
      <c r="U132" t="s">
        <v>432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4</v>
      </c>
      <c r="AE132">
        <v>2</v>
      </c>
      <c r="AF132">
        <v>2</v>
      </c>
      <c r="AG132">
        <v>2</v>
      </c>
      <c r="AH132">
        <v>3600</v>
      </c>
      <c r="AI132" t="s">
        <v>1693</v>
      </c>
      <c r="AJ132">
        <v>0</v>
      </c>
      <c r="AK132" t="s">
        <v>554</v>
      </c>
      <c r="AL132" t="s">
        <v>1694</v>
      </c>
      <c r="AM132">
        <v>0.55000000000000004</v>
      </c>
      <c r="AN132">
        <v>0.23</v>
      </c>
      <c r="AO132">
        <v>0.23</v>
      </c>
      <c r="AP132">
        <v>0.23</v>
      </c>
      <c r="AQ132">
        <v>3</v>
      </c>
      <c r="AR132" t="s">
        <v>1695</v>
      </c>
      <c r="AS132">
        <v>300119</v>
      </c>
      <c r="AT132">
        <v>300120</v>
      </c>
      <c r="AU132">
        <v>10</v>
      </c>
      <c r="AV132">
        <v>16010</v>
      </c>
      <c r="AW132">
        <v>0</v>
      </c>
      <c r="AX132">
        <f>COUNTIF('Equip Data'!A:A,A132)</f>
        <v>1</v>
      </c>
    </row>
    <row r="133" spans="1:50" hidden="1" x14ac:dyDescent="0.25">
      <c r="A133">
        <v>134</v>
      </c>
      <c r="B133" t="s">
        <v>1696</v>
      </c>
      <c r="C133" t="s">
        <v>1697</v>
      </c>
      <c r="D133" t="s">
        <v>1698</v>
      </c>
      <c r="E133">
        <v>5</v>
      </c>
      <c r="F133">
        <v>1</v>
      </c>
      <c r="G133">
        <v>3</v>
      </c>
      <c r="H133" t="s">
        <v>432</v>
      </c>
      <c r="I133" t="s">
        <v>555</v>
      </c>
      <c r="J133" t="s">
        <v>432</v>
      </c>
      <c r="K133" t="s">
        <v>432</v>
      </c>
      <c r="L133" t="s">
        <v>448</v>
      </c>
      <c r="M133" t="s">
        <v>432</v>
      </c>
      <c r="N133" t="s">
        <v>432</v>
      </c>
      <c r="O133" t="s">
        <v>432</v>
      </c>
      <c r="P133" t="s">
        <v>432</v>
      </c>
      <c r="Q133" t="s">
        <v>432</v>
      </c>
      <c r="R133" t="s">
        <v>432</v>
      </c>
      <c r="S133" t="s">
        <v>432</v>
      </c>
      <c r="T133" t="s">
        <v>432</v>
      </c>
      <c r="U133" t="s">
        <v>432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4</v>
      </c>
      <c r="AE133">
        <v>0</v>
      </c>
      <c r="AF133">
        <v>3</v>
      </c>
      <c r="AG133">
        <v>2</v>
      </c>
      <c r="AH133">
        <v>3600</v>
      </c>
      <c r="AI133" t="s">
        <v>1699</v>
      </c>
      <c r="AJ133">
        <v>0</v>
      </c>
      <c r="AK133" t="s">
        <v>556</v>
      </c>
      <c r="AL133" t="s">
        <v>1700</v>
      </c>
      <c r="AM133">
        <v>0.45</v>
      </c>
      <c r="AN133">
        <v>0.15</v>
      </c>
      <c r="AO133">
        <v>0.3</v>
      </c>
      <c r="AP133">
        <v>0.15</v>
      </c>
      <c r="AQ133">
        <v>3</v>
      </c>
      <c r="AR133" t="s">
        <v>1166</v>
      </c>
      <c r="AS133">
        <v>0</v>
      </c>
      <c r="AT133">
        <v>0</v>
      </c>
      <c r="AU133">
        <v>10</v>
      </c>
      <c r="AV133">
        <v>3005</v>
      </c>
      <c r="AW133">
        <v>0</v>
      </c>
      <c r="AX133">
        <f>COUNTIF('Equip Data'!A:A,A133)</f>
        <v>1</v>
      </c>
    </row>
    <row r="134" spans="1:50" hidden="1" x14ac:dyDescent="0.25">
      <c r="A134">
        <v>135</v>
      </c>
      <c r="B134" t="s">
        <v>1701</v>
      </c>
      <c r="C134" t="s">
        <v>1702</v>
      </c>
      <c r="D134" t="s">
        <v>1703</v>
      </c>
      <c r="E134">
        <v>5</v>
      </c>
      <c r="F134">
        <v>2</v>
      </c>
      <c r="G134">
        <v>8</v>
      </c>
      <c r="H134" t="s">
        <v>557</v>
      </c>
      <c r="I134" t="s">
        <v>432</v>
      </c>
      <c r="J134" t="s">
        <v>432</v>
      </c>
      <c r="K134" t="s">
        <v>432</v>
      </c>
      <c r="L134" t="s">
        <v>432</v>
      </c>
      <c r="M134" t="s">
        <v>432</v>
      </c>
      <c r="N134" t="s">
        <v>432</v>
      </c>
      <c r="O134" t="s">
        <v>432</v>
      </c>
      <c r="P134" t="s">
        <v>432</v>
      </c>
      <c r="Q134" t="s">
        <v>432</v>
      </c>
      <c r="R134" t="s">
        <v>432</v>
      </c>
      <c r="S134" t="s">
        <v>432</v>
      </c>
      <c r="T134" t="s">
        <v>432</v>
      </c>
      <c r="U134" t="s">
        <v>432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5</v>
      </c>
      <c r="AF134">
        <v>3</v>
      </c>
      <c r="AG134">
        <v>2</v>
      </c>
      <c r="AH134">
        <v>3600</v>
      </c>
      <c r="AI134" t="s">
        <v>1704</v>
      </c>
      <c r="AJ134">
        <v>0</v>
      </c>
      <c r="AK134" t="s">
        <v>558</v>
      </c>
      <c r="AL134" t="s">
        <v>1705</v>
      </c>
      <c r="AM134">
        <v>0.15</v>
      </c>
      <c r="AN134">
        <v>0.6</v>
      </c>
      <c r="AO134">
        <v>0.38</v>
      </c>
      <c r="AP134">
        <v>0.23</v>
      </c>
      <c r="AQ134">
        <v>3</v>
      </c>
      <c r="AR134" t="s">
        <v>1706</v>
      </c>
      <c r="AS134">
        <v>0</v>
      </c>
      <c r="AT134">
        <v>0</v>
      </c>
      <c r="AU134">
        <v>10</v>
      </c>
      <c r="AV134">
        <v>8003</v>
      </c>
      <c r="AW134">
        <v>0</v>
      </c>
      <c r="AX134">
        <f>COUNTIF('Equip Data'!A:A,A134)</f>
        <v>1</v>
      </c>
    </row>
    <row r="135" spans="1:50" hidden="1" x14ac:dyDescent="0.25">
      <c r="A135">
        <v>136</v>
      </c>
      <c r="B135" t="s">
        <v>1707</v>
      </c>
      <c r="C135" t="s">
        <v>1708</v>
      </c>
      <c r="D135" t="s">
        <v>1709</v>
      </c>
      <c r="E135">
        <v>5</v>
      </c>
      <c r="F135">
        <v>2</v>
      </c>
      <c r="G135">
        <v>8</v>
      </c>
      <c r="H135" t="s">
        <v>557</v>
      </c>
      <c r="I135" t="s">
        <v>432</v>
      </c>
      <c r="J135" t="s">
        <v>432</v>
      </c>
      <c r="K135" t="s">
        <v>432</v>
      </c>
      <c r="L135" t="s">
        <v>432</v>
      </c>
      <c r="M135" t="s">
        <v>432</v>
      </c>
      <c r="N135" t="s">
        <v>432</v>
      </c>
      <c r="O135" t="s">
        <v>432</v>
      </c>
      <c r="P135" t="s">
        <v>432</v>
      </c>
      <c r="Q135" t="s">
        <v>432</v>
      </c>
      <c r="R135" t="s">
        <v>432</v>
      </c>
      <c r="S135" t="s">
        <v>432</v>
      </c>
      <c r="T135" t="s">
        <v>432</v>
      </c>
      <c r="U135" t="s">
        <v>432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5</v>
      </c>
      <c r="AF135">
        <v>3</v>
      </c>
      <c r="AG135">
        <v>2</v>
      </c>
      <c r="AH135">
        <v>3600</v>
      </c>
      <c r="AI135" t="s">
        <v>1710</v>
      </c>
      <c r="AJ135">
        <v>0</v>
      </c>
      <c r="AK135" t="s">
        <v>559</v>
      </c>
      <c r="AL135" t="s">
        <v>1711</v>
      </c>
      <c r="AM135">
        <v>0.15</v>
      </c>
      <c r="AN135">
        <v>0.6</v>
      </c>
      <c r="AO135">
        <v>0.38</v>
      </c>
      <c r="AP135">
        <v>0.23</v>
      </c>
      <c r="AQ135">
        <v>3</v>
      </c>
      <c r="AR135" t="s">
        <v>1706</v>
      </c>
      <c r="AS135">
        <v>0</v>
      </c>
      <c r="AT135">
        <v>0</v>
      </c>
      <c r="AU135">
        <v>10</v>
      </c>
      <c r="AV135">
        <v>8004</v>
      </c>
      <c r="AW135">
        <v>0</v>
      </c>
      <c r="AX135">
        <f>COUNTIF('Equip Data'!A:A,A135)</f>
        <v>1</v>
      </c>
    </row>
    <row r="136" spans="1:50" hidden="1" x14ac:dyDescent="0.25">
      <c r="A136">
        <v>137</v>
      </c>
      <c r="B136" t="s">
        <v>1712</v>
      </c>
      <c r="C136" t="s">
        <v>1713</v>
      </c>
      <c r="D136" t="s">
        <v>1714</v>
      </c>
      <c r="E136">
        <v>5</v>
      </c>
      <c r="F136">
        <v>1</v>
      </c>
      <c r="G136">
        <v>16</v>
      </c>
      <c r="H136" t="s">
        <v>432</v>
      </c>
      <c r="I136" t="s">
        <v>432</v>
      </c>
      <c r="J136" t="s">
        <v>496</v>
      </c>
      <c r="K136" t="s">
        <v>432</v>
      </c>
      <c r="L136" t="s">
        <v>432</v>
      </c>
      <c r="M136" t="s">
        <v>432</v>
      </c>
      <c r="N136" t="s">
        <v>432</v>
      </c>
      <c r="O136" t="s">
        <v>432</v>
      </c>
      <c r="P136" t="s">
        <v>432</v>
      </c>
      <c r="Q136" t="s">
        <v>432</v>
      </c>
      <c r="R136" t="s">
        <v>432</v>
      </c>
      <c r="S136" t="s">
        <v>432</v>
      </c>
      <c r="T136" t="s">
        <v>432</v>
      </c>
      <c r="U136" t="s">
        <v>432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4</v>
      </c>
      <c r="AE136">
        <v>2</v>
      </c>
      <c r="AF136">
        <v>2</v>
      </c>
      <c r="AG136">
        <v>2</v>
      </c>
      <c r="AH136">
        <v>3600</v>
      </c>
      <c r="AI136" t="s">
        <v>1715</v>
      </c>
      <c r="AJ136">
        <v>0</v>
      </c>
      <c r="AK136" t="s">
        <v>560</v>
      </c>
      <c r="AL136" t="s">
        <v>1716</v>
      </c>
      <c r="AM136">
        <v>0</v>
      </c>
      <c r="AN136">
        <v>0</v>
      </c>
      <c r="AO136">
        <v>0</v>
      </c>
      <c r="AP136">
        <v>0</v>
      </c>
      <c r="AQ136">
        <v>3</v>
      </c>
      <c r="AR136" t="s">
        <v>432</v>
      </c>
      <c r="AS136">
        <v>0</v>
      </c>
      <c r="AT136">
        <v>710102</v>
      </c>
      <c r="AU136">
        <v>0</v>
      </c>
      <c r="AV136">
        <v>16011</v>
      </c>
      <c r="AW136">
        <v>0</v>
      </c>
      <c r="AX136">
        <f>COUNTIF('Equip Data'!A:A,A136)</f>
        <v>1</v>
      </c>
    </row>
    <row r="137" spans="1:50" hidden="1" x14ac:dyDescent="0.25">
      <c r="A137">
        <v>138</v>
      </c>
      <c r="B137" t="s">
        <v>1717</v>
      </c>
      <c r="C137" t="s">
        <v>1718</v>
      </c>
      <c r="D137" t="s">
        <v>1719</v>
      </c>
      <c r="E137">
        <v>5</v>
      </c>
      <c r="F137">
        <v>1</v>
      </c>
      <c r="G137">
        <v>16</v>
      </c>
      <c r="H137" t="s">
        <v>432</v>
      </c>
      <c r="I137" t="s">
        <v>432</v>
      </c>
      <c r="J137" t="s">
        <v>496</v>
      </c>
      <c r="K137" t="s">
        <v>432</v>
      </c>
      <c r="L137" t="s">
        <v>432</v>
      </c>
      <c r="M137" t="s">
        <v>432</v>
      </c>
      <c r="N137" t="s">
        <v>432</v>
      </c>
      <c r="O137" t="s">
        <v>432</v>
      </c>
      <c r="P137" t="s">
        <v>432</v>
      </c>
      <c r="Q137" t="s">
        <v>432</v>
      </c>
      <c r="R137" t="s">
        <v>432</v>
      </c>
      <c r="S137" t="s">
        <v>432</v>
      </c>
      <c r="T137" t="s">
        <v>432</v>
      </c>
      <c r="U137" t="s">
        <v>432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4</v>
      </c>
      <c r="AE137">
        <v>2</v>
      </c>
      <c r="AF137">
        <v>2</v>
      </c>
      <c r="AG137">
        <v>2</v>
      </c>
      <c r="AH137">
        <v>3600</v>
      </c>
      <c r="AI137" t="s">
        <v>1715</v>
      </c>
      <c r="AJ137">
        <v>0</v>
      </c>
      <c r="AK137" t="s">
        <v>560</v>
      </c>
      <c r="AL137" t="s">
        <v>1720</v>
      </c>
      <c r="AM137">
        <v>0</v>
      </c>
      <c r="AN137">
        <v>0</v>
      </c>
      <c r="AO137">
        <v>0</v>
      </c>
      <c r="AP137">
        <v>0</v>
      </c>
      <c r="AQ137">
        <v>3</v>
      </c>
      <c r="AR137" t="s">
        <v>432</v>
      </c>
      <c r="AS137">
        <v>0</v>
      </c>
      <c r="AT137">
        <v>710105</v>
      </c>
      <c r="AU137">
        <v>0</v>
      </c>
      <c r="AV137">
        <v>16012</v>
      </c>
      <c r="AW137">
        <v>0</v>
      </c>
      <c r="AX137">
        <f>COUNTIF('Equip Data'!A:A,A137)</f>
        <v>1</v>
      </c>
    </row>
    <row r="138" spans="1:50" hidden="1" x14ac:dyDescent="0.25">
      <c r="A138">
        <v>139</v>
      </c>
      <c r="B138" t="s">
        <v>1721</v>
      </c>
      <c r="C138" t="s">
        <v>1722</v>
      </c>
      <c r="D138" t="s">
        <v>1723</v>
      </c>
      <c r="E138">
        <v>5</v>
      </c>
      <c r="F138">
        <v>2</v>
      </c>
      <c r="G138">
        <v>6</v>
      </c>
      <c r="H138" t="s">
        <v>432</v>
      </c>
      <c r="I138" t="s">
        <v>432</v>
      </c>
      <c r="J138" t="s">
        <v>496</v>
      </c>
      <c r="K138" t="s">
        <v>432</v>
      </c>
      <c r="L138" t="s">
        <v>432</v>
      </c>
      <c r="M138" t="s">
        <v>432</v>
      </c>
      <c r="N138" t="s">
        <v>432</v>
      </c>
      <c r="O138" t="s">
        <v>432</v>
      </c>
      <c r="P138" t="s">
        <v>432</v>
      </c>
      <c r="Q138" t="s">
        <v>432</v>
      </c>
      <c r="R138" t="s">
        <v>432</v>
      </c>
      <c r="S138" t="s">
        <v>432</v>
      </c>
      <c r="T138" t="s">
        <v>432</v>
      </c>
      <c r="U138" t="s">
        <v>432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4</v>
      </c>
      <c r="AE138">
        <v>4</v>
      </c>
      <c r="AF138">
        <v>0</v>
      </c>
      <c r="AG138">
        <v>2</v>
      </c>
      <c r="AH138">
        <v>3600</v>
      </c>
      <c r="AI138" t="s">
        <v>1715</v>
      </c>
      <c r="AJ138">
        <v>0</v>
      </c>
      <c r="AK138" t="s">
        <v>560</v>
      </c>
      <c r="AL138" t="s">
        <v>1724</v>
      </c>
      <c r="AM138">
        <v>0</v>
      </c>
      <c r="AN138">
        <v>0</v>
      </c>
      <c r="AO138">
        <v>0</v>
      </c>
      <c r="AP138">
        <v>0</v>
      </c>
      <c r="AQ138">
        <v>3</v>
      </c>
      <c r="AR138" t="s">
        <v>432</v>
      </c>
      <c r="AS138">
        <v>0</v>
      </c>
      <c r="AT138">
        <v>710122</v>
      </c>
      <c r="AU138">
        <v>0</v>
      </c>
      <c r="AV138">
        <v>6009</v>
      </c>
      <c r="AW138">
        <v>0</v>
      </c>
      <c r="AX138">
        <f>COUNTIF('Equip Data'!A:A,A138)</f>
        <v>1</v>
      </c>
    </row>
    <row r="139" spans="1:50" hidden="1" x14ac:dyDescent="0.25">
      <c r="A139">
        <v>140</v>
      </c>
      <c r="B139" t="s">
        <v>1725</v>
      </c>
      <c r="C139" t="s">
        <v>1726</v>
      </c>
      <c r="D139" t="s">
        <v>1727</v>
      </c>
      <c r="E139">
        <v>5</v>
      </c>
      <c r="F139">
        <v>2</v>
      </c>
      <c r="G139">
        <v>6</v>
      </c>
      <c r="H139" t="s">
        <v>432</v>
      </c>
      <c r="I139" t="s">
        <v>432</v>
      </c>
      <c r="J139" t="s">
        <v>496</v>
      </c>
      <c r="K139" t="s">
        <v>432</v>
      </c>
      <c r="L139" t="s">
        <v>432</v>
      </c>
      <c r="M139" t="s">
        <v>432</v>
      </c>
      <c r="N139" t="s">
        <v>432</v>
      </c>
      <c r="O139" t="s">
        <v>432</v>
      </c>
      <c r="P139" t="s">
        <v>432</v>
      </c>
      <c r="Q139" t="s">
        <v>432</v>
      </c>
      <c r="R139" t="s">
        <v>432</v>
      </c>
      <c r="S139" t="s">
        <v>432</v>
      </c>
      <c r="T139" t="s">
        <v>432</v>
      </c>
      <c r="U139" t="s">
        <v>432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4</v>
      </c>
      <c r="AE139">
        <v>4</v>
      </c>
      <c r="AF139">
        <v>0</v>
      </c>
      <c r="AG139">
        <v>2</v>
      </c>
      <c r="AH139">
        <v>3600</v>
      </c>
      <c r="AI139" t="s">
        <v>1715</v>
      </c>
      <c r="AJ139">
        <v>0</v>
      </c>
      <c r="AK139" t="s">
        <v>560</v>
      </c>
      <c r="AL139" t="s">
        <v>1728</v>
      </c>
      <c r="AM139">
        <v>0</v>
      </c>
      <c r="AN139">
        <v>0</v>
      </c>
      <c r="AO139">
        <v>0</v>
      </c>
      <c r="AP139">
        <v>0</v>
      </c>
      <c r="AQ139">
        <v>3</v>
      </c>
      <c r="AR139" t="s">
        <v>432</v>
      </c>
      <c r="AS139">
        <v>0</v>
      </c>
      <c r="AT139">
        <v>710103</v>
      </c>
      <c r="AU139">
        <v>0</v>
      </c>
      <c r="AV139">
        <v>6010</v>
      </c>
      <c r="AW139">
        <v>0</v>
      </c>
      <c r="AX139">
        <f>COUNTIF('Equip Data'!A:A,A139)</f>
        <v>1</v>
      </c>
    </row>
    <row r="140" spans="1:50" hidden="1" x14ac:dyDescent="0.25">
      <c r="A140">
        <v>141</v>
      </c>
      <c r="B140" t="s">
        <v>1729</v>
      </c>
      <c r="C140" t="s">
        <v>1730</v>
      </c>
      <c r="D140" t="s">
        <v>1731</v>
      </c>
      <c r="E140">
        <v>5</v>
      </c>
      <c r="F140">
        <v>3</v>
      </c>
      <c r="G140">
        <v>12</v>
      </c>
      <c r="H140" t="s">
        <v>432</v>
      </c>
      <c r="I140" t="s">
        <v>432</v>
      </c>
      <c r="J140" t="s">
        <v>496</v>
      </c>
      <c r="K140" t="s">
        <v>432</v>
      </c>
      <c r="L140" t="s">
        <v>432</v>
      </c>
      <c r="M140" t="s">
        <v>432</v>
      </c>
      <c r="N140" t="s">
        <v>432</v>
      </c>
      <c r="O140" t="s">
        <v>432</v>
      </c>
      <c r="P140" t="s">
        <v>432</v>
      </c>
      <c r="Q140" t="s">
        <v>432</v>
      </c>
      <c r="R140" t="s">
        <v>432</v>
      </c>
      <c r="S140" t="s">
        <v>432</v>
      </c>
      <c r="T140" t="s">
        <v>432</v>
      </c>
      <c r="U140" t="s">
        <v>432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4</v>
      </c>
      <c r="AE140">
        <v>2</v>
      </c>
      <c r="AF140">
        <v>0</v>
      </c>
      <c r="AG140">
        <v>4</v>
      </c>
      <c r="AH140">
        <v>3600</v>
      </c>
      <c r="AI140" t="s">
        <v>1715</v>
      </c>
      <c r="AJ140">
        <v>0</v>
      </c>
      <c r="AK140" t="s">
        <v>560</v>
      </c>
      <c r="AL140" t="s">
        <v>1732</v>
      </c>
      <c r="AM140">
        <v>0</v>
      </c>
      <c r="AN140">
        <v>0</v>
      </c>
      <c r="AO140">
        <v>0</v>
      </c>
      <c r="AP140">
        <v>0</v>
      </c>
      <c r="AQ140">
        <v>3</v>
      </c>
      <c r="AR140" t="s">
        <v>432</v>
      </c>
      <c r="AS140">
        <v>0</v>
      </c>
      <c r="AT140">
        <v>710104</v>
      </c>
      <c r="AU140">
        <v>0</v>
      </c>
      <c r="AV140">
        <v>12004</v>
      </c>
      <c r="AW140">
        <v>0</v>
      </c>
      <c r="AX140">
        <f>COUNTIF('Equip Data'!A:A,A140)</f>
        <v>1</v>
      </c>
    </row>
    <row r="141" spans="1:50" hidden="1" x14ac:dyDescent="0.25">
      <c r="A141">
        <v>142</v>
      </c>
      <c r="B141" t="s">
        <v>1733</v>
      </c>
      <c r="C141" t="s">
        <v>1734</v>
      </c>
      <c r="D141" t="s">
        <v>1735</v>
      </c>
      <c r="E141">
        <v>5</v>
      </c>
      <c r="F141">
        <v>1</v>
      </c>
      <c r="G141">
        <v>16</v>
      </c>
      <c r="H141" t="s">
        <v>432</v>
      </c>
      <c r="I141" t="s">
        <v>432</v>
      </c>
      <c r="J141" t="s">
        <v>496</v>
      </c>
      <c r="K141" t="s">
        <v>432</v>
      </c>
      <c r="L141" t="s">
        <v>432</v>
      </c>
      <c r="M141" t="s">
        <v>432</v>
      </c>
      <c r="N141" t="s">
        <v>432</v>
      </c>
      <c r="O141" t="s">
        <v>432</v>
      </c>
      <c r="P141" t="s">
        <v>432</v>
      </c>
      <c r="Q141" t="s">
        <v>432</v>
      </c>
      <c r="R141" t="s">
        <v>432</v>
      </c>
      <c r="S141" t="s">
        <v>432</v>
      </c>
      <c r="T141" t="s">
        <v>432</v>
      </c>
      <c r="U141" t="s">
        <v>432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4</v>
      </c>
      <c r="AE141">
        <v>2</v>
      </c>
      <c r="AF141">
        <v>2</v>
      </c>
      <c r="AG141">
        <v>2</v>
      </c>
      <c r="AH141">
        <v>3600</v>
      </c>
      <c r="AI141" t="s">
        <v>1715</v>
      </c>
      <c r="AJ141">
        <v>0</v>
      </c>
      <c r="AK141" t="s">
        <v>560</v>
      </c>
      <c r="AL141" t="s">
        <v>1736</v>
      </c>
      <c r="AM141">
        <v>0</v>
      </c>
      <c r="AN141">
        <v>0</v>
      </c>
      <c r="AO141">
        <v>0</v>
      </c>
      <c r="AP141">
        <v>0</v>
      </c>
      <c r="AQ141">
        <v>3</v>
      </c>
      <c r="AR141" t="s">
        <v>432</v>
      </c>
      <c r="AS141">
        <v>0</v>
      </c>
      <c r="AT141">
        <v>710106</v>
      </c>
      <c r="AU141">
        <v>0</v>
      </c>
      <c r="AV141">
        <v>16013</v>
      </c>
      <c r="AW141">
        <v>0</v>
      </c>
      <c r="AX141">
        <f>COUNTIF('Equip Data'!A:A,A141)</f>
        <v>1</v>
      </c>
    </row>
    <row r="142" spans="1:50" hidden="1" x14ac:dyDescent="0.25">
      <c r="A142">
        <v>143</v>
      </c>
      <c r="B142" t="s">
        <v>1737</v>
      </c>
      <c r="C142" t="s">
        <v>1738</v>
      </c>
      <c r="D142" t="s">
        <v>1739</v>
      </c>
      <c r="E142">
        <v>5</v>
      </c>
      <c r="F142">
        <v>2</v>
      </c>
      <c r="G142">
        <v>6</v>
      </c>
      <c r="H142" t="s">
        <v>432</v>
      </c>
      <c r="I142" t="s">
        <v>432</v>
      </c>
      <c r="J142" t="s">
        <v>496</v>
      </c>
      <c r="K142" t="s">
        <v>432</v>
      </c>
      <c r="L142" t="s">
        <v>432</v>
      </c>
      <c r="M142" t="s">
        <v>432</v>
      </c>
      <c r="N142" t="s">
        <v>432</v>
      </c>
      <c r="O142" t="s">
        <v>432</v>
      </c>
      <c r="P142" t="s">
        <v>432</v>
      </c>
      <c r="Q142" t="s">
        <v>432</v>
      </c>
      <c r="R142" t="s">
        <v>432</v>
      </c>
      <c r="S142" t="s">
        <v>432</v>
      </c>
      <c r="T142" t="s">
        <v>432</v>
      </c>
      <c r="U142" t="s">
        <v>432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4</v>
      </c>
      <c r="AE142">
        <v>4</v>
      </c>
      <c r="AF142">
        <v>0</v>
      </c>
      <c r="AG142">
        <v>2</v>
      </c>
      <c r="AH142">
        <v>3600</v>
      </c>
      <c r="AI142" t="s">
        <v>1715</v>
      </c>
      <c r="AJ142">
        <v>0</v>
      </c>
      <c r="AK142" t="s">
        <v>560</v>
      </c>
      <c r="AL142" t="s">
        <v>1740</v>
      </c>
      <c r="AM142">
        <v>0</v>
      </c>
      <c r="AN142">
        <v>0</v>
      </c>
      <c r="AO142">
        <v>0</v>
      </c>
      <c r="AP142">
        <v>0</v>
      </c>
      <c r="AQ142">
        <v>3</v>
      </c>
      <c r="AR142" t="s">
        <v>432</v>
      </c>
      <c r="AS142">
        <v>0</v>
      </c>
      <c r="AT142">
        <v>710120</v>
      </c>
      <c r="AU142">
        <v>0</v>
      </c>
      <c r="AV142">
        <v>6011</v>
      </c>
      <c r="AW142">
        <v>0</v>
      </c>
      <c r="AX142">
        <f>COUNTIF('Equip Data'!A:A,A142)</f>
        <v>1</v>
      </c>
    </row>
    <row r="143" spans="1:50" hidden="1" x14ac:dyDescent="0.25">
      <c r="A143">
        <v>144</v>
      </c>
      <c r="B143" t="s">
        <v>1741</v>
      </c>
      <c r="C143" t="s">
        <v>1742</v>
      </c>
      <c r="D143" t="s">
        <v>1743</v>
      </c>
      <c r="E143">
        <v>5</v>
      </c>
      <c r="F143">
        <v>3</v>
      </c>
      <c r="G143">
        <v>12</v>
      </c>
      <c r="H143" t="s">
        <v>432</v>
      </c>
      <c r="I143" t="s">
        <v>432</v>
      </c>
      <c r="J143" t="s">
        <v>496</v>
      </c>
      <c r="K143" t="s">
        <v>432</v>
      </c>
      <c r="L143" t="s">
        <v>432</v>
      </c>
      <c r="M143" t="s">
        <v>432</v>
      </c>
      <c r="N143" t="s">
        <v>432</v>
      </c>
      <c r="O143" t="s">
        <v>432</v>
      </c>
      <c r="P143" t="s">
        <v>432</v>
      </c>
      <c r="Q143" t="s">
        <v>432</v>
      </c>
      <c r="R143" t="s">
        <v>432</v>
      </c>
      <c r="S143" t="s">
        <v>432</v>
      </c>
      <c r="T143" t="s">
        <v>432</v>
      </c>
      <c r="U143" t="s">
        <v>432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4</v>
      </c>
      <c r="AE143">
        <v>2</v>
      </c>
      <c r="AF143">
        <v>0</v>
      </c>
      <c r="AG143">
        <v>4</v>
      </c>
      <c r="AH143">
        <v>3600</v>
      </c>
      <c r="AI143" t="s">
        <v>1715</v>
      </c>
      <c r="AJ143">
        <v>0</v>
      </c>
      <c r="AK143" t="s">
        <v>560</v>
      </c>
      <c r="AL143" t="s">
        <v>1744</v>
      </c>
      <c r="AM143">
        <v>0</v>
      </c>
      <c r="AN143">
        <v>0</v>
      </c>
      <c r="AO143">
        <v>0</v>
      </c>
      <c r="AP143">
        <v>0</v>
      </c>
      <c r="AQ143">
        <v>3</v>
      </c>
      <c r="AR143" t="s">
        <v>432</v>
      </c>
      <c r="AS143">
        <v>0</v>
      </c>
      <c r="AT143">
        <v>710121</v>
      </c>
      <c r="AU143">
        <v>0</v>
      </c>
      <c r="AV143">
        <v>12005</v>
      </c>
      <c r="AW143">
        <v>0</v>
      </c>
      <c r="AX143">
        <f>COUNTIF('Equip Data'!A:A,A143)</f>
        <v>1</v>
      </c>
    </row>
    <row r="144" spans="1:50" hidden="1" x14ac:dyDescent="0.25">
      <c r="A144">
        <v>145</v>
      </c>
      <c r="B144" t="s">
        <v>1745</v>
      </c>
      <c r="C144" t="s">
        <v>1746</v>
      </c>
      <c r="D144" t="s">
        <v>1747</v>
      </c>
      <c r="E144">
        <v>5</v>
      </c>
      <c r="F144">
        <v>3</v>
      </c>
      <c r="G144">
        <v>12</v>
      </c>
      <c r="H144" t="s">
        <v>502</v>
      </c>
      <c r="I144" t="s">
        <v>432</v>
      </c>
      <c r="J144" t="s">
        <v>470</v>
      </c>
      <c r="K144" t="s">
        <v>432</v>
      </c>
      <c r="L144" t="s">
        <v>432</v>
      </c>
      <c r="M144" t="s">
        <v>432</v>
      </c>
      <c r="N144" t="s">
        <v>432</v>
      </c>
      <c r="O144" t="s">
        <v>432</v>
      </c>
      <c r="P144" t="s">
        <v>462</v>
      </c>
      <c r="Q144" t="s">
        <v>432</v>
      </c>
      <c r="R144" t="s">
        <v>432</v>
      </c>
      <c r="S144" t="s">
        <v>432</v>
      </c>
      <c r="T144" t="s">
        <v>432</v>
      </c>
      <c r="U144" t="s">
        <v>432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2</v>
      </c>
      <c r="AE144">
        <v>2</v>
      </c>
      <c r="AF144">
        <v>3</v>
      </c>
      <c r="AG144">
        <v>3</v>
      </c>
      <c r="AH144">
        <v>3600</v>
      </c>
      <c r="AI144" t="s">
        <v>1748</v>
      </c>
      <c r="AJ144">
        <v>0</v>
      </c>
      <c r="AK144" t="s">
        <v>561</v>
      </c>
      <c r="AL144" t="s">
        <v>1749</v>
      </c>
      <c r="AM144">
        <v>0.23</v>
      </c>
      <c r="AN144">
        <v>0.23</v>
      </c>
      <c r="AO144">
        <v>0.33</v>
      </c>
      <c r="AP144">
        <v>0.33</v>
      </c>
      <c r="AQ144">
        <v>3</v>
      </c>
      <c r="AR144" t="s">
        <v>1750</v>
      </c>
      <c r="AS144">
        <v>0</v>
      </c>
      <c r="AT144">
        <v>0</v>
      </c>
      <c r="AU144">
        <v>10</v>
      </c>
      <c r="AV144">
        <v>12006</v>
      </c>
      <c r="AW144">
        <v>0</v>
      </c>
      <c r="AX144">
        <f>COUNTIF('Equip Data'!A:A,A144)</f>
        <v>1</v>
      </c>
    </row>
    <row r="145" spans="1:50" hidden="1" x14ac:dyDescent="0.25">
      <c r="A145">
        <v>146</v>
      </c>
      <c r="B145" t="s">
        <v>1751</v>
      </c>
      <c r="C145" t="s">
        <v>1752</v>
      </c>
      <c r="D145" t="s">
        <v>1753</v>
      </c>
      <c r="E145">
        <v>5</v>
      </c>
      <c r="F145">
        <v>2</v>
      </c>
      <c r="G145">
        <v>6</v>
      </c>
      <c r="H145" t="s">
        <v>489</v>
      </c>
      <c r="I145" t="s">
        <v>432</v>
      </c>
      <c r="J145" t="s">
        <v>432</v>
      </c>
      <c r="K145" t="s">
        <v>432</v>
      </c>
      <c r="L145" t="s">
        <v>432</v>
      </c>
      <c r="M145" t="s">
        <v>432</v>
      </c>
      <c r="N145" t="s">
        <v>432</v>
      </c>
      <c r="O145" t="s">
        <v>490</v>
      </c>
      <c r="P145" t="s">
        <v>432</v>
      </c>
      <c r="Q145" t="s">
        <v>432</v>
      </c>
      <c r="R145" t="s">
        <v>432</v>
      </c>
      <c r="S145" t="s">
        <v>432</v>
      </c>
      <c r="T145" t="s">
        <v>432</v>
      </c>
      <c r="U145" t="s">
        <v>432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4</v>
      </c>
      <c r="AE145">
        <v>4</v>
      </c>
      <c r="AF145">
        <v>0</v>
      </c>
      <c r="AG145">
        <v>2</v>
      </c>
      <c r="AH145">
        <v>3600</v>
      </c>
      <c r="AI145" t="s">
        <v>1748</v>
      </c>
      <c r="AJ145">
        <v>0</v>
      </c>
      <c r="AK145" t="s">
        <v>562</v>
      </c>
      <c r="AL145" t="s">
        <v>1754</v>
      </c>
      <c r="AM145">
        <v>0.48</v>
      </c>
      <c r="AN145">
        <v>0.48</v>
      </c>
      <c r="AO145">
        <v>0.08</v>
      </c>
      <c r="AP145">
        <v>0.25</v>
      </c>
      <c r="AQ145">
        <v>3</v>
      </c>
      <c r="AR145" t="s">
        <v>1399</v>
      </c>
      <c r="AS145">
        <v>0</v>
      </c>
      <c r="AT145">
        <v>0</v>
      </c>
      <c r="AU145">
        <v>10</v>
      </c>
      <c r="AV145">
        <v>6005</v>
      </c>
      <c r="AW145">
        <v>0</v>
      </c>
      <c r="AX145">
        <f>COUNTIF('Equip Data'!A:A,A145)</f>
        <v>1</v>
      </c>
    </row>
    <row r="146" spans="1:50" hidden="1" x14ac:dyDescent="0.25">
      <c r="A146">
        <v>147</v>
      </c>
      <c r="B146" t="s">
        <v>1755</v>
      </c>
      <c r="C146" t="s">
        <v>1756</v>
      </c>
      <c r="D146" t="s">
        <v>1757</v>
      </c>
      <c r="E146">
        <v>5</v>
      </c>
      <c r="F146">
        <v>3</v>
      </c>
      <c r="G146">
        <v>10</v>
      </c>
      <c r="H146" t="s">
        <v>432</v>
      </c>
      <c r="I146" t="s">
        <v>432</v>
      </c>
      <c r="J146" t="s">
        <v>503</v>
      </c>
      <c r="K146" t="s">
        <v>432</v>
      </c>
      <c r="L146" t="s">
        <v>432</v>
      </c>
      <c r="M146" t="s">
        <v>432</v>
      </c>
      <c r="N146" t="s">
        <v>432</v>
      </c>
      <c r="O146" t="s">
        <v>432</v>
      </c>
      <c r="P146" t="s">
        <v>432</v>
      </c>
      <c r="Q146" t="s">
        <v>432</v>
      </c>
      <c r="R146" t="s">
        <v>432</v>
      </c>
      <c r="S146" t="s">
        <v>432</v>
      </c>
      <c r="T146" t="s">
        <v>432</v>
      </c>
      <c r="U146" t="s">
        <v>432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4</v>
      </c>
      <c r="AE146">
        <v>2</v>
      </c>
      <c r="AF146">
        <v>0</v>
      </c>
      <c r="AG146">
        <v>4</v>
      </c>
      <c r="AH146">
        <v>3600</v>
      </c>
      <c r="AI146" t="s">
        <v>1748</v>
      </c>
      <c r="AJ146">
        <v>0</v>
      </c>
      <c r="AK146" t="s">
        <v>563</v>
      </c>
      <c r="AL146" t="s">
        <v>1758</v>
      </c>
      <c r="AM146">
        <v>0.3</v>
      </c>
      <c r="AN146">
        <v>0.23</v>
      </c>
      <c r="AO146">
        <v>0.15</v>
      </c>
      <c r="AP146">
        <v>0.38</v>
      </c>
      <c r="AQ146">
        <v>3</v>
      </c>
      <c r="AR146" t="s">
        <v>1341</v>
      </c>
      <c r="AS146">
        <v>0</v>
      </c>
      <c r="AT146">
        <v>0</v>
      </c>
      <c r="AU146">
        <v>10</v>
      </c>
      <c r="AV146">
        <v>10005</v>
      </c>
      <c r="AW146">
        <v>0</v>
      </c>
      <c r="AX146">
        <f>COUNTIF('Equip Data'!A:A,A146)</f>
        <v>1</v>
      </c>
    </row>
    <row r="147" spans="1:50" hidden="1" x14ac:dyDescent="0.25">
      <c r="A147">
        <v>148</v>
      </c>
      <c r="B147" t="s">
        <v>1759</v>
      </c>
      <c r="C147" t="s">
        <v>1760</v>
      </c>
      <c r="D147" t="s">
        <v>1761</v>
      </c>
      <c r="E147">
        <v>5</v>
      </c>
      <c r="F147">
        <v>3</v>
      </c>
      <c r="G147">
        <v>12</v>
      </c>
      <c r="H147" t="s">
        <v>432</v>
      </c>
      <c r="I147" t="s">
        <v>432</v>
      </c>
      <c r="J147" t="s">
        <v>432</v>
      </c>
      <c r="K147" t="s">
        <v>505</v>
      </c>
      <c r="L147" t="s">
        <v>435</v>
      </c>
      <c r="M147" t="s">
        <v>503</v>
      </c>
      <c r="N147" t="s">
        <v>432</v>
      </c>
      <c r="O147" t="s">
        <v>432</v>
      </c>
      <c r="P147" t="s">
        <v>432</v>
      </c>
      <c r="Q147" t="s">
        <v>432</v>
      </c>
      <c r="R147" t="s">
        <v>432</v>
      </c>
      <c r="S147" t="s">
        <v>432</v>
      </c>
      <c r="T147" t="s">
        <v>432</v>
      </c>
      <c r="U147" t="s">
        <v>432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4</v>
      </c>
      <c r="AE147">
        <v>0</v>
      </c>
      <c r="AF147">
        <v>5</v>
      </c>
      <c r="AG147">
        <v>0</v>
      </c>
      <c r="AH147">
        <v>3600</v>
      </c>
      <c r="AI147" t="s">
        <v>1748</v>
      </c>
      <c r="AJ147">
        <v>0</v>
      </c>
      <c r="AK147" t="s">
        <v>564</v>
      </c>
      <c r="AL147" t="s">
        <v>1762</v>
      </c>
      <c r="AM147">
        <v>0.55000000000000004</v>
      </c>
      <c r="AN147">
        <v>0.16</v>
      </c>
      <c r="AO147">
        <v>0.6</v>
      </c>
      <c r="AP147">
        <v>0.16</v>
      </c>
      <c r="AQ147">
        <v>3</v>
      </c>
      <c r="AR147" t="s">
        <v>1763</v>
      </c>
      <c r="AS147">
        <v>0</v>
      </c>
      <c r="AT147">
        <v>0</v>
      </c>
      <c r="AU147">
        <v>10</v>
      </c>
      <c r="AV147">
        <v>12007</v>
      </c>
      <c r="AW147">
        <v>0</v>
      </c>
      <c r="AX147">
        <f>COUNTIF('Equip Data'!A:A,A147)</f>
        <v>1</v>
      </c>
    </row>
    <row r="148" spans="1:50" hidden="1" x14ac:dyDescent="0.25">
      <c r="A148">
        <v>149</v>
      </c>
      <c r="B148" t="s">
        <v>1764</v>
      </c>
      <c r="C148" t="s">
        <v>1765</v>
      </c>
      <c r="D148" t="s">
        <v>1766</v>
      </c>
      <c r="E148">
        <v>5</v>
      </c>
      <c r="F148">
        <v>3</v>
      </c>
      <c r="G148">
        <v>12</v>
      </c>
      <c r="H148" t="s">
        <v>502</v>
      </c>
      <c r="I148" t="s">
        <v>432</v>
      </c>
      <c r="J148" t="s">
        <v>470</v>
      </c>
      <c r="K148" t="s">
        <v>432</v>
      </c>
      <c r="L148" t="s">
        <v>432</v>
      </c>
      <c r="M148" t="s">
        <v>432</v>
      </c>
      <c r="N148" t="s">
        <v>432</v>
      </c>
      <c r="O148" t="s">
        <v>432</v>
      </c>
      <c r="P148" t="s">
        <v>432</v>
      </c>
      <c r="Q148" t="s">
        <v>432</v>
      </c>
      <c r="R148" t="s">
        <v>432</v>
      </c>
      <c r="S148" t="s">
        <v>432</v>
      </c>
      <c r="T148" t="s">
        <v>432</v>
      </c>
      <c r="U148" t="s">
        <v>458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4</v>
      </c>
      <c r="AE148">
        <v>0</v>
      </c>
      <c r="AF148">
        <v>5</v>
      </c>
      <c r="AG148">
        <v>0</v>
      </c>
      <c r="AH148">
        <v>3600</v>
      </c>
      <c r="AI148" t="s">
        <v>1748</v>
      </c>
      <c r="AJ148">
        <v>0</v>
      </c>
      <c r="AK148" t="s">
        <v>565</v>
      </c>
      <c r="AL148" t="s">
        <v>1767</v>
      </c>
      <c r="AM148">
        <v>0.55000000000000004</v>
      </c>
      <c r="AN148">
        <v>0.16</v>
      </c>
      <c r="AO148">
        <v>0.6</v>
      </c>
      <c r="AP148">
        <v>0.16</v>
      </c>
      <c r="AQ148">
        <v>3</v>
      </c>
      <c r="AR148" t="s">
        <v>1768</v>
      </c>
      <c r="AS148">
        <v>0</v>
      </c>
      <c r="AT148">
        <v>0</v>
      </c>
      <c r="AU148">
        <v>10</v>
      </c>
      <c r="AV148">
        <v>12008</v>
      </c>
      <c r="AW148">
        <v>0</v>
      </c>
      <c r="AX148">
        <f>COUNTIF('Equip Data'!A:A,A148)</f>
        <v>1</v>
      </c>
    </row>
    <row r="149" spans="1:50" hidden="1" x14ac:dyDescent="0.25">
      <c r="A149">
        <v>150</v>
      </c>
      <c r="B149" t="s">
        <v>1769</v>
      </c>
      <c r="C149" t="s">
        <v>1770</v>
      </c>
      <c r="D149" t="s">
        <v>1771</v>
      </c>
      <c r="E149">
        <v>5</v>
      </c>
      <c r="F149">
        <v>1</v>
      </c>
      <c r="G149">
        <v>1</v>
      </c>
      <c r="H149" t="s">
        <v>432</v>
      </c>
      <c r="I149" t="s">
        <v>550</v>
      </c>
      <c r="J149" t="s">
        <v>432</v>
      </c>
      <c r="K149" t="s">
        <v>432</v>
      </c>
      <c r="L149" t="s">
        <v>448</v>
      </c>
      <c r="M149" t="s">
        <v>432</v>
      </c>
      <c r="N149" t="s">
        <v>430</v>
      </c>
      <c r="O149" t="s">
        <v>432</v>
      </c>
      <c r="P149" t="s">
        <v>432</v>
      </c>
      <c r="Q149" t="s">
        <v>432</v>
      </c>
      <c r="R149" t="s">
        <v>432</v>
      </c>
      <c r="S149" t="s">
        <v>432</v>
      </c>
      <c r="T149" t="s">
        <v>432</v>
      </c>
      <c r="U149" t="s">
        <v>432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4</v>
      </c>
      <c r="AE149">
        <v>0</v>
      </c>
      <c r="AF149">
        <v>3</v>
      </c>
      <c r="AG149">
        <v>2</v>
      </c>
      <c r="AH149">
        <v>3600</v>
      </c>
      <c r="AI149" t="s">
        <v>1677</v>
      </c>
      <c r="AJ149">
        <v>0</v>
      </c>
      <c r="AK149" t="s">
        <v>566</v>
      </c>
      <c r="AL149" t="s">
        <v>1772</v>
      </c>
      <c r="AM149">
        <v>0.45</v>
      </c>
      <c r="AN149">
        <v>0.15</v>
      </c>
      <c r="AO149">
        <v>0.3</v>
      </c>
      <c r="AP149">
        <v>0.15</v>
      </c>
      <c r="AQ149">
        <v>3</v>
      </c>
      <c r="AR149" t="s">
        <v>1773</v>
      </c>
      <c r="AS149">
        <v>0</v>
      </c>
      <c r="AT149">
        <v>0</v>
      </c>
      <c r="AU149">
        <v>10</v>
      </c>
      <c r="AV149">
        <v>1007</v>
      </c>
      <c r="AW149">
        <v>0</v>
      </c>
      <c r="AX149">
        <f>COUNTIF('Equip Data'!A:A,A149)</f>
        <v>1</v>
      </c>
    </row>
    <row r="150" spans="1:50" hidden="1" x14ac:dyDescent="0.25">
      <c r="A150">
        <v>151</v>
      </c>
      <c r="B150" t="s">
        <v>1774</v>
      </c>
      <c r="C150" t="s">
        <v>1775</v>
      </c>
      <c r="D150" t="s">
        <v>1776</v>
      </c>
      <c r="E150">
        <v>5</v>
      </c>
      <c r="F150">
        <v>2</v>
      </c>
      <c r="G150">
        <v>7</v>
      </c>
      <c r="H150" t="s">
        <v>460</v>
      </c>
      <c r="I150" t="s">
        <v>435</v>
      </c>
      <c r="J150" t="s">
        <v>432</v>
      </c>
      <c r="K150" t="s">
        <v>432</v>
      </c>
      <c r="L150" t="s">
        <v>432</v>
      </c>
      <c r="M150" t="s">
        <v>555</v>
      </c>
      <c r="N150" t="s">
        <v>432</v>
      </c>
      <c r="O150" t="s">
        <v>432</v>
      </c>
      <c r="P150" t="s">
        <v>432</v>
      </c>
      <c r="Q150" t="s">
        <v>432</v>
      </c>
      <c r="R150" t="s">
        <v>432</v>
      </c>
      <c r="S150" t="s">
        <v>432</v>
      </c>
      <c r="T150" t="s">
        <v>432</v>
      </c>
      <c r="U150" t="s">
        <v>432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1</v>
      </c>
      <c r="AE150">
        <v>4</v>
      </c>
      <c r="AF150">
        <v>1</v>
      </c>
      <c r="AG150">
        <v>3</v>
      </c>
      <c r="AH150">
        <v>3600</v>
      </c>
      <c r="AI150" t="s">
        <v>1777</v>
      </c>
      <c r="AJ150">
        <v>0</v>
      </c>
      <c r="AK150" t="s">
        <v>567</v>
      </c>
      <c r="AL150" t="s">
        <v>1778</v>
      </c>
      <c r="AM150">
        <v>0.08</v>
      </c>
      <c r="AN150">
        <v>0.53</v>
      </c>
      <c r="AO150">
        <v>0.08</v>
      </c>
      <c r="AP150">
        <v>0.45</v>
      </c>
      <c r="AQ150">
        <v>3</v>
      </c>
      <c r="AR150" t="s">
        <v>1779</v>
      </c>
      <c r="AS150">
        <v>0</v>
      </c>
      <c r="AT150">
        <v>0</v>
      </c>
      <c r="AU150">
        <v>10</v>
      </c>
      <c r="AV150">
        <v>7003</v>
      </c>
      <c r="AW150">
        <v>0</v>
      </c>
      <c r="AX150">
        <f>COUNTIF('Equip Data'!A:A,A150)</f>
        <v>1</v>
      </c>
    </row>
    <row r="151" spans="1:50" hidden="1" x14ac:dyDescent="0.25">
      <c r="A151">
        <v>152</v>
      </c>
      <c r="B151" t="s">
        <v>1780</v>
      </c>
      <c r="C151" t="s">
        <v>1781</v>
      </c>
      <c r="D151" t="s">
        <v>1782</v>
      </c>
      <c r="E151">
        <v>5</v>
      </c>
      <c r="F151">
        <v>1</v>
      </c>
      <c r="G151">
        <v>1</v>
      </c>
      <c r="H151" t="s">
        <v>439</v>
      </c>
      <c r="I151" t="s">
        <v>435</v>
      </c>
      <c r="J151" t="s">
        <v>432</v>
      </c>
      <c r="K151" t="s">
        <v>432</v>
      </c>
      <c r="L151" t="s">
        <v>432</v>
      </c>
      <c r="M151" t="s">
        <v>432</v>
      </c>
      <c r="N151" t="s">
        <v>501</v>
      </c>
      <c r="O151" t="s">
        <v>432</v>
      </c>
      <c r="P151" t="s">
        <v>432</v>
      </c>
      <c r="Q151" t="s">
        <v>432</v>
      </c>
      <c r="R151" t="s">
        <v>432</v>
      </c>
      <c r="S151" t="s">
        <v>432</v>
      </c>
      <c r="T151" t="s">
        <v>432</v>
      </c>
      <c r="U151" t="s">
        <v>432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4</v>
      </c>
      <c r="AE151">
        <v>0</v>
      </c>
      <c r="AF151">
        <v>3</v>
      </c>
      <c r="AG151">
        <v>2</v>
      </c>
      <c r="AH151">
        <v>3600</v>
      </c>
      <c r="AI151" t="s">
        <v>1783</v>
      </c>
      <c r="AJ151">
        <v>0</v>
      </c>
      <c r="AK151" t="s">
        <v>568</v>
      </c>
      <c r="AL151" t="s">
        <v>1784</v>
      </c>
      <c r="AM151">
        <v>0.45</v>
      </c>
      <c r="AN151">
        <v>0.15</v>
      </c>
      <c r="AO151">
        <v>0.3</v>
      </c>
      <c r="AP151">
        <v>0.15</v>
      </c>
      <c r="AQ151">
        <v>3</v>
      </c>
      <c r="AR151" t="s">
        <v>1785</v>
      </c>
      <c r="AS151">
        <v>0</v>
      </c>
      <c r="AT151">
        <v>0</v>
      </c>
      <c r="AU151">
        <v>10</v>
      </c>
      <c r="AV151">
        <v>16014</v>
      </c>
      <c r="AW151">
        <v>0</v>
      </c>
      <c r="AX151">
        <f>COUNTIF('Equip Data'!A:A,A151)</f>
        <v>1</v>
      </c>
    </row>
    <row r="152" spans="1:50" hidden="1" x14ac:dyDescent="0.25">
      <c r="A152">
        <v>153</v>
      </c>
      <c r="B152" t="s">
        <v>1786</v>
      </c>
      <c r="C152" t="s">
        <v>1787</v>
      </c>
      <c r="D152" t="s">
        <v>1788</v>
      </c>
      <c r="E152">
        <v>5</v>
      </c>
      <c r="F152">
        <v>1</v>
      </c>
      <c r="G152">
        <v>1</v>
      </c>
      <c r="H152" t="s">
        <v>432</v>
      </c>
      <c r="I152" t="s">
        <v>441</v>
      </c>
      <c r="J152" t="s">
        <v>432</v>
      </c>
      <c r="K152" t="s">
        <v>432</v>
      </c>
      <c r="L152" t="s">
        <v>502</v>
      </c>
      <c r="M152" t="s">
        <v>432</v>
      </c>
      <c r="N152" t="s">
        <v>501</v>
      </c>
      <c r="O152" t="s">
        <v>432</v>
      </c>
      <c r="P152" t="s">
        <v>432</v>
      </c>
      <c r="Q152" t="s">
        <v>432</v>
      </c>
      <c r="R152" t="s">
        <v>432</v>
      </c>
      <c r="S152" t="s">
        <v>432</v>
      </c>
      <c r="T152" t="s">
        <v>432</v>
      </c>
      <c r="U152" t="s">
        <v>432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4</v>
      </c>
      <c r="AE152">
        <v>0</v>
      </c>
      <c r="AF152">
        <v>3</v>
      </c>
      <c r="AG152">
        <v>2</v>
      </c>
      <c r="AH152">
        <v>3600</v>
      </c>
      <c r="AI152" t="s">
        <v>1789</v>
      </c>
      <c r="AJ152">
        <v>0</v>
      </c>
      <c r="AK152" t="s">
        <v>474</v>
      </c>
      <c r="AL152" t="s">
        <v>1790</v>
      </c>
      <c r="AM152">
        <v>0.45</v>
      </c>
      <c r="AN152">
        <v>0.15</v>
      </c>
      <c r="AO152">
        <v>0.3</v>
      </c>
      <c r="AP152">
        <v>0.15</v>
      </c>
      <c r="AQ152">
        <v>3</v>
      </c>
      <c r="AR152" t="s">
        <v>1791</v>
      </c>
      <c r="AS152">
        <v>0</v>
      </c>
      <c r="AT152">
        <v>0</v>
      </c>
      <c r="AU152">
        <v>10</v>
      </c>
      <c r="AV152">
        <v>1015</v>
      </c>
      <c r="AW152">
        <v>0</v>
      </c>
      <c r="AX152">
        <f>COUNTIF('Equip Data'!A:A,A152)</f>
        <v>1</v>
      </c>
    </row>
    <row r="153" spans="1:50" hidden="1" x14ac:dyDescent="0.25">
      <c r="A153">
        <v>154</v>
      </c>
      <c r="B153" t="s">
        <v>1792</v>
      </c>
      <c r="C153" t="s">
        <v>1793</v>
      </c>
      <c r="D153" t="s">
        <v>1794</v>
      </c>
      <c r="E153">
        <v>5</v>
      </c>
      <c r="F153">
        <v>1</v>
      </c>
      <c r="G153">
        <v>13</v>
      </c>
      <c r="H153" t="s">
        <v>435</v>
      </c>
      <c r="I153" t="s">
        <v>432</v>
      </c>
      <c r="J153" t="s">
        <v>569</v>
      </c>
      <c r="K153" t="s">
        <v>432</v>
      </c>
      <c r="L153" t="s">
        <v>432</v>
      </c>
      <c r="M153" t="s">
        <v>432</v>
      </c>
      <c r="N153" t="s">
        <v>503</v>
      </c>
      <c r="O153" t="s">
        <v>432</v>
      </c>
      <c r="P153" t="s">
        <v>432</v>
      </c>
      <c r="Q153" t="s">
        <v>432</v>
      </c>
      <c r="R153" t="s">
        <v>432</v>
      </c>
      <c r="S153" t="s">
        <v>432</v>
      </c>
      <c r="T153" t="s">
        <v>432</v>
      </c>
      <c r="U153" t="s">
        <v>432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4</v>
      </c>
      <c r="AE153">
        <v>2</v>
      </c>
      <c r="AF153">
        <v>2</v>
      </c>
      <c r="AG153">
        <v>2</v>
      </c>
      <c r="AH153">
        <v>3600</v>
      </c>
      <c r="AI153" t="s">
        <v>1795</v>
      </c>
      <c r="AJ153">
        <v>0</v>
      </c>
      <c r="AK153" t="s">
        <v>570</v>
      </c>
      <c r="AL153" t="s">
        <v>1796</v>
      </c>
      <c r="AM153">
        <v>0.55000000000000004</v>
      </c>
      <c r="AN153">
        <v>0.23</v>
      </c>
      <c r="AO153">
        <v>0.23</v>
      </c>
      <c r="AP153">
        <v>0.23</v>
      </c>
      <c r="AQ153">
        <v>3</v>
      </c>
      <c r="AR153" t="s">
        <v>1797</v>
      </c>
      <c r="AS153">
        <v>0</v>
      </c>
      <c r="AT153">
        <v>0</v>
      </c>
      <c r="AU153">
        <v>10</v>
      </c>
      <c r="AV153">
        <v>13005</v>
      </c>
      <c r="AW153">
        <v>0</v>
      </c>
      <c r="AX153">
        <f>COUNTIF('Equip Data'!A:A,A153)</f>
        <v>1</v>
      </c>
    </row>
    <row r="154" spans="1:50" hidden="1" x14ac:dyDescent="0.25">
      <c r="A154">
        <v>155</v>
      </c>
      <c r="B154" t="s">
        <v>1798</v>
      </c>
      <c r="C154" t="s">
        <v>1799</v>
      </c>
      <c r="D154" t="s">
        <v>1800</v>
      </c>
      <c r="E154">
        <v>5</v>
      </c>
      <c r="F154">
        <v>1</v>
      </c>
      <c r="G154">
        <v>13</v>
      </c>
      <c r="H154" t="s">
        <v>432</v>
      </c>
      <c r="I154" t="s">
        <v>432</v>
      </c>
      <c r="J154" t="s">
        <v>571</v>
      </c>
      <c r="K154" t="s">
        <v>432</v>
      </c>
      <c r="L154" t="s">
        <v>432</v>
      </c>
      <c r="M154" t="s">
        <v>432</v>
      </c>
      <c r="N154" t="s">
        <v>503</v>
      </c>
      <c r="O154" t="s">
        <v>432</v>
      </c>
      <c r="P154" t="s">
        <v>432</v>
      </c>
      <c r="Q154" t="s">
        <v>432</v>
      </c>
      <c r="R154" t="s">
        <v>432</v>
      </c>
      <c r="S154" t="s">
        <v>432</v>
      </c>
      <c r="T154" t="s">
        <v>432</v>
      </c>
      <c r="U154" t="s">
        <v>432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4</v>
      </c>
      <c r="AE154">
        <v>2</v>
      </c>
      <c r="AF154">
        <v>2</v>
      </c>
      <c r="AG154">
        <v>2</v>
      </c>
      <c r="AH154">
        <v>3600</v>
      </c>
      <c r="AI154" t="s">
        <v>1801</v>
      </c>
      <c r="AJ154">
        <v>0</v>
      </c>
      <c r="AK154" t="s">
        <v>572</v>
      </c>
      <c r="AL154" t="s">
        <v>1802</v>
      </c>
      <c r="AM154">
        <v>0.55000000000000004</v>
      </c>
      <c r="AN154">
        <v>0.23</v>
      </c>
      <c r="AO154">
        <v>0.23</v>
      </c>
      <c r="AP154">
        <v>0.23</v>
      </c>
      <c r="AQ154">
        <v>3</v>
      </c>
      <c r="AR154" t="s">
        <v>1803</v>
      </c>
      <c r="AS154">
        <v>0</v>
      </c>
      <c r="AT154">
        <v>0</v>
      </c>
      <c r="AU154">
        <v>10</v>
      </c>
      <c r="AV154">
        <v>13006</v>
      </c>
      <c r="AW154">
        <v>0</v>
      </c>
      <c r="AX154">
        <f>COUNTIF('Equip Data'!A:A,A154)</f>
        <v>1</v>
      </c>
    </row>
    <row r="155" spans="1:50" hidden="1" x14ac:dyDescent="0.25">
      <c r="A155">
        <v>156</v>
      </c>
      <c r="B155" t="s">
        <v>1804</v>
      </c>
      <c r="C155" t="s">
        <v>1805</v>
      </c>
      <c r="D155" t="s">
        <v>1806</v>
      </c>
      <c r="E155">
        <v>5</v>
      </c>
      <c r="F155">
        <v>1</v>
      </c>
      <c r="G155">
        <v>2</v>
      </c>
      <c r="H155" t="s">
        <v>459</v>
      </c>
      <c r="I155" t="s">
        <v>442</v>
      </c>
      <c r="J155" t="s">
        <v>432</v>
      </c>
      <c r="K155" t="s">
        <v>432</v>
      </c>
      <c r="L155" t="s">
        <v>440</v>
      </c>
      <c r="M155" t="s">
        <v>432</v>
      </c>
      <c r="N155" t="s">
        <v>432</v>
      </c>
      <c r="O155" t="s">
        <v>432</v>
      </c>
      <c r="P155" t="s">
        <v>432</v>
      </c>
      <c r="Q155" t="s">
        <v>432</v>
      </c>
      <c r="R155" t="s">
        <v>432</v>
      </c>
      <c r="S155" t="s">
        <v>432</v>
      </c>
      <c r="T155" t="s">
        <v>432</v>
      </c>
      <c r="U155" t="s">
        <v>432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4</v>
      </c>
      <c r="AE155">
        <v>0</v>
      </c>
      <c r="AF155">
        <v>3</v>
      </c>
      <c r="AG155">
        <v>2</v>
      </c>
      <c r="AH155">
        <v>3600</v>
      </c>
      <c r="AI155" t="s">
        <v>1161</v>
      </c>
      <c r="AJ155">
        <v>0</v>
      </c>
      <c r="AK155" t="s">
        <v>573</v>
      </c>
      <c r="AL155" t="s">
        <v>1807</v>
      </c>
      <c r="AM155">
        <v>0.45</v>
      </c>
      <c r="AN155">
        <v>0.15</v>
      </c>
      <c r="AO155">
        <v>0.3</v>
      </c>
      <c r="AP155">
        <v>0.15</v>
      </c>
      <c r="AQ155">
        <v>3</v>
      </c>
      <c r="AR155" t="s">
        <v>1808</v>
      </c>
      <c r="AS155">
        <v>0</v>
      </c>
      <c r="AT155">
        <v>0</v>
      </c>
      <c r="AU155">
        <v>10</v>
      </c>
      <c r="AV155">
        <v>2003</v>
      </c>
      <c r="AW155">
        <v>0</v>
      </c>
      <c r="AX155">
        <f>COUNTIF('Equip Data'!A:A,A155)</f>
        <v>1</v>
      </c>
    </row>
    <row r="156" spans="1:50" hidden="1" x14ac:dyDescent="0.25">
      <c r="A156">
        <v>157</v>
      </c>
      <c r="B156" t="s">
        <v>1809</v>
      </c>
      <c r="C156" t="s">
        <v>1810</v>
      </c>
      <c r="D156" t="s">
        <v>1811</v>
      </c>
      <c r="E156">
        <v>5</v>
      </c>
      <c r="F156">
        <v>1</v>
      </c>
      <c r="G156">
        <v>2</v>
      </c>
      <c r="H156" t="s">
        <v>459</v>
      </c>
      <c r="I156" t="s">
        <v>574</v>
      </c>
      <c r="J156" t="s">
        <v>432</v>
      </c>
      <c r="K156" t="s">
        <v>432</v>
      </c>
      <c r="L156" t="s">
        <v>443</v>
      </c>
      <c r="M156" t="s">
        <v>432</v>
      </c>
      <c r="N156" t="s">
        <v>432</v>
      </c>
      <c r="O156" t="s">
        <v>432</v>
      </c>
      <c r="P156" t="s">
        <v>432</v>
      </c>
      <c r="Q156" t="s">
        <v>432</v>
      </c>
      <c r="R156" t="s">
        <v>432</v>
      </c>
      <c r="S156" t="s">
        <v>432</v>
      </c>
      <c r="T156" t="s">
        <v>432</v>
      </c>
      <c r="U156" t="s">
        <v>432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4</v>
      </c>
      <c r="AE156">
        <v>0</v>
      </c>
      <c r="AF156">
        <v>3</v>
      </c>
      <c r="AG156">
        <v>2</v>
      </c>
      <c r="AH156">
        <v>3600</v>
      </c>
      <c r="AI156" t="s">
        <v>1481</v>
      </c>
      <c r="AJ156">
        <v>0</v>
      </c>
      <c r="AK156" t="s">
        <v>487</v>
      </c>
      <c r="AL156" t="s">
        <v>1812</v>
      </c>
      <c r="AM156">
        <v>0.45</v>
      </c>
      <c r="AN156">
        <v>0.15</v>
      </c>
      <c r="AO156">
        <v>0.3</v>
      </c>
      <c r="AP156">
        <v>0.15</v>
      </c>
      <c r="AQ156">
        <v>3</v>
      </c>
      <c r="AR156" t="s">
        <v>1808</v>
      </c>
      <c r="AS156">
        <v>0</v>
      </c>
      <c r="AT156">
        <v>0</v>
      </c>
      <c r="AU156">
        <v>10</v>
      </c>
      <c r="AV156">
        <v>2005</v>
      </c>
      <c r="AW156">
        <v>0</v>
      </c>
      <c r="AX156">
        <f>COUNTIF('Equip Data'!A:A,A156)</f>
        <v>1</v>
      </c>
    </row>
    <row r="157" spans="1:50" hidden="1" x14ac:dyDescent="0.25">
      <c r="A157">
        <v>158</v>
      </c>
      <c r="B157" t="s">
        <v>1813</v>
      </c>
      <c r="C157" t="s">
        <v>1814</v>
      </c>
      <c r="D157" t="s">
        <v>1815</v>
      </c>
      <c r="E157">
        <v>5</v>
      </c>
      <c r="F157">
        <v>1</v>
      </c>
      <c r="G157">
        <v>1</v>
      </c>
      <c r="H157" t="s">
        <v>575</v>
      </c>
      <c r="I157" t="s">
        <v>432</v>
      </c>
      <c r="J157" t="s">
        <v>432</v>
      </c>
      <c r="K157" t="s">
        <v>432</v>
      </c>
      <c r="L157" t="s">
        <v>432</v>
      </c>
      <c r="M157" t="s">
        <v>432</v>
      </c>
      <c r="N157" t="s">
        <v>501</v>
      </c>
      <c r="O157" t="s">
        <v>432</v>
      </c>
      <c r="P157" t="s">
        <v>432</v>
      </c>
      <c r="Q157" t="s">
        <v>432</v>
      </c>
      <c r="R157" t="s">
        <v>432</v>
      </c>
      <c r="S157" t="s">
        <v>432</v>
      </c>
      <c r="T157" t="s">
        <v>432</v>
      </c>
      <c r="U157" t="s">
        <v>432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4</v>
      </c>
      <c r="AE157">
        <v>0</v>
      </c>
      <c r="AF157">
        <v>3</v>
      </c>
      <c r="AG157">
        <v>2</v>
      </c>
      <c r="AH157">
        <v>3600</v>
      </c>
      <c r="AI157" t="s">
        <v>1816</v>
      </c>
      <c r="AJ157">
        <v>0</v>
      </c>
      <c r="AK157" t="s">
        <v>576</v>
      </c>
      <c r="AL157" t="s">
        <v>1817</v>
      </c>
      <c r="AM157">
        <v>0.45</v>
      </c>
      <c r="AN157">
        <v>0.15</v>
      </c>
      <c r="AO157">
        <v>0.3</v>
      </c>
      <c r="AP157">
        <v>0.15</v>
      </c>
      <c r="AQ157">
        <v>3</v>
      </c>
      <c r="AR157" t="s">
        <v>1818</v>
      </c>
      <c r="AS157">
        <v>0</v>
      </c>
      <c r="AT157">
        <v>0</v>
      </c>
      <c r="AU157">
        <v>10</v>
      </c>
      <c r="AV157">
        <v>1016</v>
      </c>
      <c r="AW157">
        <v>0</v>
      </c>
      <c r="AX157">
        <f>COUNTIF('Equip Data'!A:A,A157)</f>
        <v>1</v>
      </c>
    </row>
    <row r="158" spans="1:50" hidden="1" x14ac:dyDescent="0.25">
      <c r="A158">
        <v>159</v>
      </c>
      <c r="B158" t="s">
        <v>1819</v>
      </c>
      <c r="C158" t="s">
        <v>1820</v>
      </c>
      <c r="D158" t="s">
        <v>1821</v>
      </c>
      <c r="E158">
        <v>5</v>
      </c>
      <c r="F158">
        <v>3</v>
      </c>
      <c r="G158">
        <v>12</v>
      </c>
      <c r="H158" t="s">
        <v>432</v>
      </c>
      <c r="I158" t="s">
        <v>432</v>
      </c>
      <c r="J158" t="s">
        <v>463</v>
      </c>
      <c r="K158" t="s">
        <v>432</v>
      </c>
      <c r="L158" t="s">
        <v>432</v>
      </c>
      <c r="M158" t="s">
        <v>462</v>
      </c>
      <c r="N158" t="s">
        <v>432</v>
      </c>
      <c r="O158" t="s">
        <v>432</v>
      </c>
      <c r="P158" t="s">
        <v>432</v>
      </c>
      <c r="Q158" t="s">
        <v>432</v>
      </c>
      <c r="R158" t="s">
        <v>432</v>
      </c>
      <c r="S158" t="s">
        <v>432</v>
      </c>
      <c r="T158" t="s">
        <v>432</v>
      </c>
      <c r="U158" t="s">
        <v>432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4</v>
      </c>
      <c r="AE158">
        <v>2</v>
      </c>
      <c r="AF158">
        <v>0</v>
      </c>
      <c r="AG158">
        <v>4</v>
      </c>
      <c r="AH158">
        <v>3600</v>
      </c>
      <c r="AI158" t="s">
        <v>1822</v>
      </c>
      <c r="AJ158">
        <v>0</v>
      </c>
      <c r="AK158" t="s">
        <v>524</v>
      </c>
      <c r="AL158" t="s">
        <v>1823</v>
      </c>
      <c r="AM158">
        <v>0.3</v>
      </c>
      <c r="AN158">
        <v>0.23</v>
      </c>
      <c r="AO158">
        <v>0.15</v>
      </c>
      <c r="AP158">
        <v>0.38</v>
      </c>
      <c r="AQ158">
        <v>3</v>
      </c>
      <c r="AR158" t="s">
        <v>1824</v>
      </c>
      <c r="AS158">
        <v>0</v>
      </c>
      <c r="AT158">
        <v>0</v>
      </c>
      <c r="AU158">
        <v>10</v>
      </c>
      <c r="AV158">
        <v>12009</v>
      </c>
      <c r="AW158">
        <v>0</v>
      </c>
      <c r="AX158">
        <f>COUNTIF('Equip Data'!A:A,A158)</f>
        <v>1</v>
      </c>
    </row>
    <row r="159" spans="1:50" hidden="1" x14ac:dyDescent="0.25">
      <c r="A159">
        <v>160</v>
      </c>
      <c r="B159" t="s">
        <v>1825</v>
      </c>
      <c r="C159" t="s">
        <v>1826</v>
      </c>
      <c r="D159" t="s">
        <v>1827</v>
      </c>
      <c r="E159">
        <v>5</v>
      </c>
      <c r="F159">
        <v>1</v>
      </c>
      <c r="G159">
        <v>1</v>
      </c>
      <c r="H159" t="s">
        <v>432</v>
      </c>
      <c r="I159" t="s">
        <v>432</v>
      </c>
      <c r="J159" t="s">
        <v>432</v>
      </c>
      <c r="K159" t="s">
        <v>432</v>
      </c>
      <c r="L159" t="s">
        <v>436</v>
      </c>
      <c r="M159" t="s">
        <v>432</v>
      </c>
      <c r="N159" t="s">
        <v>523</v>
      </c>
      <c r="O159" t="s">
        <v>432</v>
      </c>
      <c r="P159" t="s">
        <v>432</v>
      </c>
      <c r="Q159" t="s">
        <v>432</v>
      </c>
      <c r="R159" t="s">
        <v>432</v>
      </c>
      <c r="S159" t="s">
        <v>432</v>
      </c>
      <c r="T159" t="s">
        <v>432</v>
      </c>
      <c r="U159" t="s">
        <v>432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4</v>
      </c>
      <c r="AE159">
        <v>0</v>
      </c>
      <c r="AF159">
        <v>3</v>
      </c>
      <c r="AG159">
        <v>2</v>
      </c>
      <c r="AH159">
        <v>3600</v>
      </c>
      <c r="AI159" t="s">
        <v>1828</v>
      </c>
      <c r="AJ159">
        <v>0</v>
      </c>
      <c r="AK159" t="s">
        <v>577</v>
      </c>
      <c r="AL159" t="s">
        <v>1829</v>
      </c>
      <c r="AM159">
        <v>0.45</v>
      </c>
      <c r="AN159">
        <v>0.15</v>
      </c>
      <c r="AO159">
        <v>0.3</v>
      </c>
      <c r="AP159">
        <v>0.15</v>
      </c>
      <c r="AQ159">
        <v>3</v>
      </c>
      <c r="AR159" t="s">
        <v>1830</v>
      </c>
      <c r="AS159">
        <v>0</v>
      </c>
      <c r="AT159">
        <v>0</v>
      </c>
      <c r="AU159">
        <v>10</v>
      </c>
      <c r="AV159">
        <v>1008</v>
      </c>
      <c r="AW159">
        <v>0</v>
      </c>
      <c r="AX159">
        <f>COUNTIF('Equip Data'!A:A,A159)</f>
        <v>1</v>
      </c>
    </row>
    <row r="160" spans="1:50" hidden="1" x14ac:dyDescent="0.25">
      <c r="A160">
        <v>161</v>
      </c>
      <c r="B160" t="s">
        <v>1831</v>
      </c>
      <c r="C160" t="s">
        <v>1832</v>
      </c>
      <c r="D160" t="s">
        <v>1833</v>
      </c>
      <c r="E160">
        <v>5</v>
      </c>
      <c r="F160">
        <v>1</v>
      </c>
      <c r="G160">
        <v>1</v>
      </c>
      <c r="H160" t="s">
        <v>438</v>
      </c>
      <c r="I160" t="s">
        <v>432</v>
      </c>
      <c r="J160" t="s">
        <v>432</v>
      </c>
      <c r="K160" t="s">
        <v>432</v>
      </c>
      <c r="L160" t="s">
        <v>432</v>
      </c>
      <c r="M160" t="s">
        <v>432</v>
      </c>
      <c r="N160" t="s">
        <v>431</v>
      </c>
      <c r="O160" t="s">
        <v>432</v>
      </c>
      <c r="P160" t="s">
        <v>432</v>
      </c>
      <c r="Q160" t="s">
        <v>432</v>
      </c>
      <c r="R160" t="s">
        <v>432</v>
      </c>
      <c r="S160" t="s">
        <v>432</v>
      </c>
      <c r="T160" t="s">
        <v>432</v>
      </c>
      <c r="U160" t="s">
        <v>432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4</v>
      </c>
      <c r="AE160">
        <v>0</v>
      </c>
      <c r="AF160">
        <v>3</v>
      </c>
      <c r="AG160">
        <v>2</v>
      </c>
      <c r="AH160">
        <v>3600</v>
      </c>
      <c r="AI160" t="s">
        <v>1097</v>
      </c>
      <c r="AJ160">
        <v>0</v>
      </c>
      <c r="AK160" t="s">
        <v>578</v>
      </c>
      <c r="AL160" t="s">
        <v>1834</v>
      </c>
      <c r="AM160">
        <v>0.45</v>
      </c>
      <c r="AN160">
        <v>0.15</v>
      </c>
      <c r="AO160">
        <v>0.3</v>
      </c>
      <c r="AP160">
        <v>0.15</v>
      </c>
      <c r="AQ160">
        <v>3</v>
      </c>
      <c r="AR160" t="s">
        <v>1835</v>
      </c>
      <c r="AS160">
        <v>0</v>
      </c>
      <c r="AT160">
        <v>0</v>
      </c>
      <c r="AU160">
        <v>10</v>
      </c>
      <c r="AV160">
        <v>1009</v>
      </c>
      <c r="AW160">
        <v>0</v>
      </c>
      <c r="AX160">
        <f>COUNTIF('Equip Data'!A:A,A160)</f>
        <v>1</v>
      </c>
    </row>
    <row r="161" spans="1:50" hidden="1" x14ac:dyDescent="0.25">
      <c r="A161">
        <v>162</v>
      </c>
      <c r="B161" t="s">
        <v>1836</v>
      </c>
      <c r="C161" t="s">
        <v>1837</v>
      </c>
      <c r="D161" t="s">
        <v>1838</v>
      </c>
      <c r="E161">
        <v>5</v>
      </c>
      <c r="F161">
        <v>3</v>
      </c>
      <c r="G161">
        <v>12</v>
      </c>
      <c r="H161" t="s">
        <v>438</v>
      </c>
      <c r="I161" t="s">
        <v>432</v>
      </c>
      <c r="J161" t="s">
        <v>470</v>
      </c>
      <c r="K161" t="s">
        <v>432</v>
      </c>
      <c r="L161" t="s">
        <v>432</v>
      </c>
      <c r="M161" t="s">
        <v>432</v>
      </c>
      <c r="N161" t="s">
        <v>432</v>
      </c>
      <c r="O161" t="s">
        <v>432</v>
      </c>
      <c r="P161" t="s">
        <v>432</v>
      </c>
      <c r="Q161" t="s">
        <v>432</v>
      </c>
      <c r="R161" t="s">
        <v>432</v>
      </c>
      <c r="S161" t="s">
        <v>432</v>
      </c>
      <c r="T161" t="s">
        <v>432</v>
      </c>
      <c r="U161" t="s">
        <v>438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1</v>
      </c>
      <c r="AE161">
        <v>1</v>
      </c>
      <c r="AF161">
        <v>1</v>
      </c>
      <c r="AG161">
        <v>5</v>
      </c>
      <c r="AH161">
        <v>3420</v>
      </c>
      <c r="AI161" t="s">
        <v>1839</v>
      </c>
      <c r="AJ161">
        <v>0</v>
      </c>
      <c r="AK161" t="s">
        <v>579</v>
      </c>
      <c r="AL161" t="s">
        <v>1840</v>
      </c>
      <c r="AM161">
        <v>0.1</v>
      </c>
      <c r="AN161">
        <v>0.1</v>
      </c>
      <c r="AO161">
        <v>0.1</v>
      </c>
      <c r="AP161">
        <v>0.55000000000000004</v>
      </c>
      <c r="AQ161">
        <v>3</v>
      </c>
      <c r="AR161" t="s">
        <v>1841</v>
      </c>
      <c r="AS161">
        <v>0</v>
      </c>
      <c r="AT161">
        <v>0</v>
      </c>
      <c r="AU161">
        <v>10</v>
      </c>
      <c r="AV161">
        <v>12010</v>
      </c>
      <c r="AW161">
        <v>0</v>
      </c>
      <c r="AX161">
        <f>COUNTIF('Equip Data'!A:A,A161)</f>
        <v>1</v>
      </c>
    </row>
    <row r="162" spans="1:50" hidden="1" x14ac:dyDescent="0.25">
      <c r="A162">
        <v>163</v>
      </c>
      <c r="B162" t="s">
        <v>1842</v>
      </c>
      <c r="C162" t="s">
        <v>1843</v>
      </c>
      <c r="D162" t="s">
        <v>1844</v>
      </c>
      <c r="E162">
        <v>5</v>
      </c>
      <c r="F162">
        <v>1</v>
      </c>
      <c r="G162">
        <v>13</v>
      </c>
      <c r="H162" t="s">
        <v>432</v>
      </c>
      <c r="I162" t="s">
        <v>432</v>
      </c>
      <c r="J162" t="s">
        <v>463</v>
      </c>
      <c r="K162" t="s">
        <v>432</v>
      </c>
      <c r="L162" t="s">
        <v>443</v>
      </c>
      <c r="M162" t="s">
        <v>432</v>
      </c>
      <c r="N162" t="s">
        <v>503</v>
      </c>
      <c r="O162" t="s">
        <v>432</v>
      </c>
      <c r="P162" t="s">
        <v>432</v>
      </c>
      <c r="Q162" t="s">
        <v>432</v>
      </c>
      <c r="R162" t="s">
        <v>432</v>
      </c>
      <c r="S162" t="s">
        <v>432</v>
      </c>
      <c r="T162" t="s">
        <v>432</v>
      </c>
      <c r="U162" t="s">
        <v>432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4</v>
      </c>
      <c r="AE162">
        <v>2</v>
      </c>
      <c r="AF162">
        <v>2</v>
      </c>
      <c r="AG162">
        <v>2</v>
      </c>
      <c r="AH162">
        <v>2820</v>
      </c>
      <c r="AI162" t="s">
        <v>1845</v>
      </c>
      <c r="AJ162">
        <v>0</v>
      </c>
      <c r="AK162" t="s">
        <v>580</v>
      </c>
      <c r="AL162" t="s">
        <v>1846</v>
      </c>
      <c r="AM162">
        <v>0.55000000000000004</v>
      </c>
      <c r="AN162">
        <v>0.23</v>
      </c>
      <c r="AO162">
        <v>0.23</v>
      </c>
      <c r="AP162">
        <v>0.23</v>
      </c>
      <c r="AQ162">
        <v>3</v>
      </c>
      <c r="AR162" t="s">
        <v>1847</v>
      </c>
      <c r="AS162">
        <v>0</v>
      </c>
      <c r="AT162">
        <v>0</v>
      </c>
      <c r="AU162">
        <v>10</v>
      </c>
      <c r="AV162">
        <v>16018</v>
      </c>
      <c r="AW162">
        <v>0</v>
      </c>
      <c r="AX162">
        <f>COUNTIF('Equip Data'!A:A,A162)</f>
        <v>1</v>
      </c>
    </row>
    <row r="163" spans="1:50" hidden="1" x14ac:dyDescent="0.25">
      <c r="A163">
        <v>164</v>
      </c>
      <c r="B163" t="s">
        <v>1848</v>
      </c>
      <c r="C163" t="s">
        <v>1849</v>
      </c>
      <c r="D163" t="s">
        <v>1850</v>
      </c>
      <c r="E163">
        <v>5</v>
      </c>
      <c r="F163">
        <v>1</v>
      </c>
      <c r="G163">
        <v>16</v>
      </c>
      <c r="H163" t="s">
        <v>432</v>
      </c>
      <c r="I163" t="s">
        <v>468</v>
      </c>
      <c r="J163" t="s">
        <v>463</v>
      </c>
      <c r="K163" t="s">
        <v>432</v>
      </c>
      <c r="L163" t="s">
        <v>432</v>
      </c>
      <c r="M163" t="s">
        <v>432</v>
      </c>
      <c r="N163" t="s">
        <v>489</v>
      </c>
      <c r="O163" t="s">
        <v>432</v>
      </c>
      <c r="P163" t="s">
        <v>432</v>
      </c>
      <c r="Q163" t="s">
        <v>432</v>
      </c>
      <c r="R163" t="s">
        <v>432</v>
      </c>
      <c r="S163" t="s">
        <v>432</v>
      </c>
      <c r="T163" t="s">
        <v>432</v>
      </c>
      <c r="U163" t="s">
        <v>432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4</v>
      </c>
      <c r="AE163">
        <v>2</v>
      </c>
      <c r="AF163">
        <v>2</v>
      </c>
      <c r="AG163">
        <v>2</v>
      </c>
      <c r="AH163">
        <v>2820</v>
      </c>
      <c r="AI163" t="s">
        <v>1851</v>
      </c>
      <c r="AJ163">
        <v>0</v>
      </c>
      <c r="AK163" t="s">
        <v>581</v>
      </c>
      <c r="AL163" t="s">
        <v>1852</v>
      </c>
      <c r="AM163">
        <v>0.55000000000000004</v>
      </c>
      <c r="AN163">
        <v>0.23</v>
      </c>
      <c r="AO163">
        <v>0.23</v>
      </c>
      <c r="AP163">
        <v>0.23</v>
      </c>
      <c r="AQ163">
        <v>3</v>
      </c>
      <c r="AR163" t="s">
        <v>1853</v>
      </c>
      <c r="AS163">
        <v>0</v>
      </c>
      <c r="AT163">
        <v>0</v>
      </c>
      <c r="AU163">
        <v>10</v>
      </c>
      <c r="AV163">
        <v>16019</v>
      </c>
      <c r="AW163">
        <v>0</v>
      </c>
      <c r="AX163">
        <f>COUNTIF('Equip Data'!A:A,A163)</f>
        <v>1</v>
      </c>
    </row>
    <row r="164" spans="1:50" hidden="1" x14ac:dyDescent="0.25">
      <c r="A164">
        <v>165</v>
      </c>
      <c r="B164" t="s">
        <v>1854</v>
      </c>
      <c r="C164" t="s">
        <v>1855</v>
      </c>
      <c r="D164" t="s">
        <v>1856</v>
      </c>
      <c r="E164">
        <v>5</v>
      </c>
      <c r="F164">
        <v>3</v>
      </c>
      <c r="G164">
        <v>12</v>
      </c>
      <c r="H164" t="s">
        <v>433</v>
      </c>
      <c r="I164" t="s">
        <v>432</v>
      </c>
      <c r="J164" t="s">
        <v>463</v>
      </c>
      <c r="K164" t="s">
        <v>432</v>
      </c>
      <c r="L164" t="s">
        <v>435</v>
      </c>
      <c r="M164" t="s">
        <v>432</v>
      </c>
      <c r="N164" t="s">
        <v>432</v>
      </c>
      <c r="O164" t="s">
        <v>432</v>
      </c>
      <c r="P164" t="s">
        <v>432</v>
      </c>
      <c r="Q164" t="s">
        <v>432</v>
      </c>
      <c r="R164" t="s">
        <v>432</v>
      </c>
      <c r="S164" t="s">
        <v>432</v>
      </c>
      <c r="T164" t="s">
        <v>432</v>
      </c>
      <c r="U164" t="s">
        <v>432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4</v>
      </c>
      <c r="AE164">
        <v>2</v>
      </c>
      <c r="AF164">
        <v>0</v>
      </c>
      <c r="AG164">
        <v>4</v>
      </c>
      <c r="AH164">
        <v>3600</v>
      </c>
      <c r="AI164" t="s">
        <v>1857</v>
      </c>
      <c r="AJ164">
        <v>0</v>
      </c>
      <c r="AK164" t="s">
        <v>582</v>
      </c>
      <c r="AL164" t="s">
        <v>1858</v>
      </c>
      <c r="AM164">
        <v>0.3</v>
      </c>
      <c r="AN164">
        <v>0.25</v>
      </c>
      <c r="AO164">
        <v>0.12</v>
      </c>
      <c r="AP164">
        <v>0.38</v>
      </c>
      <c r="AQ164">
        <v>3</v>
      </c>
      <c r="AR164" t="s">
        <v>1859</v>
      </c>
      <c r="AS164">
        <v>0</v>
      </c>
      <c r="AT164">
        <v>0</v>
      </c>
      <c r="AU164">
        <v>10</v>
      </c>
      <c r="AV164">
        <v>12011</v>
      </c>
      <c r="AW164">
        <v>0</v>
      </c>
      <c r="AX164">
        <f>COUNTIF('Equip Data'!A:A,A164)</f>
        <v>1</v>
      </c>
    </row>
    <row r="165" spans="1:50" hidden="1" x14ac:dyDescent="0.25">
      <c r="A165">
        <v>166</v>
      </c>
      <c r="B165" t="s">
        <v>1860</v>
      </c>
      <c r="C165" t="s">
        <v>1861</v>
      </c>
      <c r="D165" t="s">
        <v>1862</v>
      </c>
      <c r="E165">
        <v>5</v>
      </c>
      <c r="F165">
        <v>1</v>
      </c>
      <c r="G165">
        <v>2</v>
      </c>
      <c r="H165" t="s">
        <v>441</v>
      </c>
      <c r="I165" t="s">
        <v>442</v>
      </c>
      <c r="J165" t="s">
        <v>432</v>
      </c>
      <c r="K165" t="s">
        <v>432</v>
      </c>
      <c r="L165" t="s">
        <v>443</v>
      </c>
      <c r="M165" t="s">
        <v>432</v>
      </c>
      <c r="N165" t="s">
        <v>432</v>
      </c>
      <c r="O165" t="s">
        <v>432</v>
      </c>
      <c r="P165" t="s">
        <v>432</v>
      </c>
      <c r="Q165" t="s">
        <v>432</v>
      </c>
      <c r="R165" t="s">
        <v>432</v>
      </c>
      <c r="S165" t="s">
        <v>432</v>
      </c>
      <c r="T165" t="s">
        <v>432</v>
      </c>
      <c r="U165" t="s">
        <v>432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4</v>
      </c>
      <c r="AE165">
        <v>0</v>
      </c>
      <c r="AF165">
        <v>3</v>
      </c>
      <c r="AG165">
        <v>2</v>
      </c>
      <c r="AH165">
        <v>2880</v>
      </c>
      <c r="AI165" t="s">
        <v>1863</v>
      </c>
      <c r="AJ165">
        <v>0</v>
      </c>
      <c r="AK165" t="s">
        <v>583</v>
      </c>
      <c r="AL165" t="s">
        <v>1864</v>
      </c>
      <c r="AM165">
        <v>0.45</v>
      </c>
      <c r="AN165">
        <v>0.15</v>
      </c>
      <c r="AO165">
        <v>0.3</v>
      </c>
      <c r="AP165">
        <v>0.15</v>
      </c>
      <c r="AQ165">
        <v>3</v>
      </c>
      <c r="AR165" t="s">
        <v>1865</v>
      </c>
      <c r="AS165">
        <v>0</v>
      </c>
      <c r="AT165">
        <v>0</v>
      </c>
      <c r="AU165">
        <v>10</v>
      </c>
      <c r="AV165">
        <v>2004</v>
      </c>
      <c r="AW165">
        <v>0</v>
      </c>
      <c r="AX165">
        <f>COUNTIF('Equip Data'!A:A,A165)</f>
        <v>1</v>
      </c>
    </row>
    <row r="166" spans="1:50" hidden="1" x14ac:dyDescent="0.25">
      <c r="A166">
        <v>167</v>
      </c>
      <c r="B166" t="s">
        <v>1866</v>
      </c>
      <c r="C166" t="s">
        <v>1867</v>
      </c>
      <c r="D166" t="s">
        <v>1868</v>
      </c>
      <c r="E166">
        <v>5</v>
      </c>
      <c r="F166">
        <v>1</v>
      </c>
      <c r="G166">
        <v>16</v>
      </c>
      <c r="H166" t="s">
        <v>432</v>
      </c>
      <c r="I166" t="s">
        <v>432</v>
      </c>
      <c r="J166" t="s">
        <v>506</v>
      </c>
      <c r="K166" t="s">
        <v>432</v>
      </c>
      <c r="L166" t="s">
        <v>432</v>
      </c>
      <c r="M166" t="s">
        <v>432</v>
      </c>
      <c r="N166" t="s">
        <v>489</v>
      </c>
      <c r="O166" t="s">
        <v>432</v>
      </c>
      <c r="P166" t="s">
        <v>432</v>
      </c>
      <c r="Q166" t="s">
        <v>432</v>
      </c>
      <c r="R166" t="s">
        <v>432</v>
      </c>
      <c r="S166" t="s">
        <v>432</v>
      </c>
      <c r="T166" t="s">
        <v>432</v>
      </c>
      <c r="U166" t="s">
        <v>432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4</v>
      </c>
      <c r="AE166">
        <v>2</v>
      </c>
      <c r="AF166">
        <v>2</v>
      </c>
      <c r="AG166">
        <v>2</v>
      </c>
      <c r="AH166">
        <v>2820</v>
      </c>
      <c r="AI166" t="s">
        <v>1661</v>
      </c>
      <c r="AJ166">
        <v>0</v>
      </c>
      <c r="AK166" t="s">
        <v>584</v>
      </c>
      <c r="AL166" t="s">
        <v>1869</v>
      </c>
      <c r="AM166">
        <v>0.55000000000000004</v>
      </c>
      <c r="AN166">
        <v>0.23</v>
      </c>
      <c r="AO166">
        <v>0.23</v>
      </c>
      <c r="AP166">
        <v>0.23</v>
      </c>
      <c r="AQ166">
        <v>3</v>
      </c>
      <c r="AR166" t="s">
        <v>1870</v>
      </c>
      <c r="AS166">
        <v>0</v>
      </c>
      <c r="AT166">
        <v>0</v>
      </c>
      <c r="AU166">
        <v>10</v>
      </c>
      <c r="AV166">
        <v>16020</v>
      </c>
      <c r="AW166">
        <v>0</v>
      </c>
      <c r="AX166">
        <f>COUNTIF('Equip Data'!A:A,A166)</f>
        <v>1</v>
      </c>
    </row>
    <row r="167" spans="1:50" hidden="1" x14ac:dyDescent="0.25">
      <c r="A167">
        <v>168</v>
      </c>
      <c r="B167" t="s">
        <v>1871</v>
      </c>
      <c r="C167" t="s">
        <v>1872</v>
      </c>
      <c r="D167" t="s">
        <v>1873</v>
      </c>
      <c r="E167">
        <v>5</v>
      </c>
      <c r="F167">
        <v>1</v>
      </c>
      <c r="G167">
        <v>13</v>
      </c>
      <c r="H167" t="s">
        <v>432</v>
      </c>
      <c r="I167" t="s">
        <v>432</v>
      </c>
      <c r="J167" t="s">
        <v>489</v>
      </c>
      <c r="K167" t="s">
        <v>432</v>
      </c>
      <c r="L167" t="s">
        <v>432</v>
      </c>
      <c r="M167" t="s">
        <v>432</v>
      </c>
      <c r="N167" t="s">
        <v>489</v>
      </c>
      <c r="O167" t="s">
        <v>432</v>
      </c>
      <c r="P167" t="s">
        <v>432</v>
      </c>
      <c r="Q167" t="s">
        <v>432</v>
      </c>
      <c r="R167" t="s">
        <v>432</v>
      </c>
      <c r="S167" t="s">
        <v>432</v>
      </c>
      <c r="T167" t="s">
        <v>432</v>
      </c>
      <c r="U167" t="s">
        <v>432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4</v>
      </c>
      <c r="AE167">
        <v>2</v>
      </c>
      <c r="AF167">
        <v>2</v>
      </c>
      <c r="AG167">
        <v>2</v>
      </c>
      <c r="AH167">
        <v>2820</v>
      </c>
      <c r="AI167" t="s">
        <v>1874</v>
      </c>
      <c r="AJ167">
        <v>0</v>
      </c>
      <c r="AK167" t="s">
        <v>585</v>
      </c>
      <c r="AL167" t="s">
        <v>1875</v>
      </c>
      <c r="AM167">
        <v>0.55000000000000004</v>
      </c>
      <c r="AN167">
        <v>0.23</v>
      </c>
      <c r="AO167">
        <v>0.23</v>
      </c>
      <c r="AP167">
        <v>0.23</v>
      </c>
      <c r="AQ167">
        <v>3</v>
      </c>
      <c r="AR167" t="s">
        <v>1853</v>
      </c>
      <c r="AS167">
        <v>0</v>
      </c>
      <c r="AT167">
        <v>0</v>
      </c>
      <c r="AU167">
        <v>10</v>
      </c>
      <c r="AV167">
        <v>16021</v>
      </c>
      <c r="AW167">
        <v>0</v>
      </c>
      <c r="AX167">
        <f>COUNTIF('Equip Data'!A:A,A167)</f>
        <v>1</v>
      </c>
    </row>
    <row r="168" spans="1:50" hidden="1" x14ac:dyDescent="0.25">
      <c r="A168">
        <v>169</v>
      </c>
      <c r="B168" t="s">
        <v>1876</v>
      </c>
      <c r="C168" t="s">
        <v>1877</v>
      </c>
      <c r="D168" t="s">
        <v>1878</v>
      </c>
      <c r="E168">
        <v>5</v>
      </c>
      <c r="F168">
        <v>1</v>
      </c>
      <c r="G168">
        <v>1</v>
      </c>
      <c r="H168" t="s">
        <v>432</v>
      </c>
      <c r="I168" t="s">
        <v>432</v>
      </c>
      <c r="J168" t="s">
        <v>432</v>
      </c>
      <c r="K168" t="s">
        <v>432</v>
      </c>
      <c r="L168" t="s">
        <v>432</v>
      </c>
      <c r="M168" t="s">
        <v>442</v>
      </c>
      <c r="N168" t="s">
        <v>431</v>
      </c>
      <c r="O168" t="s">
        <v>432</v>
      </c>
      <c r="P168" t="s">
        <v>432</v>
      </c>
      <c r="Q168" t="s">
        <v>432</v>
      </c>
      <c r="R168" t="s">
        <v>432</v>
      </c>
      <c r="S168" t="s">
        <v>432</v>
      </c>
      <c r="T168" t="s">
        <v>432</v>
      </c>
      <c r="U168" t="s">
        <v>432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4</v>
      </c>
      <c r="AE168">
        <v>0</v>
      </c>
      <c r="AF168">
        <v>3</v>
      </c>
      <c r="AG168">
        <v>2</v>
      </c>
      <c r="AH168">
        <v>3600</v>
      </c>
      <c r="AI168" t="s">
        <v>1879</v>
      </c>
      <c r="AJ168">
        <v>0</v>
      </c>
      <c r="AK168" t="s">
        <v>586</v>
      </c>
      <c r="AL168" t="s">
        <v>1880</v>
      </c>
      <c r="AM168">
        <v>0.45</v>
      </c>
      <c r="AN168">
        <v>0.15</v>
      </c>
      <c r="AO168">
        <v>0.3</v>
      </c>
      <c r="AP168">
        <v>0.15</v>
      </c>
      <c r="AQ168">
        <v>3</v>
      </c>
      <c r="AR168" t="s">
        <v>1881</v>
      </c>
      <c r="AS168">
        <v>0</v>
      </c>
      <c r="AT168">
        <v>0</v>
      </c>
      <c r="AU168">
        <v>10</v>
      </c>
      <c r="AV168">
        <v>16022</v>
      </c>
      <c r="AW168">
        <v>0</v>
      </c>
      <c r="AX168">
        <f>COUNTIF('Equip Data'!A:A,A168)</f>
        <v>1</v>
      </c>
    </row>
    <row r="169" spans="1:50" hidden="1" x14ac:dyDescent="0.25">
      <c r="A169">
        <v>170</v>
      </c>
      <c r="B169" t="s">
        <v>1882</v>
      </c>
      <c r="C169" t="s">
        <v>1883</v>
      </c>
      <c r="D169" t="s">
        <v>1884</v>
      </c>
      <c r="E169">
        <v>5</v>
      </c>
      <c r="F169">
        <v>2</v>
      </c>
      <c r="G169">
        <v>5</v>
      </c>
      <c r="H169" t="s">
        <v>439</v>
      </c>
      <c r="I169" t="s">
        <v>432</v>
      </c>
      <c r="J169" t="s">
        <v>432</v>
      </c>
      <c r="K169" t="s">
        <v>432</v>
      </c>
      <c r="L169" t="s">
        <v>432</v>
      </c>
      <c r="M169" t="s">
        <v>432</v>
      </c>
      <c r="N169" t="s">
        <v>432</v>
      </c>
      <c r="O169" t="s">
        <v>456</v>
      </c>
      <c r="P169" t="s">
        <v>432</v>
      </c>
      <c r="Q169" t="s">
        <v>432</v>
      </c>
      <c r="R169" t="s">
        <v>432</v>
      </c>
      <c r="S169" t="s">
        <v>432</v>
      </c>
      <c r="T169" t="s">
        <v>432</v>
      </c>
      <c r="U169" t="s">
        <v>432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4</v>
      </c>
      <c r="AF169">
        <v>2</v>
      </c>
      <c r="AG169">
        <v>3</v>
      </c>
      <c r="AH169">
        <v>3300</v>
      </c>
      <c r="AI169" t="s">
        <v>1885</v>
      </c>
      <c r="AJ169">
        <v>0</v>
      </c>
      <c r="AK169" t="s">
        <v>587</v>
      </c>
      <c r="AL169" t="s">
        <v>1886</v>
      </c>
      <c r="AM169">
        <v>0.08</v>
      </c>
      <c r="AN169">
        <v>0.5</v>
      </c>
      <c r="AO169">
        <v>0.3</v>
      </c>
      <c r="AP169">
        <v>0.3</v>
      </c>
      <c r="AQ169">
        <v>3</v>
      </c>
      <c r="AR169" t="s">
        <v>1887</v>
      </c>
      <c r="AS169">
        <v>0</v>
      </c>
      <c r="AT169">
        <v>0</v>
      </c>
      <c r="AU169">
        <v>10</v>
      </c>
      <c r="AV169">
        <v>5004</v>
      </c>
      <c r="AW169">
        <v>0</v>
      </c>
      <c r="AX169">
        <f>COUNTIF('Equip Data'!A:A,A169)</f>
        <v>1</v>
      </c>
    </row>
    <row r="170" spans="1:50" hidden="1" x14ac:dyDescent="0.25">
      <c r="A170">
        <v>171</v>
      </c>
      <c r="B170" t="s">
        <v>1888</v>
      </c>
      <c r="C170" t="s">
        <v>1889</v>
      </c>
      <c r="D170" t="s">
        <v>1890</v>
      </c>
      <c r="E170">
        <v>5</v>
      </c>
      <c r="F170">
        <v>3</v>
      </c>
      <c r="G170">
        <v>12</v>
      </c>
      <c r="H170" t="s">
        <v>432</v>
      </c>
      <c r="I170" t="s">
        <v>432</v>
      </c>
      <c r="J170" t="s">
        <v>460</v>
      </c>
      <c r="K170" t="s">
        <v>432</v>
      </c>
      <c r="L170" t="s">
        <v>432</v>
      </c>
      <c r="M170" t="s">
        <v>432</v>
      </c>
      <c r="N170" t="s">
        <v>489</v>
      </c>
      <c r="O170" t="s">
        <v>432</v>
      </c>
      <c r="P170" t="s">
        <v>432</v>
      </c>
      <c r="Q170" t="s">
        <v>432</v>
      </c>
      <c r="R170" t="s">
        <v>432</v>
      </c>
      <c r="S170" t="s">
        <v>432</v>
      </c>
      <c r="T170" t="s">
        <v>432</v>
      </c>
      <c r="U170" t="s">
        <v>432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4</v>
      </c>
      <c r="AE170">
        <v>2</v>
      </c>
      <c r="AF170">
        <v>0</v>
      </c>
      <c r="AG170">
        <v>4</v>
      </c>
      <c r="AH170">
        <v>3120</v>
      </c>
      <c r="AI170" t="s">
        <v>1891</v>
      </c>
      <c r="AJ170">
        <v>0</v>
      </c>
      <c r="AK170" t="s">
        <v>588</v>
      </c>
      <c r="AL170" t="s">
        <v>1892</v>
      </c>
      <c r="AM170">
        <v>0.3</v>
      </c>
      <c r="AN170">
        <v>0.25</v>
      </c>
      <c r="AO170">
        <v>0.12</v>
      </c>
      <c r="AP170">
        <v>0.38</v>
      </c>
      <c r="AQ170">
        <v>3</v>
      </c>
      <c r="AR170" t="s">
        <v>1853</v>
      </c>
      <c r="AS170">
        <v>0</v>
      </c>
      <c r="AT170">
        <v>0</v>
      </c>
      <c r="AU170">
        <v>10</v>
      </c>
      <c r="AV170">
        <v>12012</v>
      </c>
      <c r="AW170">
        <v>0</v>
      </c>
      <c r="AX170">
        <f>COUNTIF('Equip Data'!A:A,A170)</f>
        <v>1</v>
      </c>
    </row>
    <row r="171" spans="1:50" hidden="1" x14ac:dyDescent="0.25">
      <c r="A171">
        <v>172</v>
      </c>
      <c r="B171" t="s">
        <v>1893</v>
      </c>
      <c r="C171" t="s">
        <v>1894</v>
      </c>
      <c r="D171" t="s">
        <v>1895</v>
      </c>
      <c r="E171">
        <v>5</v>
      </c>
      <c r="F171">
        <v>1</v>
      </c>
      <c r="G171">
        <v>1</v>
      </c>
      <c r="H171" t="s">
        <v>439</v>
      </c>
      <c r="I171" t="s">
        <v>432</v>
      </c>
      <c r="J171" t="s">
        <v>432</v>
      </c>
      <c r="K171" t="s">
        <v>432</v>
      </c>
      <c r="L171" t="s">
        <v>432</v>
      </c>
      <c r="M171" t="s">
        <v>432</v>
      </c>
      <c r="N171" t="s">
        <v>431</v>
      </c>
      <c r="O171" t="s">
        <v>432</v>
      </c>
      <c r="P171" t="s">
        <v>432</v>
      </c>
      <c r="Q171" t="s">
        <v>432</v>
      </c>
      <c r="R171" t="s">
        <v>432</v>
      </c>
      <c r="S171" t="s">
        <v>432</v>
      </c>
      <c r="T171" t="s">
        <v>432</v>
      </c>
      <c r="U171" t="s">
        <v>432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4</v>
      </c>
      <c r="AE171">
        <v>0</v>
      </c>
      <c r="AF171">
        <v>3</v>
      </c>
      <c r="AG171">
        <v>2</v>
      </c>
      <c r="AH171">
        <v>2700</v>
      </c>
      <c r="AI171" t="s">
        <v>1896</v>
      </c>
      <c r="AJ171">
        <v>0</v>
      </c>
      <c r="AK171" t="s">
        <v>589</v>
      </c>
      <c r="AL171" t="s">
        <v>1897</v>
      </c>
      <c r="AM171">
        <v>0.45</v>
      </c>
      <c r="AN171">
        <v>0.15</v>
      </c>
      <c r="AO171">
        <v>0.3</v>
      </c>
      <c r="AP171">
        <v>0.15</v>
      </c>
      <c r="AQ171">
        <v>3</v>
      </c>
      <c r="AR171" t="s">
        <v>1898</v>
      </c>
      <c r="AS171">
        <v>0</v>
      </c>
      <c r="AT171">
        <v>0</v>
      </c>
      <c r="AU171">
        <v>10</v>
      </c>
      <c r="AV171">
        <v>1010</v>
      </c>
      <c r="AW171">
        <v>0</v>
      </c>
      <c r="AX171">
        <f>COUNTIF('Equip Data'!A:A,A171)</f>
        <v>1</v>
      </c>
    </row>
    <row r="172" spans="1:50" hidden="1" x14ac:dyDescent="0.25">
      <c r="A172">
        <v>173</v>
      </c>
      <c r="B172" t="s">
        <v>1899</v>
      </c>
      <c r="C172" t="s">
        <v>1900</v>
      </c>
      <c r="D172" t="s">
        <v>1901</v>
      </c>
      <c r="E172">
        <v>5</v>
      </c>
      <c r="F172">
        <v>2</v>
      </c>
      <c r="G172">
        <v>8</v>
      </c>
      <c r="H172" t="s">
        <v>460</v>
      </c>
      <c r="I172" t="s">
        <v>432</v>
      </c>
      <c r="J172" t="s">
        <v>432</v>
      </c>
      <c r="K172" t="s">
        <v>432</v>
      </c>
      <c r="L172" t="s">
        <v>432</v>
      </c>
      <c r="M172" t="s">
        <v>442</v>
      </c>
      <c r="N172" t="s">
        <v>432</v>
      </c>
      <c r="O172" t="s">
        <v>432</v>
      </c>
      <c r="P172" t="s">
        <v>432</v>
      </c>
      <c r="Q172" t="s">
        <v>432</v>
      </c>
      <c r="R172" t="s">
        <v>432</v>
      </c>
      <c r="S172" t="s">
        <v>432</v>
      </c>
      <c r="T172" t="s">
        <v>432</v>
      </c>
      <c r="U172" t="s">
        <v>432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5</v>
      </c>
      <c r="AF172">
        <v>3</v>
      </c>
      <c r="AG172">
        <v>2</v>
      </c>
      <c r="AH172">
        <v>3480</v>
      </c>
      <c r="AI172" t="s">
        <v>1902</v>
      </c>
      <c r="AJ172">
        <v>0</v>
      </c>
      <c r="AK172" t="s">
        <v>590</v>
      </c>
      <c r="AL172" t="s">
        <v>1903</v>
      </c>
      <c r="AM172">
        <v>0.15</v>
      </c>
      <c r="AN172">
        <v>0.6</v>
      </c>
      <c r="AO172">
        <v>0.38</v>
      </c>
      <c r="AP172">
        <v>0.23</v>
      </c>
      <c r="AQ172">
        <v>3</v>
      </c>
      <c r="AR172" t="s">
        <v>1904</v>
      </c>
      <c r="AS172">
        <v>0</v>
      </c>
      <c r="AT172">
        <v>0</v>
      </c>
      <c r="AU172">
        <v>10</v>
      </c>
      <c r="AV172">
        <v>8005</v>
      </c>
      <c r="AW172">
        <v>0</v>
      </c>
      <c r="AX172">
        <f>COUNTIF('Equip Data'!A:A,A172)</f>
        <v>1</v>
      </c>
    </row>
    <row r="173" spans="1:50" hidden="1" x14ac:dyDescent="0.25">
      <c r="A173">
        <v>174</v>
      </c>
      <c r="B173" t="s">
        <v>1905</v>
      </c>
      <c r="C173" t="s">
        <v>1906</v>
      </c>
      <c r="D173" t="s">
        <v>1907</v>
      </c>
      <c r="E173">
        <v>5</v>
      </c>
      <c r="F173">
        <v>2</v>
      </c>
      <c r="G173">
        <v>7</v>
      </c>
      <c r="H173" t="s">
        <v>494</v>
      </c>
      <c r="I173" t="s">
        <v>529</v>
      </c>
      <c r="J173" t="s">
        <v>432</v>
      </c>
      <c r="K173" t="s">
        <v>432</v>
      </c>
      <c r="L173" t="s">
        <v>432</v>
      </c>
      <c r="M173" t="s">
        <v>432</v>
      </c>
      <c r="N173" t="s">
        <v>432</v>
      </c>
      <c r="O173" t="s">
        <v>432</v>
      </c>
      <c r="P173" t="s">
        <v>432</v>
      </c>
      <c r="Q173" t="s">
        <v>432</v>
      </c>
      <c r="R173" t="s">
        <v>432</v>
      </c>
      <c r="S173" t="s">
        <v>432</v>
      </c>
      <c r="T173" t="s">
        <v>432</v>
      </c>
      <c r="U173" t="s">
        <v>432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1</v>
      </c>
      <c r="AE173">
        <v>3</v>
      </c>
      <c r="AF173">
        <v>1</v>
      </c>
      <c r="AG173">
        <v>4</v>
      </c>
      <c r="AH173">
        <v>3240</v>
      </c>
      <c r="AI173" t="s">
        <v>1908</v>
      </c>
      <c r="AJ173">
        <v>0</v>
      </c>
      <c r="AK173" t="s">
        <v>591</v>
      </c>
      <c r="AL173" t="s">
        <v>1909</v>
      </c>
      <c r="AM173">
        <v>0.08</v>
      </c>
      <c r="AN173">
        <v>0.39</v>
      </c>
      <c r="AO173">
        <v>0.08</v>
      </c>
      <c r="AP173">
        <v>0.48</v>
      </c>
      <c r="AQ173">
        <v>3</v>
      </c>
      <c r="AR173" t="s">
        <v>1910</v>
      </c>
      <c r="AS173">
        <v>0</v>
      </c>
      <c r="AT173">
        <v>114001</v>
      </c>
      <c r="AU173">
        <v>10</v>
      </c>
      <c r="AV173">
        <v>7004</v>
      </c>
      <c r="AW173">
        <v>0</v>
      </c>
      <c r="AX173">
        <f>COUNTIF('Equip Data'!A:A,A173)</f>
        <v>1</v>
      </c>
    </row>
    <row r="174" spans="1:50" hidden="1" x14ac:dyDescent="0.25">
      <c r="A174">
        <v>175</v>
      </c>
      <c r="B174" t="s">
        <v>1911</v>
      </c>
      <c r="C174" t="s">
        <v>1912</v>
      </c>
      <c r="D174" t="s">
        <v>1913</v>
      </c>
      <c r="E174">
        <v>5</v>
      </c>
      <c r="F174">
        <v>1</v>
      </c>
      <c r="G174">
        <v>13</v>
      </c>
      <c r="H174" t="s">
        <v>438</v>
      </c>
      <c r="I174" t="s">
        <v>432</v>
      </c>
      <c r="J174" t="s">
        <v>462</v>
      </c>
      <c r="K174" t="s">
        <v>432</v>
      </c>
      <c r="L174" t="s">
        <v>432</v>
      </c>
      <c r="M174" t="s">
        <v>432</v>
      </c>
      <c r="N174" t="s">
        <v>431</v>
      </c>
      <c r="O174" t="s">
        <v>432</v>
      </c>
      <c r="P174" t="s">
        <v>432</v>
      </c>
      <c r="Q174" t="s">
        <v>432</v>
      </c>
      <c r="R174" t="s">
        <v>432</v>
      </c>
      <c r="S174" t="s">
        <v>432</v>
      </c>
      <c r="T174" t="s">
        <v>432</v>
      </c>
      <c r="U174" t="s">
        <v>432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4</v>
      </c>
      <c r="AE174">
        <v>2</v>
      </c>
      <c r="AF174">
        <v>2</v>
      </c>
      <c r="AG174">
        <v>2</v>
      </c>
      <c r="AH174">
        <v>2820</v>
      </c>
      <c r="AI174" t="s">
        <v>238</v>
      </c>
      <c r="AJ174">
        <v>0</v>
      </c>
      <c r="AK174" t="s">
        <v>592</v>
      </c>
      <c r="AL174" t="s">
        <v>1914</v>
      </c>
      <c r="AM174">
        <v>0.55000000000000004</v>
      </c>
      <c r="AN174">
        <v>0.23</v>
      </c>
      <c r="AO174">
        <v>0.23</v>
      </c>
      <c r="AP174">
        <v>0.23</v>
      </c>
      <c r="AQ174">
        <v>3</v>
      </c>
      <c r="AR174" t="s">
        <v>1915</v>
      </c>
      <c r="AS174">
        <v>0</v>
      </c>
      <c r="AT174">
        <v>0</v>
      </c>
      <c r="AU174">
        <v>10</v>
      </c>
      <c r="AV174">
        <v>13007</v>
      </c>
      <c r="AW174">
        <v>0</v>
      </c>
      <c r="AX174">
        <f>COUNTIF('Equip Data'!A:A,A174)</f>
        <v>1</v>
      </c>
    </row>
    <row r="175" spans="1:50" hidden="1" x14ac:dyDescent="0.25">
      <c r="A175">
        <v>176</v>
      </c>
      <c r="B175" t="s">
        <v>1916</v>
      </c>
      <c r="C175" t="s">
        <v>1917</v>
      </c>
      <c r="D175" t="s">
        <v>1918</v>
      </c>
      <c r="E175">
        <v>5</v>
      </c>
      <c r="F175">
        <v>2</v>
      </c>
      <c r="G175">
        <v>6</v>
      </c>
      <c r="H175" t="s">
        <v>445</v>
      </c>
      <c r="I175" t="s">
        <v>432</v>
      </c>
      <c r="J175" t="s">
        <v>432</v>
      </c>
      <c r="K175" t="s">
        <v>432</v>
      </c>
      <c r="L175" t="s">
        <v>435</v>
      </c>
      <c r="M175" t="s">
        <v>432</v>
      </c>
      <c r="N175" t="s">
        <v>432</v>
      </c>
      <c r="O175" t="s">
        <v>593</v>
      </c>
      <c r="P175" t="s">
        <v>432</v>
      </c>
      <c r="Q175" t="s">
        <v>432</v>
      </c>
      <c r="R175" t="s">
        <v>432</v>
      </c>
      <c r="S175" t="s">
        <v>432</v>
      </c>
      <c r="T175" t="s">
        <v>432</v>
      </c>
      <c r="U175" t="s">
        <v>432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4</v>
      </c>
      <c r="AE175">
        <v>4</v>
      </c>
      <c r="AF175">
        <v>0</v>
      </c>
      <c r="AG175">
        <v>2</v>
      </c>
      <c r="AH175">
        <v>3180</v>
      </c>
      <c r="AI175" t="s">
        <v>1176</v>
      </c>
      <c r="AJ175">
        <v>0</v>
      </c>
      <c r="AK175" t="s">
        <v>594</v>
      </c>
      <c r="AL175" t="s">
        <v>1919</v>
      </c>
      <c r="AM175">
        <v>0.48</v>
      </c>
      <c r="AN175">
        <v>0.48</v>
      </c>
      <c r="AO175">
        <v>0.08</v>
      </c>
      <c r="AP175">
        <v>0.25</v>
      </c>
      <c r="AQ175">
        <v>3</v>
      </c>
      <c r="AR175" t="s">
        <v>1920</v>
      </c>
      <c r="AS175">
        <v>0</v>
      </c>
      <c r="AT175">
        <v>0</v>
      </c>
      <c r="AU175">
        <v>10</v>
      </c>
      <c r="AV175">
        <v>6015</v>
      </c>
      <c r="AW175">
        <v>0</v>
      </c>
      <c r="AX175">
        <f>COUNTIF('Equip Data'!A:A,A175)</f>
        <v>1</v>
      </c>
    </row>
    <row r="176" spans="1:50" hidden="1" x14ac:dyDescent="0.25">
      <c r="A176">
        <v>177</v>
      </c>
      <c r="B176" t="s">
        <v>1921</v>
      </c>
      <c r="C176" t="s">
        <v>1922</v>
      </c>
      <c r="D176" t="s">
        <v>1923</v>
      </c>
      <c r="E176">
        <v>5</v>
      </c>
      <c r="F176">
        <v>1</v>
      </c>
      <c r="G176">
        <v>3</v>
      </c>
      <c r="H176" t="s">
        <v>432</v>
      </c>
      <c r="I176" t="s">
        <v>447</v>
      </c>
      <c r="J176" t="s">
        <v>432</v>
      </c>
      <c r="K176" t="s">
        <v>432</v>
      </c>
      <c r="L176" t="s">
        <v>448</v>
      </c>
      <c r="M176" t="s">
        <v>489</v>
      </c>
      <c r="N176" t="s">
        <v>432</v>
      </c>
      <c r="O176" t="s">
        <v>432</v>
      </c>
      <c r="P176" t="s">
        <v>432</v>
      </c>
      <c r="Q176" t="s">
        <v>432</v>
      </c>
      <c r="R176" t="s">
        <v>432</v>
      </c>
      <c r="S176" t="s">
        <v>432</v>
      </c>
      <c r="T176" t="s">
        <v>432</v>
      </c>
      <c r="U176" t="s">
        <v>432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4</v>
      </c>
      <c r="AE176">
        <v>0</v>
      </c>
      <c r="AF176">
        <v>3</v>
      </c>
      <c r="AG176">
        <v>2</v>
      </c>
      <c r="AH176">
        <v>3000</v>
      </c>
      <c r="AI176" t="s">
        <v>1924</v>
      </c>
      <c r="AJ176">
        <v>0</v>
      </c>
      <c r="AK176" t="s">
        <v>595</v>
      </c>
      <c r="AL176" t="s">
        <v>1925</v>
      </c>
      <c r="AM176">
        <v>0.45</v>
      </c>
      <c r="AN176">
        <v>0.15</v>
      </c>
      <c r="AO176">
        <v>0.3</v>
      </c>
      <c r="AP176">
        <v>0.15</v>
      </c>
      <c r="AQ176">
        <v>3</v>
      </c>
      <c r="AR176" t="s">
        <v>1926</v>
      </c>
      <c r="AS176">
        <v>0</v>
      </c>
      <c r="AT176">
        <v>0</v>
      </c>
      <c r="AU176">
        <v>10</v>
      </c>
      <c r="AV176">
        <v>3006</v>
      </c>
      <c r="AW176">
        <v>0</v>
      </c>
      <c r="AX176">
        <f>COUNTIF('Equip Data'!A:A,A176)</f>
        <v>1</v>
      </c>
    </row>
    <row r="177" spans="1:50" hidden="1" x14ac:dyDescent="0.25">
      <c r="A177">
        <v>178</v>
      </c>
      <c r="B177" t="s">
        <v>1927</v>
      </c>
      <c r="C177" t="s">
        <v>1928</v>
      </c>
      <c r="D177" t="s">
        <v>1929</v>
      </c>
      <c r="E177">
        <v>5</v>
      </c>
      <c r="F177">
        <v>2</v>
      </c>
      <c r="G177">
        <v>5</v>
      </c>
      <c r="H177" t="s">
        <v>439</v>
      </c>
      <c r="I177" t="s">
        <v>432</v>
      </c>
      <c r="J177" t="s">
        <v>432</v>
      </c>
      <c r="K177" t="s">
        <v>432</v>
      </c>
      <c r="L177" t="s">
        <v>432</v>
      </c>
      <c r="M177" t="s">
        <v>432</v>
      </c>
      <c r="N177" t="s">
        <v>432</v>
      </c>
      <c r="O177" t="s">
        <v>456</v>
      </c>
      <c r="P177" t="s">
        <v>432</v>
      </c>
      <c r="Q177" t="s">
        <v>432</v>
      </c>
      <c r="R177" t="s">
        <v>432</v>
      </c>
      <c r="S177" t="s">
        <v>432</v>
      </c>
      <c r="T177" t="s">
        <v>432</v>
      </c>
      <c r="U177" t="s">
        <v>432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4</v>
      </c>
      <c r="AF177">
        <v>2</v>
      </c>
      <c r="AG177">
        <v>3</v>
      </c>
      <c r="AH177">
        <v>3300</v>
      </c>
      <c r="AI177" t="s">
        <v>1176</v>
      </c>
      <c r="AJ177">
        <v>0</v>
      </c>
      <c r="AK177" t="s">
        <v>596</v>
      </c>
      <c r="AL177" t="s">
        <v>1930</v>
      </c>
      <c r="AM177">
        <v>0.08</v>
      </c>
      <c r="AN177">
        <v>0.5</v>
      </c>
      <c r="AO177">
        <v>0.3</v>
      </c>
      <c r="AP177">
        <v>0.3</v>
      </c>
      <c r="AQ177">
        <v>3</v>
      </c>
      <c r="AR177" t="s">
        <v>1887</v>
      </c>
      <c r="AS177">
        <v>0</v>
      </c>
      <c r="AT177">
        <v>0</v>
      </c>
      <c r="AU177">
        <v>10</v>
      </c>
      <c r="AV177">
        <v>5005</v>
      </c>
      <c r="AW177">
        <v>0</v>
      </c>
      <c r="AX177">
        <f>COUNTIF('Equip Data'!A:A,A177)</f>
        <v>1</v>
      </c>
    </row>
    <row r="178" spans="1:50" hidden="1" x14ac:dyDescent="0.25">
      <c r="A178">
        <v>179</v>
      </c>
      <c r="B178" t="s">
        <v>1931</v>
      </c>
      <c r="C178" t="s">
        <v>1932</v>
      </c>
      <c r="D178" t="s">
        <v>1933</v>
      </c>
      <c r="E178">
        <v>5</v>
      </c>
      <c r="F178">
        <v>1</v>
      </c>
      <c r="G178">
        <v>16</v>
      </c>
      <c r="H178" t="s">
        <v>432</v>
      </c>
      <c r="I178" t="s">
        <v>432</v>
      </c>
      <c r="J178" t="s">
        <v>429</v>
      </c>
      <c r="K178" t="s">
        <v>432</v>
      </c>
      <c r="L178" t="s">
        <v>432</v>
      </c>
      <c r="M178" t="s">
        <v>432</v>
      </c>
      <c r="N178" t="s">
        <v>489</v>
      </c>
      <c r="O178" t="s">
        <v>432</v>
      </c>
      <c r="P178" t="s">
        <v>432</v>
      </c>
      <c r="Q178" t="s">
        <v>432</v>
      </c>
      <c r="R178" t="s">
        <v>432</v>
      </c>
      <c r="S178" t="s">
        <v>432</v>
      </c>
      <c r="T178" t="s">
        <v>432</v>
      </c>
      <c r="U178" t="s">
        <v>432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4</v>
      </c>
      <c r="AE178">
        <v>2</v>
      </c>
      <c r="AF178">
        <v>2</v>
      </c>
      <c r="AG178">
        <v>2</v>
      </c>
      <c r="AH178">
        <v>2820</v>
      </c>
      <c r="AI178" t="s">
        <v>1176</v>
      </c>
      <c r="AJ178">
        <v>0</v>
      </c>
      <c r="AK178" t="s">
        <v>597</v>
      </c>
      <c r="AL178" t="s">
        <v>1934</v>
      </c>
      <c r="AM178">
        <v>0.55000000000000004</v>
      </c>
      <c r="AN178">
        <v>0.23</v>
      </c>
      <c r="AO178">
        <v>0.23</v>
      </c>
      <c r="AP178">
        <v>0.23</v>
      </c>
      <c r="AQ178">
        <v>3</v>
      </c>
      <c r="AR178" t="s">
        <v>1853</v>
      </c>
      <c r="AS178">
        <v>0</v>
      </c>
      <c r="AT178">
        <v>0</v>
      </c>
      <c r="AU178">
        <v>10</v>
      </c>
      <c r="AV178">
        <v>16023</v>
      </c>
      <c r="AW178">
        <v>0</v>
      </c>
      <c r="AX178">
        <f>COUNTIF('Equip Data'!A:A,A178)</f>
        <v>1</v>
      </c>
    </row>
    <row r="179" spans="1:50" hidden="1" x14ac:dyDescent="0.25">
      <c r="A179">
        <v>180</v>
      </c>
      <c r="B179" t="s">
        <v>1935</v>
      </c>
      <c r="C179" t="s">
        <v>1936</v>
      </c>
      <c r="D179" t="s">
        <v>1937</v>
      </c>
      <c r="E179">
        <v>5</v>
      </c>
      <c r="F179">
        <v>1</v>
      </c>
      <c r="G179">
        <v>16</v>
      </c>
      <c r="H179" t="s">
        <v>432</v>
      </c>
      <c r="I179" t="s">
        <v>432</v>
      </c>
      <c r="J179" t="s">
        <v>517</v>
      </c>
      <c r="K179" t="s">
        <v>432</v>
      </c>
      <c r="L179" t="s">
        <v>432</v>
      </c>
      <c r="M179" t="s">
        <v>432</v>
      </c>
      <c r="N179" t="s">
        <v>489</v>
      </c>
      <c r="O179" t="s">
        <v>432</v>
      </c>
      <c r="P179" t="s">
        <v>432</v>
      </c>
      <c r="Q179" t="s">
        <v>432</v>
      </c>
      <c r="R179" t="s">
        <v>432</v>
      </c>
      <c r="S179" t="s">
        <v>432</v>
      </c>
      <c r="T179" t="s">
        <v>432</v>
      </c>
      <c r="U179" t="s">
        <v>432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4</v>
      </c>
      <c r="AE179">
        <v>2</v>
      </c>
      <c r="AF179">
        <v>2</v>
      </c>
      <c r="AG179">
        <v>2</v>
      </c>
      <c r="AH179">
        <v>2820</v>
      </c>
      <c r="AI179" t="s">
        <v>1938</v>
      </c>
      <c r="AJ179">
        <v>0</v>
      </c>
      <c r="AK179" t="s">
        <v>598</v>
      </c>
      <c r="AL179" t="s">
        <v>1939</v>
      </c>
      <c r="AM179">
        <v>0.55000000000000004</v>
      </c>
      <c r="AN179">
        <v>0.23</v>
      </c>
      <c r="AO179">
        <v>0.23</v>
      </c>
      <c r="AP179">
        <v>0.23</v>
      </c>
      <c r="AQ179">
        <v>3</v>
      </c>
      <c r="AR179" t="s">
        <v>1940</v>
      </c>
      <c r="AS179">
        <v>0</v>
      </c>
      <c r="AT179">
        <v>0</v>
      </c>
      <c r="AU179">
        <v>10</v>
      </c>
      <c r="AV179">
        <v>16033</v>
      </c>
      <c r="AW179">
        <v>0</v>
      </c>
      <c r="AX179">
        <f>COUNTIF('Equip Data'!A:A,A179)</f>
        <v>1</v>
      </c>
    </row>
    <row r="180" spans="1:50" hidden="1" x14ac:dyDescent="0.25">
      <c r="A180">
        <v>181</v>
      </c>
      <c r="B180" t="s">
        <v>1941</v>
      </c>
      <c r="C180" t="s">
        <v>1942</v>
      </c>
      <c r="D180" t="s">
        <v>1943</v>
      </c>
      <c r="E180">
        <v>5</v>
      </c>
      <c r="F180">
        <v>2</v>
      </c>
      <c r="G180">
        <v>6</v>
      </c>
      <c r="H180" t="s">
        <v>445</v>
      </c>
      <c r="I180" t="s">
        <v>432</v>
      </c>
      <c r="J180" t="s">
        <v>432</v>
      </c>
      <c r="K180" t="s">
        <v>432</v>
      </c>
      <c r="L180" t="s">
        <v>599</v>
      </c>
      <c r="M180" t="s">
        <v>432</v>
      </c>
      <c r="N180" t="s">
        <v>432</v>
      </c>
      <c r="O180" t="s">
        <v>490</v>
      </c>
      <c r="P180" t="s">
        <v>432</v>
      </c>
      <c r="Q180" t="s">
        <v>432</v>
      </c>
      <c r="R180" t="s">
        <v>432</v>
      </c>
      <c r="S180" t="s">
        <v>432</v>
      </c>
      <c r="T180" t="s">
        <v>432</v>
      </c>
      <c r="U180" t="s">
        <v>432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4</v>
      </c>
      <c r="AE180">
        <v>4</v>
      </c>
      <c r="AF180">
        <v>0</v>
      </c>
      <c r="AG180">
        <v>2</v>
      </c>
      <c r="AH180">
        <v>3180</v>
      </c>
      <c r="AI180" t="s">
        <v>1944</v>
      </c>
      <c r="AJ180">
        <v>0</v>
      </c>
      <c r="AK180" t="s">
        <v>457</v>
      </c>
      <c r="AL180" t="s">
        <v>1945</v>
      </c>
      <c r="AM180">
        <v>0.48</v>
      </c>
      <c r="AN180">
        <v>0.48</v>
      </c>
      <c r="AO180">
        <v>0.08</v>
      </c>
      <c r="AP180">
        <v>0.25</v>
      </c>
      <c r="AQ180">
        <v>3</v>
      </c>
      <c r="AR180" t="s">
        <v>1236</v>
      </c>
      <c r="AS180">
        <v>0</v>
      </c>
      <c r="AT180">
        <v>0</v>
      </c>
      <c r="AU180">
        <v>10</v>
      </c>
      <c r="AV180">
        <v>6006</v>
      </c>
      <c r="AW180">
        <v>0</v>
      </c>
      <c r="AX180">
        <f>COUNTIF('Equip Data'!A:A,A180)</f>
        <v>1</v>
      </c>
    </row>
    <row r="181" spans="1:50" hidden="1" x14ac:dyDescent="0.25">
      <c r="A181">
        <v>182</v>
      </c>
      <c r="B181" t="s">
        <v>1946</v>
      </c>
      <c r="C181" t="s">
        <v>1947</v>
      </c>
      <c r="D181" t="s">
        <v>1948</v>
      </c>
      <c r="E181">
        <v>5</v>
      </c>
      <c r="F181">
        <v>2</v>
      </c>
      <c r="G181">
        <v>6</v>
      </c>
      <c r="H181" t="s">
        <v>489</v>
      </c>
      <c r="I181" t="s">
        <v>432</v>
      </c>
      <c r="J181" t="s">
        <v>432</v>
      </c>
      <c r="K181" t="s">
        <v>432</v>
      </c>
      <c r="L181" t="s">
        <v>599</v>
      </c>
      <c r="M181" t="s">
        <v>432</v>
      </c>
      <c r="N181" t="s">
        <v>432</v>
      </c>
      <c r="O181" t="s">
        <v>432</v>
      </c>
      <c r="P181" t="s">
        <v>432</v>
      </c>
      <c r="Q181" t="s">
        <v>432</v>
      </c>
      <c r="R181" t="s">
        <v>432</v>
      </c>
      <c r="S181" t="s">
        <v>432</v>
      </c>
      <c r="T181" t="s">
        <v>432</v>
      </c>
      <c r="U181" t="s">
        <v>432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4</v>
      </c>
      <c r="AE181">
        <v>4</v>
      </c>
      <c r="AF181">
        <v>0</v>
      </c>
      <c r="AG181">
        <v>2</v>
      </c>
      <c r="AH181">
        <v>3180</v>
      </c>
      <c r="AI181" t="s">
        <v>1552</v>
      </c>
      <c r="AJ181">
        <v>0</v>
      </c>
      <c r="AK181" t="s">
        <v>600</v>
      </c>
      <c r="AL181" t="s">
        <v>1949</v>
      </c>
      <c r="AM181">
        <v>0.48</v>
      </c>
      <c r="AN181">
        <v>0.48</v>
      </c>
      <c r="AO181">
        <v>0.08</v>
      </c>
      <c r="AP181">
        <v>0.25</v>
      </c>
      <c r="AQ181">
        <v>3</v>
      </c>
      <c r="AR181" t="s">
        <v>1244</v>
      </c>
      <c r="AS181">
        <v>0</v>
      </c>
      <c r="AT181">
        <v>0</v>
      </c>
      <c r="AU181">
        <v>10</v>
      </c>
      <c r="AV181">
        <v>6007</v>
      </c>
      <c r="AW181">
        <v>0</v>
      </c>
      <c r="AX181">
        <f>COUNTIF('Equip Data'!A:A,A181)</f>
        <v>1</v>
      </c>
    </row>
    <row r="182" spans="1:50" hidden="1" x14ac:dyDescent="0.25">
      <c r="A182">
        <v>183</v>
      </c>
      <c r="B182" t="s">
        <v>1950</v>
      </c>
      <c r="C182" t="s">
        <v>1951</v>
      </c>
      <c r="D182" t="s">
        <v>1952</v>
      </c>
      <c r="E182">
        <v>5</v>
      </c>
      <c r="F182">
        <v>3</v>
      </c>
      <c r="G182">
        <v>12</v>
      </c>
      <c r="H182" t="s">
        <v>432</v>
      </c>
      <c r="I182" t="s">
        <v>432</v>
      </c>
      <c r="J182" t="s">
        <v>432</v>
      </c>
      <c r="K182" t="s">
        <v>505</v>
      </c>
      <c r="L182" t="s">
        <v>432</v>
      </c>
      <c r="M182" t="s">
        <v>467</v>
      </c>
      <c r="N182" t="s">
        <v>432</v>
      </c>
      <c r="O182" t="s">
        <v>432</v>
      </c>
      <c r="P182" t="s">
        <v>432</v>
      </c>
      <c r="Q182" t="s">
        <v>432</v>
      </c>
      <c r="R182" t="s">
        <v>432</v>
      </c>
      <c r="S182" t="s">
        <v>432</v>
      </c>
      <c r="T182" t="s">
        <v>432</v>
      </c>
      <c r="U182" t="s">
        <v>432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4</v>
      </c>
      <c r="AE182">
        <v>0</v>
      </c>
      <c r="AF182">
        <v>5</v>
      </c>
      <c r="AG182">
        <v>0</v>
      </c>
      <c r="AH182">
        <v>3360</v>
      </c>
      <c r="AI182" t="s">
        <v>1176</v>
      </c>
      <c r="AJ182">
        <v>0</v>
      </c>
      <c r="AK182" t="s">
        <v>601</v>
      </c>
      <c r="AL182" t="s">
        <v>1953</v>
      </c>
      <c r="AM182">
        <v>0.55000000000000004</v>
      </c>
      <c r="AN182">
        <v>0.16</v>
      </c>
      <c r="AO182">
        <v>0.6</v>
      </c>
      <c r="AP182">
        <v>0.16</v>
      </c>
      <c r="AQ182">
        <v>3</v>
      </c>
      <c r="AR182" t="s">
        <v>1472</v>
      </c>
      <c r="AS182">
        <v>0</v>
      </c>
      <c r="AT182">
        <v>0</v>
      </c>
      <c r="AU182">
        <v>10</v>
      </c>
      <c r="AV182">
        <v>12013</v>
      </c>
      <c r="AW182">
        <v>0</v>
      </c>
      <c r="AX182">
        <f>COUNTIF('Equip Data'!A:A,A182)</f>
        <v>1</v>
      </c>
    </row>
    <row r="183" spans="1:50" hidden="1" x14ac:dyDescent="0.25">
      <c r="A183">
        <v>184</v>
      </c>
      <c r="B183" t="s">
        <v>1954</v>
      </c>
      <c r="C183" t="s">
        <v>1955</v>
      </c>
      <c r="D183" t="s">
        <v>1956</v>
      </c>
      <c r="E183">
        <v>5</v>
      </c>
      <c r="F183">
        <v>3</v>
      </c>
      <c r="G183">
        <v>12</v>
      </c>
      <c r="H183" t="s">
        <v>575</v>
      </c>
      <c r="I183" t="s">
        <v>432</v>
      </c>
      <c r="J183" t="s">
        <v>460</v>
      </c>
      <c r="K183" t="s">
        <v>432</v>
      </c>
      <c r="L183" t="s">
        <v>432</v>
      </c>
      <c r="M183" t="s">
        <v>432</v>
      </c>
      <c r="N183" t="s">
        <v>432</v>
      </c>
      <c r="O183" t="s">
        <v>432</v>
      </c>
      <c r="P183" t="s">
        <v>432</v>
      </c>
      <c r="Q183" t="s">
        <v>432</v>
      </c>
      <c r="R183" t="s">
        <v>432</v>
      </c>
      <c r="S183" t="s">
        <v>432</v>
      </c>
      <c r="T183" t="s">
        <v>432</v>
      </c>
      <c r="U183" t="s">
        <v>432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4</v>
      </c>
      <c r="AE183">
        <v>2</v>
      </c>
      <c r="AF183">
        <v>0</v>
      </c>
      <c r="AG183">
        <v>4</v>
      </c>
      <c r="AH183">
        <v>3120</v>
      </c>
      <c r="AI183" t="s">
        <v>1176</v>
      </c>
      <c r="AJ183">
        <v>0</v>
      </c>
      <c r="AK183" t="s">
        <v>602</v>
      </c>
      <c r="AL183" t="s">
        <v>1957</v>
      </c>
      <c r="AM183">
        <v>0.3</v>
      </c>
      <c r="AN183">
        <v>0.25</v>
      </c>
      <c r="AO183">
        <v>0.12</v>
      </c>
      <c r="AP183">
        <v>0.38</v>
      </c>
      <c r="AQ183">
        <v>3</v>
      </c>
      <c r="AR183" t="s">
        <v>1958</v>
      </c>
      <c r="AS183">
        <v>0</v>
      </c>
      <c r="AT183">
        <v>0</v>
      </c>
      <c r="AU183">
        <v>10</v>
      </c>
      <c r="AV183">
        <v>12014</v>
      </c>
      <c r="AW183">
        <v>0</v>
      </c>
      <c r="AX183">
        <f>COUNTIF('Equip Data'!A:A,A183)</f>
        <v>1</v>
      </c>
    </row>
    <row r="184" spans="1:50" hidden="1" x14ac:dyDescent="0.25">
      <c r="A184">
        <v>185</v>
      </c>
      <c r="B184" t="s">
        <v>1959</v>
      </c>
      <c r="C184" t="s">
        <v>1960</v>
      </c>
      <c r="D184" t="s">
        <v>1961</v>
      </c>
      <c r="E184">
        <v>5</v>
      </c>
      <c r="F184">
        <v>1</v>
      </c>
      <c r="G184">
        <v>16</v>
      </c>
      <c r="H184" t="s">
        <v>439</v>
      </c>
      <c r="I184" t="s">
        <v>575</v>
      </c>
      <c r="J184" t="s">
        <v>432</v>
      </c>
      <c r="K184" t="s">
        <v>432</v>
      </c>
      <c r="L184" t="s">
        <v>432</v>
      </c>
      <c r="M184" t="s">
        <v>432</v>
      </c>
      <c r="N184" t="s">
        <v>501</v>
      </c>
      <c r="O184" t="s">
        <v>432</v>
      </c>
      <c r="P184" t="s">
        <v>432</v>
      </c>
      <c r="Q184" t="s">
        <v>432</v>
      </c>
      <c r="R184" t="s">
        <v>432</v>
      </c>
      <c r="S184" t="s">
        <v>432</v>
      </c>
      <c r="T184" t="s">
        <v>432</v>
      </c>
      <c r="U184" t="s">
        <v>432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4</v>
      </c>
      <c r="AE184">
        <v>0</v>
      </c>
      <c r="AF184">
        <v>3</v>
      </c>
      <c r="AG184">
        <v>2</v>
      </c>
      <c r="AH184">
        <v>2700</v>
      </c>
      <c r="AI184" t="s">
        <v>1176</v>
      </c>
      <c r="AJ184">
        <v>0</v>
      </c>
      <c r="AK184" t="s">
        <v>603</v>
      </c>
      <c r="AL184" t="s">
        <v>1962</v>
      </c>
      <c r="AM184">
        <v>0.45</v>
      </c>
      <c r="AN184">
        <v>0.15</v>
      </c>
      <c r="AO184">
        <v>0.3</v>
      </c>
      <c r="AP184">
        <v>0.15</v>
      </c>
      <c r="AQ184">
        <v>3</v>
      </c>
      <c r="AR184" t="s">
        <v>1963</v>
      </c>
      <c r="AS184">
        <v>0</v>
      </c>
      <c r="AT184">
        <v>900716</v>
      </c>
      <c r="AU184">
        <v>10</v>
      </c>
      <c r="AV184">
        <v>16024</v>
      </c>
      <c r="AW184">
        <v>0</v>
      </c>
      <c r="AX184">
        <f>COUNTIF('Equip Data'!A:A,A184)</f>
        <v>1</v>
      </c>
    </row>
    <row r="185" spans="1:50" hidden="1" x14ac:dyDescent="0.25">
      <c r="A185">
        <v>186</v>
      </c>
      <c r="B185" t="s">
        <v>1964</v>
      </c>
      <c r="C185" t="s">
        <v>1965</v>
      </c>
      <c r="D185" t="s">
        <v>1966</v>
      </c>
      <c r="E185">
        <v>5</v>
      </c>
      <c r="F185">
        <v>2</v>
      </c>
      <c r="G185">
        <v>7</v>
      </c>
      <c r="H185" t="s">
        <v>445</v>
      </c>
      <c r="I185" t="s">
        <v>432</v>
      </c>
      <c r="J185" t="s">
        <v>432</v>
      </c>
      <c r="K185" t="s">
        <v>432</v>
      </c>
      <c r="L185" t="s">
        <v>432</v>
      </c>
      <c r="M185" t="s">
        <v>493</v>
      </c>
      <c r="N185" t="s">
        <v>604</v>
      </c>
      <c r="O185" t="s">
        <v>432</v>
      </c>
      <c r="P185" t="s">
        <v>432</v>
      </c>
      <c r="Q185" t="s">
        <v>432</v>
      </c>
      <c r="R185" t="s">
        <v>432</v>
      </c>
      <c r="S185" t="s">
        <v>432</v>
      </c>
      <c r="T185" t="s">
        <v>432</v>
      </c>
      <c r="U185" t="s">
        <v>432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1</v>
      </c>
      <c r="AE185">
        <v>4</v>
      </c>
      <c r="AF185">
        <v>1</v>
      </c>
      <c r="AG185">
        <v>3</v>
      </c>
      <c r="AH185">
        <v>3240</v>
      </c>
      <c r="AI185" t="s">
        <v>1176</v>
      </c>
      <c r="AJ185">
        <v>0</v>
      </c>
      <c r="AK185" t="s">
        <v>605</v>
      </c>
      <c r="AL185" t="s">
        <v>1967</v>
      </c>
      <c r="AM185">
        <v>0.08</v>
      </c>
      <c r="AN185">
        <v>0.53</v>
      </c>
      <c r="AO185">
        <v>0.08</v>
      </c>
      <c r="AP185">
        <v>0.45</v>
      </c>
      <c r="AQ185">
        <v>3</v>
      </c>
      <c r="AR185" t="s">
        <v>1968</v>
      </c>
      <c r="AS185">
        <v>0</v>
      </c>
      <c r="AT185">
        <v>0</v>
      </c>
      <c r="AU185">
        <v>10</v>
      </c>
      <c r="AV185">
        <v>17005</v>
      </c>
      <c r="AW185">
        <v>0</v>
      </c>
      <c r="AX185">
        <f>COUNTIF('Equip Data'!A:A,A185)</f>
        <v>1</v>
      </c>
    </row>
    <row r="186" spans="1:50" hidden="1" x14ac:dyDescent="0.25">
      <c r="A186">
        <v>187</v>
      </c>
      <c r="B186" t="s">
        <v>1969</v>
      </c>
      <c r="C186" t="s">
        <v>1970</v>
      </c>
      <c r="D186" t="s">
        <v>1971</v>
      </c>
      <c r="E186">
        <v>5</v>
      </c>
      <c r="F186">
        <v>1</v>
      </c>
      <c r="G186">
        <v>13</v>
      </c>
      <c r="H186" t="s">
        <v>432</v>
      </c>
      <c r="I186" t="s">
        <v>575</v>
      </c>
      <c r="J186" t="s">
        <v>462</v>
      </c>
      <c r="K186" t="s">
        <v>432</v>
      </c>
      <c r="L186" t="s">
        <v>432</v>
      </c>
      <c r="M186" t="s">
        <v>432</v>
      </c>
      <c r="N186" t="s">
        <v>489</v>
      </c>
      <c r="O186" t="s">
        <v>432</v>
      </c>
      <c r="P186" t="s">
        <v>432</v>
      </c>
      <c r="Q186" t="s">
        <v>432</v>
      </c>
      <c r="R186" t="s">
        <v>432</v>
      </c>
      <c r="S186" t="s">
        <v>432</v>
      </c>
      <c r="T186" t="s">
        <v>432</v>
      </c>
      <c r="U186" t="s">
        <v>432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4</v>
      </c>
      <c r="AE186">
        <v>2</v>
      </c>
      <c r="AF186">
        <v>2</v>
      </c>
      <c r="AG186">
        <v>2</v>
      </c>
      <c r="AH186">
        <v>2820</v>
      </c>
      <c r="AI186" t="s">
        <v>1176</v>
      </c>
      <c r="AJ186">
        <v>0</v>
      </c>
      <c r="AK186" t="s">
        <v>606</v>
      </c>
      <c r="AL186" t="s">
        <v>1972</v>
      </c>
      <c r="AM186">
        <v>0.55000000000000004</v>
      </c>
      <c r="AN186">
        <v>0.23</v>
      </c>
      <c r="AO186">
        <v>0.23</v>
      </c>
      <c r="AP186">
        <v>0.23</v>
      </c>
      <c r="AQ186">
        <v>3</v>
      </c>
      <c r="AR186" t="s">
        <v>1973</v>
      </c>
      <c r="AS186">
        <v>0</v>
      </c>
      <c r="AT186">
        <v>0</v>
      </c>
      <c r="AU186">
        <v>10</v>
      </c>
      <c r="AV186">
        <v>13009</v>
      </c>
      <c r="AW186">
        <v>0</v>
      </c>
      <c r="AX186">
        <f>COUNTIF('Equip Data'!A:A,A186)</f>
        <v>1</v>
      </c>
    </row>
    <row r="187" spans="1:50" hidden="1" x14ac:dyDescent="0.25">
      <c r="A187">
        <v>188</v>
      </c>
      <c r="B187" t="s">
        <v>1974</v>
      </c>
      <c r="C187" t="s">
        <v>1975</v>
      </c>
      <c r="D187" t="s">
        <v>1976</v>
      </c>
      <c r="E187">
        <v>5</v>
      </c>
      <c r="F187">
        <v>1</v>
      </c>
      <c r="G187">
        <v>16</v>
      </c>
      <c r="H187" t="s">
        <v>439</v>
      </c>
      <c r="I187" t="s">
        <v>575</v>
      </c>
      <c r="J187" t="s">
        <v>432</v>
      </c>
      <c r="K187" t="s">
        <v>432</v>
      </c>
      <c r="L187" t="s">
        <v>432</v>
      </c>
      <c r="M187" t="s">
        <v>432</v>
      </c>
      <c r="N187" t="s">
        <v>501</v>
      </c>
      <c r="O187" t="s">
        <v>432</v>
      </c>
      <c r="P187" t="s">
        <v>432</v>
      </c>
      <c r="Q187" t="s">
        <v>432</v>
      </c>
      <c r="R187" t="s">
        <v>432</v>
      </c>
      <c r="S187" t="s">
        <v>432</v>
      </c>
      <c r="T187" t="s">
        <v>432</v>
      </c>
      <c r="U187" t="s">
        <v>432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4</v>
      </c>
      <c r="AE187">
        <v>0</v>
      </c>
      <c r="AF187">
        <v>3</v>
      </c>
      <c r="AG187">
        <v>2</v>
      </c>
      <c r="AH187">
        <v>2700</v>
      </c>
      <c r="AI187" t="s">
        <v>1176</v>
      </c>
      <c r="AJ187">
        <v>0</v>
      </c>
      <c r="AK187" t="s">
        <v>603</v>
      </c>
      <c r="AL187" t="s">
        <v>1977</v>
      </c>
      <c r="AM187">
        <v>0.45</v>
      </c>
      <c r="AN187">
        <v>0.15</v>
      </c>
      <c r="AO187">
        <v>0.3</v>
      </c>
      <c r="AP187">
        <v>0.15</v>
      </c>
      <c r="AQ187">
        <v>3</v>
      </c>
      <c r="AR187" t="s">
        <v>1963</v>
      </c>
      <c r="AS187">
        <v>0</v>
      </c>
      <c r="AT187">
        <v>900717</v>
      </c>
      <c r="AU187">
        <v>10</v>
      </c>
      <c r="AV187">
        <v>16025</v>
      </c>
      <c r="AW187">
        <v>0</v>
      </c>
      <c r="AX187">
        <f>COUNTIF('Equip Data'!A:A,A187)</f>
        <v>1</v>
      </c>
    </row>
    <row r="188" spans="1:50" hidden="1" x14ac:dyDescent="0.25">
      <c r="A188">
        <v>189</v>
      </c>
      <c r="B188" t="s">
        <v>1978</v>
      </c>
      <c r="C188" t="s">
        <v>1979</v>
      </c>
      <c r="D188" t="s">
        <v>1980</v>
      </c>
      <c r="E188">
        <v>5</v>
      </c>
      <c r="F188">
        <v>1</v>
      </c>
      <c r="G188">
        <v>16</v>
      </c>
      <c r="H188" t="s">
        <v>439</v>
      </c>
      <c r="I188" t="s">
        <v>575</v>
      </c>
      <c r="J188" t="s">
        <v>432</v>
      </c>
      <c r="K188" t="s">
        <v>432</v>
      </c>
      <c r="L188" t="s">
        <v>432</v>
      </c>
      <c r="M188" t="s">
        <v>432</v>
      </c>
      <c r="N188" t="s">
        <v>501</v>
      </c>
      <c r="O188" t="s">
        <v>432</v>
      </c>
      <c r="P188" t="s">
        <v>432</v>
      </c>
      <c r="Q188" t="s">
        <v>432</v>
      </c>
      <c r="R188" t="s">
        <v>432</v>
      </c>
      <c r="S188" t="s">
        <v>432</v>
      </c>
      <c r="T188" t="s">
        <v>432</v>
      </c>
      <c r="U188" t="s">
        <v>432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4</v>
      </c>
      <c r="AE188">
        <v>0</v>
      </c>
      <c r="AF188">
        <v>3</v>
      </c>
      <c r="AG188">
        <v>2</v>
      </c>
      <c r="AH188">
        <v>2700</v>
      </c>
      <c r="AI188" t="s">
        <v>1176</v>
      </c>
      <c r="AJ188">
        <v>0</v>
      </c>
      <c r="AK188" t="s">
        <v>603</v>
      </c>
      <c r="AL188" t="s">
        <v>1981</v>
      </c>
      <c r="AM188">
        <v>0.45</v>
      </c>
      <c r="AN188">
        <v>0.15</v>
      </c>
      <c r="AO188">
        <v>0.3</v>
      </c>
      <c r="AP188">
        <v>0.15</v>
      </c>
      <c r="AQ188">
        <v>3</v>
      </c>
      <c r="AR188" t="s">
        <v>1963</v>
      </c>
      <c r="AS188">
        <v>0</v>
      </c>
      <c r="AT188">
        <v>900718</v>
      </c>
      <c r="AU188">
        <v>10</v>
      </c>
      <c r="AV188">
        <v>16026</v>
      </c>
      <c r="AW188">
        <v>0</v>
      </c>
      <c r="AX188">
        <f>COUNTIF('Equip Data'!A:A,A188)</f>
        <v>1</v>
      </c>
    </row>
    <row r="189" spans="1:50" hidden="1" x14ac:dyDescent="0.25">
      <c r="A189">
        <v>190</v>
      </c>
      <c r="B189" t="s">
        <v>1982</v>
      </c>
      <c r="C189" t="s">
        <v>1983</v>
      </c>
      <c r="D189" t="s">
        <v>1984</v>
      </c>
      <c r="E189">
        <v>5</v>
      </c>
      <c r="F189">
        <v>3</v>
      </c>
      <c r="G189">
        <v>12</v>
      </c>
      <c r="H189" t="s">
        <v>432</v>
      </c>
      <c r="I189" t="s">
        <v>439</v>
      </c>
      <c r="J189" t="s">
        <v>473</v>
      </c>
      <c r="K189" t="s">
        <v>432</v>
      </c>
      <c r="L189" t="s">
        <v>432</v>
      </c>
      <c r="M189" t="s">
        <v>432</v>
      </c>
      <c r="N189" t="s">
        <v>432</v>
      </c>
      <c r="O189" t="s">
        <v>432</v>
      </c>
      <c r="P189" t="s">
        <v>432</v>
      </c>
      <c r="Q189" t="s">
        <v>432</v>
      </c>
      <c r="R189" t="s">
        <v>432</v>
      </c>
      <c r="S189" t="s">
        <v>432</v>
      </c>
      <c r="T189" t="s">
        <v>432</v>
      </c>
      <c r="U189" t="s">
        <v>432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4</v>
      </c>
      <c r="AE189">
        <v>2</v>
      </c>
      <c r="AF189">
        <v>0</v>
      </c>
      <c r="AG189">
        <v>4</v>
      </c>
      <c r="AH189">
        <v>3120</v>
      </c>
      <c r="AI189" t="s">
        <v>1985</v>
      </c>
      <c r="AJ189">
        <v>0</v>
      </c>
      <c r="AK189" t="s">
        <v>607</v>
      </c>
      <c r="AL189" t="s">
        <v>1986</v>
      </c>
      <c r="AM189">
        <v>0.3</v>
      </c>
      <c r="AN189">
        <v>0.25</v>
      </c>
      <c r="AO189">
        <v>0.12</v>
      </c>
      <c r="AP189">
        <v>0.38</v>
      </c>
      <c r="AQ189">
        <v>3</v>
      </c>
      <c r="AR189" t="s">
        <v>1166</v>
      </c>
      <c r="AS189">
        <v>0</v>
      </c>
      <c r="AT189">
        <v>0</v>
      </c>
      <c r="AU189">
        <v>10</v>
      </c>
      <c r="AV189">
        <v>12015</v>
      </c>
      <c r="AW189">
        <v>0</v>
      </c>
      <c r="AX189">
        <f>COUNTIF('Equip Data'!A:A,A189)</f>
        <v>1</v>
      </c>
    </row>
    <row r="190" spans="1:50" hidden="1" x14ac:dyDescent="0.25">
      <c r="A190">
        <v>191</v>
      </c>
      <c r="B190" t="s">
        <v>1987</v>
      </c>
      <c r="C190" t="s">
        <v>1988</v>
      </c>
      <c r="D190" t="s">
        <v>1989</v>
      </c>
      <c r="E190">
        <v>5</v>
      </c>
      <c r="F190">
        <v>1</v>
      </c>
      <c r="G190">
        <v>1</v>
      </c>
      <c r="H190" t="s">
        <v>439</v>
      </c>
      <c r="I190" t="s">
        <v>432</v>
      </c>
      <c r="J190" t="s">
        <v>432</v>
      </c>
      <c r="K190" t="s">
        <v>432</v>
      </c>
      <c r="L190" t="s">
        <v>432</v>
      </c>
      <c r="M190" t="s">
        <v>432</v>
      </c>
      <c r="N190" t="s">
        <v>431</v>
      </c>
      <c r="O190" t="s">
        <v>432</v>
      </c>
      <c r="P190" t="s">
        <v>432</v>
      </c>
      <c r="Q190" t="s">
        <v>432</v>
      </c>
      <c r="R190" t="s">
        <v>432</v>
      </c>
      <c r="S190" t="s">
        <v>432</v>
      </c>
      <c r="T190" t="s">
        <v>432</v>
      </c>
      <c r="U190" t="s">
        <v>432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4</v>
      </c>
      <c r="AE190">
        <v>0</v>
      </c>
      <c r="AF190">
        <v>3</v>
      </c>
      <c r="AG190">
        <v>2</v>
      </c>
      <c r="AH190">
        <v>2700</v>
      </c>
      <c r="AI190" t="s">
        <v>1924</v>
      </c>
      <c r="AJ190">
        <v>0</v>
      </c>
      <c r="AK190" t="s">
        <v>608</v>
      </c>
      <c r="AL190" t="s">
        <v>1990</v>
      </c>
      <c r="AM190">
        <v>0.45</v>
      </c>
      <c r="AN190">
        <v>0.15</v>
      </c>
      <c r="AO190">
        <v>0.3</v>
      </c>
      <c r="AP190">
        <v>0.15</v>
      </c>
      <c r="AQ190">
        <v>3</v>
      </c>
      <c r="AR190" t="s">
        <v>1646</v>
      </c>
      <c r="AS190">
        <v>0</v>
      </c>
      <c r="AT190">
        <v>0</v>
      </c>
      <c r="AU190">
        <v>10</v>
      </c>
      <c r="AV190">
        <v>1010</v>
      </c>
      <c r="AW190">
        <v>0</v>
      </c>
      <c r="AX190">
        <f>COUNTIF('Equip Data'!A:A,A190)</f>
        <v>1</v>
      </c>
    </row>
    <row r="191" spans="1:50" hidden="1" x14ac:dyDescent="0.25">
      <c r="A191">
        <v>192</v>
      </c>
      <c r="B191" t="s">
        <v>1991</v>
      </c>
      <c r="C191" t="s">
        <v>1992</v>
      </c>
      <c r="D191" t="s">
        <v>1993</v>
      </c>
      <c r="E191">
        <v>5</v>
      </c>
      <c r="F191">
        <v>3</v>
      </c>
      <c r="G191">
        <v>12</v>
      </c>
      <c r="H191" t="s">
        <v>466</v>
      </c>
      <c r="I191" t="s">
        <v>432</v>
      </c>
      <c r="J191" t="s">
        <v>467</v>
      </c>
      <c r="K191" t="s">
        <v>432</v>
      </c>
      <c r="L191" t="s">
        <v>432</v>
      </c>
      <c r="M191" t="s">
        <v>432</v>
      </c>
      <c r="N191" t="s">
        <v>432</v>
      </c>
      <c r="O191" t="s">
        <v>432</v>
      </c>
      <c r="P191" t="s">
        <v>432</v>
      </c>
      <c r="Q191" t="s">
        <v>432</v>
      </c>
      <c r="R191" t="s">
        <v>432</v>
      </c>
      <c r="S191" t="s">
        <v>432</v>
      </c>
      <c r="T191" t="s">
        <v>432</v>
      </c>
      <c r="U191" t="s">
        <v>432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4</v>
      </c>
      <c r="AE191">
        <v>2</v>
      </c>
      <c r="AF191">
        <v>0</v>
      </c>
      <c r="AG191">
        <v>4</v>
      </c>
      <c r="AH191">
        <v>3120</v>
      </c>
      <c r="AI191" t="s">
        <v>1176</v>
      </c>
      <c r="AJ191">
        <v>0</v>
      </c>
      <c r="AK191" t="s">
        <v>609</v>
      </c>
      <c r="AL191" t="s">
        <v>1994</v>
      </c>
      <c r="AM191">
        <v>0.3</v>
      </c>
      <c r="AN191">
        <v>0.25</v>
      </c>
      <c r="AO191">
        <v>0.12</v>
      </c>
      <c r="AP191">
        <v>0.38</v>
      </c>
      <c r="AQ191">
        <v>3</v>
      </c>
      <c r="AR191" t="s">
        <v>1333</v>
      </c>
      <c r="AS191">
        <v>0</v>
      </c>
      <c r="AT191">
        <v>0</v>
      </c>
      <c r="AU191">
        <v>10</v>
      </c>
      <c r="AV191">
        <v>12016</v>
      </c>
      <c r="AW191">
        <v>0</v>
      </c>
      <c r="AX191">
        <f>COUNTIF('Equip Data'!A:A,A191)</f>
        <v>1</v>
      </c>
    </row>
    <row r="192" spans="1:50" hidden="1" x14ac:dyDescent="0.25">
      <c r="A192">
        <v>193</v>
      </c>
      <c r="B192" t="s">
        <v>1995</v>
      </c>
      <c r="C192" t="s">
        <v>1996</v>
      </c>
      <c r="D192" t="s">
        <v>1997</v>
      </c>
      <c r="E192">
        <v>5</v>
      </c>
      <c r="F192">
        <v>3</v>
      </c>
      <c r="G192">
        <v>11</v>
      </c>
      <c r="H192" t="s">
        <v>432</v>
      </c>
      <c r="I192" t="s">
        <v>432</v>
      </c>
      <c r="J192" t="s">
        <v>435</v>
      </c>
      <c r="K192" t="s">
        <v>432</v>
      </c>
      <c r="L192" t="s">
        <v>432</v>
      </c>
      <c r="M192" t="s">
        <v>432</v>
      </c>
      <c r="N192" t="s">
        <v>432</v>
      </c>
      <c r="O192" t="s">
        <v>432</v>
      </c>
      <c r="P192" t="s">
        <v>462</v>
      </c>
      <c r="Q192" t="s">
        <v>432</v>
      </c>
      <c r="R192" t="s">
        <v>432</v>
      </c>
      <c r="S192" t="s">
        <v>432</v>
      </c>
      <c r="T192" t="s">
        <v>432</v>
      </c>
      <c r="U192" t="s">
        <v>432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2</v>
      </c>
      <c r="AE192">
        <v>2</v>
      </c>
      <c r="AF192">
        <v>3</v>
      </c>
      <c r="AG192">
        <v>3</v>
      </c>
      <c r="AH192">
        <v>3060</v>
      </c>
      <c r="AI192" t="s">
        <v>1176</v>
      </c>
      <c r="AJ192">
        <v>0</v>
      </c>
      <c r="AK192" t="s">
        <v>610</v>
      </c>
      <c r="AL192" t="s">
        <v>1998</v>
      </c>
      <c r="AM192">
        <v>0.23</v>
      </c>
      <c r="AN192">
        <v>0.23</v>
      </c>
      <c r="AO192">
        <v>0.33</v>
      </c>
      <c r="AP192">
        <v>0.33</v>
      </c>
      <c r="AQ192">
        <v>3</v>
      </c>
      <c r="AR192" t="s">
        <v>1276</v>
      </c>
      <c r="AS192">
        <v>0</v>
      </c>
      <c r="AT192">
        <v>0</v>
      </c>
      <c r="AU192">
        <v>10</v>
      </c>
      <c r="AV192">
        <v>11002</v>
      </c>
      <c r="AW192">
        <v>0</v>
      </c>
      <c r="AX192">
        <f>COUNTIF('Equip Data'!A:A,A192)</f>
        <v>1</v>
      </c>
    </row>
    <row r="193" spans="1:50" hidden="1" x14ac:dyDescent="0.25">
      <c r="A193">
        <v>194</v>
      </c>
      <c r="B193" t="s">
        <v>1999</v>
      </c>
      <c r="C193" t="s">
        <v>2000</v>
      </c>
      <c r="D193" t="s">
        <v>2001</v>
      </c>
      <c r="E193">
        <v>5</v>
      </c>
      <c r="F193">
        <v>1</v>
      </c>
      <c r="G193">
        <v>16</v>
      </c>
      <c r="H193" t="s">
        <v>432</v>
      </c>
      <c r="I193" t="s">
        <v>432</v>
      </c>
      <c r="J193" t="s">
        <v>517</v>
      </c>
      <c r="K193" t="s">
        <v>432</v>
      </c>
      <c r="L193" t="s">
        <v>432</v>
      </c>
      <c r="M193" t="s">
        <v>432</v>
      </c>
      <c r="N193" t="s">
        <v>489</v>
      </c>
      <c r="O193" t="s">
        <v>432</v>
      </c>
      <c r="P193" t="s">
        <v>432</v>
      </c>
      <c r="Q193" t="s">
        <v>432</v>
      </c>
      <c r="R193" t="s">
        <v>432</v>
      </c>
      <c r="S193" t="s">
        <v>432</v>
      </c>
      <c r="T193" t="s">
        <v>432</v>
      </c>
      <c r="U193" t="s">
        <v>432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4</v>
      </c>
      <c r="AE193">
        <v>2</v>
      </c>
      <c r="AF193">
        <v>2</v>
      </c>
      <c r="AG193">
        <v>2</v>
      </c>
      <c r="AH193">
        <v>2820</v>
      </c>
      <c r="AI193" t="s">
        <v>1176</v>
      </c>
      <c r="AJ193">
        <v>0</v>
      </c>
      <c r="AK193" t="s">
        <v>611</v>
      </c>
      <c r="AL193" t="s">
        <v>2002</v>
      </c>
      <c r="AM193">
        <v>0.55000000000000004</v>
      </c>
      <c r="AN193">
        <v>0.23</v>
      </c>
      <c r="AO193">
        <v>0.23</v>
      </c>
      <c r="AP193">
        <v>0.23</v>
      </c>
      <c r="AQ193">
        <v>3</v>
      </c>
      <c r="AR193" t="s">
        <v>1940</v>
      </c>
      <c r="AS193">
        <v>0</v>
      </c>
      <c r="AT193">
        <v>0</v>
      </c>
      <c r="AU193">
        <v>10</v>
      </c>
      <c r="AV193">
        <v>16034</v>
      </c>
      <c r="AW193">
        <v>0</v>
      </c>
      <c r="AX193">
        <f>COUNTIF('Equip Data'!A:A,A193)</f>
        <v>1</v>
      </c>
    </row>
    <row r="194" spans="1:50" hidden="1" x14ac:dyDescent="0.25">
      <c r="A194">
        <v>195</v>
      </c>
      <c r="B194" t="s">
        <v>2003</v>
      </c>
      <c r="C194" t="s">
        <v>2004</v>
      </c>
      <c r="D194" t="s">
        <v>2005</v>
      </c>
      <c r="E194">
        <v>5</v>
      </c>
      <c r="F194">
        <v>2</v>
      </c>
      <c r="G194">
        <v>6</v>
      </c>
      <c r="H194" t="s">
        <v>506</v>
      </c>
      <c r="I194" t="s">
        <v>432</v>
      </c>
      <c r="J194" t="s">
        <v>432</v>
      </c>
      <c r="K194" t="s">
        <v>432</v>
      </c>
      <c r="L194" t="s">
        <v>432</v>
      </c>
      <c r="M194" t="s">
        <v>432</v>
      </c>
      <c r="N194" t="s">
        <v>432</v>
      </c>
      <c r="O194" t="s">
        <v>490</v>
      </c>
      <c r="P194" t="s">
        <v>432</v>
      </c>
      <c r="Q194" t="s">
        <v>432</v>
      </c>
      <c r="R194" t="s">
        <v>432</v>
      </c>
      <c r="S194" t="s">
        <v>432</v>
      </c>
      <c r="T194" t="s">
        <v>432</v>
      </c>
      <c r="U194" t="s">
        <v>432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4</v>
      </c>
      <c r="AE194">
        <v>4</v>
      </c>
      <c r="AF194">
        <v>0</v>
      </c>
      <c r="AG194">
        <v>2</v>
      </c>
      <c r="AH194">
        <v>3600</v>
      </c>
      <c r="AI194" t="s">
        <v>1391</v>
      </c>
      <c r="AJ194">
        <v>0</v>
      </c>
      <c r="AK194" t="s">
        <v>612</v>
      </c>
      <c r="AL194" t="s">
        <v>2006</v>
      </c>
      <c r="AM194">
        <v>0.48</v>
      </c>
      <c r="AN194">
        <v>0.48</v>
      </c>
      <c r="AO194">
        <v>0.08</v>
      </c>
      <c r="AP194">
        <v>0.25</v>
      </c>
      <c r="AQ194">
        <v>3</v>
      </c>
      <c r="AR194" t="s">
        <v>1236</v>
      </c>
      <c r="AS194">
        <v>0</v>
      </c>
      <c r="AT194">
        <v>0</v>
      </c>
      <c r="AU194">
        <v>10</v>
      </c>
      <c r="AV194">
        <v>6005</v>
      </c>
      <c r="AW194">
        <v>0</v>
      </c>
      <c r="AX194">
        <f>COUNTIF('Equip Data'!A:A,A194)</f>
        <v>1</v>
      </c>
    </row>
    <row r="195" spans="1:50" hidden="1" x14ac:dyDescent="0.25">
      <c r="A195">
        <v>196</v>
      </c>
      <c r="B195" t="s">
        <v>2007</v>
      </c>
      <c r="C195" t="s">
        <v>2008</v>
      </c>
      <c r="D195" t="s">
        <v>2009</v>
      </c>
      <c r="E195">
        <v>5</v>
      </c>
      <c r="F195">
        <v>1</v>
      </c>
      <c r="G195">
        <v>13</v>
      </c>
      <c r="H195" t="s">
        <v>435</v>
      </c>
      <c r="I195" t="s">
        <v>432</v>
      </c>
      <c r="J195" t="s">
        <v>445</v>
      </c>
      <c r="K195" t="s">
        <v>432</v>
      </c>
      <c r="L195" t="s">
        <v>432</v>
      </c>
      <c r="M195" t="s">
        <v>432</v>
      </c>
      <c r="N195" t="s">
        <v>432</v>
      </c>
      <c r="O195" t="s">
        <v>432</v>
      </c>
      <c r="P195" t="s">
        <v>432</v>
      </c>
      <c r="Q195" t="s">
        <v>432</v>
      </c>
      <c r="R195" t="s">
        <v>432</v>
      </c>
      <c r="S195" t="s">
        <v>432</v>
      </c>
      <c r="T195" t="s">
        <v>432</v>
      </c>
      <c r="U195" t="s">
        <v>432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4</v>
      </c>
      <c r="AE195">
        <v>2</v>
      </c>
      <c r="AF195">
        <v>2</v>
      </c>
      <c r="AG195">
        <v>2</v>
      </c>
      <c r="AH195">
        <v>2820</v>
      </c>
      <c r="AI195" t="s">
        <v>1176</v>
      </c>
      <c r="AJ195">
        <v>0</v>
      </c>
      <c r="AK195" t="s">
        <v>613</v>
      </c>
      <c r="AL195" t="s">
        <v>2010</v>
      </c>
      <c r="AM195">
        <v>0.55000000000000004</v>
      </c>
      <c r="AN195">
        <v>0.23</v>
      </c>
      <c r="AO195">
        <v>0.23</v>
      </c>
      <c r="AP195">
        <v>0.23</v>
      </c>
      <c r="AQ195">
        <v>3</v>
      </c>
      <c r="AR195" t="s">
        <v>2011</v>
      </c>
      <c r="AS195">
        <v>0</v>
      </c>
      <c r="AT195">
        <v>0</v>
      </c>
      <c r="AU195">
        <v>10</v>
      </c>
      <c r="AV195">
        <v>16021</v>
      </c>
      <c r="AW195">
        <v>0</v>
      </c>
      <c r="AX195">
        <f>COUNTIF('Equip Data'!A:A,A195)</f>
        <v>1</v>
      </c>
    </row>
    <row r="196" spans="1:50" hidden="1" x14ac:dyDescent="0.25">
      <c r="A196">
        <v>197</v>
      </c>
      <c r="B196" t="s">
        <v>2012</v>
      </c>
      <c r="C196" t="s">
        <v>2013</v>
      </c>
      <c r="D196" t="s">
        <v>2014</v>
      </c>
      <c r="E196">
        <v>5</v>
      </c>
      <c r="F196">
        <v>3</v>
      </c>
      <c r="G196">
        <v>10</v>
      </c>
      <c r="H196" t="s">
        <v>538</v>
      </c>
      <c r="I196" t="s">
        <v>432</v>
      </c>
      <c r="J196" t="s">
        <v>500</v>
      </c>
      <c r="K196" t="s">
        <v>432</v>
      </c>
      <c r="L196" t="s">
        <v>432</v>
      </c>
      <c r="M196" t="s">
        <v>432</v>
      </c>
      <c r="N196" t="s">
        <v>432</v>
      </c>
      <c r="O196" t="s">
        <v>432</v>
      </c>
      <c r="P196" t="s">
        <v>432</v>
      </c>
      <c r="Q196" t="s">
        <v>432</v>
      </c>
      <c r="R196" t="s">
        <v>432</v>
      </c>
      <c r="S196" t="s">
        <v>432</v>
      </c>
      <c r="T196" t="s">
        <v>432</v>
      </c>
      <c r="U196" t="s">
        <v>432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4</v>
      </c>
      <c r="AE196">
        <v>2</v>
      </c>
      <c r="AF196">
        <v>0</v>
      </c>
      <c r="AG196">
        <v>4</v>
      </c>
      <c r="AH196">
        <v>3120</v>
      </c>
      <c r="AI196" t="s">
        <v>1176</v>
      </c>
      <c r="AJ196">
        <v>0</v>
      </c>
      <c r="AK196" t="s">
        <v>614</v>
      </c>
      <c r="AL196" t="s">
        <v>2015</v>
      </c>
      <c r="AM196">
        <v>0.3</v>
      </c>
      <c r="AN196">
        <v>0.25</v>
      </c>
      <c r="AO196">
        <v>0.12</v>
      </c>
      <c r="AP196">
        <v>0.38</v>
      </c>
      <c r="AQ196">
        <v>3</v>
      </c>
      <c r="AR196" t="s">
        <v>1337</v>
      </c>
      <c r="AS196">
        <v>0</v>
      </c>
      <c r="AT196">
        <v>0</v>
      </c>
      <c r="AU196">
        <v>10</v>
      </c>
      <c r="AV196">
        <v>12016</v>
      </c>
      <c r="AW196">
        <v>0</v>
      </c>
      <c r="AX196">
        <f>COUNTIF('Equip Data'!A:A,A196)</f>
        <v>1</v>
      </c>
    </row>
    <row r="197" spans="1:50" hidden="1" x14ac:dyDescent="0.25">
      <c r="A197">
        <v>198</v>
      </c>
      <c r="B197" t="s">
        <v>2016</v>
      </c>
      <c r="C197" t="s">
        <v>2017</v>
      </c>
      <c r="D197" t="s">
        <v>2018</v>
      </c>
      <c r="E197">
        <v>5</v>
      </c>
      <c r="F197">
        <v>1</v>
      </c>
      <c r="G197">
        <v>16</v>
      </c>
      <c r="H197" t="s">
        <v>432</v>
      </c>
      <c r="I197" t="s">
        <v>432</v>
      </c>
      <c r="J197" t="s">
        <v>445</v>
      </c>
      <c r="K197" t="s">
        <v>432</v>
      </c>
      <c r="L197" t="s">
        <v>432</v>
      </c>
      <c r="M197" t="s">
        <v>432</v>
      </c>
      <c r="N197" t="s">
        <v>593</v>
      </c>
      <c r="O197" t="s">
        <v>432</v>
      </c>
      <c r="P197" t="s">
        <v>432</v>
      </c>
      <c r="Q197" t="s">
        <v>432</v>
      </c>
      <c r="R197" t="s">
        <v>432</v>
      </c>
      <c r="S197" t="s">
        <v>432</v>
      </c>
      <c r="T197" t="s">
        <v>432</v>
      </c>
      <c r="U197" t="s">
        <v>432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4</v>
      </c>
      <c r="AE197">
        <v>2</v>
      </c>
      <c r="AF197">
        <v>2</v>
      </c>
      <c r="AG197">
        <v>2</v>
      </c>
      <c r="AH197">
        <v>2820</v>
      </c>
      <c r="AI197" t="s">
        <v>1176</v>
      </c>
      <c r="AJ197">
        <v>0</v>
      </c>
      <c r="AK197" t="s">
        <v>615</v>
      </c>
      <c r="AL197" t="s">
        <v>2019</v>
      </c>
      <c r="AM197">
        <v>0.55000000000000004</v>
      </c>
      <c r="AN197">
        <v>0.23</v>
      </c>
      <c r="AO197">
        <v>0.23</v>
      </c>
      <c r="AP197">
        <v>0.23</v>
      </c>
      <c r="AQ197">
        <v>3</v>
      </c>
      <c r="AR197" t="s">
        <v>2020</v>
      </c>
      <c r="AS197">
        <v>0</v>
      </c>
      <c r="AT197">
        <v>0</v>
      </c>
      <c r="AU197">
        <v>10</v>
      </c>
      <c r="AV197">
        <v>16022</v>
      </c>
      <c r="AW197">
        <v>0</v>
      </c>
      <c r="AX197">
        <f>COUNTIF('Equip Data'!A:A,A197)</f>
        <v>1</v>
      </c>
    </row>
    <row r="198" spans="1:50" hidden="1" x14ac:dyDescent="0.25">
      <c r="A198">
        <v>199</v>
      </c>
      <c r="B198" t="s">
        <v>2021</v>
      </c>
      <c r="C198" t="s">
        <v>2022</v>
      </c>
      <c r="D198" t="s">
        <v>2023</v>
      </c>
      <c r="E198">
        <v>5</v>
      </c>
      <c r="F198">
        <v>1</v>
      </c>
      <c r="G198">
        <v>13</v>
      </c>
      <c r="H198" t="s">
        <v>432</v>
      </c>
      <c r="I198" t="s">
        <v>432</v>
      </c>
      <c r="J198" t="s">
        <v>494</v>
      </c>
      <c r="K198" t="s">
        <v>432</v>
      </c>
      <c r="L198" t="s">
        <v>432</v>
      </c>
      <c r="M198" t="s">
        <v>432</v>
      </c>
      <c r="N198" t="s">
        <v>496</v>
      </c>
      <c r="O198" t="s">
        <v>432</v>
      </c>
      <c r="P198" t="s">
        <v>432</v>
      </c>
      <c r="Q198" t="s">
        <v>432</v>
      </c>
      <c r="R198" t="s">
        <v>432</v>
      </c>
      <c r="S198" t="s">
        <v>432</v>
      </c>
      <c r="T198" t="s">
        <v>432</v>
      </c>
      <c r="U198" t="s">
        <v>432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4</v>
      </c>
      <c r="AE198">
        <v>2</v>
      </c>
      <c r="AF198">
        <v>2</v>
      </c>
      <c r="AG198">
        <v>2</v>
      </c>
      <c r="AH198">
        <v>2820</v>
      </c>
      <c r="AI198" t="s">
        <v>2024</v>
      </c>
      <c r="AJ198">
        <v>0</v>
      </c>
      <c r="AK198" t="s">
        <v>616</v>
      </c>
      <c r="AL198" t="s">
        <v>2025</v>
      </c>
      <c r="AM198">
        <v>0.55000000000000004</v>
      </c>
      <c r="AN198">
        <v>0.23</v>
      </c>
      <c r="AO198">
        <v>0.23</v>
      </c>
      <c r="AP198">
        <v>0.23</v>
      </c>
      <c r="AQ198">
        <v>1</v>
      </c>
      <c r="AR198" t="s">
        <v>1378</v>
      </c>
      <c r="AS198">
        <v>0</v>
      </c>
      <c r="AT198">
        <v>900992</v>
      </c>
      <c r="AU198">
        <v>10</v>
      </c>
      <c r="AV198">
        <v>13010</v>
      </c>
      <c r="AW198">
        <v>1</v>
      </c>
      <c r="AX198">
        <f>COUNTIF('Equip Data'!A:A,A198)</f>
        <v>1</v>
      </c>
    </row>
    <row r="199" spans="1:50" hidden="1" x14ac:dyDescent="0.25">
      <c r="A199">
        <v>200</v>
      </c>
      <c r="B199" t="s">
        <v>2026</v>
      </c>
      <c r="C199" t="s">
        <v>2027</v>
      </c>
      <c r="D199" t="s">
        <v>2028</v>
      </c>
      <c r="E199">
        <v>5</v>
      </c>
      <c r="F199">
        <v>2</v>
      </c>
      <c r="G199">
        <v>6</v>
      </c>
      <c r="H199" t="s">
        <v>495</v>
      </c>
      <c r="I199" t="s">
        <v>432</v>
      </c>
      <c r="J199" t="s">
        <v>432</v>
      </c>
      <c r="K199" t="s">
        <v>432</v>
      </c>
      <c r="L199" t="s">
        <v>432</v>
      </c>
      <c r="M199" t="s">
        <v>432</v>
      </c>
      <c r="N199" t="s">
        <v>432</v>
      </c>
      <c r="O199" t="s">
        <v>514</v>
      </c>
      <c r="P199" t="s">
        <v>432</v>
      </c>
      <c r="Q199" t="s">
        <v>432</v>
      </c>
      <c r="R199" t="s">
        <v>432</v>
      </c>
      <c r="S199" t="s">
        <v>432</v>
      </c>
      <c r="T199" t="s">
        <v>432</v>
      </c>
      <c r="U199" t="s">
        <v>432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4</v>
      </c>
      <c r="AE199">
        <v>4</v>
      </c>
      <c r="AF199">
        <v>0</v>
      </c>
      <c r="AG199">
        <v>2</v>
      </c>
      <c r="AH199">
        <v>3180</v>
      </c>
      <c r="AI199" t="s">
        <v>2029</v>
      </c>
      <c r="AJ199">
        <v>0</v>
      </c>
      <c r="AK199" t="s">
        <v>616</v>
      </c>
      <c r="AL199" t="s">
        <v>2030</v>
      </c>
      <c r="AM199">
        <v>0.48</v>
      </c>
      <c r="AN199">
        <v>0.48</v>
      </c>
      <c r="AO199">
        <v>0.08</v>
      </c>
      <c r="AP199">
        <v>0.25</v>
      </c>
      <c r="AQ199">
        <v>1</v>
      </c>
      <c r="AR199" t="s">
        <v>1399</v>
      </c>
      <c r="AS199">
        <v>0</v>
      </c>
      <c r="AT199">
        <v>900993</v>
      </c>
      <c r="AU199">
        <v>10</v>
      </c>
      <c r="AV199">
        <v>6008</v>
      </c>
      <c r="AW199">
        <v>1</v>
      </c>
      <c r="AX199">
        <f>COUNTIF('Equip Data'!A:A,A199)</f>
        <v>1</v>
      </c>
    </row>
    <row r="200" spans="1:50" hidden="1" x14ac:dyDescent="0.25">
      <c r="A200">
        <v>201</v>
      </c>
      <c r="B200" t="s">
        <v>2031</v>
      </c>
      <c r="C200" t="s">
        <v>2032</v>
      </c>
      <c r="D200" t="s">
        <v>2033</v>
      </c>
      <c r="E200">
        <v>5</v>
      </c>
      <c r="F200">
        <v>3</v>
      </c>
      <c r="G200">
        <v>10</v>
      </c>
      <c r="H200" t="s">
        <v>538</v>
      </c>
      <c r="I200" t="s">
        <v>432</v>
      </c>
      <c r="J200" t="s">
        <v>500</v>
      </c>
      <c r="K200" t="s">
        <v>432</v>
      </c>
      <c r="L200" t="s">
        <v>432</v>
      </c>
      <c r="M200" t="s">
        <v>432</v>
      </c>
      <c r="N200" t="s">
        <v>432</v>
      </c>
      <c r="O200" t="s">
        <v>432</v>
      </c>
      <c r="P200" t="s">
        <v>432</v>
      </c>
      <c r="Q200" t="s">
        <v>432</v>
      </c>
      <c r="R200" t="s">
        <v>432</v>
      </c>
      <c r="S200" t="s">
        <v>432</v>
      </c>
      <c r="T200" t="s">
        <v>432</v>
      </c>
      <c r="U200" t="s">
        <v>432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4</v>
      </c>
      <c r="AE200">
        <v>2</v>
      </c>
      <c r="AF200">
        <v>0</v>
      </c>
      <c r="AG200">
        <v>4</v>
      </c>
      <c r="AH200">
        <v>3120</v>
      </c>
      <c r="AI200" t="s">
        <v>2029</v>
      </c>
      <c r="AJ200">
        <v>0</v>
      </c>
      <c r="AK200" t="s">
        <v>616</v>
      </c>
      <c r="AL200" t="s">
        <v>2034</v>
      </c>
      <c r="AM200">
        <v>0.3</v>
      </c>
      <c r="AN200">
        <v>0.23</v>
      </c>
      <c r="AO200">
        <v>0.15</v>
      </c>
      <c r="AP200">
        <v>0.38</v>
      </c>
      <c r="AQ200">
        <v>1</v>
      </c>
      <c r="AR200" t="s">
        <v>1265</v>
      </c>
      <c r="AS200">
        <v>0</v>
      </c>
      <c r="AT200">
        <v>900994</v>
      </c>
      <c r="AU200">
        <v>10</v>
      </c>
      <c r="AV200">
        <v>10006</v>
      </c>
      <c r="AW200">
        <v>1</v>
      </c>
      <c r="AX200">
        <f>COUNTIF('Equip Data'!A:A,A200)</f>
        <v>1</v>
      </c>
    </row>
    <row r="201" spans="1:50" hidden="1" x14ac:dyDescent="0.25">
      <c r="A201">
        <v>202</v>
      </c>
      <c r="B201" t="s">
        <v>2035</v>
      </c>
      <c r="C201" t="s">
        <v>2036</v>
      </c>
      <c r="D201" t="s">
        <v>2037</v>
      </c>
      <c r="E201">
        <v>5</v>
      </c>
      <c r="F201">
        <v>1</v>
      </c>
      <c r="G201">
        <v>1</v>
      </c>
      <c r="H201" t="s">
        <v>432</v>
      </c>
      <c r="I201" t="s">
        <v>432</v>
      </c>
      <c r="J201" t="s">
        <v>432</v>
      </c>
      <c r="K201" t="s">
        <v>432</v>
      </c>
      <c r="L201" t="s">
        <v>432</v>
      </c>
      <c r="M201" t="s">
        <v>432</v>
      </c>
      <c r="N201" t="s">
        <v>523</v>
      </c>
      <c r="O201" t="s">
        <v>432</v>
      </c>
      <c r="P201" t="s">
        <v>432</v>
      </c>
      <c r="Q201" t="s">
        <v>432</v>
      </c>
      <c r="R201" t="s">
        <v>432</v>
      </c>
      <c r="S201" t="s">
        <v>432</v>
      </c>
      <c r="T201" t="s">
        <v>432</v>
      </c>
      <c r="U201" t="s">
        <v>432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4</v>
      </c>
      <c r="AE201">
        <v>0</v>
      </c>
      <c r="AF201">
        <v>3</v>
      </c>
      <c r="AG201">
        <v>2</v>
      </c>
      <c r="AH201">
        <v>3600</v>
      </c>
      <c r="AI201" t="s">
        <v>2038</v>
      </c>
      <c r="AJ201">
        <v>0</v>
      </c>
      <c r="AK201" t="s">
        <v>617</v>
      </c>
      <c r="AL201" t="s">
        <v>2039</v>
      </c>
      <c r="AM201">
        <v>0.45</v>
      </c>
      <c r="AN201">
        <v>0.15</v>
      </c>
      <c r="AO201">
        <v>0.3</v>
      </c>
      <c r="AP201">
        <v>0.15</v>
      </c>
      <c r="AQ201">
        <v>1</v>
      </c>
      <c r="AR201" t="s">
        <v>1136</v>
      </c>
      <c r="AS201">
        <v>0</v>
      </c>
      <c r="AT201">
        <v>901014</v>
      </c>
      <c r="AU201">
        <v>10</v>
      </c>
      <c r="AV201">
        <v>1011</v>
      </c>
      <c r="AW201">
        <v>2</v>
      </c>
      <c r="AX201">
        <f>COUNTIF('Equip Data'!A:A,A201)</f>
        <v>1</v>
      </c>
    </row>
    <row r="202" spans="1:50" hidden="1" x14ac:dyDescent="0.25">
      <c r="A202">
        <v>203</v>
      </c>
      <c r="B202" t="s">
        <v>2040</v>
      </c>
      <c r="C202" t="s">
        <v>2041</v>
      </c>
      <c r="D202" t="s">
        <v>2042</v>
      </c>
      <c r="E202">
        <v>5</v>
      </c>
      <c r="F202">
        <v>2</v>
      </c>
      <c r="G202">
        <v>8</v>
      </c>
      <c r="H202" t="s">
        <v>529</v>
      </c>
      <c r="I202" t="s">
        <v>432</v>
      </c>
      <c r="J202" t="s">
        <v>432</v>
      </c>
      <c r="K202" t="s">
        <v>432</v>
      </c>
      <c r="L202" t="s">
        <v>432</v>
      </c>
      <c r="M202" t="s">
        <v>432</v>
      </c>
      <c r="N202" t="s">
        <v>432</v>
      </c>
      <c r="O202" t="s">
        <v>432</v>
      </c>
      <c r="P202" t="s">
        <v>432</v>
      </c>
      <c r="Q202" t="s">
        <v>432</v>
      </c>
      <c r="R202" t="s">
        <v>432</v>
      </c>
      <c r="S202" t="s">
        <v>432</v>
      </c>
      <c r="T202" t="s">
        <v>432</v>
      </c>
      <c r="U202" t="s">
        <v>432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5</v>
      </c>
      <c r="AF202">
        <v>3</v>
      </c>
      <c r="AG202">
        <v>2</v>
      </c>
      <c r="AH202">
        <v>3480</v>
      </c>
      <c r="AI202" t="s">
        <v>2029</v>
      </c>
      <c r="AJ202">
        <v>0</v>
      </c>
      <c r="AK202" t="s">
        <v>617</v>
      </c>
      <c r="AL202" t="s">
        <v>2043</v>
      </c>
      <c r="AM202">
        <v>0.15</v>
      </c>
      <c r="AN202">
        <v>0.6</v>
      </c>
      <c r="AO202">
        <v>0.38</v>
      </c>
      <c r="AP202">
        <v>0.23</v>
      </c>
      <c r="AQ202">
        <v>1</v>
      </c>
      <c r="AR202" t="s">
        <v>1244</v>
      </c>
      <c r="AS202">
        <v>0</v>
      </c>
      <c r="AT202">
        <v>901015</v>
      </c>
      <c r="AU202">
        <v>10</v>
      </c>
      <c r="AV202">
        <v>8006</v>
      </c>
      <c r="AW202">
        <v>2</v>
      </c>
      <c r="AX202">
        <f>COUNTIF('Equip Data'!A:A,A202)</f>
        <v>1</v>
      </c>
    </row>
    <row r="203" spans="1:50" hidden="1" x14ac:dyDescent="0.25">
      <c r="A203">
        <v>204</v>
      </c>
      <c r="B203" t="s">
        <v>2044</v>
      </c>
      <c r="C203" t="s">
        <v>2045</v>
      </c>
      <c r="D203" t="s">
        <v>2046</v>
      </c>
      <c r="E203">
        <v>5</v>
      </c>
      <c r="F203">
        <v>3</v>
      </c>
      <c r="G203">
        <v>10</v>
      </c>
      <c r="H203" t="s">
        <v>432</v>
      </c>
      <c r="I203" t="s">
        <v>432</v>
      </c>
      <c r="J203" t="s">
        <v>529</v>
      </c>
      <c r="K203" t="s">
        <v>432</v>
      </c>
      <c r="L203" t="s">
        <v>432</v>
      </c>
      <c r="M203" t="s">
        <v>432</v>
      </c>
      <c r="N203" t="s">
        <v>432</v>
      </c>
      <c r="O203" t="s">
        <v>432</v>
      </c>
      <c r="P203" t="s">
        <v>432</v>
      </c>
      <c r="Q203" t="s">
        <v>432</v>
      </c>
      <c r="R203" t="s">
        <v>432</v>
      </c>
      <c r="S203" t="s">
        <v>432</v>
      </c>
      <c r="T203" t="s">
        <v>432</v>
      </c>
      <c r="U203" t="s">
        <v>432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4</v>
      </c>
      <c r="AE203">
        <v>2</v>
      </c>
      <c r="AF203">
        <v>0</v>
      </c>
      <c r="AG203">
        <v>4</v>
      </c>
      <c r="AH203">
        <v>3120</v>
      </c>
      <c r="AI203" t="s">
        <v>2029</v>
      </c>
      <c r="AJ203">
        <v>0</v>
      </c>
      <c r="AK203" t="s">
        <v>617</v>
      </c>
      <c r="AL203" t="s">
        <v>2047</v>
      </c>
      <c r="AM203">
        <v>0.3</v>
      </c>
      <c r="AN203">
        <v>0.25</v>
      </c>
      <c r="AO203">
        <v>0.12</v>
      </c>
      <c r="AP203">
        <v>0.38</v>
      </c>
      <c r="AQ203">
        <v>1</v>
      </c>
      <c r="AR203" t="s">
        <v>1341</v>
      </c>
      <c r="AS203">
        <v>0</v>
      </c>
      <c r="AT203">
        <v>901016</v>
      </c>
      <c r="AU203">
        <v>10</v>
      </c>
      <c r="AV203">
        <v>10007</v>
      </c>
      <c r="AW203">
        <v>2</v>
      </c>
      <c r="AX203">
        <f>COUNTIF('Equip Data'!A:A,A203)</f>
        <v>1</v>
      </c>
    </row>
    <row r="204" spans="1:50" hidden="1" x14ac:dyDescent="0.25">
      <c r="A204">
        <v>205</v>
      </c>
      <c r="B204" t="s">
        <v>2048</v>
      </c>
      <c r="C204" t="s">
        <v>2049</v>
      </c>
      <c r="D204" t="s">
        <v>2050</v>
      </c>
      <c r="E204">
        <v>5</v>
      </c>
      <c r="F204">
        <v>3</v>
      </c>
      <c r="G204">
        <v>12</v>
      </c>
      <c r="H204" t="s">
        <v>432</v>
      </c>
      <c r="I204" t="s">
        <v>439</v>
      </c>
      <c r="J204" t="s">
        <v>473</v>
      </c>
      <c r="K204" t="s">
        <v>432</v>
      </c>
      <c r="L204" t="s">
        <v>432</v>
      </c>
      <c r="M204" t="s">
        <v>432</v>
      </c>
      <c r="N204" t="s">
        <v>432</v>
      </c>
      <c r="O204" t="s">
        <v>432</v>
      </c>
      <c r="P204" t="s">
        <v>432</v>
      </c>
      <c r="Q204" t="s">
        <v>432</v>
      </c>
      <c r="R204" t="s">
        <v>432</v>
      </c>
      <c r="S204" t="s">
        <v>432</v>
      </c>
      <c r="T204" t="s">
        <v>432</v>
      </c>
      <c r="U204" t="s">
        <v>432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4</v>
      </c>
      <c r="AE204">
        <v>2</v>
      </c>
      <c r="AF204">
        <v>0</v>
      </c>
      <c r="AG204">
        <v>4</v>
      </c>
      <c r="AH204">
        <v>3120</v>
      </c>
      <c r="AI204" t="s">
        <v>2051</v>
      </c>
      <c r="AJ204">
        <v>0</v>
      </c>
      <c r="AK204" t="s">
        <v>618</v>
      </c>
      <c r="AL204" t="s">
        <v>2052</v>
      </c>
      <c r="AM204">
        <v>0.3</v>
      </c>
      <c r="AN204">
        <v>0.25</v>
      </c>
      <c r="AO204">
        <v>0.12</v>
      </c>
      <c r="AP204">
        <v>0.38</v>
      </c>
      <c r="AQ204">
        <v>3</v>
      </c>
      <c r="AR204" t="s">
        <v>1166</v>
      </c>
      <c r="AS204">
        <v>0</v>
      </c>
      <c r="AT204">
        <v>0</v>
      </c>
      <c r="AU204">
        <v>10</v>
      </c>
      <c r="AV204">
        <v>12017</v>
      </c>
      <c r="AW204">
        <v>0</v>
      </c>
      <c r="AX204">
        <f>COUNTIF('Equip Data'!A:A,A204)</f>
        <v>1</v>
      </c>
    </row>
    <row r="205" spans="1:50" hidden="1" x14ac:dyDescent="0.25">
      <c r="A205">
        <v>206</v>
      </c>
      <c r="B205" t="s">
        <v>2053</v>
      </c>
      <c r="C205" t="s">
        <v>2054</v>
      </c>
      <c r="D205" t="s">
        <v>2055</v>
      </c>
      <c r="E205">
        <v>5</v>
      </c>
      <c r="F205">
        <v>2</v>
      </c>
      <c r="G205">
        <v>7</v>
      </c>
      <c r="H205" t="s">
        <v>460</v>
      </c>
      <c r="I205" t="s">
        <v>441</v>
      </c>
      <c r="J205" t="s">
        <v>432</v>
      </c>
      <c r="K205" t="s">
        <v>432</v>
      </c>
      <c r="L205" t="s">
        <v>432</v>
      </c>
      <c r="M205" t="s">
        <v>432</v>
      </c>
      <c r="N205" t="s">
        <v>432</v>
      </c>
      <c r="O205" t="s">
        <v>432</v>
      </c>
      <c r="P205" t="s">
        <v>432</v>
      </c>
      <c r="Q205" t="s">
        <v>432</v>
      </c>
      <c r="R205" t="s">
        <v>432</v>
      </c>
      <c r="S205" t="s">
        <v>432</v>
      </c>
      <c r="T205" t="s">
        <v>432</v>
      </c>
      <c r="U205" t="s">
        <v>432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1</v>
      </c>
      <c r="AE205">
        <v>4</v>
      </c>
      <c r="AF205">
        <v>1</v>
      </c>
      <c r="AG205">
        <v>3</v>
      </c>
      <c r="AH205">
        <v>3600</v>
      </c>
      <c r="AI205" t="s">
        <v>1176</v>
      </c>
      <c r="AJ205">
        <v>0</v>
      </c>
      <c r="AK205" t="s">
        <v>619</v>
      </c>
      <c r="AL205" t="s">
        <v>2056</v>
      </c>
      <c r="AM205">
        <v>0.08</v>
      </c>
      <c r="AN205">
        <v>0.53</v>
      </c>
      <c r="AO205">
        <v>0.08</v>
      </c>
      <c r="AP205">
        <v>0.45</v>
      </c>
      <c r="AQ205">
        <v>3</v>
      </c>
      <c r="AR205" t="s">
        <v>2057</v>
      </c>
      <c r="AS205">
        <v>0</v>
      </c>
      <c r="AT205">
        <v>0</v>
      </c>
      <c r="AU205">
        <v>10</v>
      </c>
      <c r="AV205">
        <v>7005</v>
      </c>
      <c r="AW205">
        <v>0</v>
      </c>
      <c r="AX205">
        <f>COUNTIF('Equip Data'!A:A,A205)</f>
        <v>1</v>
      </c>
    </row>
    <row r="206" spans="1:50" hidden="1" x14ac:dyDescent="0.25">
      <c r="A206">
        <v>207</v>
      </c>
      <c r="B206" t="s">
        <v>2058</v>
      </c>
      <c r="C206" t="s">
        <v>2059</v>
      </c>
      <c r="D206" t="s">
        <v>2060</v>
      </c>
      <c r="E206">
        <v>5</v>
      </c>
      <c r="F206">
        <v>1</v>
      </c>
      <c r="G206">
        <v>13</v>
      </c>
      <c r="H206" t="s">
        <v>435</v>
      </c>
      <c r="I206" t="s">
        <v>432</v>
      </c>
      <c r="J206" t="s">
        <v>445</v>
      </c>
      <c r="K206" t="s">
        <v>432</v>
      </c>
      <c r="L206" t="s">
        <v>432</v>
      </c>
      <c r="M206" t="s">
        <v>432</v>
      </c>
      <c r="N206" t="s">
        <v>432</v>
      </c>
      <c r="O206" t="s">
        <v>432</v>
      </c>
      <c r="P206" t="s">
        <v>432</v>
      </c>
      <c r="Q206" t="s">
        <v>432</v>
      </c>
      <c r="R206" t="s">
        <v>432</v>
      </c>
      <c r="S206" t="s">
        <v>432</v>
      </c>
      <c r="T206" t="s">
        <v>432</v>
      </c>
      <c r="U206" t="s">
        <v>432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4</v>
      </c>
      <c r="AE206">
        <v>2</v>
      </c>
      <c r="AF206">
        <v>2</v>
      </c>
      <c r="AG206">
        <v>2</v>
      </c>
      <c r="AH206">
        <v>2820</v>
      </c>
      <c r="AI206" t="s">
        <v>2061</v>
      </c>
      <c r="AJ206">
        <v>0</v>
      </c>
      <c r="AK206" t="s">
        <v>620</v>
      </c>
      <c r="AL206" t="s">
        <v>2062</v>
      </c>
      <c r="AM206">
        <v>0.55000000000000004</v>
      </c>
      <c r="AN206">
        <v>0.23</v>
      </c>
      <c r="AO206">
        <v>0.23</v>
      </c>
      <c r="AP206">
        <v>0.23</v>
      </c>
      <c r="AQ206">
        <v>3</v>
      </c>
      <c r="AR206" t="s">
        <v>2011</v>
      </c>
      <c r="AS206">
        <v>0</v>
      </c>
      <c r="AT206">
        <v>902133</v>
      </c>
      <c r="AU206">
        <v>10</v>
      </c>
      <c r="AV206">
        <v>16027</v>
      </c>
      <c r="AW206">
        <v>0</v>
      </c>
      <c r="AX206">
        <f>COUNTIF('Equip Data'!A:A,A206)</f>
        <v>1</v>
      </c>
    </row>
    <row r="207" spans="1:50" hidden="1" x14ac:dyDescent="0.25">
      <c r="A207">
        <v>208</v>
      </c>
      <c r="B207" t="s">
        <v>2063</v>
      </c>
      <c r="C207" t="s">
        <v>2064</v>
      </c>
      <c r="D207" t="s">
        <v>2065</v>
      </c>
      <c r="E207">
        <v>5</v>
      </c>
      <c r="F207">
        <v>1</v>
      </c>
      <c r="G207">
        <v>1</v>
      </c>
      <c r="H207" t="s">
        <v>432</v>
      </c>
      <c r="I207" t="s">
        <v>432</v>
      </c>
      <c r="J207" t="s">
        <v>432</v>
      </c>
      <c r="K207" t="s">
        <v>432</v>
      </c>
      <c r="L207" t="s">
        <v>432</v>
      </c>
      <c r="M207" t="s">
        <v>439</v>
      </c>
      <c r="N207" t="s">
        <v>431</v>
      </c>
      <c r="O207" t="s">
        <v>432</v>
      </c>
      <c r="P207" t="s">
        <v>432</v>
      </c>
      <c r="Q207" t="s">
        <v>432</v>
      </c>
      <c r="R207" t="s">
        <v>432</v>
      </c>
      <c r="S207" t="s">
        <v>432</v>
      </c>
      <c r="T207" t="s">
        <v>432</v>
      </c>
      <c r="U207" t="s">
        <v>432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4</v>
      </c>
      <c r="AE207">
        <v>0</v>
      </c>
      <c r="AF207">
        <v>3</v>
      </c>
      <c r="AG207">
        <v>2</v>
      </c>
      <c r="AH207">
        <v>2700</v>
      </c>
      <c r="AI207" t="s">
        <v>1176</v>
      </c>
      <c r="AJ207">
        <v>0</v>
      </c>
      <c r="AK207" t="s">
        <v>621</v>
      </c>
      <c r="AL207" t="s">
        <v>2066</v>
      </c>
      <c r="AM207">
        <v>0.45</v>
      </c>
      <c r="AN207">
        <v>0.15</v>
      </c>
      <c r="AO207">
        <v>0.3</v>
      </c>
      <c r="AP207">
        <v>0.15</v>
      </c>
      <c r="AQ207">
        <v>3</v>
      </c>
      <c r="AR207" t="s">
        <v>2067</v>
      </c>
      <c r="AS207">
        <v>0</v>
      </c>
      <c r="AT207">
        <v>0</v>
      </c>
      <c r="AU207">
        <v>10</v>
      </c>
      <c r="AV207">
        <v>1012</v>
      </c>
      <c r="AW207">
        <v>0</v>
      </c>
      <c r="AX207">
        <f>COUNTIF('Equip Data'!A:A,A207)</f>
        <v>1</v>
      </c>
    </row>
    <row r="208" spans="1:50" hidden="1" x14ac:dyDescent="0.25">
      <c r="A208">
        <v>209</v>
      </c>
      <c r="B208" t="s">
        <v>2068</v>
      </c>
      <c r="C208" t="s">
        <v>2069</v>
      </c>
      <c r="D208" t="s">
        <v>2070</v>
      </c>
      <c r="E208">
        <v>5</v>
      </c>
      <c r="F208">
        <v>1</v>
      </c>
      <c r="G208">
        <v>1</v>
      </c>
      <c r="H208" t="s">
        <v>458</v>
      </c>
      <c r="I208" t="s">
        <v>432</v>
      </c>
      <c r="J208" t="s">
        <v>432</v>
      </c>
      <c r="K208" t="s">
        <v>432</v>
      </c>
      <c r="L208" t="s">
        <v>432</v>
      </c>
      <c r="M208" t="s">
        <v>432</v>
      </c>
      <c r="N208" t="s">
        <v>431</v>
      </c>
      <c r="O208" t="s">
        <v>432</v>
      </c>
      <c r="P208" t="s">
        <v>432</v>
      </c>
      <c r="Q208" t="s">
        <v>432</v>
      </c>
      <c r="R208" t="s">
        <v>432</v>
      </c>
      <c r="S208" t="s">
        <v>432</v>
      </c>
      <c r="T208" t="s">
        <v>432</v>
      </c>
      <c r="U208" t="s">
        <v>432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4</v>
      </c>
      <c r="AE208">
        <v>2</v>
      </c>
      <c r="AF208">
        <v>2</v>
      </c>
      <c r="AG208">
        <v>2</v>
      </c>
      <c r="AH208">
        <v>2820</v>
      </c>
      <c r="AI208" t="s">
        <v>1176</v>
      </c>
      <c r="AJ208">
        <v>0</v>
      </c>
      <c r="AK208" t="s">
        <v>622</v>
      </c>
      <c r="AL208" t="s">
        <v>2071</v>
      </c>
      <c r="AM208">
        <v>0.55000000000000004</v>
      </c>
      <c r="AN208">
        <v>0.23</v>
      </c>
      <c r="AO208">
        <v>0.23</v>
      </c>
      <c r="AP208">
        <v>0.23</v>
      </c>
      <c r="AQ208">
        <v>3</v>
      </c>
      <c r="AR208" t="s">
        <v>1646</v>
      </c>
      <c r="AS208">
        <v>0</v>
      </c>
      <c r="AT208">
        <v>0</v>
      </c>
      <c r="AU208">
        <v>10</v>
      </c>
      <c r="AV208">
        <v>16028</v>
      </c>
      <c r="AW208">
        <v>0</v>
      </c>
      <c r="AX208">
        <f>COUNTIF('Equip Data'!A:A,A208)</f>
        <v>1</v>
      </c>
    </row>
    <row r="209" spans="1:50" hidden="1" x14ac:dyDescent="0.25">
      <c r="A209">
        <v>210</v>
      </c>
      <c r="B209" t="s">
        <v>2072</v>
      </c>
      <c r="C209" t="s">
        <v>2073</v>
      </c>
      <c r="D209" t="s">
        <v>2074</v>
      </c>
      <c r="E209">
        <v>5</v>
      </c>
      <c r="F209">
        <v>1</v>
      </c>
      <c r="G209">
        <v>13</v>
      </c>
      <c r="H209" t="s">
        <v>432</v>
      </c>
      <c r="I209" t="s">
        <v>432</v>
      </c>
      <c r="J209" t="s">
        <v>462</v>
      </c>
      <c r="K209" t="s">
        <v>432</v>
      </c>
      <c r="L209" t="s">
        <v>432</v>
      </c>
      <c r="M209" t="s">
        <v>432</v>
      </c>
      <c r="N209" t="s">
        <v>489</v>
      </c>
      <c r="O209" t="s">
        <v>432</v>
      </c>
      <c r="P209" t="s">
        <v>432</v>
      </c>
      <c r="Q209" t="s">
        <v>432</v>
      </c>
      <c r="R209" t="s">
        <v>432</v>
      </c>
      <c r="S209" t="s">
        <v>432</v>
      </c>
      <c r="T209" t="s">
        <v>432</v>
      </c>
      <c r="U209" t="s">
        <v>432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4</v>
      </c>
      <c r="AE209">
        <v>2</v>
      </c>
      <c r="AF209">
        <v>2</v>
      </c>
      <c r="AG209">
        <v>2</v>
      </c>
      <c r="AH209">
        <v>2820</v>
      </c>
      <c r="AI209" t="s">
        <v>1586</v>
      </c>
      <c r="AJ209">
        <v>0</v>
      </c>
      <c r="AK209" t="s">
        <v>623</v>
      </c>
      <c r="AL209" t="s">
        <v>2075</v>
      </c>
      <c r="AM209">
        <v>0.55000000000000004</v>
      </c>
      <c r="AN209">
        <v>0.23</v>
      </c>
      <c r="AO209">
        <v>0.23</v>
      </c>
      <c r="AP209">
        <v>0.23</v>
      </c>
      <c r="AQ209">
        <v>3</v>
      </c>
      <c r="AR209" t="s">
        <v>2076</v>
      </c>
      <c r="AS209">
        <v>0</v>
      </c>
      <c r="AT209">
        <v>0</v>
      </c>
      <c r="AU209">
        <v>10</v>
      </c>
      <c r="AV209">
        <v>16029</v>
      </c>
      <c r="AW209">
        <v>0</v>
      </c>
      <c r="AX209">
        <f>COUNTIF('Equip Data'!A:A,A209)</f>
        <v>1</v>
      </c>
    </row>
    <row r="210" spans="1:50" hidden="1" x14ac:dyDescent="0.25">
      <c r="A210">
        <v>211</v>
      </c>
      <c r="B210" t="s">
        <v>2077</v>
      </c>
      <c r="C210" t="s">
        <v>2078</v>
      </c>
      <c r="D210" t="s">
        <v>2079</v>
      </c>
      <c r="E210">
        <v>5</v>
      </c>
      <c r="F210">
        <v>2</v>
      </c>
      <c r="G210">
        <v>5</v>
      </c>
      <c r="H210" t="s">
        <v>439</v>
      </c>
      <c r="I210" t="s">
        <v>432</v>
      </c>
      <c r="J210" t="s">
        <v>432</v>
      </c>
      <c r="K210" t="s">
        <v>432</v>
      </c>
      <c r="L210" t="s">
        <v>432</v>
      </c>
      <c r="M210" t="s">
        <v>432</v>
      </c>
      <c r="N210" t="s">
        <v>432</v>
      </c>
      <c r="O210" t="s">
        <v>456</v>
      </c>
      <c r="P210" t="s">
        <v>432</v>
      </c>
      <c r="Q210" t="s">
        <v>432</v>
      </c>
      <c r="R210" t="s">
        <v>432</v>
      </c>
      <c r="S210" t="s">
        <v>432</v>
      </c>
      <c r="T210" t="s">
        <v>432</v>
      </c>
      <c r="U210" t="s">
        <v>432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4</v>
      </c>
      <c r="AF210">
        <v>2</v>
      </c>
      <c r="AG210">
        <v>3</v>
      </c>
      <c r="AH210">
        <v>3300</v>
      </c>
      <c r="AI210" t="s">
        <v>1176</v>
      </c>
      <c r="AJ210">
        <v>0</v>
      </c>
      <c r="AK210" t="s">
        <v>624</v>
      </c>
      <c r="AL210" t="s">
        <v>2080</v>
      </c>
      <c r="AM210">
        <v>0.08</v>
      </c>
      <c r="AN210">
        <v>0.5</v>
      </c>
      <c r="AO210">
        <v>0.3</v>
      </c>
      <c r="AP210">
        <v>0.3</v>
      </c>
      <c r="AQ210">
        <v>3</v>
      </c>
      <c r="AR210" t="s">
        <v>1887</v>
      </c>
      <c r="AS210">
        <v>0</v>
      </c>
      <c r="AT210">
        <v>902239</v>
      </c>
      <c r="AU210">
        <v>10</v>
      </c>
      <c r="AV210">
        <v>5005</v>
      </c>
      <c r="AW210">
        <v>0</v>
      </c>
      <c r="AX210">
        <f>COUNTIF('Equip Data'!A:A,A210)</f>
        <v>1</v>
      </c>
    </row>
    <row r="211" spans="1:50" hidden="1" x14ac:dyDescent="0.25">
      <c r="A211">
        <v>212</v>
      </c>
      <c r="B211" t="s">
        <v>2081</v>
      </c>
      <c r="C211" t="s">
        <v>2082</v>
      </c>
      <c r="D211" t="s">
        <v>2083</v>
      </c>
      <c r="E211">
        <v>5</v>
      </c>
      <c r="F211">
        <v>2</v>
      </c>
      <c r="G211">
        <v>5</v>
      </c>
      <c r="H211" t="s">
        <v>439</v>
      </c>
      <c r="I211" t="s">
        <v>432</v>
      </c>
      <c r="J211" t="s">
        <v>432</v>
      </c>
      <c r="K211" t="s">
        <v>432</v>
      </c>
      <c r="L211" t="s">
        <v>432</v>
      </c>
      <c r="M211" t="s">
        <v>432</v>
      </c>
      <c r="N211" t="s">
        <v>432</v>
      </c>
      <c r="O211" t="s">
        <v>456</v>
      </c>
      <c r="P211" t="s">
        <v>432</v>
      </c>
      <c r="Q211" t="s">
        <v>432</v>
      </c>
      <c r="R211" t="s">
        <v>432</v>
      </c>
      <c r="S211" t="s">
        <v>432</v>
      </c>
      <c r="T211" t="s">
        <v>432</v>
      </c>
      <c r="U211" t="s">
        <v>432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4</v>
      </c>
      <c r="AF211">
        <v>2</v>
      </c>
      <c r="AG211">
        <v>3</v>
      </c>
      <c r="AH211">
        <v>3300</v>
      </c>
      <c r="AI211" t="s">
        <v>1176</v>
      </c>
      <c r="AJ211">
        <v>0</v>
      </c>
      <c r="AK211" t="s">
        <v>1081</v>
      </c>
      <c r="AL211" t="s">
        <v>2084</v>
      </c>
      <c r="AM211">
        <v>0.08</v>
      </c>
      <c r="AN211">
        <v>0.5</v>
      </c>
      <c r="AO211">
        <v>0.3</v>
      </c>
      <c r="AP211">
        <v>0.3</v>
      </c>
      <c r="AQ211">
        <v>3</v>
      </c>
      <c r="AR211" t="s">
        <v>1887</v>
      </c>
      <c r="AS211">
        <v>0</v>
      </c>
      <c r="AT211">
        <v>0</v>
      </c>
      <c r="AU211">
        <v>10</v>
      </c>
      <c r="AV211">
        <v>5006</v>
      </c>
      <c r="AW211">
        <v>0</v>
      </c>
      <c r="AX211">
        <f>COUNTIF('Equip Data'!A:A,A211)</f>
        <v>1</v>
      </c>
    </row>
    <row r="212" spans="1:50" hidden="1" x14ac:dyDescent="0.25">
      <c r="A212">
        <v>213</v>
      </c>
      <c r="B212" t="s">
        <v>2085</v>
      </c>
      <c r="C212" t="s">
        <v>2086</v>
      </c>
      <c r="D212" t="s">
        <v>2087</v>
      </c>
      <c r="E212">
        <v>5</v>
      </c>
      <c r="F212">
        <v>3</v>
      </c>
      <c r="G212">
        <v>10</v>
      </c>
      <c r="H212" t="s">
        <v>432</v>
      </c>
      <c r="I212" t="s">
        <v>432</v>
      </c>
      <c r="J212" t="s">
        <v>489</v>
      </c>
      <c r="K212" t="s">
        <v>432</v>
      </c>
      <c r="L212" t="s">
        <v>432</v>
      </c>
      <c r="M212" t="s">
        <v>432</v>
      </c>
      <c r="N212" t="s">
        <v>432</v>
      </c>
      <c r="O212" t="s">
        <v>432</v>
      </c>
      <c r="P212" t="s">
        <v>439</v>
      </c>
      <c r="Q212" t="s">
        <v>432</v>
      </c>
      <c r="R212" t="s">
        <v>432</v>
      </c>
      <c r="S212" t="s">
        <v>432</v>
      </c>
      <c r="T212" t="s">
        <v>432</v>
      </c>
      <c r="U212" t="s">
        <v>432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4</v>
      </c>
      <c r="AE212">
        <v>2</v>
      </c>
      <c r="AF212">
        <v>0</v>
      </c>
      <c r="AG212">
        <v>4</v>
      </c>
      <c r="AH212">
        <v>3120</v>
      </c>
      <c r="AI212" t="s">
        <v>1176</v>
      </c>
      <c r="AJ212">
        <v>0</v>
      </c>
      <c r="AK212" t="s">
        <v>1082</v>
      </c>
      <c r="AL212" t="s">
        <v>2088</v>
      </c>
      <c r="AM212">
        <v>0.3</v>
      </c>
      <c r="AN212">
        <v>0.25</v>
      </c>
      <c r="AO212">
        <v>0.12</v>
      </c>
      <c r="AP212">
        <v>0.38</v>
      </c>
      <c r="AQ212">
        <v>3</v>
      </c>
      <c r="AR212" t="s">
        <v>1341</v>
      </c>
      <c r="AS212">
        <v>902257</v>
      </c>
      <c r="AT212">
        <v>902256</v>
      </c>
      <c r="AU212">
        <v>10</v>
      </c>
      <c r="AV212">
        <v>10008</v>
      </c>
      <c r="AW212">
        <v>0</v>
      </c>
      <c r="AX212">
        <f>COUNTIF('Equip Data'!A:A,A212)</f>
        <v>1</v>
      </c>
    </row>
    <row r="213" spans="1:50" hidden="1" x14ac:dyDescent="0.25">
      <c r="A213">
        <v>214</v>
      </c>
      <c r="B213" t="s">
        <v>2089</v>
      </c>
      <c r="C213" t="s">
        <v>2090</v>
      </c>
      <c r="D213" t="s">
        <v>2091</v>
      </c>
      <c r="E213">
        <v>5</v>
      </c>
      <c r="F213">
        <v>3</v>
      </c>
      <c r="G213">
        <v>9</v>
      </c>
      <c r="H213" t="s">
        <v>439</v>
      </c>
      <c r="I213" t="s">
        <v>432</v>
      </c>
      <c r="J213" t="s">
        <v>467</v>
      </c>
      <c r="K213" t="s">
        <v>432</v>
      </c>
      <c r="L213" t="s">
        <v>432</v>
      </c>
      <c r="M213" t="s">
        <v>432</v>
      </c>
      <c r="N213" t="s">
        <v>432</v>
      </c>
      <c r="O213" t="s">
        <v>432</v>
      </c>
      <c r="P213" t="s">
        <v>432</v>
      </c>
      <c r="Q213" t="s">
        <v>432</v>
      </c>
      <c r="R213" t="s">
        <v>432</v>
      </c>
      <c r="S213" t="s">
        <v>432</v>
      </c>
      <c r="T213" t="s">
        <v>432</v>
      </c>
      <c r="U213" t="s">
        <v>432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4</v>
      </c>
      <c r="AE213">
        <v>2</v>
      </c>
      <c r="AF213">
        <v>0</v>
      </c>
      <c r="AG213">
        <v>4</v>
      </c>
      <c r="AH213">
        <v>3600</v>
      </c>
      <c r="AI213" t="s">
        <v>1176</v>
      </c>
      <c r="AJ213">
        <v>0</v>
      </c>
      <c r="AK213" t="s">
        <v>1083</v>
      </c>
      <c r="AL213" t="s">
        <v>2092</v>
      </c>
      <c r="AM213">
        <v>0.3</v>
      </c>
      <c r="AN213">
        <v>0.25</v>
      </c>
      <c r="AO213">
        <v>0.12</v>
      </c>
      <c r="AP213">
        <v>0.38</v>
      </c>
      <c r="AQ213">
        <v>3</v>
      </c>
      <c r="AR213" t="s">
        <v>2093</v>
      </c>
      <c r="AS213">
        <v>0</v>
      </c>
      <c r="AT213">
        <v>0</v>
      </c>
      <c r="AU213">
        <v>10</v>
      </c>
      <c r="AV213">
        <v>9006</v>
      </c>
      <c r="AW213">
        <v>0</v>
      </c>
      <c r="AX213">
        <f>COUNTIF('Equip Data'!A:A,A213)</f>
        <v>1</v>
      </c>
    </row>
    <row r="214" spans="1:50" hidden="1" x14ac:dyDescent="0.25">
      <c r="A214">
        <v>215</v>
      </c>
      <c r="B214" t="s">
        <v>2094</v>
      </c>
      <c r="C214" t="s">
        <v>2095</v>
      </c>
      <c r="D214" t="s">
        <v>2096</v>
      </c>
      <c r="E214">
        <v>5</v>
      </c>
      <c r="F214">
        <v>2</v>
      </c>
      <c r="G214">
        <v>5</v>
      </c>
      <c r="H214" t="s">
        <v>439</v>
      </c>
      <c r="I214" t="s">
        <v>432</v>
      </c>
      <c r="J214" t="s">
        <v>432</v>
      </c>
      <c r="K214" t="s">
        <v>432</v>
      </c>
      <c r="L214" t="s">
        <v>432</v>
      </c>
      <c r="M214" t="s">
        <v>432</v>
      </c>
      <c r="N214" t="s">
        <v>432</v>
      </c>
      <c r="O214" t="s">
        <v>456</v>
      </c>
      <c r="P214" t="s">
        <v>432</v>
      </c>
      <c r="Q214" t="s">
        <v>432</v>
      </c>
      <c r="R214" t="s">
        <v>432</v>
      </c>
      <c r="S214" t="s">
        <v>432</v>
      </c>
      <c r="T214" t="s">
        <v>432</v>
      </c>
      <c r="U214" t="s">
        <v>432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4</v>
      </c>
      <c r="AF214">
        <v>2</v>
      </c>
      <c r="AG214">
        <v>3</v>
      </c>
      <c r="AH214">
        <v>3300</v>
      </c>
      <c r="AI214" t="s">
        <v>1176</v>
      </c>
      <c r="AJ214">
        <v>0</v>
      </c>
      <c r="AK214" t="s">
        <v>1084</v>
      </c>
      <c r="AL214" t="s">
        <v>2097</v>
      </c>
      <c r="AM214">
        <v>0.08</v>
      </c>
      <c r="AN214">
        <v>0.5</v>
      </c>
      <c r="AO214">
        <v>0.3</v>
      </c>
      <c r="AP214">
        <v>0.3</v>
      </c>
      <c r="AQ214">
        <v>3</v>
      </c>
      <c r="AR214" t="s">
        <v>1887</v>
      </c>
      <c r="AS214">
        <v>0</v>
      </c>
      <c r="AT214">
        <v>0</v>
      </c>
      <c r="AU214">
        <v>10</v>
      </c>
      <c r="AV214">
        <v>5007</v>
      </c>
      <c r="AW214">
        <v>0</v>
      </c>
      <c r="AX214">
        <f>COUNTIF('Equip Data'!A:A,A214)</f>
        <v>1</v>
      </c>
    </row>
    <row r="215" spans="1:50" hidden="1" x14ac:dyDescent="0.25">
      <c r="A215">
        <v>216</v>
      </c>
      <c r="B215" t="s">
        <v>2098</v>
      </c>
      <c r="C215" t="s">
        <v>2099</v>
      </c>
      <c r="D215" t="s">
        <v>2100</v>
      </c>
      <c r="E215">
        <v>5</v>
      </c>
      <c r="F215">
        <v>2</v>
      </c>
      <c r="G215">
        <v>7</v>
      </c>
      <c r="H215" t="s">
        <v>462</v>
      </c>
      <c r="I215" t="s">
        <v>432</v>
      </c>
      <c r="J215" t="s">
        <v>432</v>
      </c>
      <c r="K215" t="s">
        <v>432</v>
      </c>
      <c r="L215" t="s">
        <v>432</v>
      </c>
      <c r="M215" t="s">
        <v>432</v>
      </c>
      <c r="N215" t="s">
        <v>489</v>
      </c>
      <c r="O215" t="s">
        <v>432</v>
      </c>
      <c r="P215" t="s">
        <v>432</v>
      </c>
      <c r="Q215" t="s">
        <v>432</v>
      </c>
      <c r="R215" t="s">
        <v>432</v>
      </c>
      <c r="S215" t="s">
        <v>432</v>
      </c>
      <c r="T215" t="s">
        <v>432</v>
      </c>
      <c r="U215" t="s">
        <v>432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3</v>
      </c>
      <c r="AF215">
        <v>1</v>
      </c>
      <c r="AG215">
        <v>4</v>
      </c>
      <c r="AH215">
        <v>3240</v>
      </c>
      <c r="AI215" t="s">
        <v>1176</v>
      </c>
      <c r="AJ215">
        <v>0</v>
      </c>
      <c r="AK215" t="s">
        <v>1085</v>
      </c>
      <c r="AL215" t="s">
        <v>2101</v>
      </c>
      <c r="AM215">
        <v>0.08</v>
      </c>
      <c r="AN215">
        <v>0.39</v>
      </c>
      <c r="AO215">
        <v>0.08</v>
      </c>
      <c r="AP215">
        <v>0.48</v>
      </c>
      <c r="AQ215">
        <v>3</v>
      </c>
      <c r="AR215" t="s">
        <v>2102</v>
      </c>
      <c r="AS215">
        <v>0</v>
      </c>
      <c r="AT215">
        <v>115807</v>
      </c>
      <c r="AU215">
        <v>10</v>
      </c>
      <c r="AV215">
        <v>7006</v>
      </c>
      <c r="AW215">
        <v>0</v>
      </c>
      <c r="AX215">
        <f>COUNTIF('Equip Data'!A:A,A215)</f>
        <v>1</v>
      </c>
    </row>
    <row r="216" spans="1:50" hidden="1" x14ac:dyDescent="0.25">
      <c r="A216">
        <v>217</v>
      </c>
      <c r="B216" t="s">
        <v>2103</v>
      </c>
      <c r="C216" t="s">
        <v>2104</v>
      </c>
      <c r="D216" t="s">
        <v>2105</v>
      </c>
      <c r="E216">
        <v>5</v>
      </c>
      <c r="F216">
        <v>1</v>
      </c>
      <c r="G216">
        <v>1</v>
      </c>
      <c r="H216" t="s">
        <v>468</v>
      </c>
      <c r="I216" t="s">
        <v>432</v>
      </c>
      <c r="J216" t="s">
        <v>432</v>
      </c>
      <c r="K216" t="s">
        <v>432</v>
      </c>
      <c r="L216" t="s">
        <v>432</v>
      </c>
      <c r="M216" t="s">
        <v>432</v>
      </c>
      <c r="N216" t="s">
        <v>500</v>
      </c>
      <c r="O216" t="s">
        <v>432</v>
      </c>
      <c r="P216" t="s">
        <v>432</v>
      </c>
      <c r="Q216" t="s">
        <v>432</v>
      </c>
      <c r="R216" t="s">
        <v>432</v>
      </c>
      <c r="S216" t="s">
        <v>432</v>
      </c>
      <c r="T216" t="s">
        <v>432</v>
      </c>
      <c r="U216" t="s">
        <v>432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4</v>
      </c>
      <c r="AE216">
        <v>0</v>
      </c>
      <c r="AF216">
        <v>3</v>
      </c>
      <c r="AG216">
        <v>2</v>
      </c>
      <c r="AH216">
        <v>3600</v>
      </c>
      <c r="AI216" t="s">
        <v>2106</v>
      </c>
      <c r="AJ216">
        <v>0</v>
      </c>
      <c r="AK216" t="s">
        <v>1080</v>
      </c>
      <c r="AL216" t="s">
        <v>2107</v>
      </c>
      <c r="AM216">
        <v>0.45</v>
      </c>
      <c r="AN216">
        <v>0.15</v>
      </c>
      <c r="AO216">
        <v>0.3</v>
      </c>
      <c r="AP216">
        <v>0.15</v>
      </c>
      <c r="AQ216">
        <v>3</v>
      </c>
      <c r="AR216" t="s">
        <v>1835</v>
      </c>
      <c r="AS216">
        <v>0</v>
      </c>
      <c r="AT216">
        <v>0</v>
      </c>
      <c r="AU216">
        <v>10</v>
      </c>
      <c r="AV216">
        <v>1013</v>
      </c>
      <c r="AW216">
        <v>0</v>
      </c>
      <c r="AX216">
        <f>COUNTIF('Equip Data'!A:A,A216)</f>
        <v>1</v>
      </c>
    </row>
    <row r="217" spans="1:50" x14ac:dyDescent="0.25">
      <c r="A217">
        <v>218</v>
      </c>
      <c r="B217" t="s">
        <v>2108</v>
      </c>
      <c r="C217" t="s">
        <v>2109</v>
      </c>
      <c r="D217" t="s">
        <v>2110</v>
      </c>
      <c r="E217">
        <v>5</v>
      </c>
      <c r="F217">
        <v>3</v>
      </c>
      <c r="G217">
        <v>10</v>
      </c>
      <c r="H217" t="s">
        <v>432</v>
      </c>
      <c r="I217" t="s">
        <v>432</v>
      </c>
      <c r="J217" t="s">
        <v>593</v>
      </c>
      <c r="K217" t="s">
        <v>432</v>
      </c>
      <c r="L217" t="s">
        <v>432</v>
      </c>
      <c r="M217" t="s">
        <v>432</v>
      </c>
      <c r="N217" t="s">
        <v>432</v>
      </c>
      <c r="O217" t="s">
        <v>432</v>
      </c>
      <c r="P217" t="s">
        <v>432</v>
      </c>
      <c r="Q217" t="s">
        <v>432</v>
      </c>
      <c r="R217" t="s">
        <v>432</v>
      </c>
      <c r="S217" t="s">
        <v>432</v>
      </c>
      <c r="T217" t="s">
        <v>432</v>
      </c>
      <c r="U217" t="s">
        <v>432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4</v>
      </c>
      <c r="AE217">
        <v>2</v>
      </c>
      <c r="AF217">
        <v>0</v>
      </c>
      <c r="AG217">
        <v>4</v>
      </c>
      <c r="AH217">
        <v>3120</v>
      </c>
      <c r="AI217" t="s">
        <v>1176</v>
      </c>
      <c r="AJ217">
        <v>0</v>
      </c>
      <c r="AK217" t="s">
        <v>2111</v>
      </c>
      <c r="AL217" t="s">
        <v>2112</v>
      </c>
      <c r="AM217">
        <v>0.3</v>
      </c>
      <c r="AN217">
        <v>0.25</v>
      </c>
      <c r="AO217">
        <v>0.12</v>
      </c>
      <c r="AP217">
        <v>0.38</v>
      </c>
      <c r="AQ217">
        <v>3</v>
      </c>
      <c r="AR217" t="s">
        <v>2113</v>
      </c>
      <c r="AS217">
        <v>0</v>
      </c>
      <c r="AT217">
        <v>902391</v>
      </c>
      <c r="AU217">
        <v>10</v>
      </c>
      <c r="AV217">
        <v>10009</v>
      </c>
      <c r="AW217">
        <v>0</v>
      </c>
      <c r="AX217">
        <f>COUNTIF('Equip Data'!A:A,A217)</f>
        <v>1</v>
      </c>
    </row>
    <row r="218" spans="1:50" x14ac:dyDescent="0.25">
      <c r="A218">
        <v>219</v>
      </c>
      <c r="B218" t="s">
        <v>2114</v>
      </c>
      <c r="C218" t="s">
        <v>2115</v>
      </c>
      <c r="D218" t="s">
        <v>2116</v>
      </c>
      <c r="E218">
        <v>5</v>
      </c>
      <c r="F218">
        <v>1</v>
      </c>
      <c r="G218">
        <v>13</v>
      </c>
      <c r="H218" t="s">
        <v>435</v>
      </c>
      <c r="I218" t="s">
        <v>432</v>
      </c>
      <c r="J218" t="s">
        <v>445</v>
      </c>
      <c r="K218" t="s">
        <v>432</v>
      </c>
      <c r="L218" t="s">
        <v>432</v>
      </c>
      <c r="M218" t="s">
        <v>432</v>
      </c>
      <c r="N218" t="s">
        <v>432</v>
      </c>
      <c r="O218" t="s">
        <v>432</v>
      </c>
      <c r="P218" t="s">
        <v>432</v>
      </c>
      <c r="Q218" t="s">
        <v>432</v>
      </c>
      <c r="R218" t="s">
        <v>432</v>
      </c>
      <c r="S218" t="s">
        <v>432</v>
      </c>
      <c r="T218" t="s">
        <v>432</v>
      </c>
      <c r="U218" t="s">
        <v>432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4</v>
      </c>
      <c r="AE218">
        <v>2</v>
      </c>
      <c r="AF218">
        <v>2</v>
      </c>
      <c r="AG218">
        <v>2</v>
      </c>
      <c r="AH218">
        <v>2820</v>
      </c>
      <c r="AI218" t="s">
        <v>1176</v>
      </c>
      <c r="AJ218">
        <v>0</v>
      </c>
      <c r="AK218" t="s">
        <v>1094</v>
      </c>
      <c r="AL218" t="s">
        <v>2117</v>
      </c>
      <c r="AM218">
        <v>0.55000000000000004</v>
      </c>
      <c r="AN218">
        <v>0.23</v>
      </c>
      <c r="AO218">
        <v>0.23</v>
      </c>
      <c r="AP218">
        <v>0.23</v>
      </c>
      <c r="AQ218">
        <v>3</v>
      </c>
      <c r="AR218" t="s">
        <v>2011</v>
      </c>
      <c r="AS218">
        <v>0</v>
      </c>
      <c r="AT218">
        <v>0</v>
      </c>
      <c r="AU218">
        <v>10</v>
      </c>
      <c r="AV218">
        <v>16030</v>
      </c>
      <c r="AW218">
        <v>0</v>
      </c>
      <c r="AX218">
        <f>COUNTIF('Equip Data'!A:A,A218)</f>
        <v>1</v>
      </c>
    </row>
    <row r="219" spans="1:50" x14ac:dyDescent="0.25">
      <c r="A219">
        <v>220</v>
      </c>
      <c r="B219" t="s">
        <v>2118</v>
      </c>
      <c r="C219" t="s">
        <v>2119</v>
      </c>
      <c r="D219" t="s">
        <v>2120</v>
      </c>
      <c r="E219">
        <v>5</v>
      </c>
      <c r="F219">
        <v>1</v>
      </c>
      <c r="G219">
        <v>16</v>
      </c>
      <c r="H219" t="s">
        <v>432</v>
      </c>
      <c r="I219" t="s">
        <v>465</v>
      </c>
      <c r="J219" t="s">
        <v>432</v>
      </c>
      <c r="K219" t="s">
        <v>432</v>
      </c>
      <c r="L219" t="s">
        <v>432</v>
      </c>
      <c r="M219" t="s">
        <v>439</v>
      </c>
      <c r="N219" t="s">
        <v>432</v>
      </c>
      <c r="O219" t="s">
        <v>432</v>
      </c>
      <c r="P219" t="s">
        <v>432</v>
      </c>
      <c r="Q219" t="s">
        <v>432</v>
      </c>
      <c r="R219" t="s">
        <v>432</v>
      </c>
      <c r="S219" t="s">
        <v>432</v>
      </c>
      <c r="T219" t="s">
        <v>432</v>
      </c>
      <c r="U219" t="s">
        <v>432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4</v>
      </c>
      <c r="AE219">
        <v>2</v>
      </c>
      <c r="AF219">
        <v>2</v>
      </c>
      <c r="AG219">
        <v>2</v>
      </c>
      <c r="AH219">
        <v>2820</v>
      </c>
      <c r="AI219" t="s">
        <v>1176</v>
      </c>
      <c r="AJ219">
        <v>0</v>
      </c>
      <c r="AK219" t="s">
        <v>2121</v>
      </c>
      <c r="AL219" t="s">
        <v>2122</v>
      </c>
      <c r="AM219">
        <v>0.55000000000000004</v>
      </c>
      <c r="AN219">
        <v>0.23</v>
      </c>
      <c r="AO219">
        <v>0.23</v>
      </c>
      <c r="AP219">
        <v>0.23</v>
      </c>
      <c r="AQ219">
        <v>3</v>
      </c>
      <c r="AR219" t="s">
        <v>2123</v>
      </c>
      <c r="AS219">
        <v>0</v>
      </c>
      <c r="AT219">
        <v>0</v>
      </c>
      <c r="AU219">
        <v>10</v>
      </c>
      <c r="AV219">
        <v>16031</v>
      </c>
      <c r="AW219">
        <v>0</v>
      </c>
      <c r="AX219">
        <f>COUNTIF('Equip Data'!A:A,A219)</f>
        <v>1</v>
      </c>
    </row>
    <row r="220" spans="1:50" hidden="1" x14ac:dyDescent="0.25">
      <c r="A220">
        <v>221</v>
      </c>
      <c r="B220" t="s">
        <v>2124</v>
      </c>
      <c r="C220" t="s">
        <v>2125</v>
      </c>
      <c r="D220" t="s">
        <v>2126</v>
      </c>
      <c r="E220">
        <v>5</v>
      </c>
      <c r="F220">
        <v>2</v>
      </c>
      <c r="G220">
        <v>5</v>
      </c>
      <c r="H220" t="s">
        <v>438</v>
      </c>
      <c r="I220" t="s">
        <v>432</v>
      </c>
      <c r="J220" t="s">
        <v>432</v>
      </c>
      <c r="K220" t="s">
        <v>432</v>
      </c>
      <c r="L220" t="s">
        <v>432</v>
      </c>
      <c r="M220" t="s">
        <v>432</v>
      </c>
      <c r="N220" t="s">
        <v>432</v>
      </c>
      <c r="O220" t="s">
        <v>456</v>
      </c>
      <c r="P220" t="s">
        <v>432</v>
      </c>
      <c r="Q220" t="s">
        <v>432</v>
      </c>
      <c r="R220" t="s">
        <v>432</v>
      </c>
      <c r="S220" t="s">
        <v>432</v>
      </c>
      <c r="T220" t="s">
        <v>432</v>
      </c>
      <c r="U220" t="s">
        <v>432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4</v>
      </c>
      <c r="AF220">
        <v>2</v>
      </c>
      <c r="AG220">
        <v>3</v>
      </c>
      <c r="AH220">
        <v>3300</v>
      </c>
      <c r="AI220" t="s">
        <v>1300</v>
      </c>
      <c r="AJ220">
        <v>0</v>
      </c>
      <c r="AK220" t="s">
        <v>2127</v>
      </c>
      <c r="AL220" t="s">
        <v>2128</v>
      </c>
      <c r="AM220">
        <v>0.08</v>
      </c>
      <c r="AN220">
        <v>0.5</v>
      </c>
      <c r="AO220">
        <v>0.3</v>
      </c>
      <c r="AP220">
        <v>0.3</v>
      </c>
      <c r="AQ220">
        <v>3</v>
      </c>
      <c r="AR220" t="s">
        <v>2129</v>
      </c>
      <c r="AS220">
        <v>0</v>
      </c>
      <c r="AT220">
        <v>0</v>
      </c>
      <c r="AU220">
        <v>10</v>
      </c>
      <c r="AV220">
        <v>5008</v>
      </c>
      <c r="AW220">
        <v>0</v>
      </c>
      <c r="AX220">
        <f>COUNTIF('Equip Data'!A:A,A220)</f>
        <v>0</v>
      </c>
    </row>
    <row r="221" spans="1:50" x14ac:dyDescent="0.25">
      <c r="A221">
        <v>222</v>
      </c>
      <c r="B221" t="s">
        <v>2130</v>
      </c>
      <c r="C221" t="s">
        <v>2131</v>
      </c>
      <c r="D221" t="s">
        <v>2132</v>
      </c>
      <c r="E221">
        <v>3</v>
      </c>
      <c r="F221">
        <v>1</v>
      </c>
      <c r="G221">
        <v>16</v>
      </c>
      <c r="H221" t="s">
        <v>432</v>
      </c>
      <c r="I221" t="s">
        <v>439</v>
      </c>
      <c r="J221" t="s">
        <v>432</v>
      </c>
      <c r="K221" t="s">
        <v>432</v>
      </c>
      <c r="L221" t="s">
        <v>432</v>
      </c>
      <c r="M221" t="s">
        <v>432</v>
      </c>
      <c r="N221" t="s">
        <v>428</v>
      </c>
      <c r="O221" t="s">
        <v>432</v>
      </c>
      <c r="P221" t="s">
        <v>432</v>
      </c>
      <c r="Q221" t="s">
        <v>432</v>
      </c>
      <c r="R221" t="s">
        <v>432</v>
      </c>
      <c r="S221" t="s">
        <v>432</v>
      </c>
      <c r="T221" t="s">
        <v>432</v>
      </c>
      <c r="U221" t="s">
        <v>432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3</v>
      </c>
      <c r="AE221">
        <v>0</v>
      </c>
      <c r="AF221">
        <v>0</v>
      </c>
      <c r="AG221">
        <v>0</v>
      </c>
      <c r="AH221">
        <v>2040</v>
      </c>
      <c r="AI221" t="s">
        <v>1682</v>
      </c>
      <c r="AJ221">
        <v>0</v>
      </c>
      <c r="AK221" t="s">
        <v>432</v>
      </c>
      <c r="AL221" t="s">
        <v>2133</v>
      </c>
      <c r="AM221">
        <v>0.45</v>
      </c>
      <c r="AN221">
        <v>0.15</v>
      </c>
      <c r="AO221">
        <v>0.3</v>
      </c>
      <c r="AP221">
        <v>0.15</v>
      </c>
      <c r="AQ221">
        <v>1</v>
      </c>
      <c r="AR221" t="s">
        <v>2134</v>
      </c>
      <c r="AS221">
        <v>0</v>
      </c>
      <c r="AT221">
        <v>0</v>
      </c>
      <c r="AU221">
        <v>10</v>
      </c>
      <c r="AV221">
        <v>16032</v>
      </c>
      <c r="AW221">
        <v>0</v>
      </c>
      <c r="AX221">
        <f>COUNTIF('Equip Data'!A:A,A221)</f>
        <v>1</v>
      </c>
    </row>
    <row r="222" spans="1:50" x14ac:dyDescent="0.25">
      <c r="A222">
        <v>223</v>
      </c>
      <c r="B222" t="s">
        <v>2135</v>
      </c>
      <c r="C222" t="s">
        <v>2136</v>
      </c>
      <c r="D222" t="s">
        <v>2132</v>
      </c>
      <c r="E222">
        <v>4</v>
      </c>
      <c r="F222">
        <v>1</v>
      </c>
      <c r="G222">
        <v>16</v>
      </c>
      <c r="H222" t="s">
        <v>432</v>
      </c>
      <c r="I222" t="s">
        <v>544</v>
      </c>
      <c r="J222" t="s">
        <v>432</v>
      </c>
      <c r="K222" t="s">
        <v>432</v>
      </c>
      <c r="L222" t="s">
        <v>432</v>
      </c>
      <c r="M222" t="s">
        <v>432</v>
      </c>
      <c r="N222" t="s">
        <v>429</v>
      </c>
      <c r="O222" t="s">
        <v>432</v>
      </c>
      <c r="P222" t="s">
        <v>432</v>
      </c>
      <c r="Q222" t="s">
        <v>432</v>
      </c>
      <c r="R222" t="s">
        <v>432</v>
      </c>
      <c r="S222" t="s">
        <v>432</v>
      </c>
      <c r="T222" t="s">
        <v>432</v>
      </c>
      <c r="U222" t="s">
        <v>432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3</v>
      </c>
      <c r="AE222">
        <v>1</v>
      </c>
      <c r="AF222">
        <v>1</v>
      </c>
      <c r="AG222">
        <v>1</v>
      </c>
      <c r="AH222">
        <v>2940</v>
      </c>
      <c r="AI222" t="s">
        <v>1682</v>
      </c>
      <c r="AJ222">
        <v>0</v>
      </c>
      <c r="AK222" t="s">
        <v>432</v>
      </c>
      <c r="AL222" t="s">
        <v>2137</v>
      </c>
      <c r="AM222">
        <v>0.45</v>
      </c>
      <c r="AN222">
        <v>0.15</v>
      </c>
      <c r="AO222">
        <v>0.3</v>
      </c>
      <c r="AP222">
        <v>0.15</v>
      </c>
      <c r="AQ222">
        <v>1</v>
      </c>
      <c r="AR222" t="s">
        <v>2138</v>
      </c>
      <c r="AS222">
        <v>0</v>
      </c>
      <c r="AT222">
        <v>0</v>
      </c>
      <c r="AU222">
        <v>10</v>
      </c>
      <c r="AV222">
        <v>16032</v>
      </c>
      <c r="AW222">
        <v>0</v>
      </c>
      <c r="AX222">
        <f>COUNTIF('Equip Data'!A:A,A222)</f>
        <v>1</v>
      </c>
    </row>
    <row r="223" spans="1:50" x14ac:dyDescent="0.25">
      <c r="A223">
        <v>224</v>
      </c>
      <c r="B223" t="s">
        <v>2139</v>
      </c>
      <c r="C223" t="s">
        <v>2140</v>
      </c>
      <c r="D223" t="s">
        <v>2132</v>
      </c>
      <c r="E223">
        <v>5</v>
      </c>
      <c r="F223">
        <v>1</v>
      </c>
      <c r="G223">
        <v>16</v>
      </c>
      <c r="H223" t="s">
        <v>432</v>
      </c>
      <c r="I223" t="s">
        <v>463</v>
      </c>
      <c r="J223" t="s">
        <v>432</v>
      </c>
      <c r="K223" t="s">
        <v>432</v>
      </c>
      <c r="L223" t="s">
        <v>432</v>
      </c>
      <c r="M223" t="s">
        <v>432</v>
      </c>
      <c r="N223" t="s">
        <v>2141</v>
      </c>
      <c r="O223" t="s">
        <v>432</v>
      </c>
      <c r="P223" t="s">
        <v>432</v>
      </c>
      <c r="Q223" t="s">
        <v>432</v>
      </c>
      <c r="R223" t="s">
        <v>432</v>
      </c>
      <c r="S223" t="s">
        <v>432</v>
      </c>
      <c r="T223" t="s">
        <v>432</v>
      </c>
      <c r="U223" t="s">
        <v>432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4</v>
      </c>
      <c r="AE223">
        <v>2</v>
      </c>
      <c r="AF223">
        <v>2</v>
      </c>
      <c r="AG223">
        <v>2</v>
      </c>
      <c r="AH223">
        <v>3540</v>
      </c>
      <c r="AI223" t="s">
        <v>1682</v>
      </c>
      <c r="AJ223">
        <v>0</v>
      </c>
      <c r="AK223" t="s">
        <v>432</v>
      </c>
      <c r="AL223" t="s">
        <v>2142</v>
      </c>
      <c r="AM223">
        <v>0.45</v>
      </c>
      <c r="AN223">
        <v>0.15</v>
      </c>
      <c r="AO223">
        <v>0.3</v>
      </c>
      <c r="AP223">
        <v>0.15</v>
      </c>
      <c r="AQ223">
        <v>1</v>
      </c>
      <c r="AR223" t="s">
        <v>2143</v>
      </c>
      <c r="AS223">
        <v>0</v>
      </c>
      <c r="AT223">
        <v>0</v>
      </c>
      <c r="AU223">
        <v>10</v>
      </c>
      <c r="AV223">
        <v>16032</v>
      </c>
      <c r="AW223">
        <v>0</v>
      </c>
      <c r="AX223">
        <f>COUNTIF('Equip Data'!A:A,A223)</f>
        <v>1</v>
      </c>
    </row>
    <row r="224" spans="1:50" x14ac:dyDescent="0.25">
      <c r="A224">
        <v>225</v>
      </c>
      <c r="B224" t="s">
        <v>2144</v>
      </c>
      <c r="C224" t="s">
        <v>2145</v>
      </c>
      <c r="D224" t="s">
        <v>2146</v>
      </c>
      <c r="E224">
        <v>5</v>
      </c>
      <c r="F224">
        <v>2</v>
      </c>
      <c r="G224">
        <v>6</v>
      </c>
      <c r="H224" t="s">
        <v>432</v>
      </c>
      <c r="I224" t="s">
        <v>432</v>
      </c>
      <c r="J224" t="s">
        <v>432</v>
      </c>
      <c r="K224" t="s">
        <v>432</v>
      </c>
      <c r="L224" t="s">
        <v>480</v>
      </c>
      <c r="M224" t="s">
        <v>432</v>
      </c>
      <c r="N224" t="s">
        <v>432</v>
      </c>
      <c r="O224" t="s">
        <v>432</v>
      </c>
      <c r="P224" t="s">
        <v>432</v>
      </c>
      <c r="Q224" t="s">
        <v>432</v>
      </c>
      <c r="R224" t="s">
        <v>432</v>
      </c>
      <c r="S224" t="s">
        <v>432</v>
      </c>
      <c r="T224" t="s">
        <v>432</v>
      </c>
      <c r="U224" t="s">
        <v>432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4</v>
      </c>
      <c r="AE224">
        <v>4</v>
      </c>
      <c r="AF224">
        <v>0</v>
      </c>
      <c r="AG224">
        <v>2</v>
      </c>
      <c r="AH224">
        <v>3420</v>
      </c>
      <c r="AI224" t="s">
        <v>1176</v>
      </c>
      <c r="AJ224">
        <v>0</v>
      </c>
      <c r="AK224" t="s">
        <v>432</v>
      </c>
      <c r="AL224" t="s">
        <v>2147</v>
      </c>
      <c r="AM224">
        <v>0.48</v>
      </c>
      <c r="AN224">
        <v>0.48</v>
      </c>
      <c r="AO224">
        <v>0.08</v>
      </c>
      <c r="AP224">
        <v>0.45</v>
      </c>
      <c r="AQ224">
        <v>1</v>
      </c>
      <c r="AR224" t="s">
        <v>432</v>
      </c>
      <c r="AS224">
        <v>0</v>
      </c>
      <c r="AT224">
        <v>300903</v>
      </c>
      <c r="AU224">
        <v>0</v>
      </c>
      <c r="AV224">
        <v>6016</v>
      </c>
      <c r="AW224">
        <v>0</v>
      </c>
      <c r="AX224">
        <f>COUNTIF('Equip Data'!A:A,A224)</f>
        <v>1</v>
      </c>
    </row>
    <row r="225" spans="1:50" x14ac:dyDescent="0.25">
      <c r="A225">
        <v>226</v>
      </c>
      <c r="B225" t="s">
        <v>2148</v>
      </c>
      <c r="C225" t="s">
        <v>2149</v>
      </c>
      <c r="D225" t="s">
        <v>2151</v>
      </c>
      <c r="E225">
        <v>4</v>
      </c>
      <c r="F225">
        <v>2</v>
      </c>
      <c r="G225">
        <v>5</v>
      </c>
      <c r="H225" t="s">
        <v>575</v>
      </c>
      <c r="I225" t="s">
        <v>432</v>
      </c>
      <c r="J225" t="s">
        <v>432</v>
      </c>
      <c r="K225" t="s">
        <v>432</v>
      </c>
      <c r="L225" t="s">
        <v>432</v>
      </c>
      <c r="M225" t="s">
        <v>432</v>
      </c>
      <c r="N225" t="s">
        <v>432</v>
      </c>
      <c r="O225" t="s">
        <v>2150</v>
      </c>
      <c r="P225" t="s">
        <v>432</v>
      </c>
      <c r="Q225" t="s">
        <v>432</v>
      </c>
      <c r="R225" t="s">
        <v>432</v>
      </c>
      <c r="S225" t="s">
        <v>432</v>
      </c>
      <c r="T225" t="s">
        <v>432</v>
      </c>
      <c r="U225" t="s">
        <v>432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3</v>
      </c>
      <c r="AF225">
        <v>1</v>
      </c>
      <c r="AG225">
        <v>2</v>
      </c>
      <c r="AH225">
        <v>2400</v>
      </c>
      <c r="AI225" t="s">
        <v>1176</v>
      </c>
      <c r="AJ225">
        <v>0</v>
      </c>
      <c r="AK225" t="s">
        <v>432</v>
      </c>
      <c r="AL225" t="s">
        <v>2152</v>
      </c>
      <c r="AM225">
        <v>0.08</v>
      </c>
      <c r="AN225">
        <v>0.5</v>
      </c>
      <c r="AO225">
        <v>0.3</v>
      </c>
      <c r="AP225">
        <v>0.3</v>
      </c>
      <c r="AQ225">
        <v>1</v>
      </c>
      <c r="AR225" t="s">
        <v>2153</v>
      </c>
      <c r="AS225">
        <v>0</v>
      </c>
      <c r="AT225">
        <v>0</v>
      </c>
      <c r="AU225">
        <v>10</v>
      </c>
      <c r="AV225">
        <v>5009</v>
      </c>
      <c r="AW225">
        <v>0</v>
      </c>
      <c r="AX225">
        <f>COUNTIF('Equip Data'!A:A,A225)</f>
        <v>1</v>
      </c>
    </row>
    <row r="226" spans="1:50" x14ac:dyDescent="0.25">
      <c r="A226">
        <v>227</v>
      </c>
      <c r="B226" t="s">
        <v>2154</v>
      </c>
      <c r="C226" t="s">
        <v>2155</v>
      </c>
      <c r="D226" t="s">
        <v>2151</v>
      </c>
      <c r="E226">
        <v>5</v>
      </c>
      <c r="F226">
        <v>2</v>
      </c>
      <c r="G226">
        <v>5</v>
      </c>
      <c r="H226" t="s">
        <v>462</v>
      </c>
      <c r="I226" t="s">
        <v>432</v>
      </c>
      <c r="J226" t="s">
        <v>432</v>
      </c>
      <c r="K226" t="s">
        <v>432</v>
      </c>
      <c r="L226" t="s">
        <v>432</v>
      </c>
      <c r="M226" t="s">
        <v>432</v>
      </c>
      <c r="N226" t="s">
        <v>432</v>
      </c>
      <c r="O226" t="s">
        <v>2156</v>
      </c>
      <c r="P226" t="s">
        <v>432</v>
      </c>
      <c r="Q226" t="s">
        <v>432</v>
      </c>
      <c r="R226" t="s">
        <v>432</v>
      </c>
      <c r="S226" t="s">
        <v>432</v>
      </c>
      <c r="T226" t="s">
        <v>432</v>
      </c>
      <c r="U226" t="s">
        <v>432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4</v>
      </c>
      <c r="AF226">
        <v>2</v>
      </c>
      <c r="AG226">
        <v>3</v>
      </c>
      <c r="AH226">
        <v>3000</v>
      </c>
      <c r="AI226" t="s">
        <v>1176</v>
      </c>
      <c r="AJ226">
        <v>0</v>
      </c>
      <c r="AK226" t="s">
        <v>432</v>
      </c>
      <c r="AL226" t="s">
        <v>2157</v>
      </c>
      <c r="AM226">
        <v>0.08</v>
      </c>
      <c r="AN226">
        <v>0.5</v>
      </c>
      <c r="AO226">
        <v>0.3</v>
      </c>
      <c r="AP226">
        <v>0.3</v>
      </c>
      <c r="AQ226">
        <v>1</v>
      </c>
      <c r="AR226" t="s">
        <v>2158</v>
      </c>
      <c r="AS226">
        <v>0</v>
      </c>
      <c r="AT226">
        <v>0</v>
      </c>
      <c r="AU226">
        <v>10</v>
      </c>
      <c r="AV226">
        <v>5009</v>
      </c>
      <c r="AW226">
        <v>0</v>
      </c>
      <c r="AX226">
        <f>COUNTIF('Equip Data'!A:A,A226)</f>
        <v>1</v>
      </c>
    </row>
    <row r="227" spans="1:50" x14ac:dyDescent="0.25">
      <c r="A227">
        <v>228</v>
      </c>
      <c r="B227" t="s">
        <v>2159</v>
      </c>
      <c r="C227" t="s">
        <v>2160</v>
      </c>
      <c r="D227" t="s">
        <v>2163</v>
      </c>
      <c r="E227">
        <v>4</v>
      </c>
      <c r="F227">
        <v>2</v>
      </c>
      <c r="G227">
        <v>17</v>
      </c>
      <c r="H227" t="s">
        <v>432</v>
      </c>
      <c r="I227" t="s">
        <v>432</v>
      </c>
      <c r="J227" t="s">
        <v>432</v>
      </c>
      <c r="K227" t="s">
        <v>432</v>
      </c>
      <c r="L227" t="s">
        <v>2161</v>
      </c>
      <c r="M227" t="s">
        <v>432</v>
      </c>
      <c r="N227" t="s">
        <v>432</v>
      </c>
      <c r="O227" t="s">
        <v>2162</v>
      </c>
      <c r="P227" t="s">
        <v>432</v>
      </c>
      <c r="Q227" t="s">
        <v>432</v>
      </c>
      <c r="R227" t="s">
        <v>432</v>
      </c>
      <c r="S227" t="s">
        <v>432</v>
      </c>
      <c r="T227" t="s">
        <v>432</v>
      </c>
      <c r="U227" t="s">
        <v>432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4</v>
      </c>
      <c r="AF227">
        <v>0</v>
      </c>
      <c r="AG227">
        <v>0</v>
      </c>
      <c r="AH227">
        <v>2880</v>
      </c>
      <c r="AI227" t="s">
        <v>1176</v>
      </c>
      <c r="AJ227">
        <v>0</v>
      </c>
      <c r="AK227" t="s">
        <v>432</v>
      </c>
      <c r="AL227" t="s">
        <v>2164</v>
      </c>
      <c r="AM227">
        <v>0.08</v>
      </c>
      <c r="AN227">
        <v>0.5</v>
      </c>
      <c r="AO227">
        <v>0.08</v>
      </c>
      <c r="AP227">
        <v>0.08</v>
      </c>
      <c r="AQ227">
        <v>1</v>
      </c>
      <c r="AR227" t="s">
        <v>2165</v>
      </c>
      <c r="AS227">
        <v>0</v>
      </c>
      <c r="AT227">
        <v>0</v>
      </c>
      <c r="AU227">
        <v>10</v>
      </c>
      <c r="AV227">
        <v>17001</v>
      </c>
      <c r="AW227">
        <v>0</v>
      </c>
      <c r="AX227">
        <f>COUNTIF('Equip Data'!A:A,A227)</f>
        <v>1</v>
      </c>
    </row>
    <row r="228" spans="1:50" x14ac:dyDescent="0.25">
      <c r="A228">
        <v>229</v>
      </c>
      <c r="B228" t="s">
        <v>2166</v>
      </c>
      <c r="C228" t="s">
        <v>2167</v>
      </c>
      <c r="D228" t="s">
        <v>2163</v>
      </c>
      <c r="E228">
        <v>5</v>
      </c>
      <c r="F228">
        <v>2</v>
      </c>
      <c r="G228">
        <v>17</v>
      </c>
      <c r="H228" t="s">
        <v>432</v>
      </c>
      <c r="I228" t="s">
        <v>432</v>
      </c>
      <c r="J228" t="s">
        <v>432</v>
      </c>
      <c r="K228" t="s">
        <v>432</v>
      </c>
      <c r="L228" t="s">
        <v>2161</v>
      </c>
      <c r="M228" t="s">
        <v>432</v>
      </c>
      <c r="N228" t="s">
        <v>432</v>
      </c>
      <c r="O228" t="s">
        <v>2168</v>
      </c>
      <c r="P228" t="s">
        <v>432</v>
      </c>
      <c r="Q228" t="s">
        <v>432</v>
      </c>
      <c r="R228" t="s">
        <v>432</v>
      </c>
      <c r="S228" t="s">
        <v>432</v>
      </c>
      <c r="T228" t="s">
        <v>432</v>
      </c>
      <c r="U228" t="s">
        <v>432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1</v>
      </c>
      <c r="AE228">
        <v>5</v>
      </c>
      <c r="AF228">
        <v>1</v>
      </c>
      <c r="AG228">
        <v>1</v>
      </c>
      <c r="AH228">
        <v>3480</v>
      </c>
      <c r="AI228" t="s">
        <v>1176</v>
      </c>
      <c r="AJ228">
        <v>0</v>
      </c>
      <c r="AK228" t="s">
        <v>432</v>
      </c>
      <c r="AL228" t="s">
        <v>2169</v>
      </c>
      <c r="AM228">
        <v>0.08</v>
      </c>
      <c r="AN228">
        <v>0.5</v>
      </c>
      <c r="AO228">
        <v>0.08</v>
      </c>
      <c r="AP228">
        <v>0.08</v>
      </c>
      <c r="AQ228">
        <v>1</v>
      </c>
      <c r="AR228" t="s">
        <v>2165</v>
      </c>
      <c r="AS228">
        <v>0</v>
      </c>
      <c r="AT228">
        <v>0</v>
      </c>
      <c r="AU228">
        <v>10</v>
      </c>
      <c r="AV228">
        <v>17001</v>
      </c>
      <c r="AW228">
        <v>0</v>
      </c>
      <c r="AX228">
        <f>COUNTIF('Equip Data'!A:A,A228)</f>
        <v>1</v>
      </c>
    </row>
    <row r="229" spans="1:50" x14ac:dyDescent="0.25">
      <c r="A229">
        <v>230</v>
      </c>
      <c r="B229" t="s">
        <v>2170</v>
      </c>
      <c r="C229" t="s">
        <v>2171</v>
      </c>
      <c r="D229" t="s">
        <v>2172</v>
      </c>
      <c r="E229">
        <v>4</v>
      </c>
      <c r="F229">
        <v>2</v>
      </c>
      <c r="G229">
        <v>7</v>
      </c>
      <c r="H229" t="s">
        <v>432</v>
      </c>
      <c r="I229" t="s">
        <v>432</v>
      </c>
      <c r="J229" t="s">
        <v>432</v>
      </c>
      <c r="K229" t="s">
        <v>432</v>
      </c>
      <c r="L229" t="s">
        <v>458</v>
      </c>
      <c r="M229" t="s">
        <v>1318</v>
      </c>
      <c r="N229" t="s">
        <v>432</v>
      </c>
      <c r="O229" t="s">
        <v>432</v>
      </c>
      <c r="P229" t="s">
        <v>432</v>
      </c>
      <c r="Q229" t="s">
        <v>432</v>
      </c>
      <c r="R229" t="s">
        <v>432</v>
      </c>
      <c r="S229" t="s">
        <v>432</v>
      </c>
      <c r="T229" t="s">
        <v>432</v>
      </c>
      <c r="U229" t="s">
        <v>432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1</v>
      </c>
      <c r="AE229">
        <v>3</v>
      </c>
      <c r="AF229">
        <v>1</v>
      </c>
      <c r="AG229">
        <v>2</v>
      </c>
      <c r="AH229">
        <v>2700</v>
      </c>
      <c r="AI229" t="s">
        <v>1176</v>
      </c>
      <c r="AJ229">
        <v>0</v>
      </c>
      <c r="AK229" t="s">
        <v>432</v>
      </c>
      <c r="AL229" t="s">
        <v>2173</v>
      </c>
      <c r="AM229">
        <v>0.08</v>
      </c>
      <c r="AN229">
        <v>0.39</v>
      </c>
      <c r="AO229">
        <v>0.08</v>
      </c>
      <c r="AP229">
        <v>0.48</v>
      </c>
      <c r="AQ229">
        <v>1</v>
      </c>
      <c r="AR229" t="s">
        <v>2174</v>
      </c>
      <c r="AS229">
        <v>300901</v>
      </c>
      <c r="AT229">
        <v>0</v>
      </c>
      <c r="AU229">
        <v>10</v>
      </c>
      <c r="AV229">
        <v>7007</v>
      </c>
      <c r="AW229">
        <v>0</v>
      </c>
      <c r="AX229">
        <f>COUNTIF('Equip Data'!A:A,A229)</f>
        <v>1</v>
      </c>
    </row>
    <row r="230" spans="1:50" x14ac:dyDescent="0.25">
      <c r="A230">
        <v>231</v>
      </c>
      <c r="B230" t="s">
        <v>2175</v>
      </c>
      <c r="C230" t="s">
        <v>2176</v>
      </c>
      <c r="D230" t="s">
        <v>2172</v>
      </c>
      <c r="E230">
        <v>5</v>
      </c>
      <c r="F230">
        <v>2</v>
      </c>
      <c r="G230">
        <v>7</v>
      </c>
      <c r="H230" t="s">
        <v>432</v>
      </c>
      <c r="I230" t="s">
        <v>432</v>
      </c>
      <c r="J230" t="s">
        <v>432</v>
      </c>
      <c r="K230" t="s">
        <v>432</v>
      </c>
      <c r="L230" t="s">
        <v>462</v>
      </c>
      <c r="M230" t="s">
        <v>1313</v>
      </c>
      <c r="N230" t="s">
        <v>432</v>
      </c>
      <c r="O230" t="s">
        <v>432</v>
      </c>
      <c r="P230" t="s">
        <v>432</v>
      </c>
      <c r="Q230" t="s">
        <v>432</v>
      </c>
      <c r="R230" t="s">
        <v>432</v>
      </c>
      <c r="S230" t="s">
        <v>432</v>
      </c>
      <c r="T230" t="s">
        <v>432</v>
      </c>
      <c r="U230" t="s">
        <v>432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1</v>
      </c>
      <c r="AE230">
        <v>4</v>
      </c>
      <c r="AF230">
        <v>1</v>
      </c>
      <c r="AG230">
        <v>3</v>
      </c>
      <c r="AH230">
        <v>3300</v>
      </c>
      <c r="AI230" t="s">
        <v>1176</v>
      </c>
      <c r="AJ230">
        <v>0</v>
      </c>
      <c r="AK230" t="s">
        <v>432</v>
      </c>
      <c r="AL230" t="s">
        <v>2177</v>
      </c>
      <c r="AM230">
        <v>0.08</v>
      </c>
      <c r="AN230">
        <v>0.39</v>
      </c>
      <c r="AO230">
        <v>0.08</v>
      </c>
      <c r="AP230">
        <v>0.48</v>
      </c>
      <c r="AQ230">
        <v>1</v>
      </c>
      <c r="AR230" t="s">
        <v>2174</v>
      </c>
      <c r="AS230">
        <v>300901</v>
      </c>
      <c r="AT230">
        <v>0</v>
      </c>
      <c r="AU230">
        <v>10</v>
      </c>
      <c r="AV230">
        <v>7007</v>
      </c>
      <c r="AW230">
        <v>0</v>
      </c>
      <c r="AX230">
        <f>COUNTIF('Equip Data'!A:A,A230)</f>
        <v>1</v>
      </c>
    </row>
    <row r="231" spans="1:50" x14ac:dyDescent="0.25">
      <c r="A231">
        <v>232</v>
      </c>
      <c r="B231" t="s">
        <v>2178</v>
      </c>
      <c r="C231" t="s">
        <v>2179</v>
      </c>
      <c r="D231" t="s">
        <v>2181</v>
      </c>
      <c r="E231">
        <v>3</v>
      </c>
      <c r="F231">
        <v>3</v>
      </c>
      <c r="G231">
        <v>9</v>
      </c>
      <c r="H231" t="s">
        <v>575</v>
      </c>
      <c r="I231" t="s">
        <v>432</v>
      </c>
      <c r="J231" t="s">
        <v>432</v>
      </c>
      <c r="K231" t="s">
        <v>432</v>
      </c>
      <c r="L231" t="s">
        <v>439</v>
      </c>
      <c r="M231" t="s">
        <v>2180</v>
      </c>
      <c r="N231" t="s">
        <v>432</v>
      </c>
      <c r="O231" t="s">
        <v>432</v>
      </c>
      <c r="P231" t="s">
        <v>432</v>
      </c>
      <c r="Q231" t="s">
        <v>432</v>
      </c>
      <c r="R231" t="s">
        <v>432</v>
      </c>
      <c r="S231" t="s">
        <v>432</v>
      </c>
      <c r="T231" t="s">
        <v>432</v>
      </c>
      <c r="U231" t="s">
        <v>432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2</v>
      </c>
      <c r="AE231">
        <v>1</v>
      </c>
      <c r="AF231">
        <v>0</v>
      </c>
      <c r="AG231">
        <v>0</v>
      </c>
      <c r="AH231">
        <v>1560</v>
      </c>
      <c r="AI231" t="s">
        <v>1176</v>
      </c>
      <c r="AJ231">
        <v>0</v>
      </c>
      <c r="AK231" t="s">
        <v>432</v>
      </c>
      <c r="AL231" t="s">
        <v>2182</v>
      </c>
      <c r="AM231">
        <v>0.3</v>
      </c>
      <c r="AN231">
        <v>0.23</v>
      </c>
      <c r="AO231">
        <v>0.15</v>
      </c>
      <c r="AP231">
        <v>0.38</v>
      </c>
      <c r="AQ231">
        <v>1</v>
      </c>
      <c r="AR231" t="s">
        <v>2183</v>
      </c>
      <c r="AS231">
        <v>0</v>
      </c>
      <c r="AT231">
        <v>0</v>
      </c>
      <c r="AU231">
        <v>10</v>
      </c>
      <c r="AV231">
        <v>9001</v>
      </c>
      <c r="AW231">
        <v>0</v>
      </c>
      <c r="AX231">
        <f>COUNTIF('Equip Data'!A:A,A231)</f>
        <v>1</v>
      </c>
    </row>
    <row r="232" spans="1:50" x14ac:dyDescent="0.25">
      <c r="A232">
        <v>233</v>
      </c>
      <c r="B232" t="s">
        <v>2184</v>
      </c>
      <c r="C232" t="s">
        <v>2185</v>
      </c>
      <c r="D232" t="s">
        <v>2181</v>
      </c>
      <c r="E232">
        <v>4</v>
      </c>
      <c r="F232">
        <v>3</v>
      </c>
      <c r="G232">
        <v>9</v>
      </c>
      <c r="H232" t="s">
        <v>441</v>
      </c>
      <c r="I232" t="s">
        <v>432</v>
      </c>
      <c r="J232" t="s">
        <v>432</v>
      </c>
      <c r="K232" t="s">
        <v>432</v>
      </c>
      <c r="L232" t="s">
        <v>506</v>
      </c>
      <c r="M232" t="s">
        <v>2180</v>
      </c>
      <c r="N232" t="s">
        <v>432</v>
      </c>
      <c r="O232" t="s">
        <v>432</v>
      </c>
      <c r="P232" t="s">
        <v>432</v>
      </c>
      <c r="Q232" t="s">
        <v>432</v>
      </c>
      <c r="R232" t="s">
        <v>432</v>
      </c>
      <c r="S232" t="s">
        <v>432</v>
      </c>
      <c r="T232" t="s">
        <v>432</v>
      </c>
      <c r="U232" t="s">
        <v>432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3</v>
      </c>
      <c r="AE232">
        <v>2</v>
      </c>
      <c r="AF232">
        <v>0</v>
      </c>
      <c r="AG232">
        <v>1</v>
      </c>
      <c r="AH232">
        <v>2460</v>
      </c>
      <c r="AI232" t="s">
        <v>1176</v>
      </c>
      <c r="AJ232">
        <v>0</v>
      </c>
      <c r="AK232" t="s">
        <v>432</v>
      </c>
      <c r="AL232" t="s">
        <v>2186</v>
      </c>
      <c r="AM232">
        <v>0.3</v>
      </c>
      <c r="AN232">
        <v>0.23</v>
      </c>
      <c r="AO232">
        <v>0.15</v>
      </c>
      <c r="AP232">
        <v>0.38</v>
      </c>
      <c r="AQ232">
        <v>1</v>
      </c>
      <c r="AR232" t="s">
        <v>2183</v>
      </c>
      <c r="AS232">
        <v>0</v>
      </c>
      <c r="AT232">
        <v>0</v>
      </c>
      <c r="AU232">
        <v>10</v>
      </c>
      <c r="AV232">
        <v>9001</v>
      </c>
      <c r="AW232">
        <v>0</v>
      </c>
      <c r="AX232">
        <f>COUNTIF('Equip Data'!A:A,A232)</f>
        <v>1</v>
      </c>
    </row>
    <row r="233" spans="1:50" x14ac:dyDescent="0.25">
      <c r="A233">
        <v>234</v>
      </c>
      <c r="B233" t="s">
        <v>2187</v>
      </c>
      <c r="C233" t="s">
        <v>2188</v>
      </c>
      <c r="D233" t="s">
        <v>2181</v>
      </c>
      <c r="E233">
        <v>5</v>
      </c>
      <c r="F233">
        <v>3</v>
      </c>
      <c r="G233">
        <v>9</v>
      </c>
      <c r="H233" t="s">
        <v>506</v>
      </c>
      <c r="I233" t="s">
        <v>432</v>
      </c>
      <c r="J233" t="s">
        <v>432</v>
      </c>
      <c r="K233" t="s">
        <v>432</v>
      </c>
      <c r="L233" t="s">
        <v>479</v>
      </c>
      <c r="M233" t="s">
        <v>2180</v>
      </c>
      <c r="N233" t="s">
        <v>432</v>
      </c>
      <c r="O233" t="s">
        <v>432</v>
      </c>
      <c r="P233" t="s">
        <v>432</v>
      </c>
      <c r="Q233" t="s">
        <v>432</v>
      </c>
      <c r="R233" t="s">
        <v>432</v>
      </c>
      <c r="S233" t="s">
        <v>432</v>
      </c>
      <c r="T233" t="s">
        <v>432</v>
      </c>
      <c r="U233" t="s">
        <v>432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4</v>
      </c>
      <c r="AE233">
        <v>3</v>
      </c>
      <c r="AF233">
        <v>0</v>
      </c>
      <c r="AG233">
        <v>2</v>
      </c>
      <c r="AH233">
        <v>3060</v>
      </c>
      <c r="AI233" t="s">
        <v>1176</v>
      </c>
      <c r="AJ233">
        <v>0</v>
      </c>
      <c r="AK233" t="s">
        <v>432</v>
      </c>
      <c r="AL233" t="s">
        <v>2189</v>
      </c>
      <c r="AM233">
        <v>0.3</v>
      </c>
      <c r="AN233">
        <v>0.23</v>
      </c>
      <c r="AO233">
        <v>0.15</v>
      </c>
      <c r="AP233">
        <v>0.38</v>
      </c>
      <c r="AQ233">
        <v>1</v>
      </c>
      <c r="AR233" t="s">
        <v>2190</v>
      </c>
      <c r="AS233">
        <v>0</v>
      </c>
      <c r="AT233">
        <v>0</v>
      </c>
      <c r="AU233">
        <v>10</v>
      </c>
      <c r="AV233">
        <v>9001</v>
      </c>
      <c r="AW233">
        <v>0</v>
      </c>
      <c r="AX233">
        <f>COUNTIF('Equip Data'!A:A,A233)</f>
        <v>1</v>
      </c>
    </row>
    <row r="234" spans="1:50" x14ac:dyDescent="0.25">
      <c r="A234">
        <v>235</v>
      </c>
      <c r="B234" t="s">
        <v>2191</v>
      </c>
      <c r="C234" t="s">
        <v>2192</v>
      </c>
      <c r="D234" t="s">
        <v>2193</v>
      </c>
      <c r="E234">
        <v>5</v>
      </c>
      <c r="F234">
        <v>2</v>
      </c>
      <c r="G234">
        <v>7</v>
      </c>
      <c r="H234" t="s">
        <v>432</v>
      </c>
      <c r="I234" t="s">
        <v>460</v>
      </c>
      <c r="J234" t="s">
        <v>432</v>
      </c>
      <c r="K234" t="s">
        <v>432</v>
      </c>
      <c r="L234" t="s">
        <v>432</v>
      </c>
      <c r="M234" t="s">
        <v>432</v>
      </c>
      <c r="N234" t="s">
        <v>432</v>
      </c>
      <c r="O234" t="s">
        <v>432</v>
      </c>
      <c r="P234" t="s">
        <v>432</v>
      </c>
      <c r="Q234" t="s">
        <v>432</v>
      </c>
      <c r="R234" t="s">
        <v>432</v>
      </c>
      <c r="S234" t="s">
        <v>432</v>
      </c>
      <c r="T234" t="s">
        <v>432</v>
      </c>
      <c r="U234" t="s">
        <v>432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1</v>
      </c>
      <c r="AE234">
        <v>4</v>
      </c>
      <c r="AF234">
        <v>1</v>
      </c>
      <c r="AG234">
        <v>3</v>
      </c>
      <c r="AH234">
        <v>3420</v>
      </c>
      <c r="AI234" t="s">
        <v>1176</v>
      </c>
      <c r="AJ234">
        <v>0</v>
      </c>
      <c r="AK234" t="s">
        <v>432</v>
      </c>
      <c r="AL234" t="s">
        <v>2194</v>
      </c>
      <c r="AM234">
        <v>0.08</v>
      </c>
      <c r="AN234">
        <v>0.39</v>
      </c>
      <c r="AO234">
        <v>0.08</v>
      </c>
      <c r="AP234">
        <v>0.48</v>
      </c>
      <c r="AQ234">
        <v>1</v>
      </c>
      <c r="AR234" t="s">
        <v>1432</v>
      </c>
      <c r="AS234">
        <v>0</v>
      </c>
      <c r="AT234">
        <v>300902</v>
      </c>
      <c r="AU234">
        <v>10</v>
      </c>
      <c r="AV234">
        <v>7008</v>
      </c>
      <c r="AW234">
        <v>0</v>
      </c>
      <c r="AX234">
        <f>COUNTIF('Equip Data'!A:A,A234)</f>
        <v>1</v>
      </c>
    </row>
    <row r="235" spans="1:50" x14ac:dyDescent="0.25">
      <c r="A235">
        <v>236</v>
      </c>
      <c r="B235" t="s">
        <v>2195</v>
      </c>
      <c r="C235" t="s">
        <v>2196</v>
      </c>
      <c r="D235" t="s">
        <v>2197</v>
      </c>
      <c r="E235">
        <v>5</v>
      </c>
      <c r="F235">
        <v>3</v>
      </c>
      <c r="G235">
        <v>10</v>
      </c>
      <c r="H235" t="s">
        <v>466</v>
      </c>
      <c r="I235" t="s">
        <v>432</v>
      </c>
      <c r="J235" t="s">
        <v>467</v>
      </c>
      <c r="K235" t="s">
        <v>432</v>
      </c>
      <c r="L235" t="s">
        <v>432</v>
      </c>
      <c r="M235" t="s">
        <v>432</v>
      </c>
      <c r="N235" t="s">
        <v>432</v>
      </c>
      <c r="O235" t="s">
        <v>432</v>
      </c>
      <c r="P235" t="s">
        <v>432</v>
      </c>
      <c r="Q235" t="s">
        <v>432</v>
      </c>
      <c r="R235" t="s">
        <v>432</v>
      </c>
      <c r="S235" t="s">
        <v>432</v>
      </c>
      <c r="T235" t="s">
        <v>432</v>
      </c>
      <c r="U235" t="s">
        <v>432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4</v>
      </c>
      <c r="AE235">
        <v>2</v>
      </c>
      <c r="AF235">
        <v>0</v>
      </c>
      <c r="AG235">
        <v>4</v>
      </c>
      <c r="AH235">
        <v>3120</v>
      </c>
      <c r="AI235" t="s">
        <v>2198</v>
      </c>
      <c r="AJ235">
        <v>0</v>
      </c>
      <c r="AK235" t="s">
        <v>2199</v>
      </c>
      <c r="AL235" t="s">
        <v>2200</v>
      </c>
      <c r="AM235">
        <v>0.3</v>
      </c>
      <c r="AN235">
        <v>0.25</v>
      </c>
      <c r="AO235">
        <v>0.12</v>
      </c>
      <c r="AP235">
        <v>0.38</v>
      </c>
      <c r="AQ235">
        <v>3</v>
      </c>
      <c r="AR235" t="s">
        <v>2201</v>
      </c>
      <c r="AS235">
        <v>0</v>
      </c>
      <c r="AT235">
        <v>0</v>
      </c>
      <c r="AU235">
        <v>10</v>
      </c>
      <c r="AV235">
        <v>10010</v>
      </c>
      <c r="AW235">
        <v>0</v>
      </c>
      <c r="AX235">
        <f>COUNTIF('Equip Data'!A:A,A235)</f>
        <v>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02"/>
  <sheetViews>
    <sheetView workbookViewId="0">
      <pane ySplit="1" topLeftCell="A176" activePane="bottomLeft" state="frozen"/>
      <selection activeCell="B185" sqref="B185:B202"/>
      <selection pane="bottomLeft" activeCell="B185" sqref="B185:B202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2" x14ac:dyDescent="0.25">
      <c r="A1" s="43" t="s">
        <v>25</v>
      </c>
      <c r="B1" s="43" t="s">
        <v>425</v>
      </c>
      <c r="C1" s="43" t="s">
        <v>297</v>
      </c>
      <c r="D1" s="43" t="s">
        <v>415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416</v>
      </c>
      <c r="J1" s="43" t="s">
        <v>40</v>
      </c>
      <c r="K1" s="43" t="s">
        <v>417</v>
      </c>
      <c r="L1" s="43" t="s">
        <v>418</v>
      </c>
      <c r="M1" s="43" t="s">
        <v>298</v>
      </c>
      <c r="N1" s="43" t="s">
        <v>381</v>
      </c>
      <c r="O1" s="43" t="s">
        <v>419</v>
      </c>
      <c r="P1" s="43" t="s">
        <v>420</v>
      </c>
      <c r="Q1" s="43" t="s">
        <v>421</v>
      </c>
      <c r="R1" s="43" t="s">
        <v>422</v>
      </c>
      <c r="S1" s="43" t="s">
        <v>423</v>
      </c>
      <c r="T1" s="43" t="s">
        <v>424</v>
      </c>
      <c r="U1" s="43" t="s">
        <v>426</v>
      </c>
      <c r="V1" s="43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813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844</v>
      </c>
      <c r="C38" s="1" t="s">
        <v>813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878</v>
      </c>
      <c r="C39" s="1" t="s">
        <v>813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849</v>
      </c>
      <c r="C40" s="1" t="s">
        <v>813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819</v>
      </c>
      <c r="C59" s="1" t="s">
        <v>813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820</v>
      </c>
      <c r="C60" s="1" t="s">
        <v>813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821</v>
      </c>
      <c r="C61" s="1" t="s">
        <v>813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848</v>
      </c>
      <c r="C62" s="1" t="s">
        <v>813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853</v>
      </c>
      <c r="C67" s="1" t="s">
        <v>813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850</v>
      </c>
      <c r="C68" s="1" t="s">
        <v>813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832</v>
      </c>
      <c r="C69" s="1" t="s">
        <v>813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813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813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813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813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813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861</v>
      </c>
      <c r="C75" s="1" t="s">
        <v>813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1011</v>
      </c>
      <c r="C76" s="1" t="s">
        <v>813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813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813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813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813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1010</v>
      </c>
      <c r="C81" s="1" t="s">
        <v>813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813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934</v>
      </c>
      <c r="C83" s="1" t="s">
        <v>813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813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813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833</v>
      </c>
      <c r="C86" s="1" t="s">
        <v>813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834</v>
      </c>
      <c r="C87" s="1" t="s">
        <v>813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822</v>
      </c>
      <c r="C88" s="1" t="s">
        <v>813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813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864</v>
      </c>
      <c r="C90" s="1" t="s">
        <v>813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1012</v>
      </c>
      <c r="C91" s="1" t="s">
        <v>813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813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813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855</v>
      </c>
      <c r="C94" s="1" t="s">
        <v>813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996</v>
      </c>
      <c r="C95" s="1" t="s">
        <v>813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813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1013</v>
      </c>
      <c r="C97" s="1" t="s">
        <v>813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813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813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813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813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813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998</v>
      </c>
      <c r="C103" s="1" t="s">
        <v>813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880</v>
      </c>
      <c r="C104" s="1" t="s">
        <v>813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881</v>
      </c>
      <c r="C105" s="1" t="s">
        <v>813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883</v>
      </c>
      <c r="C106" s="1" t="s">
        <v>813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884</v>
      </c>
      <c r="C107" s="1" t="s">
        <v>813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1017</v>
      </c>
      <c r="C108" s="1" t="s">
        <v>813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879</v>
      </c>
      <c r="C109" s="1" t="s">
        <v>813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882</v>
      </c>
      <c r="C110" s="1" t="s">
        <v>813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885</v>
      </c>
      <c r="C111" s="1" t="s">
        <v>813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856</v>
      </c>
      <c r="C112" s="1" t="s">
        <v>813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838</v>
      </c>
      <c r="C113" s="1" t="s">
        <v>813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851</v>
      </c>
      <c r="C114" s="1" t="s">
        <v>813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857</v>
      </c>
      <c r="C115" s="1" t="s">
        <v>813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858</v>
      </c>
      <c r="C116" s="1" t="s">
        <v>813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813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841</v>
      </c>
      <c r="C118" s="1" t="s">
        <v>813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865</v>
      </c>
      <c r="C119" s="1" t="s">
        <v>813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866</v>
      </c>
      <c r="C120" s="1" t="s">
        <v>813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813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813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813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1009</v>
      </c>
      <c r="C124" s="1" t="s">
        <v>813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1014</v>
      </c>
      <c r="C125" s="1" t="s">
        <v>813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813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823</v>
      </c>
      <c r="C127" s="1" t="s">
        <v>813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824</v>
      </c>
      <c r="C128" s="1" t="s">
        <v>813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813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867</v>
      </c>
      <c r="C130" s="1" t="s">
        <v>813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813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859</v>
      </c>
      <c r="C132" s="1" t="s">
        <v>813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829</v>
      </c>
      <c r="C133" s="1" t="s">
        <v>813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868</v>
      </c>
      <c r="C134" s="1" t="s">
        <v>813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875</v>
      </c>
      <c r="C135" s="1" t="s">
        <v>813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813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813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860</v>
      </c>
      <c r="C138" s="1" t="s">
        <v>813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813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846</v>
      </c>
      <c r="C140" s="1" t="s">
        <v>813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842</v>
      </c>
      <c r="C141" s="1" t="s">
        <v>813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813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1004</v>
      </c>
      <c r="C143" s="1" t="s">
        <v>813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831</v>
      </c>
      <c r="C144" s="1" t="s">
        <v>813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813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813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813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813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839</v>
      </c>
      <c r="C149" s="1" t="s">
        <v>813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813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813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869</v>
      </c>
      <c r="C152" s="1" t="s">
        <v>813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813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813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870</v>
      </c>
      <c r="C155" s="1" t="s">
        <v>813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871</v>
      </c>
      <c r="C156" s="1" t="s">
        <v>813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1000</v>
      </c>
      <c r="C157" s="1" t="s">
        <v>813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1001</v>
      </c>
      <c r="C158" s="1" t="s">
        <v>813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993</v>
      </c>
      <c r="C159" s="1" t="s">
        <v>813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854</v>
      </c>
      <c r="C160" s="1" t="s">
        <v>813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872</v>
      </c>
      <c r="C161" s="1" t="s">
        <v>813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813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873</v>
      </c>
      <c r="C163" s="1" t="s">
        <v>813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813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813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840</v>
      </c>
      <c r="C166" s="1" t="s">
        <v>813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840</v>
      </c>
      <c r="C167" s="1" t="s">
        <v>813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840</v>
      </c>
      <c r="C168" s="1" t="s">
        <v>813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825</v>
      </c>
      <c r="C169" s="1" t="s">
        <v>813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825</v>
      </c>
      <c r="C170" s="1" t="s">
        <v>813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825</v>
      </c>
      <c r="C171" s="1" t="s">
        <v>813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999</v>
      </c>
      <c r="C172" s="1" t="s">
        <v>813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843</v>
      </c>
      <c r="C173" s="1" t="s">
        <v>813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1002</v>
      </c>
      <c r="C174" s="1" t="s">
        <v>813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826</v>
      </c>
      <c r="C175" s="1" t="s">
        <v>813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813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3" x14ac:dyDescent="0.25">
      <c r="A177" s="1">
        <v>210</v>
      </c>
      <c r="B177" t="s">
        <v>874</v>
      </c>
      <c r="C177" s="1" t="s">
        <v>813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60" t="s">
        <v>623</v>
      </c>
    </row>
    <row r="178" spans="1:23" x14ac:dyDescent="0.25">
      <c r="A178" s="1">
        <v>211</v>
      </c>
      <c r="B178" t="s">
        <v>836</v>
      </c>
      <c r="C178" s="1" t="s">
        <v>813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60" t="s">
        <v>624</v>
      </c>
    </row>
    <row r="179" spans="1:23" x14ac:dyDescent="0.25">
      <c r="A179" s="1">
        <v>212</v>
      </c>
      <c r="B179" t="s">
        <v>997</v>
      </c>
      <c r="C179" s="1" t="s">
        <v>813</v>
      </c>
      <c r="D179" s="1">
        <v>2</v>
      </c>
      <c r="E179" s="1">
        <v>5</v>
      </c>
      <c r="F179" s="1" t="s">
        <v>439</v>
      </c>
      <c r="G179" s="1" t="s">
        <v>432</v>
      </c>
      <c r="H179" s="1" t="s">
        <v>432</v>
      </c>
      <c r="I179" s="1" t="s">
        <v>432</v>
      </c>
      <c r="J179" s="1" t="s">
        <v>432</v>
      </c>
      <c r="K179" s="1" t="s">
        <v>432</v>
      </c>
      <c r="L179" s="1" t="s">
        <v>432</v>
      </c>
      <c r="M179" s="1" t="s">
        <v>456</v>
      </c>
      <c r="N179" s="1" t="s">
        <v>432</v>
      </c>
      <c r="O179" s="1" t="s">
        <v>432</v>
      </c>
      <c r="P179" s="1" t="s">
        <v>432</v>
      </c>
      <c r="Q179" s="1" t="s">
        <v>432</v>
      </c>
      <c r="R179" s="1" t="s">
        <v>432</v>
      </c>
      <c r="S179" s="1" t="s">
        <v>432</v>
      </c>
      <c r="T179" s="1">
        <v>0</v>
      </c>
      <c r="U179" s="1">
        <v>3300</v>
      </c>
      <c r="V179" s="160" t="s">
        <v>1081</v>
      </c>
    </row>
    <row r="180" spans="1:23" x14ac:dyDescent="0.25">
      <c r="A180" s="1">
        <v>213</v>
      </c>
      <c r="B180" t="s">
        <v>1005</v>
      </c>
      <c r="C180" s="1" t="s">
        <v>813</v>
      </c>
      <c r="D180" s="1">
        <v>3</v>
      </c>
      <c r="E180" s="1">
        <v>10</v>
      </c>
      <c r="F180" s="1" t="s">
        <v>432</v>
      </c>
      <c r="G180" s="1" t="s">
        <v>432</v>
      </c>
      <c r="H180" s="1" t="s">
        <v>489</v>
      </c>
      <c r="I180" s="1" t="s">
        <v>432</v>
      </c>
      <c r="J180" s="1" t="s">
        <v>432</v>
      </c>
      <c r="K180" s="1" t="s">
        <v>432</v>
      </c>
      <c r="L180" s="1" t="s">
        <v>432</v>
      </c>
      <c r="M180" s="1" t="s">
        <v>432</v>
      </c>
      <c r="N180" s="1" t="s">
        <v>439</v>
      </c>
      <c r="O180" s="1" t="s">
        <v>432</v>
      </c>
      <c r="P180" s="1" t="s">
        <v>432</v>
      </c>
      <c r="Q180" s="1" t="s">
        <v>432</v>
      </c>
      <c r="R180" s="1" t="s">
        <v>432</v>
      </c>
      <c r="S180" s="1" t="s">
        <v>432</v>
      </c>
      <c r="T180" s="1">
        <v>0</v>
      </c>
      <c r="U180" s="1">
        <v>3120</v>
      </c>
      <c r="V180" s="160" t="s">
        <v>1082</v>
      </c>
    </row>
    <row r="181" spans="1:23" x14ac:dyDescent="0.25">
      <c r="A181" s="1">
        <v>214</v>
      </c>
      <c r="B181" t="s">
        <v>994</v>
      </c>
      <c r="C181" s="1" t="s">
        <v>813</v>
      </c>
      <c r="D181" s="1">
        <v>3</v>
      </c>
      <c r="E181" s="1">
        <v>9</v>
      </c>
      <c r="F181" s="1" t="s">
        <v>439</v>
      </c>
      <c r="G181" s="1" t="s">
        <v>432</v>
      </c>
      <c r="H181" s="1" t="s">
        <v>467</v>
      </c>
      <c r="I181" s="1" t="s">
        <v>432</v>
      </c>
      <c r="J181" s="1" t="s">
        <v>432</v>
      </c>
      <c r="K181" s="1" t="s">
        <v>432</v>
      </c>
      <c r="L181" s="1" t="s">
        <v>432</v>
      </c>
      <c r="M181" s="1" t="s">
        <v>432</v>
      </c>
      <c r="N181" s="1" t="s">
        <v>432</v>
      </c>
      <c r="O181" s="1" t="s">
        <v>432</v>
      </c>
      <c r="P181" s="1" t="s">
        <v>432</v>
      </c>
      <c r="Q181" s="1" t="s">
        <v>432</v>
      </c>
      <c r="R181" s="1" t="s">
        <v>432</v>
      </c>
      <c r="S181" s="1" t="s">
        <v>432</v>
      </c>
      <c r="T181" s="1">
        <v>0</v>
      </c>
      <c r="U181" s="1">
        <v>3600</v>
      </c>
      <c r="V181" s="160" t="s">
        <v>1083</v>
      </c>
    </row>
    <row r="182" spans="1:23" x14ac:dyDescent="0.25">
      <c r="A182" s="1">
        <v>215</v>
      </c>
      <c r="B182" t="s">
        <v>1003</v>
      </c>
      <c r="C182" s="1" t="s">
        <v>813</v>
      </c>
      <c r="D182" s="1">
        <v>2</v>
      </c>
      <c r="E182" s="1">
        <v>5</v>
      </c>
      <c r="F182" s="1" t="s">
        <v>439</v>
      </c>
      <c r="G182" s="1" t="s">
        <v>432</v>
      </c>
      <c r="H182" s="1" t="s">
        <v>432</v>
      </c>
      <c r="I182" s="1" t="s">
        <v>432</v>
      </c>
      <c r="J182" s="1" t="s">
        <v>432</v>
      </c>
      <c r="K182" s="1" t="s">
        <v>432</v>
      </c>
      <c r="L182" s="1" t="s">
        <v>432</v>
      </c>
      <c r="M182" s="1" t="s">
        <v>456</v>
      </c>
      <c r="N182" s="1" t="s">
        <v>432</v>
      </c>
      <c r="O182" s="1" t="s">
        <v>432</v>
      </c>
      <c r="P182" s="1" t="s">
        <v>432</v>
      </c>
      <c r="Q182" s="1" t="s">
        <v>432</v>
      </c>
      <c r="R182" s="1" t="s">
        <v>432</v>
      </c>
      <c r="S182" s="1" t="s">
        <v>432</v>
      </c>
      <c r="T182" s="1">
        <v>0</v>
      </c>
      <c r="U182" s="1">
        <v>3300</v>
      </c>
      <c r="V182" s="160" t="s">
        <v>1084</v>
      </c>
    </row>
    <row r="183" spans="1:23" x14ac:dyDescent="0.25">
      <c r="A183" s="1">
        <v>216</v>
      </c>
      <c r="B183" t="s">
        <v>953</v>
      </c>
      <c r="C183" s="1" t="s">
        <v>813</v>
      </c>
      <c r="D183" s="1">
        <v>2</v>
      </c>
      <c r="E183" s="1">
        <v>7</v>
      </c>
      <c r="F183" s="1" t="s">
        <v>462</v>
      </c>
      <c r="G183" s="1" t="s">
        <v>432</v>
      </c>
      <c r="H183" s="1" t="s">
        <v>432</v>
      </c>
      <c r="I183" s="1" t="s">
        <v>432</v>
      </c>
      <c r="J183" s="1" t="s">
        <v>432</v>
      </c>
      <c r="K183" s="1" t="s">
        <v>432</v>
      </c>
      <c r="L183" s="1" t="s">
        <v>489</v>
      </c>
      <c r="M183" s="1" t="s">
        <v>432</v>
      </c>
      <c r="N183" s="1" t="s">
        <v>432</v>
      </c>
      <c r="O183" s="1" t="s">
        <v>432</v>
      </c>
      <c r="P183" s="1" t="s">
        <v>432</v>
      </c>
      <c r="Q183" s="1" t="s">
        <v>432</v>
      </c>
      <c r="R183" s="1" t="s">
        <v>432</v>
      </c>
      <c r="S183" s="1" t="s">
        <v>432</v>
      </c>
      <c r="T183" s="1">
        <v>0</v>
      </c>
      <c r="U183" s="1">
        <v>3240</v>
      </c>
      <c r="V183" s="160" t="s">
        <v>1085</v>
      </c>
    </row>
    <row r="184" spans="1:23" x14ac:dyDescent="0.25">
      <c r="A184" s="1">
        <v>217</v>
      </c>
      <c r="B184" t="s">
        <v>103</v>
      </c>
      <c r="C184" s="1" t="s">
        <v>813</v>
      </c>
      <c r="D184" s="1">
        <v>1</v>
      </c>
      <c r="E184" s="1">
        <v>1</v>
      </c>
      <c r="F184" s="1" t="s">
        <v>468</v>
      </c>
      <c r="G184" s="1" t="s">
        <v>432</v>
      </c>
      <c r="H184" s="1" t="s">
        <v>432</v>
      </c>
      <c r="I184" s="1" t="s">
        <v>432</v>
      </c>
      <c r="J184" s="1" t="s">
        <v>432</v>
      </c>
      <c r="K184" s="1" t="s">
        <v>432</v>
      </c>
      <c r="L184" s="1" t="s">
        <v>500</v>
      </c>
      <c r="M184" s="1" t="s">
        <v>432</v>
      </c>
      <c r="N184" s="1" t="s">
        <v>432</v>
      </c>
      <c r="O184" s="1" t="s">
        <v>432</v>
      </c>
      <c r="P184" s="1" t="s">
        <v>432</v>
      </c>
      <c r="Q184" s="1" t="s">
        <v>432</v>
      </c>
      <c r="R184" s="1" t="s">
        <v>432</v>
      </c>
      <c r="S184" s="1" t="s">
        <v>432</v>
      </c>
      <c r="T184" s="1">
        <v>0</v>
      </c>
      <c r="U184" s="1">
        <v>3600</v>
      </c>
      <c r="V184" s="160" t="s">
        <v>1080</v>
      </c>
    </row>
    <row r="185" spans="1:23" x14ac:dyDescent="0.25">
      <c r="A185" s="1">
        <v>218</v>
      </c>
      <c r="B185" t="s">
        <v>140</v>
      </c>
      <c r="C185" s="1">
        <v>5</v>
      </c>
      <c r="D185" s="1">
        <v>3</v>
      </c>
      <c r="E185" s="1">
        <v>10</v>
      </c>
      <c r="F185" s="1" t="s">
        <v>432</v>
      </c>
      <c r="G185" s="1" t="s">
        <v>432</v>
      </c>
      <c r="H185" s="1" t="s">
        <v>593</v>
      </c>
      <c r="I185" s="1" t="s">
        <v>432</v>
      </c>
      <c r="J185" s="1" t="s">
        <v>432</v>
      </c>
      <c r="K185" s="1" t="s">
        <v>432</v>
      </c>
      <c r="L185" s="1" t="s">
        <v>432</v>
      </c>
      <c r="M185" s="1" t="s">
        <v>432</v>
      </c>
      <c r="N185" s="1" t="s">
        <v>432</v>
      </c>
      <c r="O185" s="1" t="s">
        <v>432</v>
      </c>
      <c r="P185" s="1" t="s">
        <v>432</v>
      </c>
      <c r="Q185" s="1" t="s">
        <v>432</v>
      </c>
      <c r="R185" s="1" t="s">
        <v>432</v>
      </c>
      <c r="S185" s="1" t="s">
        <v>432</v>
      </c>
      <c r="T185" s="1">
        <v>0</v>
      </c>
      <c r="U185" s="1">
        <v>3120</v>
      </c>
      <c r="V185" s="160" t="s">
        <v>2111</v>
      </c>
      <c r="W185">
        <v>0</v>
      </c>
    </row>
    <row r="186" spans="1:23" x14ac:dyDescent="0.25">
      <c r="A186" s="1">
        <v>219</v>
      </c>
      <c r="B186" t="s">
        <v>2202</v>
      </c>
      <c r="C186" s="1">
        <v>5</v>
      </c>
      <c r="D186" s="1">
        <v>1</v>
      </c>
      <c r="E186" s="1">
        <v>13</v>
      </c>
      <c r="F186" s="1" t="s">
        <v>435</v>
      </c>
      <c r="G186" s="1" t="s">
        <v>432</v>
      </c>
      <c r="H186" s="1" t="s">
        <v>445</v>
      </c>
      <c r="I186" s="1" t="s">
        <v>432</v>
      </c>
      <c r="J186" s="1" t="s">
        <v>432</v>
      </c>
      <c r="K186" s="1" t="s">
        <v>432</v>
      </c>
      <c r="L186" s="1" t="s">
        <v>432</v>
      </c>
      <c r="M186" s="1" t="s">
        <v>432</v>
      </c>
      <c r="N186" s="1" t="s">
        <v>432</v>
      </c>
      <c r="O186" s="1" t="s">
        <v>432</v>
      </c>
      <c r="P186" s="1" t="s">
        <v>432</v>
      </c>
      <c r="Q186" s="1" t="s">
        <v>432</v>
      </c>
      <c r="R186" s="1" t="s">
        <v>432</v>
      </c>
      <c r="S186" s="1" t="s">
        <v>432</v>
      </c>
      <c r="T186" s="1">
        <v>0</v>
      </c>
      <c r="U186" s="1">
        <v>2820</v>
      </c>
      <c r="V186" s="160" t="s">
        <v>1094</v>
      </c>
      <c r="W186">
        <v>0</v>
      </c>
    </row>
    <row r="187" spans="1:23" x14ac:dyDescent="0.25">
      <c r="A187" s="1">
        <v>220</v>
      </c>
      <c r="B187" t="s">
        <v>127</v>
      </c>
      <c r="C187" s="1">
        <v>5</v>
      </c>
      <c r="D187" s="1">
        <v>1</v>
      </c>
      <c r="E187" s="1">
        <v>16</v>
      </c>
      <c r="F187" s="1" t="s">
        <v>432</v>
      </c>
      <c r="G187" s="1" t="s">
        <v>465</v>
      </c>
      <c r="H187" s="1" t="s">
        <v>432</v>
      </c>
      <c r="I187" s="1" t="s">
        <v>432</v>
      </c>
      <c r="J187" s="1" t="s">
        <v>432</v>
      </c>
      <c r="K187" s="1" t="s">
        <v>439</v>
      </c>
      <c r="L187" s="1" t="s">
        <v>432</v>
      </c>
      <c r="M187" s="1" t="s">
        <v>432</v>
      </c>
      <c r="N187" s="1" t="s">
        <v>432</v>
      </c>
      <c r="O187" s="1" t="s">
        <v>432</v>
      </c>
      <c r="P187" s="1" t="s">
        <v>432</v>
      </c>
      <c r="Q187" s="1" t="s">
        <v>432</v>
      </c>
      <c r="R187" s="1" t="s">
        <v>432</v>
      </c>
      <c r="S187" s="1" t="s">
        <v>432</v>
      </c>
      <c r="T187" s="1">
        <v>0</v>
      </c>
      <c r="U187" s="1">
        <v>2820</v>
      </c>
      <c r="V187" s="160" t="s">
        <v>2121</v>
      </c>
      <c r="W187">
        <v>0</v>
      </c>
    </row>
    <row r="188" spans="1:23" x14ac:dyDescent="0.25">
      <c r="A188" s="1">
        <v>222</v>
      </c>
      <c r="B188" t="s">
        <v>2214</v>
      </c>
      <c r="C188" s="1">
        <v>3</v>
      </c>
      <c r="D188" s="1">
        <v>1</v>
      </c>
      <c r="E188" s="1">
        <v>16</v>
      </c>
      <c r="F188" s="1" t="s">
        <v>432</v>
      </c>
      <c r="G188" s="1" t="s">
        <v>439</v>
      </c>
      <c r="H188" s="1" t="s">
        <v>432</v>
      </c>
      <c r="I188" s="1" t="s">
        <v>432</v>
      </c>
      <c r="J188" s="1" t="s">
        <v>432</v>
      </c>
      <c r="K188" s="1" t="s">
        <v>432</v>
      </c>
      <c r="L188" s="1" t="s">
        <v>428</v>
      </c>
      <c r="M188" s="1" t="s">
        <v>432</v>
      </c>
      <c r="N188" s="1" t="s">
        <v>432</v>
      </c>
      <c r="O188" s="1" t="s">
        <v>432</v>
      </c>
      <c r="P188" s="1" t="s">
        <v>432</v>
      </c>
      <c r="Q188" s="1" t="s">
        <v>432</v>
      </c>
      <c r="R188" s="1" t="s">
        <v>432</v>
      </c>
      <c r="S188" s="1" t="s">
        <v>432</v>
      </c>
      <c r="T188" s="1">
        <v>0</v>
      </c>
      <c r="U188" s="1">
        <v>2040</v>
      </c>
      <c r="V188" s="160" t="s">
        <v>432</v>
      </c>
      <c r="W188">
        <v>0</v>
      </c>
    </row>
    <row r="189" spans="1:23" x14ac:dyDescent="0.25">
      <c r="A189" s="1">
        <v>223</v>
      </c>
      <c r="B189" t="s">
        <v>2215</v>
      </c>
      <c r="C189" s="1">
        <v>4</v>
      </c>
      <c r="D189" s="1">
        <v>1</v>
      </c>
      <c r="E189" s="1">
        <v>16</v>
      </c>
      <c r="F189" s="1" t="s">
        <v>432</v>
      </c>
      <c r="G189" s="1" t="s">
        <v>544</v>
      </c>
      <c r="H189" s="1" t="s">
        <v>432</v>
      </c>
      <c r="I189" s="1" t="s">
        <v>432</v>
      </c>
      <c r="J189" s="1" t="s">
        <v>432</v>
      </c>
      <c r="K189" s="1" t="s">
        <v>432</v>
      </c>
      <c r="L189" s="1" t="s">
        <v>429</v>
      </c>
      <c r="M189" s="1" t="s">
        <v>432</v>
      </c>
      <c r="N189" s="1" t="s">
        <v>432</v>
      </c>
      <c r="O189" s="1" t="s">
        <v>432</v>
      </c>
      <c r="P189" s="1" t="s">
        <v>432</v>
      </c>
      <c r="Q189" s="1" t="s">
        <v>432</v>
      </c>
      <c r="R189" s="1" t="s">
        <v>432</v>
      </c>
      <c r="S189" s="1" t="s">
        <v>432</v>
      </c>
      <c r="T189" s="1">
        <v>0</v>
      </c>
      <c r="U189" s="1">
        <v>2940</v>
      </c>
      <c r="V189" s="160" t="s">
        <v>432</v>
      </c>
      <c r="W189">
        <v>0</v>
      </c>
    </row>
    <row r="190" spans="1:23" x14ac:dyDescent="0.25">
      <c r="A190" s="1">
        <v>224</v>
      </c>
      <c r="B190" t="s">
        <v>2216</v>
      </c>
      <c r="C190" s="1">
        <v>5</v>
      </c>
      <c r="D190" s="1">
        <v>1</v>
      </c>
      <c r="E190" s="1">
        <v>16</v>
      </c>
      <c r="F190" s="1" t="s">
        <v>432</v>
      </c>
      <c r="G190" s="1" t="s">
        <v>463</v>
      </c>
      <c r="H190" s="1" t="s">
        <v>432</v>
      </c>
      <c r="I190" s="1" t="s">
        <v>432</v>
      </c>
      <c r="J190" s="1" t="s">
        <v>432</v>
      </c>
      <c r="K190" s="1" t="s">
        <v>432</v>
      </c>
      <c r="L190" s="1" t="s">
        <v>2141</v>
      </c>
      <c r="M190" s="1" t="s">
        <v>432</v>
      </c>
      <c r="N190" s="1" t="s">
        <v>432</v>
      </c>
      <c r="O190" s="1" t="s">
        <v>432</v>
      </c>
      <c r="P190" s="1" t="s">
        <v>432</v>
      </c>
      <c r="Q190" s="1" t="s">
        <v>432</v>
      </c>
      <c r="R190" s="1" t="s">
        <v>432</v>
      </c>
      <c r="S190" s="1" t="s">
        <v>432</v>
      </c>
      <c r="T190" s="1">
        <v>0</v>
      </c>
      <c r="U190" s="1">
        <v>3540</v>
      </c>
      <c r="V190" s="160" t="s">
        <v>432</v>
      </c>
      <c r="W190">
        <v>0</v>
      </c>
    </row>
    <row r="191" spans="1:23" x14ac:dyDescent="0.25">
      <c r="A191" s="1">
        <v>225</v>
      </c>
      <c r="B191" t="s">
        <v>2213</v>
      </c>
      <c r="C191" s="1">
        <v>5</v>
      </c>
      <c r="D191" s="1">
        <v>2</v>
      </c>
      <c r="E191" s="1">
        <v>6</v>
      </c>
      <c r="F191" s="1" t="s">
        <v>432</v>
      </c>
      <c r="G191" s="1" t="s">
        <v>432</v>
      </c>
      <c r="H191" s="1" t="s">
        <v>432</v>
      </c>
      <c r="I191" s="1" t="s">
        <v>432</v>
      </c>
      <c r="J191" s="1" t="s">
        <v>480</v>
      </c>
      <c r="K191" s="1" t="s">
        <v>432</v>
      </c>
      <c r="L191" s="1" t="s">
        <v>432</v>
      </c>
      <c r="M191" s="1" t="s">
        <v>432</v>
      </c>
      <c r="N191" s="1" t="s">
        <v>432</v>
      </c>
      <c r="O191" s="1" t="s">
        <v>432</v>
      </c>
      <c r="P191" s="1" t="s">
        <v>432</v>
      </c>
      <c r="Q191" s="1" t="s">
        <v>432</v>
      </c>
      <c r="R191" s="1" t="s">
        <v>432</v>
      </c>
      <c r="S191" s="1" t="s">
        <v>432</v>
      </c>
      <c r="T191" s="1">
        <v>0</v>
      </c>
      <c r="U191" s="1">
        <v>3420</v>
      </c>
      <c r="V191" s="160" t="s">
        <v>432</v>
      </c>
      <c r="W191">
        <v>0</v>
      </c>
    </row>
    <row r="192" spans="1:23" x14ac:dyDescent="0.25">
      <c r="A192" s="1">
        <v>226</v>
      </c>
      <c r="B192" t="s">
        <v>2212</v>
      </c>
      <c r="C192" s="1">
        <v>4</v>
      </c>
      <c r="D192" s="1">
        <v>2</v>
      </c>
      <c r="E192" s="1">
        <v>5</v>
      </c>
      <c r="F192" s="1" t="s">
        <v>575</v>
      </c>
      <c r="G192" s="1" t="s">
        <v>432</v>
      </c>
      <c r="H192" s="1" t="s">
        <v>432</v>
      </c>
      <c r="I192" s="1" t="s">
        <v>432</v>
      </c>
      <c r="J192" s="1" t="s">
        <v>432</v>
      </c>
      <c r="K192" s="1" t="s">
        <v>432</v>
      </c>
      <c r="L192" s="1" t="s">
        <v>432</v>
      </c>
      <c r="M192" s="1" t="s">
        <v>2150</v>
      </c>
      <c r="N192" s="1" t="s">
        <v>432</v>
      </c>
      <c r="O192" s="1" t="s">
        <v>432</v>
      </c>
      <c r="P192" s="1" t="s">
        <v>432</v>
      </c>
      <c r="Q192" s="1" t="s">
        <v>432</v>
      </c>
      <c r="R192" s="1" t="s">
        <v>432</v>
      </c>
      <c r="S192" s="1" t="s">
        <v>432</v>
      </c>
      <c r="T192" s="1">
        <v>0</v>
      </c>
      <c r="U192" s="1">
        <v>2400</v>
      </c>
      <c r="V192" s="160" t="s">
        <v>432</v>
      </c>
      <c r="W192">
        <v>0</v>
      </c>
    </row>
    <row r="193" spans="1:23" x14ac:dyDescent="0.25">
      <c r="A193" s="1">
        <v>227</v>
      </c>
      <c r="B193" t="s">
        <v>2211</v>
      </c>
      <c r="C193" s="1">
        <v>5</v>
      </c>
      <c r="D193" s="1">
        <v>2</v>
      </c>
      <c r="E193" s="1">
        <v>5</v>
      </c>
      <c r="F193" s="1" t="s">
        <v>462</v>
      </c>
      <c r="G193" s="1" t="s">
        <v>432</v>
      </c>
      <c r="H193" s="1" t="s">
        <v>432</v>
      </c>
      <c r="I193" s="1" t="s">
        <v>432</v>
      </c>
      <c r="J193" s="1" t="s">
        <v>432</v>
      </c>
      <c r="K193" s="1" t="s">
        <v>432</v>
      </c>
      <c r="L193" s="1" t="s">
        <v>432</v>
      </c>
      <c r="M193" s="1" t="s">
        <v>2156</v>
      </c>
      <c r="N193" s="1" t="s">
        <v>432</v>
      </c>
      <c r="O193" s="1" t="s">
        <v>432</v>
      </c>
      <c r="P193" s="1" t="s">
        <v>432</v>
      </c>
      <c r="Q193" s="1" t="s">
        <v>432</v>
      </c>
      <c r="R193" s="1" t="s">
        <v>432</v>
      </c>
      <c r="S193" s="1" t="s">
        <v>432</v>
      </c>
      <c r="T193" s="1">
        <v>0</v>
      </c>
      <c r="U193" s="1">
        <v>3000</v>
      </c>
      <c r="V193" s="160" t="s">
        <v>432</v>
      </c>
      <c r="W193">
        <v>0</v>
      </c>
    </row>
    <row r="194" spans="1:23" x14ac:dyDescent="0.25">
      <c r="A194" s="1">
        <v>228</v>
      </c>
      <c r="B194" t="s">
        <v>2210</v>
      </c>
      <c r="C194" s="1">
        <v>4</v>
      </c>
      <c r="D194" s="1">
        <v>2</v>
      </c>
      <c r="E194" s="1">
        <v>17</v>
      </c>
      <c r="F194" s="1" t="s">
        <v>432</v>
      </c>
      <c r="G194" s="1" t="s">
        <v>432</v>
      </c>
      <c r="H194" s="1" t="s">
        <v>432</v>
      </c>
      <c r="I194" s="1" t="s">
        <v>432</v>
      </c>
      <c r="J194" s="1" t="s">
        <v>2161</v>
      </c>
      <c r="K194" s="1" t="s">
        <v>432</v>
      </c>
      <c r="L194" s="1" t="s">
        <v>432</v>
      </c>
      <c r="M194" s="1" t="s">
        <v>2162</v>
      </c>
      <c r="N194" s="1" t="s">
        <v>432</v>
      </c>
      <c r="O194" s="1" t="s">
        <v>432</v>
      </c>
      <c r="P194" s="1" t="s">
        <v>432</v>
      </c>
      <c r="Q194" s="1" t="s">
        <v>432</v>
      </c>
      <c r="R194" s="1" t="s">
        <v>432</v>
      </c>
      <c r="S194" s="1" t="s">
        <v>432</v>
      </c>
      <c r="T194" s="1">
        <v>0</v>
      </c>
      <c r="U194" s="1">
        <v>2880</v>
      </c>
      <c r="V194" s="160" t="s">
        <v>432</v>
      </c>
      <c r="W194">
        <v>0</v>
      </c>
    </row>
    <row r="195" spans="1:23" x14ac:dyDescent="0.25">
      <c r="A195" s="1">
        <v>229</v>
      </c>
      <c r="B195" t="s">
        <v>2209</v>
      </c>
      <c r="C195" s="1">
        <v>5</v>
      </c>
      <c r="D195" s="1">
        <v>2</v>
      </c>
      <c r="E195" s="1">
        <v>17</v>
      </c>
      <c r="F195" s="1" t="s">
        <v>432</v>
      </c>
      <c r="G195" s="1" t="s">
        <v>432</v>
      </c>
      <c r="H195" s="1" t="s">
        <v>432</v>
      </c>
      <c r="I195" s="1" t="s">
        <v>432</v>
      </c>
      <c r="J195" s="1" t="s">
        <v>2161</v>
      </c>
      <c r="K195" s="1" t="s">
        <v>432</v>
      </c>
      <c r="L195" s="1" t="s">
        <v>432</v>
      </c>
      <c r="M195" s="1" t="s">
        <v>2168</v>
      </c>
      <c r="N195" s="1" t="s">
        <v>432</v>
      </c>
      <c r="O195" s="1" t="s">
        <v>432</v>
      </c>
      <c r="P195" s="1" t="s">
        <v>432</v>
      </c>
      <c r="Q195" s="1" t="s">
        <v>432</v>
      </c>
      <c r="R195" s="1" t="s">
        <v>432</v>
      </c>
      <c r="S195" s="1" t="s">
        <v>432</v>
      </c>
      <c r="T195" s="1">
        <v>0</v>
      </c>
      <c r="U195" s="1">
        <v>3480</v>
      </c>
      <c r="V195" s="160" t="s">
        <v>432</v>
      </c>
      <c r="W195">
        <v>0</v>
      </c>
    </row>
    <row r="196" spans="1:23" x14ac:dyDescent="0.25">
      <c r="A196" s="1">
        <v>230</v>
      </c>
      <c r="B196" t="s">
        <v>2208</v>
      </c>
      <c r="C196" s="1">
        <v>4</v>
      </c>
      <c r="D196" s="1">
        <v>2</v>
      </c>
      <c r="E196" s="1">
        <v>7</v>
      </c>
      <c r="F196" s="1" t="s">
        <v>432</v>
      </c>
      <c r="G196" s="1" t="s">
        <v>432</v>
      </c>
      <c r="H196" s="1" t="s">
        <v>432</v>
      </c>
      <c r="I196" s="1" t="s">
        <v>432</v>
      </c>
      <c r="J196" s="1" t="s">
        <v>458</v>
      </c>
      <c r="K196" s="1" t="s">
        <v>1318</v>
      </c>
      <c r="L196" s="1" t="s">
        <v>432</v>
      </c>
      <c r="M196" s="1" t="s">
        <v>432</v>
      </c>
      <c r="N196" s="1" t="s">
        <v>432</v>
      </c>
      <c r="O196" s="1" t="s">
        <v>432</v>
      </c>
      <c r="P196" s="1" t="s">
        <v>432</v>
      </c>
      <c r="Q196" s="1" t="s">
        <v>432</v>
      </c>
      <c r="R196" s="1" t="s">
        <v>432</v>
      </c>
      <c r="S196" s="1" t="s">
        <v>432</v>
      </c>
      <c r="T196" s="1">
        <v>0</v>
      </c>
      <c r="U196" s="1">
        <v>2700</v>
      </c>
      <c r="V196" s="160" t="s">
        <v>432</v>
      </c>
      <c r="W196">
        <v>0</v>
      </c>
    </row>
    <row r="197" spans="1:23" x14ac:dyDescent="0.25">
      <c r="A197" s="1">
        <v>231</v>
      </c>
      <c r="B197" t="s">
        <v>2207</v>
      </c>
      <c r="C197" s="1">
        <v>5</v>
      </c>
      <c r="D197" s="1">
        <v>2</v>
      </c>
      <c r="E197" s="1">
        <v>7</v>
      </c>
      <c r="F197" s="1" t="s">
        <v>432</v>
      </c>
      <c r="G197" s="1" t="s">
        <v>432</v>
      </c>
      <c r="H197" s="1" t="s">
        <v>432</v>
      </c>
      <c r="I197" s="1" t="s">
        <v>432</v>
      </c>
      <c r="J197" s="1" t="s">
        <v>462</v>
      </c>
      <c r="K197" s="1" t="s">
        <v>1313</v>
      </c>
      <c r="L197" s="1" t="s">
        <v>432</v>
      </c>
      <c r="M197" s="1" t="s">
        <v>432</v>
      </c>
      <c r="N197" s="1" t="s">
        <v>432</v>
      </c>
      <c r="O197" s="1" t="s">
        <v>432</v>
      </c>
      <c r="P197" s="1" t="s">
        <v>432</v>
      </c>
      <c r="Q197" s="1" t="s">
        <v>432</v>
      </c>
      <c r="R197" s="1" t="s">
        <v>432</v>
      </c>
      <c r="S197" s="1" t="s">
        <v>432</v>
      </c>
      <c r="T197" s="1">
        <v>0</v>
      </c>
      <c r="U197" s="1">
        <v>3300</v>
      </c>
      <c r="V197" s="160" t="s">
        <v>432</v>
      </c>
      <c r="W197">
        <v>0</v>
      </c>
    </row>
    <row r="198" spans="1:23" x14ac:dyDescent="0.25">
      <c r="A198" s="1">
        <v>232</v>
      </c>
      <c r="B198" t="s">
        <v>2206</v>
      </c>
      <c r="C198" s="1">
        <v>3</v>
      </c>
      <c r="D198" s="1">
        <v>3</v>
      </c>
      <c r="E198" s="1">
        <v>9</v>
      </c>
      <c r="F198" s="1" t="s">
        <v>575</v>
      </c>
      <c r="G198" s="1" t="s">
        <v>432</v>
      </c>
      <c r="H198" s="1" t="s">
        <v>432</v>
      </c>
      <c r="I198" s="1" t="s">
        <v>432</v>
      </c>
      <c r="J198" s="1" t="s">
        <v>439</v>
      </c>
      <c r="K198" s="1" t="s">
        <v>2180</v>
      </c>
      <c r="L198" s="1" t="s">
        <v>432</v>
      </c>
      <c r="M198" s="1" t="s">
        <v>432</v>
      </c>
      <c r="N198" s="1" t="s">
        <v>432</v>
      </c>
      <c r="O198" s="1" t="s">
        <v>432</v>
      </c>
      <c r="P198" s="1" t="s">
        <v>432</v>
      </c>
      <c r="Q198" s="1" t="s">
        <v>432</v>
      </c>
      <c r="R198" s="1" t="s">
        <v>432</v>
      </c>
      <c r="S198" s="1" t="s">
        <v>432</v>
      </c>
      <c r="T198" s="1">
        <v>0</v>
      </c>
      <c r="U198" s="1">
        <v>1560</v>
      </c>
      <c r="V198" s="160" t="s">
        <v>432</v>
      </c>
      <c r="W198">
        <v>0</v>
      </c>
    </row>
    <row r="199" spans="1:23" x14ac:dyDescent="0.25">
      <c r="A199" s="1">
        <v>233</v>
      </c>
      <c r="B199" t="s">
        <v>2205</v>
      </c>
      <c r="C199" s="1">
        <v>4</v>
      </c>
      <c r="D199" s="1">
        <v>3</v>
      </c>
      <c r="E199" s="1">
        <v>9</v>
      </c>
      <c r="F199" s="1" t="s">
        <v>441</v>
      </c>
      <c r="G199" s="1" t="s">
        <v>432</v>
      </c>
      <c r="H199" s="1" t="s">
        <v>432</v>
      </c>
      <c r="I199" s="1" t="s">
        <v>432</v>
      </c>
      <c r="J199" s="1" t="s">
        <v>506</v>
      </c>
      <c r="K199" s="1" t="s">
        <v>2180</v>
      </c>
      <c r="L199" s="1" t="s">
        <v>432</v>
      </c>
      <c r="M199" s="1" t="s">
        <v>432</v>
      </c>
      <c r="N199" s="1" t="s">
        <v>432</v>
      </c>
      <c r="O199" s="1" t="s">
        <v>432</v>
      </c>
      <c r="P199" s="1" t="s">
        <v>432</v>
      </c>
      <c r="Q199" s="1" t="s">
        <v>432</v>
      </c>
      <c r="R199" s="1" t="s">
        <v>432</v>
      </c>
      <c r="S199" s="1" t="s">
        <v>432</v>
      </c>
      <c r="T199" s="1">
        <v>0</v>
      </c>
      <c r="U199" s="1">
        <v>2460</v>
      </c>
      <c r="V199" s="160" t="s">
        <v>432</v>
      </c>
      <c r="W199">
        <v>0</v>
      </c>
    </row>
    <row r="200" spans="1:23" x14ac:dyDescent="0.25">
      <c r="A200" s="1">
        <v>234</v>
      </c>
      <c r="B200" t="s">
        <v>2204</v>
      </c>
      <c r="C200" s="1">
        <v>5</v>
      </c>
      <c r="D200" s="1">
        <v>3</v>
      </c>
      <c r="E200" s="1">
        <v>9</v>
      </c>
      <c r="F200" s="1" t="s">
        <v>506</v>
      </c>
      <c r="G200" s="1" t="s">
        <v>432</v>
      </c>
      <c r="H200" s="1" t="s">
        <v>432</v>
      </c>
      <c r="I200" s="1" t="s">
        <v>432</v>
      </c>
      <c r="J200" s="1" t="s">
        <v>479</v>
      </c>
      <c r="K200" s="1" t="s">
        <v>2180</v>
      </c>
      <c r="L200" s="1" t="s">
        <v>432</v>
      </c>
      <c r="M200" s="1" t="s">
        <v>432</v>
      </c>
      <c r="N200" s="1" t="s">
        <v>432</v>
      </c>
      <c r="O200" s="1" t="s">
        <v>432</v>
      </c>
      <c r="P200" s="1" t="s">
        <v>432</v>
      </c>
      <c r="Q200" s="1" t="s">
        <v>432</v>
      </c>
      <c r="R200" s="1" t="s">
        <v>432</v>
      </c>
      <c r="S200" s="1" t="s">
        <v>432</v>
      </c>
      <c r="T200" s="1">
        <v>0</v>
      </c>
      <c r="U200" s="1">
        <v>3060</v>
      </c>
      <c r="V200" s="160" t="s">
        <v>432</v>
      </c>
      <c r="W200">
        <v>0</v>
      </c>
    </row>
    <row r="201" spans="1:23" x14ac:dyDescent="0.25">
      <c r="A201" s="1">
        <v>235</v>
      </c>
      <c r="B201" t="s">
        <v>2203</v>
      </c>
      <c r="C201" s="1">
        <v>5</v>
      </c>
      <c r="D201" s="1">
        <v>2</v>
      </c>
      <c r="E201" s="1">
        <v>7</v>
      </c>
      <c r="F201" s="1" t="s">
        <v>432</v>
      </c>
      <c r="G201" s="1" t="s">
        <v>460</v>
      </c>
      <c r="H201" s="1" t="s">
        <v>432</v>
      </c>
      <c r="I201" s="1" t="s">
        <v>432</v>
      </c>
      <c r="J201" s="1" t="s">
        <v>432</v>
      </c>
      <c r="K201" s="1" t="s">
        <v>432</v>
      </c>
      <c r="L201" s="1" t="s">
        <v>432</v>
      </c>
      <c r="M201" s="1" t="s">
        <v>432</v>
      </c>
      <c r="N201" s="1" t="s">
        <v>432</v>
      </c>
      <c r="O201" s="1" t="s">
        <v>432</v>
      </c>
      <c r="P201" s="1" t="s">
        <v>432</v>
      </c>
      <c r="Q201" s="1" t="s">
        <v>432</v>
      </c>
      <c r="R201" s="1" t="s">
        <v>432</v>
      </c>
      <c r="S201" s="1" t="s">
        <v>432</v>
      </c>
      <c r="T201" s="1">
        <v>0</v>
      </c>
      <c r="U201" s="1">
        <v>3420</v>
      </c>
      <c r="V201" s="160" t="s">
        <v>432</v>
      </c>
      <c r="W201">
        <v>0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466</v>
      </c>
      <c r="G202" s="1" t="s">
        <v>432</v>
      </c>
      <c r="H202" s="1" t="s">
        <v>467</v>
      </c>
      <c r="I202" s="1" t="s">
        <v>432</v>
      </c>
      <c r="J202" s="1" t="s">
        <v>432</v>
      </c>
      <c r="K202" s="1" t="s">
        <v>432</v>
      </c>
      <c r="L202" s="1" t="s">
        <v>432</v>
      </c>
      <c r="M202" s="1" t="s">
        <v>432</v>
      </c>
      <c r="N202" s="1" t="s">
        <v>432</v>
      </c>
      <c r="O202" s="1" t="s">
        <v>432</v>
      </c>
      <c r="P202" s="1" t="s">
        <v>432</v>
      </c>
      <c r="Q202" s="1" t="s">
        <v>432</v>
      </c>
      <c r="R202" s="1" t="s">
        <v>432</v>
      </c>
      <c r="S202" s="1" t="s">
        <v>432</v>
      </c>
      <c r="T202" s="1">
        <v>0</v>
      </c>
      <c r="U202" s="1">
        <v>3120</v>
      </c>
      <c r="V202" s="160" t="s">
        <v>2199</v>
      </c>
      <c r="W202">
        <v>0</v>
      </c>
    </row>
  </sheetData>
  <autoFilter ref="A1:V1" xr:uid="{634C22DC-C425-440A-9223-55ED2BE5F6D1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sheetData>
    <row r="1" spans="1:11" x14ac:dyDescent="0.25">
      <c r="A1" s="43" t="s">
        <v>25</v>
      </c>
      <c r="B1" s="43" t="s">
        <v>425</v>
      </c>
      <c r="C1" s="117" t="s">
        <v>61</v>
      </c>
      <c r="D1" s="43" t="s">
        <v>691</v>
      </c>
      <c r="E1" s="117" t="s">
        <v>742</v>
      </c>
      <c r="F1" s="117" t="s">
        <v>743</v>
      </c>
      <c r="G1" s="117" t="s">
        <v>744</v>
      </c>
      <c r="H1" s="117" t="s">
        <v>745</v>
      </c>
      <c r="I1" s="117" t="s">
        <v>746</v>
      </c>
      <c r="J1" s="117" t="s">
        <v>415</v>
      </c>
      <c r="K1" s="117" t="s">
        <v>693</v>
      </c>
    </row>
    <row r="2" spans="1:11" x14ac:dyDescent="0.25">
      <c r="A2" s="1">
        <v>1</v>
      </c>
      <c r="B2" t="s">
        <v>757</v>
      </c>
      <c r="C2" s="1">
        <v>2</v>
      </c>
      <c r="D2" t="s">
        <v>694</v>
      </c>
      <c r="E2" s="124">
        <v>0</v>
      </c>
      <c r="F2" s="124">
        <v>100</v>
      </c>
      <c r="G2" s="124">
        <v>500</v>
      </c>
      <c r="H2" s="124">
        <v>1500</v>
      </c>
      <c r="I2" s="124">
        <v>3000</v>
      </c>
      <c r="J2" s="1">
        <v>1</v>
      </c>
      <c r="K2" s="1">
        <v>0</v>
      </c>
    </row>
    <row r="3" spans="1:11" x14ac:dyDescent="0.25">
      <c r="A3" s="1">
        <v>2</v>
      </c>
      <c r="B3" t="s">
        <v>747</v>
      </c>
      <c r="C3" s="1">
        <v>2</v>
      </c>
      <c r="D3" t="s">
        <v>695</v>
      </c>
      <c r="E3" s="124">
        <v>0</v>
      </c>
      <c r="F3" s="124">
        <v>100</v>
      </c>
      <c r="G3" s="124">
        <v>500</v>
      </c>
      <c r="H3" s="124">
        <v>1500</v>
      </c>
      <c r="I3" s="124">
        <v>3000</v>
      </c>
      <c r="J3" s="1">
        <v>1</v>
      </c>
      <c r="K3" s="1">
        <v>0</v>
      </c>
    </row>
    <row r="4" spans="1:11" x14ac:dyDescent="0.25">
      <c r="A4" s="1">
        <v>3</v>
      </c>
      <c r="B4" t="s">
        <v>748</v>
      </c>
      <c r="C4" s="1">
        <v>3</v>
      </c>
      <c r="D4" t="s">
        <v>696</v>
      </c>
      <c r="E4" s="124">
        <v>0</v>
      </c>
      <c r="F4" s="124">
        <v>100</v>
      </c>
      <c r="G4" s="124">
        <v>500</v>
      </c>
      <c r="H4" s="124">
        <v>1500</v>
      </c>
      <c r="I4" s="124">
        <v>3000</v>
      </c>
      <c r="J4" s="1">
        <v>1</v>
      </c>
      <c r="K4" s="1">
        <v>0</v>
      </c>
    </row>
    <row r="5" spans="1:11" x14ac:dyDescent="0.25">
      <c r="A5" s="1">
        <v>4</v>
      </c>
      <c r="B5" t="s">
        <v>749</v>
      </c>
      <c r="C5" s="1">
        <v>3</v>
      </c>
      <c r="D5" t="s">
        <v>697</v>
      </c>
      <c r="E5" s="124">
        <v>0</v>
      </c>
      <c r="F5" s="124">
        <v>100</v>
      </c>
      <c r="G5" s="124">
        <v>500</v>
      </c>
      <c r="H5" s="124">
        <v>1500</v>
      </c>
      <c r="I5" s="124">
        <v>3000</v>
      </c>
      <c r="J5" s="1">
        <v>1</v>
      </c>
      <c r="K5" s="1">
        <v>0</v>
      </c>
    </row>
    <row r="6" spans="1:11" x14ac:dyDescent="0.25">
      <c r="A6" s="1">
        <v>5</v>
      </c>
      <c r="B6" t="s">
        <v>750</v>
      </c>
      <c r="C6" s="1">
        <v>5</v>
      </c>
      <c r="D6" t="s">
        <v>698</v>
      </c>
      <c r="E6" s="124">
        <v>0</v>
      </c>
      <c r="F6" s="124">
        <v>100</v>
      </c>
      <c r="G6" s="124">
        <v>500</v>
      </c>
      <c r="H6" s="124">
        <v>1500</v>
      </c>
      <c r="I6" s="124">
        <v>3000</v>
      </c>
      <c r="J6" s="1">
        <v>2</v>
      </c>
      <c r="K6" s="1">
        <v>0</v>
      </c>
    </row>
    <row r="7" spans="1:11" x14ac:dyDescent="0.25">
      <c r="A7" s="1">
        <v>6</v>
      </c>
      <c r="B7" t="s">
        <v>751</v>
      </c>
      <c r="C7" s="1">
        <v>3</v>
      </c>
      <c r="D7" t="s">
        <v>699</v>
      </c>
      <c r="E7" s="124">
        <v>0</v>
      </c>
      <c r="F7" s="124">
        <v>100</v>
      </c>
      <c r="G7" s="124">
        <v>500</v>
      </c>
      <c r="H7" s="124">
        <v>1500</v>
      </c>
      <c r="I7" s="124">
        <v>3000</v>
      </c>
      <c r="J7" s="1">
        <v>1</v>
      </c>
      <c r="K7" s="1">
        <v>0</v>
      </c>
    </row>
    <row r="8" spans="1:11" x14ac:dyDescent="0.25">
      <c r="A8" s="1">
        <v>7</v>
      </c>
      <c r="B8" t="s">
        <v>752</v>
      </c>
      <c r="C8" s="1">
        <v>4</v>
      </c>
      <c r="D8" t="s">
        <v>700</v>
      </c>
      <c r="E8" s="124">
        <v>0</v>
      </c>
      <c r="F8" s="124">
        <v>100</v>
      </c>
      <c r="G8" s="124">
        <v>500</v>
      </c>
      <c r="H8" s="124">
        <v>1500</v>
      </c>
      <c r="I8" s="124">
        <v>3000</v>
      </c>
      <c r="J8" s="1">
        <v>1</v>
      </c>
      <c r="K8" s="1">
        <v>0</v>
      </c>
    </row>
    <row r="9" spans="1:11" x14ac:dyDescent="0.25">
      <c r="A9" s="1">
        <v>8</v>
      </c>
      <c r="B9" t="s">
        <v>753</v>
      </c>
      <c r="C9" s="1">
        <v>4</v>
      </c>
      <c r="D9" t="s">
        <v>701</v>
      </c>
      <c r="E9" s="124">
        <v>0</v>
      </c>
      <c r="F9" s="124">
        <v>100</v>
      </c>
      <c r="G9" s="124">
        <v>500</v>
      </c>
      <c r="H9" s="124">
        <v>1500</v>
      </c>
      <c r="I9" s="124">
        <v>3000</v>
      </c>
      <c r="J9" s="1">
        <v>1</v>
      </c>
      <c r="K9" s="1">
        <v>0</v>
      </c>
    </row>
    <row r="10" spans="1:11" x14ac:dyDescent="0.25">
      <c r="A10" s="1">
        <v>9</v>
      </c>
      <c r="B10" t="s">
        <v>754</v>
      </c>
      <c r="C10" s="1">
        <v>4</v>
      </c>
      <c r="D10" t="s">
        <v>702</v>
      </c>
      <c r="E10" s="124">
        <v>0</v>
      </c>
      <c r="F10" s="124">
        <v>100</v>
      </c>
      <c r="G10" s="124">
        <v>500</v>
      </c>
      <c r="H10" s="124">
        <v>1500</v>
      </c>
      <c r="I10" s="124">
        <v>3000</v>
      </c>
      <c r="J10" s="1">
        <v>1</v>
      </c>
      <c r="K10" s="1">
        <v>0</v>
      </c>
    </row>
    <row r="11" spans="1:11" x14ac:dyDescent="0.25">
      <c r="A11" s="1">
        <v>10</v>
      </c>
      <c r="B11" t="s">
        <v>755</v>
      </c>
      <c r="C11" s="1">
        <v>5</v>
      </c>
      <c r="D11" t="s">
        <v>703</v>
      </c>
      <c r="E11" s="124">
        <v>0</v>
      </c>
      <c r="F11" s="124">
        <v>100</v>
      </c>
      <c r="G11" s="124">
        <v>500</v>
      </c>
      <c r="H11" s="124">
        <v>1500</v>
      </c>
      <c r="I11" s="124">
        <v>3000</v>
      </c>
      <c r="J11" s="1">
        <v>2</v>
      </c>
      <c r="K11" s="1">
        <v>0</v>
      </c>
    </row>
    <row r="12" spans="1:11" x14ac:dyDescent="0.25">
      <c r="A12" s="1">
        <v>11</v>
      </c>
      <c r="B12" t="s">
        <v>756</v>
      </c>
      <c r="C12" s="1">
        <v>5</v>
      </c>
      <c r="D12" t="s">
        <v>704</v>
      </c>
      <c r="E12" s="124">
        <v>0</v>
      </c>
      <c r="F12" s="124">
        <v>100</v>
      </c>
      <c r="G12" s="124">
        <v>500</v>
      </c>
      <c r="H12" s="124">
        <v>1500</v>
      </c>
      <c r="I12" s="124">
        <v>3000</v>
      </c>
      <c r="J12" s="1">
        <v>2</v>
      </c>
      <c r="K12" s="1">
        <v>0</v>
      </c>
    </row>
    <row r="13" spans="1:11" x14ac:dyDescent="0.25">
      <c r="A13" s="1">
        <v>12</v>
      </c>
      <c r="B13" t="s">
        <v>705</v>
      </c>
      <c r="C13" s="1">
        <v>6</v>
      </c>
      <c r="D13" t="s">
        <v>706</v>
      </c>
      <c r="E13" s="124">
        <v>0</v>
      </c>
      <c r="F13" s="124">
        <v>100</v>
      </c>
      <c r="G13" s="124">
        <v>500</v>
      </c>
      <c r="H13" s="124">
        <v>1500</v>
      </c>
      <c r="I13" s="124">
        <v>3000</v>
      </c>
      <c r="J13" s="1">
        <v>2</v>
      </c>
      <c r="K13" s="1">
        <v>0</v>
      </c>
    </row>
    <row r="14" spans="1:11" x14ac:dyDescent="0.25">
      <c r="A14" s="1">
        <v>13</v>
      </c>
      <c r="B14" t="s">
        <v>758</v>
      </c>
      <c r="C14" s="1">
        <v>6</v>
      </c>
      <c r="D14" t="s">
        <v>707</v>
      </c>
      <c r="E14" s="124">
        <v>0</v>
      </c>
      <c r="F14" s="124">
        <v>100</v>
      </c>
      <c r="G14" s="124">
        <v>500</v>
      </c>
      <c r="H14" s="124">
        <v>1500</v>
      </c>
      <c r="I14" s="124">
        <v>3000</v>
      </c>
      <c r="J14" s="1">
        <v>2</v>
      </c>
      <c r="K14" s="1">
        <v>0</v>
      </c>
    </row>
    <row r="15" spans="1:11" x14ac:dyDescent="0.25">
      <c r="A15" s="1">
        <v>14</v>
      </c>
      <c r="B15" t="s">
        <v>759</v>
      </c>
      <c r="C15" s="1">
        <v>6</v>
      </c>
      <c r="D15" t="s">
        <v>708</v>
      </c>
      <c r="E15" s="124">
        <v>0</v>
      </c>
      <c r="F15" s="124">
        <v>100</v>
      </c>
      <c r="G15" s="124">
        <v>500</v>
      </c>
      <c r="H15" s="124">
        <v>1500</v>
      </c>
      <c r="I15" s="124">
        <v>3000</v>
      </c>
      <c r="J15" s="1">
        <v>2</v>
      </c>
      <c r="K15" s="1">
        <v>0</v>
      </c>
    </row>
    <row r="16" spans="1:11" x14ac:dyDescent="0.25">
      <c r="A16" s="1">
        <v>15</v>
      </c>
      <c r="B16" t="s">
        <v>760</v>
      </c>
      <c r="C16" s="1">
        <v>1</v>
      </c>
      <c r="D16" t="s">
        <v>709</v>
      </c>
      <c r="E16" s="124">
        <v>0</v>
      </c>
      <c r="F16" s="124">
        <v>100</v>
      </c>
      <c r="G16" s="124">
        <v>500</v>
      </c>
      <c r="H16" s="124">
        <v>1500</v>
      </c>
      <c r="I16" s="124">
        <v>3000</v>
      </c>
      <c r="J16" s="1">
        <v>1</v>
      </c>
      <c r="K16" s="1">
        <v>0</v>
      </c>
    </row>
    <row r="17" spans="1:11" x14ac:dyDescent="0.25">
      <c r="A17" s="1">
        <v>16</v>
      </c>
      <c r="B17" t="s">
        <v>761</v>
      </c>
      <c r="C17" s="1">
        <v>1</v>
      </c>
      <c r="D17" t="s">
        <v>710</v>
      </c>
      <c r="E17" s="124">
        <v>0</v>
      </c>
      <c r="F17" s="124">
        <v>100</v>
      </c>
      <c r="G17" s="124">
        <v>500</v>
      </c>
      <c r="H17" s="124">
        <v>1500</v>
      </c>
      <c r="I17" s="124">
        <v>3000</v>
      </c>
      <c r="J17" s="1">
        <v>1</v>
      </c>
      <c r="K17" s="1">
        <v>0</v>
      </c>
    </row>
    <row r="18" spans="1:11" x14ac:dyDescent="0.25">
      <c r="A18" s="1">
        <v>17</v>
      </c>
      <c r="B18" t="s">
        <v>762</v>
      </c>
      <c r="C18" s="1">
        <v>1</v>
      </c>
      <c r="D18" t="s">
        <v>711</v>
      </c>
      <c r="E18" s="124">
        <v>0</v>
      </c>
      <c r="F18" s="124">
        <v>100</v>
      </c>
      <c r="G18" s="124">
        <v>500</v>
      </c>
      <c r="H18" s="124">
        <v>1500</v>
      </c>
      <c r="I18" s="124">
        <v>3000</v>
      </c>
      <c r="J18" s="1">
        <v>2</v>
      </c>
      <c r="K18" s="1">
        <v>0</v>
      </c>
    </row>
    <row r="19" spans="1:11" x14ac:dyDescent="0.25">
      <c r="A19" s="1">
        <v>18</v>
      </c>
      <c r="B19" t="s">
        <v>763</v>
      </c>
      <c r="C19" s="1">
        <v>2</v>
      </c>
      <c r="D19" t="s">
        <v>712</v>
      </c>
      <c r="E19" s="124">
        <v>0</v>
      </c>
      <c r="F19" s="124">
        <v>100</v>
      </c>
      <c r="G19" s="124">
        <v>200</v>
      </c>
      <c r="H19" s="124">
        <v>350</v>
      </c>
      <c r="I19" s="124">
        <v>550</v>
      </c>
      <c r="J19" s="1">
        <v>1</v>
      </c>
      <c r="K19" s="1">
        <v>0</v>
      </c>
    </row>
    <row r="20" spans="1:11" x14ac:dyDescent="0.25">
      <c r="A20" s="1">
        <v>19</v>
      </c>
      <c r="B20" t="s">
        <v>764</v>
      </c>
      <c r="C20" s="1">
        <v>2</v>
      </c>
      <c r="D20" t="s">
        <v>713</v>
      </c>
      <c r="E20" s="124">
        <v>0</v>
      </c>
      <c r="F20" s="124">
        <v>100</v>
      </c>
      <c r="G20" s="124">
        <v>200</v>
      </c>
      <c r="H20" s="124">
        <v>350</v>
      </c>
      <c r="I20" s="124">
        <v>550</v>
      </c>
      <c r="J20" s="1">
        <v>1</v>
      </c>
      <c r="K20" s="1">
        <v>0</v>
      </c>
    </row>
    <row r="21" spans="1:11" x14ac:dyDescent="0.25">
      <c r="A21" s="1">
        <v>20</v>
      </c>
      <c r="B21" t="s">
        <v>765</v>
      </c>
      <c r="C21" s="1">
        <v>2</v>
      </c>
      <c r="D21" t="s">
        <v>714</v>
      </c>
      <c r="E21" s="124">
        <v>0</v>
      </c>
      <c r="F21" s="124">
        <v>100</v>
      </c>
      <c r="G21" s="124">
        <v>200</v>
      </c>
      <c r="H21" s="124">
        <v>350</v>
      </c>
      <c r="I21" s="124">
        <v>550</v>
      </c>
      <c r="J21" s="1">
        <v>1</v>
      </c>
      <c r="K21" s="1">
        <v>0</v>
      </c>
    </row>
    <row r="22" spans="1:11" x14ac:dyDescent="0.25">
      <c r="A22" s="1">
        <v>21</v>
      </c>
      <c r="B22" t="s">
        <v>715</v>
      </c>
      <c r="C22" s="1">
        <v>6</v>
      </c>
      <c r="D22" t="s">
        <v>716</v>
      </c>
      <c r="E22" s="124">
        <v>0</v>
      </c>
      <c r="F22" s="124">
        <v>100</v>
      </c>
      <c r="G22" s="124">
        <v>200</v>
      </c>
      <c r="H22" s="124">
        <v>350</v>
      </c>
      <c r="I22" s="124">
        <v>550</v>
      </c>
      <c r="J22" s="1">
        <v>1</v>
      </c>
      <c r="K22" s="1">
        <v>0</v>
      </c>
    </row>
    <row r="23" spans="1:11" x14ac:dyDescent="0.25">
      <c r="A23" s="1">
        <v>22</v>
      </c>
      <c r="B23" t="s">
        <v>766</v>
      </c>
      <c r="C23" s="1">
        <v>6</v>
      </c>
      <c r="D23" t="s">
        <v>717</v>
      </c>
      <c r="E23" s="124">
        <v>0</v>
      </c>
      <c r="F23" s="124">
        <v>100</v>
      </c>
      <c r="G23" s="124">
        <v>200</v>
      </c>
      <c r="H23" s="124">
        <v>350</v>
      </c>
      <c r="I23" s="124">
        <v>550</v>
      </c>
      <c r="J23" s="1">
        <v>1</v>
      </c>
      <c r="K23" s="1">
        <v>0</v>
      </c>
    </row>
    <row r="24" spans="1:11" x14ac:dyDescent="0.25">
      <c r="A24" s="1">
        <v>23</v>
      </c>
      <c r="B24" t="s">
        <v>767</v>
      </c>
      <c r="C24" s="1">
        <v>6</v>
      </c>
      <c r="D24" t="s">
        <v>718</v>
      </c>
      <c r="E24" s="124">
        <v>0</v>
      </c>
      <c r="F24" s="124">
        <v>100</v>
      </c>
      <c r="G24" s="124">
        <v>500</v>
      </c>
      <c r="H24" s="124">
        <v>1500</v>
      </c>
      <c r="I24" s="124">
        <v>3000</v>
      </c>
      <c r="J24" s="1">
        <v>2</v>
      </c>
      <c r="K24" s="1">
        <v>0</v>
      </c>
    </row>
    <row r="25" spans="1:11" x14ac:dyDescent="0.25">
      <c r="A25" s="1">
        <v>24</v>
      </c>
      <c r="B25" t="s">
        <v>768</v>
      </c>
      <c r="C25" s="1">
        <v>3</v>
      </c>
      <c r="D25" t="s">
        <v>719</v>
      </c>
      <c r="E25" s="124">
        <v>0</v>
      </c>
      <c r="F25" s="124">
        <v>100</v>
      </c>
      <c r="G25" s="124">
        <v>500</v>
      </c>
      <c r="H25" s="124">
        <v>1500</v>
      </c>
      <c r="I25" s="124">
        <v>3000</v>
      </c>
      <c r="J25" s="1">
        <v>1</v>
      </c>
      <c r="K25" s="1">
        <v>0</v>
      </c>
    </row>
    <row r="26" spans="1:11" x14ac:dyDescent="0.25">
      <c r="A26" s="1">
        <v>25</v>
      </c>
      <c r="B26" t="s">
        <v>769</v>
      </c>
      <c r="C26" s="1">
        <v>3</v>
      </c>
      <c r="D26" t="s">
        <v>720</v>
      </c>
      <c r="E26" s="124">
        <v>0</v>
      </c>
      <c r="F26" s="124">
        <v>100</v>
      </c>
      <c r="G26" s="124">
        <v>500</v>
      </c>
      <c r="H26" s="124">
        <v>1500</v>
      </c>
      <c r="I26" s="124">
        <v>3000</v>
      </c>
      <c r="J26" s="1">
        <v>1</v>
      </c>
      <c r="K26" s="1">
        <v>0</v>
      </c>
    </row>
    <row r="27" spans="1:11" x14ac:dyDescent="0.25">
      <c r="A27" s="1">
        <v>26</v>
      </c>
      <c r="B27" t="s">
        <v>770</v>
      </c>
      <c r="C27" s="1">
        <v>1</v>
      </c>
      <c r="D27" t="s">
        <v>721</v>
      </c>
      <c r="E27" s="124">
        <v>0</v>
      </c>
      <c r="F27" s="124">
        <v>100</v>
      </c>
      <c r="G27" s="124">
        <v>500</v>
      </c>
      <c r="H27" s="124">
        <v>1500</v>
      </c>
      <c r="I27" s="124">
        <v>3000</v>
      </c>
      <c r="J27" s="1">
        <v>1</v>
      </c>
      <c r="K27" s="1">
        <v>0</v>
      </c>
    </row>
    <row r="28" spans="1:11" x14ac:dyDescent="0.25">
      <c r="A28" s="1">
        <v>27</v>
      </c>
      <c r="B28" t="s">
        <v>771</v>
      </c>
      <c r="C28" s="1">
        <v>6</v>
      </c>
      <c r="D28" t="s">
        <v>722</v>
      </c>
      <c r="E28" s="124">
        <v>0</v>
      </c>
      <c r="F28" s="124">
        <v>100</v>
      </c>
      <c r="G28" s="124">
        <v>200</v>
      </c>
      <c r="H28" s="124">
        <v>350</v>
      </c>
      <c r="I28" s="124">
        <v>550</v>
      </c>
      <c r="J28" s="1">
        <v>2</v>
      </c>
      <c r="K28" s="1">
        <v>0</v>
      </c>
    </row>
    <row r="29" spans="1:11" x14ac:dyDescent="0.25">
      <c r="A29" s="1">
        <v>28</v>
      </c>
      <c r="B29" t="s">
        <v>772</v>
      </c>
      <c r="C29" s="1">
        <v>6</v>
      </c>
      <c r="D29" t="s">
        <v>723</v>
      </c>
      <c r="E29" s="124">
        <v>0</v>
      </c>
      <c r="F29" s="124">
        <v>100</v>
      </c>
      <c r="G29" s="124">
        <v>200</v>
      </c>
      <c r="H29" s="124">
        <v>350</v>
      </c>
      <c r="I29" s="124">
        <v>550</v>
      </c>
      <c r="J29" s="1">
        <v>2</v>
      </c>
      <c r="K29" s="1">
        <v>0</v>
      </c>
    </row>
    <row r="30" spans="1:11" x14ac:dyDescent="0.25">
      <c r="A30" s="1">
        <v>29</v>
      </c>
      <c r="B30" t="s">
        <v>773</v>
      </c>
      <c r="C30" s="1">
        <v>2</v>
      </c>
      <c r="D30" t="s">
        <v>724</v>
      </c>
      <c r="E30" s="124">
        <v>0</v>
      </c>
      <c r="F30" s="124">
        <v>100</v>
      </c>
      <c r="G30" s="124">
        <v>200</v>
      </c>
      <c r="H30" s="124">
        <v>350</v>
      </c>
      <c r="I30" s="124">
        <v>550</v>
      </c>
      <c r="J30" s="1">
        <v>1</v>
      </c>
      <c r="K30" s="1">
        <v>0</v>
      </c>
    </row>
    <row r="31" spans="1:11" x14ac:dyDescent="0.25">
      <c r="A31" s="1">
        <v>1001</v>
      </c>
      <c r="B31" t="s">
        <v>320</v>
      </c>
      <c r="C31" s="1">
        <v>4</v>
      </c>
      <c r="D31" t="s">
        <v>725</v>
      </c>
      <c r="E31" s="124">
        <v>0</v>
      </c>
      <c r="F31" s="124">
        <v>100</v>
      </c>
      <c r="G31" s="124">
        <v>200</v>
      </c>
      <c r="H31" s="124">
        <v>350</v>
      </c>
      <c r="I31" s="124">
        <v>550</v>
      </c>
      <c r="J31" s="1">
        <v>1</v>
      </c>
      <c r="K31" s="1">
        <v>1</v>
      </c>
    </row>
    <row r="32" spans="1:11" x14ac:dyDescent="0.25">
      <c r="A32" s="1">
        <v>1002</v>
      </c>
      <c r="B32" t="s">
        <v>726</v>
      </c>
      <c r="C32" s="1">
        <v>6</v>
      </c>
      <c r="D32" t="s">
        <v>727</v>
      </c>
      <c r="E32" s="124">
        <v>0</v>
      </c>
      <c r="F32" s="124">
        <v>100</v>
      </c>
      <c r="G32" s="124">
        <v>200</v>
      </c>
      <c r="H32" s="124">
        <v>350</v>
      </c>
      <c r="I32" s="124">
        <v>550</v>
      </c>
      <c r="J32" s="1">
        <v>2</v>
      </c>
      <c r="K32" s="1">
        <v>1</v>
      </c>
    </row>
    <row r="33" spans="1:11" x14ac:dyDescent="0.25">
      <c r="A33" s="1">
        <v>1003</v>
      </c>
      <c r="B33" t="s">
        <v>728</v>
      </c>
      <c r="C33" s="1">
        <v>3</v>
      </c>
      <c r="D33" t="s">
        <v>729</v>
      </c>
      <c r="E33" s="124">
        <v>0</v>
      </c>
      <c r="F33" s="124">
        <v>100</v>
      </c>
      <c r="G33" s="124">
        <v>200</v>
      </c>
      <c r="H33" s="124">
        <v>350</v>
      </c>
      <c r="I33" s="124">
        <v>550</v>
      </c>
      <c r="J33" s="1">
        <v>1</v>
      </c>
      <c r="K33" s="1">
        <v>1</v>
      </c>
    </row>
    <row r="34" spans="1:11" x14ac:dyDescent="0.25">
      <c r="A34" s="1">
        <v>1004</v>
      </c>
      <c r="B34" t="s">
        <v>774</v>
      </c>
      <c r="C34" s="1">
        <v>6</v>
      </c>
      <c r="D34" t="s">
        <v>730</v>
      </c>
      <c r="E34" s="124">
        <v>0</v>
      </c>
      <c r="F34" s="124">
        <v>100</v>
      </c>
      <c r="G34" s="124">
        <v>200</v>
      </c>
      <c r="H34" s="124">
        <v>350</v>
      </c>
      <c r="I34" s="124">
        <v>550</v>
      </c>
      <c r="J34" s="1">
        <v>2</v>
      </c>
      <c r="K34" s="1">
        <v>1</v>
      </c>
    </row>
    <row r="35" spans="1:11" x14ac:dyDescent="0.25">
      <c r="A35" s="1">
        <v>1005</v>
      </c>
      <c r="B35" t="s">
        <v>776</v>
      </c>
      <c r="C35" s="1">
        <v>2</v>
      </c>
      <c r="D35" t="s">
        <v>731</v>
      </c>
      <c r="E35" s="124">
        <v>0</v>
      </c>
      <c r="F35" s="124">
        <v>100</v>
      </c>
      <c r="G35" s="124">
        <v>200</v>
      </c>
      <c r="H35" s="124">
        <v>350</v>
      </c>
      <c r="I35" s="124">
        <v>550</v>
      </c>
      <c r="J35" s="1">
        <v>1</v>
      </c>
      <c r="K35" s="1">
        <v>1</v>
      </c>
    </row>
    <row r="36" spans="1:11" x14ac:dyDescent="0.25">
      <c r="A36" s="1">
        <v>1006</v>
      </c>
      <c r="B36" t="s">
        <v>775</v>
      </c>
      <c r="C36" s="1">
        <v>2</v>
      </c>
      <c r="D36" t="s">
        <v>732</v>
      </c>
      <c r="E36" s="124">
        <v>0</v>
      </c>
      <c r="F36" s="124">
        <v>100</v>
      </c>
      <c r="G36" s="124">
        <v>200</v>
      </c>
      <c r="H36" s="124">
        <v>350</v>
      </c>
      <c r="I36" s="124">
        <v>550</v>
      </c>
      <c r="J36" s="1">
        <v>1</v>
      </c>
      <c r="K36" s="1">
        <v>1</v>
      </c>
    </row>
    <row r="37" spans="1:11" x14ac:dyDescent="0.25">
      <c r="A37" s="1">
        <v>1007</v>
      </c>
      <c r="B37" t="s">
        <v>733</v>
      </c>
      <c r="C37" s="1">
        <v>2</v>
      </c>
      <c r="D37" t="s">
        <v>734</v>
      </c>
      <c r="E37" s="124">
        <v>0</v>
      </c>
      <c r="F37" s="124">
        <v>100</v>
      </c>
      <c r="G37" s="124">
        <v>200</v>
      </c>
      <c r="H37" s="124">
        <v>350</v>
      </c>
      <c r="I37" s="124">
        <v>550</v>
      </c>
      <c r="J37" s="1">
        <v>1</v>
      </c>
      <c r="K37" s="1">
        <v>1</v>
      </c>
    </row>
  </sheetData>
  <autoFilter ref="A1:K37" xr:uid="{E8DDA3D5-6745-4184-9D68-AAC802051D8B}"/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18"/>
  <sheetViews>
    <sheetView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690</v>
      </c>
      <c r="B1" s="43" t="s">
        <v>811</v>
      </c>
      <c r="C1" s="43" t="s">
        <v>812</v>
      </c>
    </row>
    <row r="2" spans="1:3" x14ac:dyDescent="0.25">
      <c r="A2" t="s">
        <v>777</v>
      </c>
      <c r="B2" s="1">
        <v>910101</v>
      </c>
      <c r="C2" t="s">
        <v>778</v>
      </c>
    </row>
    <row r="3" spans="1:3" x14ac:dyDescent="0.25">
      <c r="A3" t="s">
        <v>779</v>
      </c>
      <c r="B3" s="1">
        <v>910102</v>
      </c>
      <c r="C3" t="s">
        <v>780</v>
      </c>
    </row>
    <row r="4" spans="1:3" x14ac:dyDescent="0.25">
      <c r="A4" t="s">
        <v>781</v>
      </c>
      <c r="B4" s="1">
        <v>910103</v>
      </c>
      <c r="C4" t="s">
        <v>782</v>
      </c>
    </row>
    <row r="5" spans="1:3" x14ac:dyDescent="0.25">
      <c r="A5" t="s">
        <v>783</v>
      </c>
      <c r="B5" s="1">
        <v>910104</v>
      </c>
      <c r="C5" t="s">
        <v>784</v>
      </c>
    </row>
    <row r="6" spans="1:3" x14ac:dyDescent="0.25">
      <c r="A6" t="s">
        <v>785</v>
      </c>
      <c r="B6" s="1">
        <v>910105</v>
      </c>
      <c r="C6" t="s">
        <v>786</v>
      </c>
    </row>
    <row r="7" spans="1:3" x14ac:dyDescent="0.25">
      <c r="A7" t="s">
        <v>787</v>
      </c>
      <c r="B7" s="1">
        <v>910106</v>
      </c>
      <c r="C7" t="s">
        <v>788</v>
      </c>
    </row>
    <row r="8" spans="1:3" x14ac:dyDescent="0.25">
      <c r="A8" t="s">
        <v>789</v>
      </c>
      <c r="B8" s="1">
        <v>910107</v>
      </c>
      <c r="C8" t="s">
        <v>790</v>
      </c>
    </row>
    <row r="9" spans="1:3" x14ac:dyDescent="0.25">
      <c r="A9" t="s">
        <v>791</v>
      </c>
      <c r="B9" s="1">
        <v>910108</v>
      </c>
      <c r="C9" t="s">
        <v>792</v>
      </c>
    </row>
    <row r="10" spans="1:3" x14ac:dyDescent="0.25">
      <c r="A10" t="s">
        <v>793</v>
      </c>
      <c r="B10" s="1">
        <v>910109</v>
      </c>
      <c r="C10" t="s">
        <v>794</v>
      </c>
    </row>
    <row r="11" spans="1:3" x14ac:dyDescent="0.25">
      <c r="A11" t="s">
        <v>795</v>
      </c>
      <c r="B11" s="1">
        <v>910110</v>
      </c>
      <c r="C11" t="s">
        <v>796</v>
      </c>
    </row>
    <row r="12" spans="1:3" x14ac:dyDescent="0.25">
      <c r="A12" t="s">
        <v>797</v>
      </c>
      <c r="B12" s="1">
        <v>910111</v>
      </c>
      <c r="C12" t="s">
        <v>798</v>
      </c>
    </row>
    <row r="13" spans="1:3" x14ac:dyDescent="0.25">
      <c r="A13" t="s">
        <v>799</v>
      </c>
      <c r="B13" s="1">
        <v>910112</v>
      </c>
      <c r="C13" t="s">
        <v>800</v>
      </c>
    </row>
    <row r="14" spans="1:3" x14ac:dyDescent="0.25">
      <c r="A14" t="s">
        <v>801</v>
      </c>
      <c r="B14" s="1">
        <v>910113</v>
      </c>
      <c r="C14" t="s">
        <v>802</v>
      </c>
    </row>
    <row r="15" spans="1:3" x14ac:dyDescent="0.25">
      <c r="A15" t="s">
        <v>803</v>
      </c>
      <c r="B15" s="1">
        <v>910114</v>
      </c>
      <c r="C15" t="s">
        <v>804</v>
      </c>
    </row>
    <row r="16" spans="1:3" x14ac:dyDescent="0.25">
      <c r="A16" t="s">
        <v>805</v>
      </c>
      <c r="B16" s="1">
        <v>910115</v>
      </c>
      <c r="C16" t="s">
        <v>806</v>
      </c>
    </row>
    <row r="17" spans="1:3" x14ac:dyDescent="0.25">
      <c r="A17" t="s">
        <v>807</v>
      </c>
      <c r="B17" s="1">
        <v>910116</v>
      </c>
      <c r="C17" t="s">
        <v>808</v>
      </c>
    </row>
    <row r="18" spans="1:3" x14ac:dyDescent="0.25">
      <c r="A18" t="s">
        <v>809</v>
      </c>
      <c r="B18" s="1">
        <v>910117</v>
      </c>
      <c r="C18" t="s">
        <v>810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K181"/>
  <sheetViews>
    <sheetView workbookViewId="0">
      <pane ySplit="2" topLeftCell="A3" activePane="bottomLeft" state="frozen"/>
      <selection activeCell="C4" sqref="C4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6384" width="9.140625" style="40"/>
  </cols>
  <sheetData>
    <row r="1" spans="1:18" x14ac:dyDescent="0.25">
      <c r="A1" s="176" t="s">
        <v>889</v>
      </c>
      <c r="B1" s="176"/>
      <c r="C1" s="176"/>
      <c r="E1" s="176" t="s">
        <v>890</v>
      </c>
      <c r="F1" s="176"/>
      <c r="G1" s="176"/>
      <c r="I1" s="176" t="s">
        <v>1056</v>
      </c>
      <c r="J1" s="176"/>
      <c r="K1" s="176"/>
      <c r="M1" s="177" t="s">
        <v>891</v>
      </c>
      <c r="N1" s="177"/>
      <c r="O1" s="177"/>
      <c r="P1" s="177"/>
      <c r="Q1" s="177"/>
      <c r="R1" s="177"/>
    </row>
    <row r="2" spans="1:18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25" t="s">
        <v>20</v>
      </c>
      <c r="K2" s="125" t="s">
        <v>21</v>
      </c>
      <c r="M2" s="48" t="s">
        <v>886</v>
      </c>
      <c r="N2" s="51">
        <v>2</v>
      </c>
      <c r="O2" s="51">
        <v>3</v>
      </c>
      <c r="P2" s="51">
        <v>4</v>
      </c>
      <c r="Q2" s="51">
        <v>5</v>
      </c>
      <c r="R2" s="51" t="s">
        <v>813</v>
      </c>
    </row>
    <row r="3" spans="1:18" x14ac:dyDescent="0.25">
      <c r="A3" s="49">
        <v>1</v>
      </c>
      <c r="B3" s="45">
        <v>0</v>
      </c>
      <c r="C3" s="45">
        <v>100</v>
      </c>
      <c r="E3" s="49">
        <v>1</v>
      </c>
      <c r="F3" s="45">
        <v>0</v>
      </c>
      <c r="G3" s="45">
        <v>0</v>
      </c>
      <c r="I3" s="49">
        <v>1</v>
      </c>
      <c r="J3" s="45">
        <v>0</v>
      </c>
      <c r="K3" s="45">
        <v>0</v>
      </c>
      <c r="M3" s="49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</row>
    <row r="4" spans="1:18" x14ac:dyDescent="0.25">
      <c r="A4" s="49">
        <v>2</v>
      </c>
      <c r="B4" s="45">
        <v>100</v>
      </c>
      <c r="C4" s="45">
        <v>200</v>
      </c>
      <c r="E4" s="49">
        <v>2</v>
      </c>
      <c r="F4" s="45">
        <v>300</v>
      </c>
      <c r="G4" s="45">
        <v>300</v>
      </c>
      <c r="I4" s="49">
        <v>2</v>
      </c>
      <c r="J4" s="45">
        <v>500</v>
      </c>
      <c r="K4" s="45">
        <v>500</v>
      </c>
      <c r="M4" s="49">
        <v>1</v>
      </c>
      <c r="N4" s="45">
        <v>0</v>
      </c>
      <c r="O4" s="45">
        <v>50</v>
      </c>
      <c r="P4" s="45">
        <v>100</v>
      </c>
      <c r="Q4" s="45">
        <v>200</v>
      </c>
      <c r="R4" s="45">
        <v>600</v>
      </c>
    </row>
    <row r="5" spans="1:18" x14ac:dyDescent="0.25">
      <c r="A5" s="49">
        <v>3</v>
      </c>
      <c r="B5" s="45">
        <v>200</v>
      </c>
      <c r="C5" s="45">
        <v>400</v>
      </c>
      <c r="E5" s="49">
        <v>3</v>
      </c>
      <c r="F5" s="45">
        <v>600</v>
      </c>
      <c r="G5" s="45">
        <v>900</v>
      </c>
      <c r="I5" s="49">
        <v>3</v>
      </c>
      <c r="J5" s="45">
        <v>900</v>
      </c>
      <c r="K5" s="45">
        <v>1400</v>
      </c>
      <c r="M5" s="49">
        <v>2</v>
      </c>
      <c r="N5" s="45">
        <v>0</v>
      </c>
      <c r="O5" s="45">
        <v>110</v>
      </c>
      <c r="P5" s="45">
        <v>220</v>
      </c>
      <c r="Q5" s="45">
        <v>440</v>
      </c>
      <c r="R5" s="45">
        <v>1320</v>
      </c>
    </row>
    <row r="6" spans="1:18" x14ac:dyDescent="0.25">
      <c r="A6" s="49">
        <v>4</v>
      </c>
      <c r="B6" s="45">
        <v>300</v>
      </c>
      <c r="C6" s="45">
        <v>700</v>
      </c>
      <c r="E6" s="49">
        <v>4</v>
      </c>
      <c r="F6" s="45">
        <v>900</v>
      </c>
      <c r="G6" s="45">
        <v>1800</v>
      </c>
      <c r="I6" s="49">
        <v>4</v>
      </c>
      <c r="J6" s="45">
        <v>1300</v>
      </c>
      <c r="K6" s="45">
        <v>2700</v>
      </c>
      <c r="M6" s="49">
        <v>3</v>
      </c>
      <c r="N6" s="45">
        <v>0</v>
      </c>
      <c r="O6" s="45">
        <v>190</v>
      </c>
      <c r="P6" s="45">
        <v>380</v>
      </c>
      <c r="Q6" s="45">
        <v>760</v>
      </c>
      <c r="R6" s="45">
        <v>2280</v>
      </c>
    </row>
    <row r="7" spans="1:18" x14ac:dyDescent="0.25">
      <c r="A7" s="49">
        <v>5</v>
      </c>
      <c r="B7" s="45">
        <v>400</v>
      </c>
      <c r="C7" s="45">
        <v>1100</v>
      </c>
      <c r="E7" s="49">
        <v>5</v>
      </c>
      <c r="F7" s="45">
        <v>1200</v>
      </c>
      <c r="G7" s="45">
        <v>3000</v>
      </c>
      <c r="I7" s="49">
        <v>5</v>
      </c>
      <c r="J7" s="45">
        <v>1800</v>
      </c>
      <c r="K7" s="45">
        <v>4500</v>
      </c>
      <c r="M7" s="49">
        <v>4</v>
      </c>
      <c r="N7" s="45">
        <v>0</v>
      </c>
      <c r="O7" s="45">
        <v>305</v>
      </c>
      <c r="P7" s="45">
        <v>610</v>
      </c>
      <c r="Q7" s="45">
        <v>1220</v>
      </c>
      <c r="R7" s="45">
        <v>3660</v>
      </c>
    </row>
    <row r="8" spans="1:18" x14ac:dyDescent="0.25">
      <c r="A8" s="49">
        <v>6</v>
      </c>
      <c r="B8" s="45">
        <v>500</v>
      </c>
      <c r="C8" s="45">
        <v>1600</v>
      </c>
      <c r="E8" s="49">
        <v>6</v>
      </c>
      <c r="F8" s="45">
        <v>1500</v>
      </c>
      <c r="G8" s="45">
        <v>4500</v>
      </c>
      <c r="I8" s="49">
        <v>6</v>
      </c>
      <c r="J8" s="45">
        <v>2200</v>
      </c>
      <c r="K8" s="45">
        <v>6700</v>
      </c>
      <c r="M8" s="49">
        <v>5</v>
      </c>
      <c r="N8" s="45">
        <v>0</v>
      </c>
      <c r="O8" s="45">
        <v>470</v>
      </c>
      <c r="P8" s="45">
        <v>940</v>
      </c>
      <c r="Q8" s="45">
        <v>1880</v>
      </c>
      <c r="R8" s="45">
        <v>5640</v>
      </c>
    </row>
    <row r="9" spans="1:18" x14ac:dyDescent="0.25">
      <c r="A9" s="49">
        <v>7</v>
      </c>
      <c r="B9" s="45">
        <v>600</v>
      </c>
      <c r="C9" s="45">
        <v>2200</v>
      </c>
      <c r="E9" s="49">
        <v>7</v>
      </c>
      <c r="F9" s="45">
        <v>1800</v>
      </c>
      <c r="G9" s="45">
        <v>6300</v>
      </c>
      <c r="I9" s="49">
        <v>7</v>
      </c>
      <c r="J9" s="45">
        <v>2700</v>
      </c>
      <c r="K9" s="45">
        <v>9400</v>
      </c>
      <c r="M9" s="49">
        <v>6</v>
      </c>
      <c r="N9" s="45">
        <v>0</v>
      </c>
      <c r="O9" s="45">
        <v>700</v>
      </c>
      <c r="P9" s="45">
        <v>1400</v>
      </c>
      <c r="Q9" s="45">
        <v>2800</v>
      </c>
      <c r="R9" s="45">
        <v>8400</v>
      </c>
    </row>
    <row r="10" spans="1:18" x14ac:dyDescent="0.25">
      <c r="A10" s="49">
        <v>8</v>
      </c>
      <c r="B10" s="45">
        <v>700</v>
      </c>
      <c r="C10" s="45">
        <v>2900</v>
      </c>
      <c r="E10" s="49">
        <v>8</v>
      </c>
      <c r="F10" s="45">
        <v>2100</v>
      </c>
      <c r="G10" s="45">
        <v>8400</v>
      </c>
      <c r="I10" s="49">
        <v>8</v>
      </c>
      <c r="J10" s="45">
        <v>3200</v>
      </c>
      <c r="K10" s="45">
        <v>12600</v>
      </c>
      <c r="M10" s="49">
        <v>7</v>
      </c>
      <c r="N10" s="45">
        <v>0</v>
      </c>
      <c r="O10" s="45">
        <v>1005</v>
      </c>
      <c r="P10" s="45">
        <v>2010</v>
      </c>
      <c r="Q10" s="45">
        <v>4020</v>
      </c>
      <c r="R10" s="45">
        <v>12060</v>
      </c>
    </row>
    <row r="11" spans="1:18" x14ac:dyDescent="0.25">
      <c r="A11" s="49">
        <v>9</v>
      </c>
      <c r="B11" s="45">
        <v>800</v>
      </c>
      <c r="C11" s="45">
        <v>3700</v>
      </c>
      <c r="E11" s="49">
        <v>9</v>
      </c>
      <c r="F11" s="45">
        <v>2400</v>
      </c>
      <c r="G11" s="45">
        <v>10800</v>
      </c>
      <c r="I11" s="49">
        <v>9</v>
      </c>
      <c r="J11" s="45">
        <v>3600</v>
      </c>
      <c r="K11" s="45">
        <v>16200</v>
      </c>
      <c r="M11" s="49">
        <v>8</v>
      </c>
      <c r="N11" s="45">
        <v>0</v>
      </c>
      <c r="O11" s="45">
        <v>1400</v>
      </c>
      <c r="P11" s="45">
        <v>2800</v>
      </c>
      <c r="Q11" s="45">
        <v>5600</v>
      </c>
      <c r="R11" s="45">
        <v>16800</v>
      </c>
    </row>
    <row r="12" spans="1:18" x14ac:dyDescent="0.25">
      <c r="A12" s="49">
        <v>10</v>
      </c>
      <c r="B12" s="45">
        <v>900</v>
      </c>
      <c r="C12" s="45">
        <v>4600</v>
      </c>
      <c r="E12" s="49">
        <v>10</v>
      </c>
      <c r="F12" s="45">
        <v>2700</v>
      </c>
      <c r="G12" s="45">
        <v>13500</v>
      </c>
      <c r="I12" s="49">
        <v>10</v>
      </c>
      <c r="J12" s="45">
        <v>4000</v>
      </c>
      <c r="K12" s="45">
        <v>20200</v>
      </c>
      <c r="M12" s="49">
        <v>9</v>
      </c>
      <c r="N12" s="45">
        <v>0</v>
      </c>
      <c r="O12" s="45">
        <v>1895</v>
      </c>
      <c r="P12" s="45">
        <v>3790</v>
      </c>
      <c r="Q12" s="45">
        <v>7580</v>
      </c>
      <c r="R12" s="45">
        <v>22740</v>
      </c>
    </row>
    <row r="13" spans="1:18" x14ac:dyDescent="0.25">
      <c r="A13" s="49">
        <v>11</v>
      </c>
      <c r="B13" s="45">
        <v>1000</v>
      </c>
      <c r="C13" s="45">
        <v>5600</v>
      </c>
      <c r="E13" s="49">
        <v>11</v>
      </c>
      <c r="F13" s="45">
        <v>3000</v>
      </c>
      <c r="G13" s="45">
        <v>16500</v>
      </c>
      <c r="I13" s="49">
        <v>11</v>
      </c>
      <c r="J13" s="45">
        <v>4500</v>
      </c>
      <c r="K13" s="45">
        <v>24700</v>
      </c>
      <c r="M13" s="50">
        <v>10</v>
      </c>
      <c r="N13" s="47">
        <v>0</v>
      </c>
      <c r="O13" s="47">
        <v>2500</v>
      </c>
      <c r="P13" s="47">
        <v>5000</v>
      </c>
      <c r="Q13" s="47">
        <v>10000</v>
      </c>
      <c r="R13" s="47">
        <v>30000</v>
      </c>
    </row>
    <row r="14" spans="1:18" x14ac:dyDescent="0.25">
      <c r="A14" s="49">
        <v>12</v>
      </c>
      <c r="B14" s="45">
        <v>1100</v>
      </c>
      <c r="C14" s="45">
        <v>6700</v>
      </c>
      <c r="E14" s="49">
        <v>12</v>
      </c>
      <c r="F14" s="45">
        <v>3300</v>
      </c>
      <c r="G14" s="45">
        <v>19800</v>
      </c>
      <c r="I14" s="49">
        <v>12</v>
      </c>
      <c r="J14" s="45">
        <v>5000</v>
      </c>
      <c r="K14" s="45">
        <v>29700</v>
      </c>
    </row>
    <row r="15" spans="1:18" x14ac:dyDescent="0.25">
      <c r="A15" s="49">
        <v>13</v>
      </c>
      <c r="B15" s="45">
        <v>1200</v>
      </c>
      <c r="C15" s="45">
        <v>7900</v>
      </c>
      <c r="E15" s="49">
        <v>13</v>
      </c>
      <c r="F15" s="45">
        <v>3600</v>
      </c>
      <c r="G15" s="45">
        <v>23400</v>
      </c>
      <c r="I15" s="49">
        <v>13</v>
      </c>
      <c r="J15" s="45">
        <v>5400</v>
      </c>
      <c r="K15" s="45">
        <v>35100</v>
      </c>
    </row>
    <row r="16" spans="1:18" x14ac:dyDescent="0.25">
      <c r="A16" s="49">
        <v>14</v>
      </c>
      <c r="B16" s="45">
        <v>1300</v>
      </c>
      <c r="C16" s="45">
        <v>9200</v>
      </c>
      <c r="E16" s="49">
        <v>14</v>
      </c>
      <c r="F16" s="45">
        <v>3900</v>
      </c>
      <c r="G16" s="45">
        <v>27300</v>
      </c>
      <c r="I16" s="49">
        <v>14</v>
      </c>
      <c r="J16" s="45">
        <v>5800</v>
      </c>
      <c r="K16" s="45">
        <v>40900</v>
      </c>
    </row>
    <row r="17" spans="1:11" x14ac:dyDescent="0.25">
      <c r="A17" s="49">
        <v>15</v>
      </c>
      <c r="B17" s="45">
        <v>1400</v>
      </c>
      <c r="C17" s="45">
        <v>10600</v>
      </c>
      <c r="E17" s="49">
        <v>15</v>
      </c>
      <c r="F17" s="45">
        <v>4200</v>
      </c>
      <c r="G17" s="45">
        <v>31500</v>
      </c>
      <c r="I17" s="49">
        <v>15</v>
      </c>
      <c r="J17" s="45">
        <v>6300</v>
      </c>
      <c r="K17" s="45">
        <v>47200</v>
      </c>
    </row>
    <row r="18" spans="1:11" x14ac:dyDescent="0.25">
      <c r="A18" s="49">
        <v>16</v>
      </c>
      <c r="B18" s="45">
        <v>1500</v>
      </c>
      <c r="C18" s="45">
        <v>12100</v>
      </c>
      <c r="E18" s="49">
        <v>16</v>
      </c>
      <c r="F18" s="45">
        <v>4500</v>
      </c>
      <c r="G18" s="45">
        <v>36000</v>
      </c>
      <c r="I18" s="49">
        <v>16</v>
      </c>
      <c r="J18" s="45">
        <v>6800</v>
      </c>
      <c r="K18" s="45">
        <v>54000</v>
      </c>
    </row>
    <row r="19" spans="1:11" x14ac:dyDescent="0.25">
      <c r="A19" s="49">
        <v>17</v>
      </c>
      <c r="B19" s="45">
        <v>1600</v>
      </c>
      <c r="C19" s="45">
        <v>13700</v>
      </c>
      <c r="E19" s="49">
        <v>17</v>
      </c>
      <c r="F19" s="45">
        <v>4800</v>
      </c>
      <c r="G19" s="45">
        <v>40800</v>
      </c>
      <c r="I19" s="49">
        <v>17</v>
      </c>
      <c r="J19" s="45">
        <v>7200</v>
      </c>
      <c r="K19" s="45">
        <v>61200</v>
      </c>
    </row>
    <row r="20" spans="1:11" x14ac:dyDescent="0.25">
      <c r="A20" s="49">
        <v>18</v>
      </c>
      <c r="B20" s="45">
        <v>1700</v>
      </c>
      <c r="C20" s="45">
        <v>15400</v>
      </c>
      <c r="E20" s="49">
        <v>18</v>
      </c>
      <c r="F20" s="45">
        <v>5100</v>
      </c>
      <c r="G20" s="45">
        <v>45900</v>
      </c>
      <c r="I20" s="49">
        <v>18</v>
      </c>
      <c r="J20" s="45">
        <v>7600</v>
      </c>
      <c r="K20" s="45">
        <v>68800</v>
      </c>
    </row>
    <row r="21" spans="1:11" x14ac:dyDescent="0.25">
      <c r="A21" s="49">
        <v>19</v>
      </c>
      <c r="B21" s="45">
        <v>1800</v>
      </c>
      <c r="C21" s="45">
        <v>17200</v>
      </c>
      <c r="E21" s="49">
        <v>19</v>
      </c>
      <c r="F21" s="45">
        <v>5500</v>
      </c>
      <c r="G21" s="45">
        <v>51400</v>
      </c>
      <c r="I21" s="49">
        <v>19</v>
      </c>
      <c r="J21" s="45">
        <v>8300</v>
      </c>
      <c r="K21" s="45">
        <v>77100</v>
      </c>
    </row>
    <row r="22" spans="1:11" x14ac:dyDescent="0.25">
      <c r="A22" s="49">
        <v>20</v>
      </c>
      <c r="B22" s="45">
        <v>1900</v>
      </c>
      <c r="C22" s="45">
        <v>19100</v>
      </c>
      <c r="E22" s="49">
        <v>20</v>
      </c>
      <c r="F22" s="45">
        <v>6000</v>
      </c>
      <c r="G22" s="45">
        <v>57400</v>
      </c>
      <c r="I22" s="49">
        <v>20</v>
      </c>
      <c r="J22" s="45">
        <v>9000</v>
      </c>
      <c r="K22" s="45">
        <v>86100</v>
      </c>
    </row>
    <row r="23" spans="1:11" x14ac:dyDescent="0.25">
      <c r="A23" s="49">
        <v>21</v>
      </c>
      <c r="B23" s="45">
        <v>2000</v>
      </c>
      <c r="C23" s="45">
        <v>21100</v>
      </c>
      <c r="E23" s="49">
        <v>21</v>
      </c>
      <c r="F23" s="45">
        <v>6500</v>
      </c>
      <c r="G23" s="45">
        <v>63900</v>
      </c>
      <c r="I23" s="49">
        <v>21</v>
      </c>
      <c r="J23" s="45">
        <v>9800</v>
      </c>
      <c r="K23" s="45">
        <v>95900</v>
      </c>
    </row>
    <row r="24" spans="1:11" x14ac:dyDescent="0.25">
      <c r="A24" s="49">
        <v>22</v>
      </c>
      <c r="B24" s="45">
        <v>2100</v>
      </c>
      <c r="C24" s="45">
        <v>23200</v>
      </c>
      <c r="E24" s="49">
        <v>22</v>
      </c>
      <c r="F24" s="45">
        <v>7100</v>
      </c>
      <c r="G24" s="45">
        <v>71000</v>
      </c>
      <c r="I24" s="49">
        <v>22</v>
      </c>
      <c r="J24" s="45">
        <v>10600</v>
      </c>
      <c r="K24" s="45">
        <v>106500</v>
      </c>
    </row>
    <row r="25" spans="1:11" x14ac:dyDescent="0.25">
      <c r="A25" s="49">
        <v>23</v>
      </c>
      <c r="B25" s="45">
        <v>2200</v>
      </c>
      <c r="C25" s="45">
        <v>25400</v>
      </c>
      <c r="E25" s="49">
        <v>23</v>
      </c>
      <c r="F25" s="45">
        <v>8000</v>
      </c>
      <c r="G25" s="45">
        <v>79000</v>
      </c>
      <c r="I25" s="49">
        <v>23</v>
      </c>
      <c r="J25" s="45">
        <v>12000</v>
      </c>
      <c r="K25" s="45">
        <v>118500</v>
      </c>
    </row>
    <row r="26" spans="1:11" x14ac:dyDescent="0.25">
      <c r="A26" s="49">
        <v>24</v>
      </c>
      <c r="B26" s="45">
        <v>2300</v>
      </c>
      <c r="C26" s="45">
        <v>27700</v>
      </c>
      <c r="E26" s="49">
        <v>24</v>
      </c>
      <c r="F26" s="45">
        <v>9000</v>
      </c>
      <c r="G26" s="45">
        <v>88000</v>
      </c>
      <c r="I26" s="49">
        <v>24</v>
      </c>
      <c r="J26" s="45">
        <v>13500</v>
      </c>
      <c r="K26" s="45">
        <v>132000</v>
      </c>
    </row>
    <row r="27" spans="1:11" x14ac:dyDescent="0.25">
      <c r="A27" s="49">
        <v>25</v>
      </c>
      <c r="B27" s="45">
        <v>2400</v>
      </c>
      <c r="C27" s="45">
        <v>30100</v>
      </c>
      <c r="E27" s="49">
        <v>25</v>
      </c>
      <c r="F27" s="45">
        <v>10000</v>
      </c>
      <c r="G27" s="45">
        <v>98000</v>
      </c>
      <c r="I27" s="49">
        <v>25</v>
      </c>
      <c r="J27" s="45">
        <v>15000</v>
      </c>
      <c r="K27" s="45">
        <v>147000</v>
      </c>
    </row>
    <row r="28" spans="1:11" x14ac:dyDescent="0.25">
      <c r="A28" s="49">
        <v>26</v>
      </c>
      <c r="B28" s="45">
        <v>2500</v>
      </c>
      <c r="C28" s="45">
        <v>32600</v>
      </c>
      <c r="E28" s="49">
        <v>26</v>
      </c>
      <c r="F28" s="45">
        <v>11000</v>
      </c>
      <c r="G28" s="45">
        <v>109000</v>
      </c>
      <c r="I28" s="49">
        <v>26</v>
      </c>
      <c r="J28" s="45">
        <v>16500</v>
      </c>
      <c r="K28" s="45">
        <v>163500</v>
      </c>
    </row>
    <row r="29" spans="1:11" x14ac:dyDescent="0.25">
      <c r="A29" s="49">
        <v>27</v>
      </c>
      <c r="B29" s="45">
        <v>2600</v>
      </c>
      <c r="C29" s="45">
        <v>35200</v>
      </c>
      <c r="E29" s="49">
        <v>27</v>
      </c>
      <c r="F29" s="45">
        <v>12200</v>
      </c>
      <c r="G29" s="45">
        <v>121200</v>
      </c>
      <c r="I29" s="49">
        <v>27</v>
      </c>
      <c r="J29" s="45">
        <v>18300</v>
      </c>
      <c r="K29" s="45">
        <v>181800</v>
      </c>
    </row>
    <row r="30" spans="1:11" x14ac:dyDescent="0.25">
      <c r="A30" s="49">
        <v>28</v>
      </c>
      <c r="B30" s="45">
        <v>2800</v>
      </c>
      <c r="C30" s="45">
        <v>38000</v>
      </c>
      <c r="E30" s="49">
        <v>28</v>
      </c>
      <c r="F30" s="45">
        <v>13400</v>
      </c>
      <c r="G30" s="45">
        <v>134600</v>
      </c>
      <c r="I30" s="49">
        <v>28</v>
      </c>
      <c r="J30" s="45">
        <v>20100</v>
      </c>
      <c r="K30" s="45">
        <v>201900</v>
      </c>
    </row>
    <row r="31" spans="1:11" x14ac:dyDescent="0.25">
      <c r="A31" s="49">
        <v>29</v>
      </c>
      <c r="B31" s="45">
        <v>3100</v>
      </c>
      <c r="C31" s="45">
        <v>41100</v>
      </c>
      <c r="E31" s="49">
        <v>29</v>
      </c>
      <c r="F31" s="45">
        <v>14700</v>
      </c>
      <c r="G31" s="45">
        <v>149300</v>
      </c>
      <c r="I31" s="49">
        <v>29</v>
      </c>
      <c r="J31" s="45">
        <v>22000</v>
      </c>
      <c r="K31" s="45">
        <v>223900</v>
      </c>
    </row>
    <row r="32" spans="1:11" x14ac:dyDescent="0.25">
      <c r="A32" s="49">
        <v>30</v>
      </c>
      <c r="B32" s="45">
        <v>3400</v>
      </c>
      <c r="C32" s="45">
        <v>44500</v>
      </c>
      <c r="E32" s="49">
        <v>30</v>
      </c>
      <c r="F32" s="45">
        <v>16000</v>
      </c>
      <c r="G32" s="45">
        <v>165300</v>
      </c>
      <c r="I32" s="49">
        <v>30</v>
      </c>
      <c r="J32" s="45">
        <v>24000</v>
      </c>
      <c r="K32" s="45">
        <v>247900</v>
      </c>
    </row>
    <row r="33" spans="1:11" x14ac:dyDescent="0.25">
      <c r="A33" s="49">
        <v>31</v>
      </c>
      <c r="B33" s="45">
        <v>4200</v>
      </c>
      <c r="C33" s="45">
        <v>48700</v>
      </c>
      <c r="E33" s="49">
        <v>31</v>
      </c>
      <c r="F33" s="45">
        <v>17500</v>
      </c>
      <c r="G33" s="45">
        <v>182800</v>
      </c>
      <c r="I33" s="49">
        <v>31</v>
      </c>
      <c r="J33" s="45">
        <v>26300</v>
      </c>
      <c r="K33" s="45">
        <v>274200</v>
      </c>
    </row>
    <row r="34" spans="1:11" x14ac:dyDescent="0.25">
      <c r="A34" s="49">
        <v>32</v>
      </c>
      <c r="B34" s="45">
        <v>4600</v>
      </c>
      <c r="C34" s="45">
        <v>53300</v>
      </c>
      <c r="E34" s="49">
        <v>32</v>
      </c>
      <c r="F34" s="45">
        <v>18900</v>
      </c>
      <c r="G34" s="45">
        <v>201700</v>
      </c>
      <c r="I34" s="49">
        <v>32</v>
      </c>
      <c r="J34" s="45">
        <v>28300</v>
      </c>
      <c r="K34" s="45">
        <v>302500</v>
      </c>
    </row>
    <row r="35" spans="1:11" x14ac:dyDescent="0.25">
      <c r="A35" s="49">
        <v>33</v>
      </c>
      <c r="B35" s="45">
        <v>5000</v>
      </c>
      <c r="C35" s="45">
        <v>58300</v>
      </c>
      <c r="E35" s="49">
        <v>33</v>
      </c>
      <c r="F35" s="45">
        <v>20500</v>
      </c>
      <c r="G35" s="45">
        <v>222200</v>
      </c>
      <c r="I35" s="49">
        <v>33</v>
      </c>
      <c r="J35" s="45">
        <v>30800</v>
      </c>
      <c r="K35" s="45">
        <v>333300</v>
      </c>
    </row>
    <row r="36" spans="1:11" x14ac:dyDescent="0.25">
      <c r="A36" s="49">
        <v>34</v>
      </c>
      <c r="B36" s="45">
        <v>5400</v>
      </c>
      <c r="C36" s="45">
        <v>63700</v>
      </c>
      <c r="E36" s="49">
        <v>34</v>
      </c>
      <c r="F36" s="45">
        <v>22200</v>
      </c>
      <c r="G36" s="45">
        <v>244400</v>
      </c>
      <c r="I36" s="49">
        <v>34</v>
      </c>
      <c r="J36" s="45">
        <v>33300</v>
      </c>
      <c r="K36" s="45">
        <v>366600</v>
      </c>
    </row>
    <row r="37" spans="1:11" x14ac:dyDescent="0.25">
      <c r="A37" s="49">
        <v>35</v>
      </c>
      <c r="B37" s="45">
        <v>5800</v>
      </c>
      <c r="C37" s="45">
        <v>69500</v>
      </c>
      <c r="E37" s="49">
        <v>35</v>
      </c>
      <c r="F37" s="45">
        <v>23900</v>
      </c>
      <c r="G37" s="45">
        <v>268300</v>
      </c>
      <c r="I37" s="49">
        <v>35</v>
      </c>
      <c r="J37" s="45">
        <v>35800</v>
      </c>
      <c r="K37" s="45">
        <v>402400</v>
      </c>
    </row>
    <row r="38" spans="1:11" x14ac:dyDescent="0.25">
      <c r="A38" s="49">
        <v>36</v>
      </c>
      <c r="B38" s="45">
        <v>6300</v>
      </c>
      <c r="C38" s="45">
        <v>75800</v>
      </c>
      <c r="E38" s="49">
        <v>36</v>
      </c>
      <c r="F38" s="45">
        <v>25700</v>
      </c>
      <c r="G38" s="45">
        <v>294000</v>
      </c>
      <c r="I38" s="49">
        <v>36</v>
      </c>
      <c r="J38" s="45">
        <v>38600</v>
      </c>
      <c r="K38" s="45">
        <v>441000</v>
      </c>
    </row>
    <row r="39" spans="1:11" x14ac:dyDescent="0.25">
      <c r="A39" s="49">
        <v>37</v>
      </c>
      <c r="B39" s="45">
        <v>6700</v>
      </c>
      <c r="C39" s="45">
        <v>82500</v>
      </c>
      <c r="E39" s="49">
        <v>37</v>
      </c>
      <c r="F39" s="45">
        <v>27600</v>
      </c>
      <c r="G39" s="45">
        <v>321600</v>
      </c>
      <c r="I39" s="49">
        <v>37</v>
      </c>
      <c r="J39" s="45">
        <v>41400</v>
      </c>
      <c r="K39" s="45">
        <v>482400</v>
      </c>
    </row>
    <row r="40" spans="1:11" x14ac:dyDescent="0.25">
      <c r="A40" s="49">
        <v>38</v>
      </c>
      <c r="B40" s="45">
        <v>7200</v>
      </c>
      <c r="C40" s="45">
        <v>89700</v>
      </c>
      <c r="E40" s="49">
        <v>38</v>
      </c>
      <c r="F40" s="45">
        <v>29500</v>
      </c>
      <c r="G40" s="45">
        <v>351100</v>
      </c>
      <c r="I40" s="49">
        <v>38</v>
      </c>
      <c r="J40" s="45">
        <v>44200</v>
      </c>
      <c r="K40" s="45">
        <v>526600</v>
      </c>
    </row>
    <row r="41" spans="1:11" x14ac:dyDescent="0.25">
      <c r="A41" s="49">
        <v>39</v>
      </c>
      <c r="B41" s="45">
        <v>7700</v>
      </c>
      <c r="C41" s="45">
        <v>97400</v>
      </c>
      <c r="E41" s="49">
        <v>39</v>
      </c>
      <c r="F41" s="45">
        <v>31600</v>
      </c>
      <c r="G41" s="45">
        <v>382700</v>
      </c>
      <c r="I41" s="49">
        <v>39</v>
      </c>
      <c r="J41" s="45">
        <v>47400</v>
      </c>
      <c r="K41" s="45">
        <v>574000</v>
      </c>
    </row>
    <row r="42" spans="1:11" x14ac:dyDescent="0.25">
      <c r="A42" s="49">
        <v>40</v>
      </c>
      <c r="B42" s="45">
        <v>8200</v>
      </c>
      <c r="C42" s="45">
        <v>105600</v>
      </c>
      <c r="E42" s="49">
        <v>40</v>
      </c>
      <c r="F42" s="45">
        <v>33700</v>
      </c>
      <c r="G42" s="45">
        <v>416400</v>
      </c>
      <c r="I42" s="49">
        <v>40</v>
      </c>
      <c r="J42" s="45">
        <v>50600</v>
      </c>
      <c r="K42" s="45">
        <v>624600</v>
      </c>
    </row>
    <row r="43" spans="1:11" x14ac:dyDescent="0.25">
      <c r="A43" s="49">
        <v>41</v>
      </c>
      <c r="B43" s="45">
        <v>8800</v>
      </c>
      <c r="C43" s="45">
        <v>114400</v>
      </c>
      <c r="E43" s="49">
        <v>41</v>
      </c>
      <c r="F43" s="45">
        <v>35900</v>
      </c>
      <c r="G43" s="45">
        <v>452300</v>
      </c>
      <c r="I43" s="49">
        <v>41</v>
      </c>
      <c r="J43" s="45">
        <v>53800</v>
      </c>
      <c r="K43" s="45">
        <v>678400</v>
      </c>
    </row>
    <row r="44" spans="1:11" x14ac:dyDescent="0.25">
      <c r="A44" s="49">
        <v>42</v>
      </c>
      <c r="B44" s="45">
        <v>9300</v>
      </c>
      <c r="C44" s="45">
        <v>123700</v>
      </c>
      <c r="E44" s="49">
        <v>42</v>
      </c>
      <c r="F44" s="45">
        <v>38200</v>
      </c>
      <c r="G44" s="45">
        <v>490500</v>
      </c>
      <c r="I44" s="49">
        <v>42</v>
      </c>
      <c r="J44" s="45">
        <v>57300</v>
      </c>
      <c r="K44" s="45">
        <v>735700</v>
      </c>
    </row>
    <row r="45" spans="1:11" x14ac:dyDescent="0.25">
      <c r="A45" s="49">
        <v>43</v>
      </c>
      <c r="B45" s="45">
        <v>9900</v>
      </c>
      <c r="C45" s="45">
        <v>133600</v>
      </c>
      <c r="E45" s="49">
        <v>43</v>
      </c>
      <c r="F45" s="45">
        <v>40500</v>
      </c>
      <c r="G45" s="45">
        <v>531000</v>
      </c>
      <c r="I45" s="49">
        <v>43</v>
      </c>
      <c r="J45" s="45">
        <v>60800</v>
      </c>
      <c r="K45" s="45">
        <v>796500</v>
      </c>
    </row>
    <row r="46" spans="1:11" x14ac:dyDescent="0.25">
      <c r="A46" s="49">
        <v>44</v>
      </c>
      <c r="B46" s="45">
        <v>10500</v>
      </c>
      <c r="C46" s="45">
        <v>144100</v>
      </c>
      <c r="E46" s="49">
        <v>44</v>
      </c>
      <c r="F46" s="45">
        <v>43000</v>
      </c>
      <c r="G46" s="45">
        <v>574000</v>
      </c>
      <c r="I46" s="49">
        <v>44</v>
      </c>
      <c r="J46" s="45">
        <v>64500</v>
      </c>
      <c r="K46" s="45">
        <v>861000</v>
      </c>
    </row>
    <row r="47" spans="1:11" x14ac:dyDescent="0.25">
      <c r="A47" s="49">
        <v>45</v>
      </c>
      <c r="B47" s="45">
        <v>11100</v>
      </c>
      <c r="C47" s="45">
        <v>155200</v>
      </c>
      <c r="E47" s="49">
        <v>45</v>
      </c>
      <c r="F47" s="45">
        <v>45500</v>
      </c>
      <c r="G47" s="45">
        <v>619500</v>
      </c>
      <c r="I47" s="49">
        <v>45</v>
      </c>
      <c r="J47" s="45">
        <v>68200</v>
      </c>
      <c r="K47" s="45">
        <v>929200</v>
      </c>
    </row>
    <row r="48" spans="1:11" x14ac:dyDescent="0.25">
      <c r="A48" s="49">
        <v>46</v>
      </c>
      <c r="B48" s="45">
        <v>11800</v>
      </c>
      <c r="C48" s="45">
        <v>167000</v>
      </c>
      <c r="E48" s="49">
        <v>46</v>
      </c>
      <c r="F48" s="45">
        <v>48200</v>
      </c>
      <c r="G48" s="45">
        <v>667700</v>
      </c>
      <c r="I48" s="49">
        <v>46</v>
      </c>
      <c r="J48" s="45">
        <v>72300</v>
      </c>
      <c r="K48" s="45">
        <v>1001500</v>
      </c>
    </row>
    <row r="49" spans="1:11" x14ac:dyDescent="0.25">
      <c r="A49" s="49">
        <v>47</v>
      </c>
      <c r="B49" s="45">
        <v>12500</v>
      </c>
      <c r="C49" s="45">
        <v>179500</v>
      </c>
      <c r="E49" s="49">
        <v>47</v>
      </c>
      <c r="F49" s="45">
        <v>50900</v>
      </c>
      <c r="G49" s="45">
        <v>718600</v>
      </c>
      <c r="I49" s="49">
        <v>47</v>
      </c>
      <c r="J49" s="45">
        <v>76400</v>
      </c>
      <c r="K49" s="45">
        <v>1077900</v>
      </c>
    </row>
    <row r="50" spans="1:11" x14ac:dyDescent="0.25">
      <c r="A50" s="49">
        <v>48</v>
      </c>
      <c r="B50" s="45">
        <v>13100</v>
      </c>
      <c r="C50" s="45">
        <v>192600</v>
      </c>
      <c r="E50" s="49">
        <v>48</v>
      </c>
      <c r="F50" s="45">
        <v>53700</v>
      </c>
      <c r="G50" s="45">
        <v>772300</v>
      </c>
      <c r="I50" s="49">
        <v>48</v>
      </c>
      <c r="J50" s="45">
        <v>80500</v>
      </c>
      <c r="K50" s="45">
        <v>1158400</v>
      </c>
    </row>
    <row r="51" spans="1:11" x14ac:dyDescent="0.25">
      <c r="A51" s="49">
        <v>49</v>
      </c>
      <c r="B51" s="45">
        <v>13900</v>
      </c>
      <c r="C51" s="45">
        <v>206500</v>
      </c>
      <c r="E51" s="49">
        <v>49</v>
      </c>
      <c r="F51" s="45">
        <v>56600</v>
      </c>
      <c r="G51" s="45">
        <v>828900</v>
      </c>
      <c r="I51" s="49">
        <v>49</v>
      </c>
      <c r="J51" s="45">
        <v>84900</v>
      </c>
      <c r="K51" s="45">
        <v>1243300</v>
      </c>
    </row>
    <row r="52" spans="1:11" x14ac:dyDescent="0.25">
      <c r="A52" s="49">
        <v>50</v>
      </c>
      <c r="B52" s="45">
        <v>14600</v>
      </c>
      <c r="C52" s="45">
        <v>221100</v>
      </c>
      <c r="E52" s="49">
        <v>50</v>
      </c>
      <c r="F52" s="45">
        <v>59600</v>
      </c>
      <c r="G52" s="45">
        <v>888500</v>
      </c>
      <c r="I52" s="49">
        <v>50</v>
      </c>
      <c r="J52" s="45">
        <v>89400</v>
      </c>
      <c r="K52" s="45">
        <v>1332700</v>
      </c>
    </row>
    <row r="53" spans="1:11" x14ac:dyDescent="0.25">
      <c r="A53" s="49">
        <v>51</v>
      </c>
      <c r="B53" s="45">
        <v>15400</v>
      </c>
      <c r="C53" s="45">
        <v>236500</v>
      </c>
      <c r="E53" s="49">
        <v>51</v>
      </c>
      <c r="F53" s="45">
        <v>62700</v>
      </c>
      <c r="G53" s="45">
        <v>951200</v>
      </c>
      <c r="I53" s="49">
        <v>51</v>
      </c>
      <c r="J53" s="45">
        <v>94100</v>
      </c>
      <c r="K53" s="45">
        <v>1426800</v>
      </c>
    </row>
    <row r="54" spans="1:11" x14ac:dyDescent="0.25">
      <c r="A54" s="49">
        <v>52</v>
      </c>
      <c r="B54" s="45">
        <v>16100</v>
      </c>
      <c r="C54" s="45">
        <v>252600</v>
      </c>
      <c r="E54" s="49">
        <v>52</v>
      </c>
      <c r="F54" s="45">
        <v>65900</v>
      </c>
      <c r="G54" s="45">
        <v>1017100</v>
      </c>
      <c r="I54" s="49">
        <v>52</v>
      </c>
      <c r="J54" s="45">
        <v>98800</v>
      </c>
      <c r="K54" s="45">
        <v>1525600</v>
      </c>
    </row>
    <row r="55" spans="1:11" x14ac:dyDescent="0.25">
      <c r="A55" s="49">
        <v>53</v>
      </c>
      <c r="B55" s="45">
        <v>16900</v>
      </c>
      <c r="C55" s="45">
        <v>269500</v>
      </c>
      <c r="E55" s="49">
        <v>53</v>
      </c>
      <c r="F55" s="45">
        <v>69200</v>
      </c>
      <c r="G55" s="45">
        <v>1086300</v>
      </c>
      <c r="I55" s="49">
        <v>53</v>
      </c>
      <c r="J55" s="45">
        <v>103800</v>
      </c>
      <c r="K55" s="45">
        <v>1629400</v>
      </c>
    </row>
    <row r="56" spans="1:11" x14ac:dyDescent="0.25">
      <c r="A56" s="49">
        <v>54</v>
      </c>
      <c r="B56" s="45">
        <v>17700</v>
      </c>
      <c r="C56" s="45">
        <v>287200</v>
      </c>
      <c r="E56" s="49">
        <v>54</v>
      </c>
      <c r="F56" s="45">
        <v>72600</v>
      </c>
      <c r="G56" s="45">
        <v>1158900</v>
      </c>
      <c r="I56" s="49">
        <v>54</v>
      </c>
      <c r="J56" s="45">
        <v>108900</v>
      </c>
      <c r="K56" s="45">
        <v>1738300</v>
      </c>
    </row>
    <row r="57" spans="1:11" x14ac:dyDescent="0.25">
      <c r="A57" s="49">
        <v>55</v>
      </c>
      <c r="B57" s="45">
        <v>18600</v>
      </c>
      <c r="C57" s="45">
        <v>305800</v>
      </c>
      <c r="E57" s="49">
        <v>55</v>
      </c>
      <c r="F57" s="45">
        <v>76000</v>
      </c>
      <c r="G57" s="45">
        <v>1234900</v>
      </c>
      <c r="I57" s="49">
        <v>55</v>
      </c>
      <c r="J57" s="45">
        <v>114000</v>
      </c>
      <c r="K57" s="45">
        <v>1852300</v>
      </c>
    </row>
    <row r="58" spans="1:11" x14ac:dyDescent="0.25">
      <c r="A58" s="49">
        <v>56</v>
      </c>
      <c r="B58" s="45">
        <v>19500</v>
      </c>
      <c r="C58" s="45">
        <v>325300</v>
      </c>
      <c r="E58" s="49">
        <v>56</v>
      </c>
      <c r="F58" s="45">
        <v>79600</v>
      </c>
      <c r="G58" s="45">
        <v>1314500</v>
      </c>
      <c r="I58" s="49">
        <v>56</v>
      </c>
      <c r="J58" s="45">
        <v>119500</v>
      </c>
      <c r="K58" s="45">
        <v>1971800</v>
      </c>
    </row>
    <row r="59" spans="1:11" x14ac:dyDescent="0.25">
      <c r="A59" s="49">
        <v>57</v>
      </c>
      <c r="B59" s="45">
        <v>20400</v>
      </c>
      <c r="C59" s="45">
        <v>345700</v>
      </c>
      <c r="E59" s="49">
        <v>57</v>
      </c>
      <c r="F59" s="45">
        <v>83300</v>
      </c>
      <c r="G59" s="45">
        <v>1397800</v>
      </c>
      <c r="I59" s="49">
        <v>57</v>
      </c>
      <c r="J59" s="45">
        <v>124900</v>
      </c>
      <c r="K59" s="45">
        <v>2096700</v>
      </c>
    </row>
    <row r="60" spans="1:11" x14ac:dyDescent="0.25">
      <c r="A60" s="49">
        <v>58</v>
      </c>
      <c r="B60" s="45">
        <v>21300</v>
      </c>
      <c r="C60" s="45">
        <v>367000</v>
      </c>
      <c r="E60" s="49">
        <v>58</v>
      </c>
      <c r="F60" s="45">
        <v>87000</v>
      </c>
      <c r="G60" s="45">
        <v>1484800</v>
      </c>
      <c r="I60" s="49">
        <v>58</v>
      </c>
      <c r="J60" s="45">
        <v>130500</v>
      </c>
      <c r="K60" s="45">
        <v>2227200</v>
      </c>
    </row>
    <row r="61" spans="1:11" x14ac:dyDescent="0.25">
      <c r="A61" s="49">
        <v>59</v>
      </c>
      <c r="B61" s="45">
        <v>22300</v>
      </c>
      <c r="C61" s="45">
        <v>389300</v>
      </c>
      <c r="E61" s="49">
        <v>59</v>
      </c>
      <c r="F61" s="45">
        <v>90900</v>
      </c>
      <c r="G61" s="45">
        <v>1575700</v>
      </c>
      <c r="I61" s="49">
        <v>59</v>
      </c>
      <c r="J61" s="45">
        <v>136300</v>
      </c>
      <c r="K61" s="45">
        <v>2363500</v>
      </c>
    </row>
    <row r="62" spans="1:11" x14ac:dyDescent="0.25">
      <c r="A62" s="49">
        <v>60</v>
      </c>
      <c r="B62" s="45">
        <v>23300</v>
      </c>
      <c r="C62" s="45">
        <v>412600</v>
      </c>
      <c r="E62" s="49">
        <v>60</v>
      </c>
      <c r="F62" s="45">
        <v>94900</v>
      </c>
      <c r="G62" s="45">
        <v>1670600</v>
      </c>
      <c r="I62" s="49">
        <v>60</v>
      </c>
      <c r="J62" s="45">
        <v>142400</v>
      </c>
      <c r="K62" s="45">
        <v>2505900</v>
      </c>
    </row>
    <row r="63" spans="1:11" x14ac:dyDescent="0.25">
      <c r="A63" s="49">
        <v>61</v>
      </c>
      <c r="B63" s="45">
        <v>24300</v>
      </c>
      <c r="C63" s="45">
        <v>436900</v>
      </c>
      <c r="E63" s="49">
        <v>61</v>
      </c>
      <c r="F63" s="45">
        <v>99000</v>
      </c>
      <c r="G63" s="45">
        <v>1769600</v>
      </c>
      <c r="I63" s="49">
        <v>61</v>
      </c>
      <c r="J63" s="45">
        <v>148500</v>
      </c>
      <c r="K63" s="45">
        <v>2654400</v>
      </c>
    </row>
    <row r="64" spans="1:11" x14ac:dyDescent="0.25">
      <c r="A64" s="49">
        <v>62</v>
      </c>
      <c r="B64" s="45">
        <v>25300</v>
      </c>
      <c r="C64" s="45">
        <v>462200</v>
      </c>
      <c r="E64" s="49">
        <v>62</v>
      </c>
      <c r="F64" s="45">
        <v>103100</v>
      </c>
      <c r="G64" s="45">
        <v>1872700</v>
      </c>
      <c r="I64" s="49">
        <v>62</v>
      </c>
      <c r="J64" s="45">
        <v>154600</v>
      </c>
      <c r="K64" s="45">
        <v>2809000</v>
      </c>
    </row>
    <row r="65" spans="1:11" x14ac:dyDescent="0.25">
      <c r="A65" s="49">
        <v>63</v>
      </c>
      <c r="B65" s="45">
        <v>26300</v>
      </c>
      <c r="C65" s="45">
        <v>488500</v>
      </c>
      <c r="E65" s="49">
        <v>63</v>
      </c>
      <c r="F65" s="45">
        <v>107400</v>
      </c>
      <c r="G65" s="45">
        <v>1980100</v>
      </c>
      <c r="I65" s="49">
        <v>63</v>
      </c>
      <c r="J65" s="45">
        <v>161100</v>
      </c>
      <c r="K65" s="45">
        <v>2970100</v>
      </c>
    </row>
    <row r="66" spans="1:11" x14ac:dyDescent="0.25">
      <c r="A66" s="49">
        <v>64</v>
      </c>
      <c r="B66" s="45">
        <v>27400</v>
      </c>
      <c r="C66" s="45">
        <v>515900</v>
      </c>
      <c r="E66" s="49">
        <v>64</v>
      </c>
      <c r="F66" s="45">
        <v>111800</v>
      </c>
      <c r="G66" s="45">
        <v>2091900</v>
      </c>
      <c r="I66" s="49">
        <v>64</v>
      </c>
      <c r="J66" s="45">
        <v>167700</v>
      </c>
      <c r="K66" s="45">
        <v>3137800</v>
      </c>
    </row>
    <row r="67" spans="1:11" x14ac:dyDescent="0.25">
      <c r="A67" s="49">
        <v>65</v>
      </c>
      <c r="B67" s="45">
        <v>28500</v>
      </c>
      <c r="C67" s="45">
        <v>544400</v>
      </c>
      <c r="E67" s="49">
        <v>65</v>
      </c>
      <c r="F67" s="45">
        <v>116300</v>
      </c>
      <c r="G67" s="45">
        <v>2208200</v>
      </c>
      <c r="I67" s="49">
        <v>65</v>
      </c>
      <c r="J67" s="45">
        <v>174500</v>
      </c>
      <c r="K67" s="45">
        <v>3312300</v>
      </c>
    </row>
    <row r="68" spans="1:11" x14ac:dyDescent="0.25">
      <c r="A68" s="49">
        <v>66</v>
      </c>
      <c r="B68" s="45">
        <v>29600</v>
      </c>
      <c r="C68" s="45">
        <v>574000</v>
      </c>
      <c r="E68" s="49">
        <v>66</v>
      </c>
      <c r="F68" s="45">
        <v>120900</v>
      </c>
      <c r="G68" s="45">
        <v>2329100</v>
      </c>
      <c r="I68" s="49">
        <v>66</v>
      </c>
      <c r="J68" s="45">
        <v>181500</v>
      </c>
      <c r="K68" s="45">
        <v>3493800</v>
      </c>
    </row>
    <row r="69" spans="1:11" x14ac:dyDescent="0.25">
      <c r="A69" s="49">
        <v>67</v>
      </c>
      <c r="B69" s="45">
        <v>30800</v>
      </c>
      <c r="C69" s="45">
        <v>604800</v>
      </c>
      <c r="E69" s="49">
        <v>67</v>
      </c>
      <c r="F69" s="45">
        <v>125600</v>
      </c>
      <c r="G69" s="45">
        <v>2454700</v>
      </c>
      <c r="I69" s="49">
        <v>67</v>
      </c>
      <c r="J69" s="45">
        <v>188500</v>
      </c>
      <c r="K69" s="45">
        <v>3682300</v>
      </c>
    </row>
    <row r="70" spans="1:11" x14ac:dyDescent="0.25">
      <c r="A70" s="49">
        <v>68</v>
      </c>
      <c r="B70" s="45">
        <v>32000</v>
      </c>
      <c r="C70" s="45">
        <v>636800</v>
      </c>
      <c r="E70" s="49">
        <v>68</v>
      </c>
      <c r="F70" s="45">
        <v>130400</v>
      </c>
      <c r="G70" s="45">
        <v>2585100</v>
      </c>
      <c r="I70" s="49">
        <v>68</v>
      </c>
      <c r="J70" s="45">
        <v>195500</v>
      </c>
      <c r="K70" s="45">
        <v>3877800</v>
      </c>
    </row>
    <row r="71" spans="1:11" x14ac:dyDescent="0.25">
      <c r="A71" s="49">
        <v>69</v>
      </c>
      <c r="B71" s="45">
        <v>33200</v>
      </c>
      <c r="C71" s="45">
        <v>670000</v>
      </c>
      <c r="E71" s="49">
        <v>69</v>
      </c>
      <c r="F71" s="45">
        <v>135300</v>
      </c>
      <c r="G71" s="45">
        <v>2720400</v>
      </c>
      <c r="I71" s="49">
        <v>69</v>
      </c>
      <c r="J71" s="45">
        <v>203000</v>
      </c>
      <c r="K71" s="45">
        <v>4080800</v>
      </c>
    </row>
    <row r="72" spans="1:11" x14ac:dyDescent="0.25">
      <c r="A72" s="49">
        <v>70</v>
      </c>
      <c r="B72" s="45">
        <v>34400</v>
      </c>
      <c r="C72" s="45">
        <v>704400</v>
      </c>
      <c r="E72" s="49">
        <v>70</v>
      </c>
      <c r="F72" s="45">
        <v>140400</v>
      </c>
      <c r="G72" s="45">
        <v>2860800</v>
      </c>
      <c r="I72" s="49">
        <v>70</v>
      </c>
      <c r="J72" s="45">
        <v>210600</v>
      </c>
      <c r="K72" s="45">
        <v>4291400</v>
      </c>
    </row>
    <row r="73" spans="1:11" x14ac:dyDescent="0.25">
      <c r="A73" s="49">
        <v>71</v>
      </c>
      <c r="B73" s="45">
        <v>45100</v>
      </c>
      <c r="C73" s="45">
        <v>749500</v>
      </c>
      <c r="E73" s="49">
        <v>71</v>
      </c>
      <c r="F73" s="45">
        <v>145500</v>
      </c>
      <c r="G73" s="45">
        <v>3006300</v>
      </c>
      <c r="I73" s="49">
        <v>71</v>
      </c>
      <c r="J73" s="45">
        <v>218200</v>
      </c>
      <c r="K73" s="45">
        <v>4509600</v>
      </c>
    </row>
    <row r="74" spans="1:11" x14ac:dyDescent="0.25">
      <c r="A74" s="49">
        <v>72</v>
      </c>
      <c r="B74" s="45">
        <v>46800</v>
      </c>
      <c r="C74" s="45">
        <v>796300</v>
      </c>
      <c r="E74" s="49">
        <v>72</v>
      </c>
      <c r="F74" s="45">
        <v>150800</v>
      </c>
      <c r="G74" s="45">
        <v>3157100</v>
      </c>
      <c r="I74" s="49">
        <v>72</v>
      </c>
      <c r="J74" s="45">
        <v>226200</v>
      </c>
      <c r="K74" s="45">
        <v>4735800</v>
      </c>
    </row>
    <row r="75" spans="1:11" x14ac:dyDescent="0.25">
      <c r="A75" s="49">
        <v>73</v>
      </c>
      <c r="B75" s="45">
        <v>48600</v>
      </c>
      <c r="C75" s="45">
        <v>844900</v>
      </c>
      <c r="E75" s="49">
        <v>73</v>
      </c>
      <c r="F75" s="45">
        <v>156100</v>
      </c>
      <c r="G75" s="45">
        <v>3313200</v>
      </c>
      <c r="I75" s="49">
        <v>73</v>
      </c>
      <c r="J75" s="45">
        <v>234200</v>
      </c>
      <c r="K75" s="45">
        <v>4970000</v>
      </c>
    </row>
    <row r="76" spans="1:11" x14ac:dyDescent="0.25">
      <c r="A76" s="49">
        <v>74</v>
      </c>
      <c r="B76" s="45">
        <v>50400</v>
      </c>
      <c r="C76" s="45">
        <v>895300</v>
      </c>
      <c r="E76" s="49">
        <v>74</v>
      </c>
      <c r="F76" s="45">
        <v>161600</v>
      </c>
      <c r="G76" s="45">
        <v>3474800</v>
      </c>
      <c r="I76" s="49">
        <v>74</v>
      </c>
      <c r="J76" s="45">
        <v>242500</v>
      </c>
      <c r="K76" s="45">
        <v>5212500</v>
      </c>
    </row>
    <row r="77" spans="1:11" x14ac:dyDescent="0.25">
      <c r="A77" s="49">
        <v>75</v>
      </c>
      <c r="B77" s="45">
        <v>52200</v>
      </c>
      <c r="C77" s="45">
        <v>947500</v>
      </c>
      <c r="E77" s="49">
        <v>75</v>
      </c>
      <c r="F77" s="45">
        <v>167200</v>
      </c>
      <c r="G77" s="45">
        <v>3642000</v>
      </c>
      <c r="I77" s="49">
        <v>75</v>
      </c>
      <c r="J77" s="45">
        <v>250800</v>
      </c>
      <c r="K77" s="45">
        <v>5463300</v>
      </c>
    </row>
    <row r="78" spans="1:11" x14ac:dyDescent="0.25">
      <c r="A78" s="49">
        <v>76</v>
      </c>
      <c r="B78" s="45">
        <v>54000</v>
      </c>
      <c r="C78" s="45">
        <v>1001500</v>
      </c>
      <c r="E78" s="49">
        <v>76</v>
      </c>
      <c r="F78" s="45">
        <v>172900</v>
      </c>
      <c r="G78" s="45">
        <v>3814900</v>
      </c>
      <c r="I78" s="49">
        <v>76</v>
      </c>
      <c r="J78" s="45">
        <v>259500</v>
      </c>
      <c r="K78" s="45">
        <v>5722800</v>
      </c>
    </row>
    <row r="79" spans="1:11" x14ac:dyDescent="0.25">
      <c r="A79" s="49">
        <v>77</v>
      </c>
      <c r="B79" s="45">
        <v>55900</v>
      </c>
      <c r="C79" s="45">
        <v>1057400</v>
      </c>
      <c r="E79" s="49">
        <v>77</v>
      </c>
      <c r="F79" s="45">
        <v>178700</v>
      </c>
      <c r="G79" s="45">
        <v>3993600</v>
      </c>
      <c r="I79" s="49">
        <v>77</v>
      </c>
      <c r="J79" s="45">
        <v>268000</v>
      </c>
      <c r="K79" s="45">
        <v>5990800</v>
      </c>
    </row>
    <row r="80" spans="1:11" x14ac:dyDescent="0.25">
      <c r="A80" s="49">
        <v>78</v>
      </c>
      <c r="B80" s="45">
        <v>57900</v>
      </c>
      <c r="C80" s="45">
        <v>1115300</v>
      </c>
      <c r="E80" s="49">
        <v>78</v>
      </c>
      <c r="F80" s="45">
        <v>184700</v>
      </c>
      <c r="G80" s="45">
        <v>4178300</v>
      </c>
      <c r="I80" s="49">
        <v>78</v>
      </c>
      <c r="J80" s="45">
        <v>277000</v>
      </c>
      <c r="K80" s="45">
        <v>6267800</v>
      </c>
    </row>
    <row r="81" spans="1:11" x14ac:dyDescent="0.25">
      <c r="A81" s="49">
        <v>79</v>
      </c>
      <c r="B81" s="45">
        <v>59800</v>
      </c>
      <c r="C81" s="45">
        <v>1175100</v>
      </c>
      <c r="E81" s="49">
        <v>79</v>
      </c>
      <c r="F81" s="45">
        <v>190700</v>
      </c>
      <c r="G81" s="45">
        <v>4369000</v>
      </c>
      <c r="I81" s="49">
        <v>79</v>
      </c>
      <c r="J81" s="45">
        <v>286000</v>
      </c>
      <c r="K81" s="45">
        <v>6553800</v>
      </c>
    </row>
    <row r="82" spans="1:11" x14ac:dyDescent="0.25">
      <c r="A82" s="49">
        <v>80</v>
      </c>
      <c r="B82" s="45">
        <v>61800</v>
      </c>
      <c r="C82" s="45">
        <v>1236900</v>
      </c>
      <c r="E82" s="49">
        <v>80</v>
      </c>
      <c r="F82" s="45">
        <v>196900</v>
      </c>
      <c r="G82" s="45">
        <v>4565900</v>
      </c>
      <c r="I82" s="49">
        <v>80</v>
      </c>
      <c r="J82" s="45">
        <v>295500</v>
      </c>
      <c r="K82" s="45">
        <v>6849300</v>
      </c>
    </row>
    <row r="83" spans="1:11" x14ac:dyDescent="0.25">
      <c r="A83" s="49">
        <v>81</v>
      </c>
      <c r="B83" s="45">
        <v>63900</v>
      </c>
      <c r="C83" s="45">
        <v>1300800</v>
      </c>
      <c r="E83" s="49">
        <v>81</v>
      </c>
      <c r="F83" s="45">
        <v>203200</v>
      </c>
      <c r="G83" s="45">
        <v>4769100</v>
      </c>
      <c r="I83" s="49">
        <v>81</v>
      </c>
      <c r="J83" s="45">
        <v>304700</v>
      </c>
      <c r="K83" s="45">
        <v>7154000</v>
      </c>
    </row>
    <row r="84" spans="1:11" x14ac:dyDescent="0.25">
      <c r="A84" s="49">
        <v>82</v>
      </c>
      <c r="B84" s="45">
        <v>66000</v>
      </c>
      <c r="C84" s="45">
        <v>1366800</v>
      </c>
      <c r="E84" s="49">
        <v>82</v>
      </c>
      <c r="F84" s="45">
        <v>209600</v>
      </c>
      <c r="G84" s="45">
        <v>4978700</v>
      </c>
      <c r="I84" s="49">
        <v>82</v>
      </c>
      <c r="J84" s="45">
        <v>314500</v>
      </c>
      <c r="K84" s="45">
        <v>7468500</v>
      </c>
    </row>
    <row r="85" spans="1:11" x14ac:dyDescent="0.25">
      <c r="A85" s="49">
        <v>83</v>
      </c>
      <c r="B85" s="45">
        <v>68100</v>
      </c>
      <c r="C85" s="45">
        <v>1434900</v>
      </c>
      <c r="E85" s="49">
        <v>83</v>
      </c>
      <c r="F85" s="45">
        <v>216100</v>
      </c>
      <c r="G85" s="45">
        <v>5194800</v>
      </c>
      <c r="I85" s="49">
        <v>83</v>
      </c>
      <c r="J85" s="45">
        <v>324000</v>
      </c>
      <c r="K85" s="45">
        <v>7792500</v>
      </c>
    </row>
    <row r="86" spans="1:11" x14ac:dyDescent="0.25">
      <c r="A86" s="49">
        <v>84</v>
      </c>
      <c r="B86" s="45">
        <v>70300</v>
      </c>
      <c r="C86" s="45">
        <v>1505200</v>
      </c>
      <c r="E86" s="49">
        <v>84</v>
      </c>
      <c r="F86" s="45">
        <v>222800</v>
      </c>
      <c r="G86" s="45">
        <v>5417600</v>
      </c>
      <c r="I86" s="49">
        <v>84</v>
      </c>
      <c r="J86" s="45">
        <v>334500</v>
      </c>
      <c r="K86" s="45">
        <v>8127000</v>
      </c>
    </row>
    <row r="87" spans="1:11" x14ac:dyDescent="0.25">
      <c r="A87" s="49">
        <v>85</v>
      </c>
      <c r="B87" s="45">
        <v>72600</v>
      </c>
      <c r="C87" s="45">
        <v>1577800</v>
      </c>
      <c r="E87" s="49">
        <v>85</v>
      </c>
      <c r="F87" s="45">
        <v>229600</v>
      </c>
      <c r="G87" s="45">
        <v>5647200</v>
      </c>
      <c r="I87" s="49">
        <v>85</v>
      </c>
      <c r="J87" s="45">
        <v>344000</v>
      </c>
      <c r="K87" s="45">
        <v>8471000</v>
      </c>
    </row>
    <row r="88" spans="1:11" x14ac:dyDescent="0.25">
      <c r="A88" s="49">
        <v>86</v>
      </c>
      <c r="B88" s="45">
        <v>74800</v>
      </c>
      <c r="C88" s="45">
        <v>1652600</v>
      </c>
      <c r="E88" s="49">
        <v>86</v>
      </c>
      <c r="F88" s="45">
        <v>236500</v>
      </c>
      <c r="G88" s="45">
        <v>5883700</v>
      </c>
      <c r="I88" s="49">
        <v>86</v>
      </c>
      <c r="J88" s="45">
        <v>355000</v>
      </c>
      <c r="K88" s="45">
        <v>8826000</v>
      </c>
    </row>
    <row r="89" spans="1:11" x14ac:dyDescent="0.25">
      <c r="A89" s="49">
        <v>87</v>
      </c>
      <c r="B89" s="45">
        <v>77100</v>
      </c>
      <c r="C89" s="45">
        <v>1729700</v>
      </c>
      <c r="E89" s="49">
        <v>87</v>
      </c>
      <c r="F89" s="45">
        <v>243500</v>
      </c>
      <c r="G89" s="45">
        <v>6127200</v>
      </c>
      <c r="I89" s="49">
        <v>87</v>
      </c>
      <c r="J89" s="45">
        <v>365000</v>
      </c>
      <c r="K89" s="45">
        <v>9191000</v>
      </c>
    </row>
    <row r="90" spans="1:11" x14ac:dyDescent="0.25">
      <c r="A90" s="49">
        <v>88</v>
      </c>
      <c r="B90" s="45">
        <v>79500</v>
      </c>
      <c r="C90" s="45">
        <v>1809200</v>
      </c>
      <c r="E90" s="49">
        <v>88</v>
      </c>
      <c r="F90" s="45">
        <v>250600</v>
      </c>
      <c r="G90" s="45">
        <v>6377800</v>
      </c>
      <c r="I90" s="49">
        <v>88</v>
      </c>
      <c r="J90" s="45">
        <v>376000</v>
      </c>
      <c r="K90" s="45">
        <v>9567000</v>
      </c>
    </row>
    <row r="91" spans="1:11" x14ac:dyDescent="0.25">
      <c r="A91" s="49">
        <v>89</v>
      </c>
      <c r="B91" s="45">
        <v>81900</v>
      </c>
      <c r="C91" s="45">
        <v>1891100</v>
      </c>
      <c r="E91" s="49">
        <v>89</v>
      </c>
      <c r="F91" s="45">
        <v>257900</v>
      </c>
      <c r="G91" s="45">
        <v>6635700</v>
      </c>
      <c r="I91" s="49">
        <v>89</v>
      </c>
      <c r="J91" s="45">
        <v>387000</v>
      </c>
      <c r="K91" s="45">
        <v>9954000</v>
      </c>
    </row>
    <row r="92" spans="1:11" x14ac:dyDescent="0.25">
      <c r="A92" s="49">
        <v>90</v>
      </c>
      <c r="B92" s="45">
        <v>84300</v>
      </c>
      <c r="C92" s="45">
        <v>1975400</v>
      </c>
      <c r="E92" s="49">
        <v>90</v>
      </c>
      <c r="F92" s="45">
        <v>265300</v>
      </c>
      <c r="G92" s="45">
        <v>6901000</v>
      </c>
      <c r="I92" s="49">
        <v>90</v>
      </c>
      <c r="J92" s="45">
        <v>398000</v>
      </c>
      <c r="K92" s="45">
        <v>10352000</v>
      </c>
    </row>
    <row r="93" spans="1:11" x14ac:dyDescent="0.25">
      <c r="A93" s="49">
        <v>91</v>
      </c>
      <c r="B93" s="45">
        <v>112600</v>
      </c>
      <c r="C93" s="45">
        <v>2088000</v>
      </c>
      <c r="E93" s="49">
        <v>91</v>
      </c>
      <c r="F93" s="45">
        <v>272800</v>
      </c>
      <c r="G93" s="45">
        <v>7173800</v>
      </c>
      <c r="I93" s="49">
        <v>91</v>
      </c>
      <c r="J93" s="45">
        <v>409000</v>
      </c>
      <c r="K93" s="45">
        <v>10761000</v>
      </c>
    </row>
    <row r="94" spans="1:11" x14ac:dyDescent="0.25">
      <c r="A94" s="49">
        <v>92</v>
      </c>
      <c r="B94" s="45">
        <v>116100</v>
      </c>
      <c r="C94" s="45">
        <v>2204100</v>
      </c>
      <c r="E94" s="49">
        <v>92</v>
      </c>
      <c r="F94" s="45">
        <v>280400</v>
      </c>
      <c r="G94" s="45">
        <v>7454200</v>
      </c>
      <c r="I94" s="49">
        <v>92</v>
      </c>
      <c r="J94" s="45">
        <v>421000</v>
      </c>
      <c r="K94" s="45">
        <v>11182000</v>
      </c>
    </row>
    <row r="95" spans="1:11" x14ac:dyDescent="0.25">
      <c r="A95" s="49">
        <v>93</v>
      </c>
      <c r="B95" s="45">
        <v>119500</v>
      </c>
      <c r="C95" s="45">
        <v>2323600</v>
      </c>
      <c r="E95" s="49">
        <v>93</v>
      </c>
      <c r="F95" s="45">
        <v>288200</v>
      </c>
      <c r="G95" s="45">
        <v>7742400</v>
      </c>
      <c r="I95" s="49">
        <v>93</v>
      </c>
      <c r="J95" s="45">
        <v>432000</v>
      </c>
      <c r="K95" s="45">
        <v>11614000</v>
      </c>
    </row>
    <row r="96" spans="1:11" x14ac:dyDescent="0.25">
      <c r="A96" s="49">
        <v>94</v>
      </c>
      <c r="B96" s="45">
        <v>123100</v>
      </c>
      <c r="C96" s="45">
        <v>2446700</v>
      </c>
      <c r="E96" s="49">
        <v>94</v>
      </c>
      <c r="F96" s="45">
        <v>296100</v>
      </c>
      <c r="G96" s="45">
        <v>8038500</v>
      </c>
      <c r="I96" s="49">
        <v>94</v>
      </c>
      <c r="J96" s="45">
        <v>444000</v>
      </c>
      <c r="K96" s="45">
        <v>12058000</v>
      </c>
    </row>
    <row r="97" spans="1:115" x14ac:dyDescent="0.25">
      <c r="A97" s="49">
        <v>95</v>
      </c>
      <c r="B97" s="45">
        <v>126700</v>
      </c>
      <c r="C97" s="45">
        <v>2573400</v>
      </c>
      <c r="E97" s="49">
        <v>95</v>
      </c>
      <c r="F97" s="45">
        <v>304100</v>
      </c>
      <c r="G97" s="45">
        <v>8342600</v>
      </c>
      <c r="I97" s="49">
        <v>95</v>
      </c>
      <c r="J97" s="45">
        <v>456000</v>
      </c>
      <c r="K97" s="45">
        <v>12514000</v>
      </c>
    </row>
    <row r="98" spans="1:115" x14ac:dyDescent="0.25">
      <c r="A98" s="49">
        <v>96</v>
      </c>
      <c r="B98" s="45">
        <v>130400</v>
      </c>
      <c r="C98" s="45">
        <v>2703800</v>
      </c>
      <c r="E98" s="49">
        <v>96</v>
      </c>
      <c r="F98" s="45">
        <v>312300</v>
      </c>
      <c r="G98" s="45">
        <v>8654900</v>
      </c>
      <c r="I98" s="49">
        <v>96</v>
      </c>
      <c r="J98" s="45">
        <v>469000</v>
      </c>
      <c r="K98" s="45">
        <v>12983000</v>
      </c>
    </row>
    <row r="99" spans="1:115" x14ac:dyDescent="0.25">
      <c r="A99" s="49">
        <v>97</v>
      </c>
      <c r="B99" s="45">
        <v>134100</v>
      </c>
      <c r="C99" s="45">
        <v>2837900</v>
      </c>
      <c r="E99" s="49">
        <v>97</v>
      </c>
      <c r="F99" s="45">
        <v>320600</v>
      </c>
      <c r="G99" s="45">
        <v>8975500</v>
      </c>
      <c r="I99" s="49">
        <v>97</v>
      </c>
      <c r="J99" s="45">
        <v>481000</v>
      </c>
      <c r="K99" s="45">
        <v>13464000</v>
      </c>
    </row>
    <row r="100" spans="1:115" x14ac:dyDescent="0.25">
      <c r="A100" s="49">
        <v>98</v>
      </c>
      <c r="B100" s="45">
        <v>137900</v>
      </c>
      <c r="C100" s="45">
        <v>2975800</v>
      </c>
      <c r="E100" s="49">
        <v>98</v>
      </c>
      <c r="F100" s="45">
        <v>329000</v>
      </c>
      <c r="G100" s="45">
        <v>9304500</v>
      </c>
      <c r="I100" s="49">
        <v>98</v>
      </c>
      <c r="J100" s="45">
        <v>493000</v>
      </c>
      <c r="K100" s="45">
        <v>13957000</v>
      </c>
    </row>
    <row r="101" spans="1:115" x14ac:dyDescent="0.25">
      <c r="A101" s="49">
        <v>99</v>
      </c>
      <c r="B101" s="45">
        <v>141800</v>
      </c>
      <c r="C101" s="45">
        <v>3117600</v>
      </c>
      <c r="E101" s="49">
        <v>99</v>
      </c>
      <c r="F101" s="45">
        <v>337500</v>
      </c>
      <c r="G101" s="45">
        <v>9642000</v>
      </c>
      <c r="I101" s="49">
        <v>99</v>
      </c>
      <c r="J101" s="45">
        <v>506000</v>
      </c>
      <c r="K101" s="45">
        <v>14463000</v>
      </c>
    </row>
    <row r="102" spans="1:115" x14ac:dyDescent="0.25">
      <c r="A102" s="49">
        <v>100</v>
      </c>
      <c r="B102" s="45">
        <v>145700</v>
      </c>
      <c r="C102" s="45">
        <v>3263300</v>
      </c>
      <c r="E102" s="50">
        <v>100</v>
      </c>
      <c r="F102" s="47">
        <v>357000</v>
      </c>
      <c r="G102" s="47">
        <v>9999000</v>
      </c>
      <c r="I102" s="50">
        <v>100</v>
      </c>
      <c r="J102" s="47">
        <v>537000</v>
      </c>
      <c r="K102" s="47">
        <v>15000000</v>
      </c>
    </row>
    <row r="103" spans="1:115" x14ac:dyDescent="0.25">
      <c r="A103" s="49">
        <v>101</v>
      </c>
      <c r="B103" s="45">
        <v>100000</v>
      </c>
      <c r="C103" s="45">
        <v>3363300</v>
      </c>
    </row>
    <row r="104" spans="1:115" x14ac:dyDescent="0.25">
      <c r="A104" s="49">
        <v>102</v>
      </c>
      <c r="B104" s="45">
        <v>120000</v>
      </c>
      <c r="C104" s="45">
        <v>3483300</v>
      </c>
    </row>
    <row r="105" spans="1:115" x14ac:dyDescent="0.25">
      <c r="A105" s="49">
        <v>103</v>
      </c>
      <c r="B105" s="45">
        <v>140000</v>
      </c>
      <c r="C105" s="45">
        <v>3623300</v>
      </c>
    </row>
    <row r="106" spans="1:115" x14ac:dyDescent="0.25">
      <c r="A106" s="49">
        <v>104</v>
      </c>
      <c r="B106" s="45">
        <v>160000</v>
      </c>
      <c r="C106" s="45">
        <v>3783300</v>
      </c>
    </row>
    <row r="107" spans="1:115" x14ac:dyDescent="0.25">
      <c r="A107" s="49">
        <v>105</v>
      </c>
      <c r="B107" s="45">
        <v>180000</v>
      </c>
      <c r="C107" s="45">
        <v>3963300</v>
      </c>
    </row>
    <row r="108" spans="1:115" x14ac:dyDescent="0.25">
      <c r="A108" s="49">
        <v>106</v>
      </c>
      <c r="B108" s="45">
        <v>200000</v>
      </c>
      <c r="C108" s="45">
        <v>4163300</v>
      </c>
      <c r="P108" s="110"/>
    </row>
    <row r="109" spans="1:115" x14ac:dyDescent="0.25">
      <c r="A109" s="49">
        <v>107</v>
      </c>
      <c r="B109" s="45">
        <v>220000</v>
      </c>
      <c r="C109" s="45">
        <v>4383300</v>
      </c>
    </row>
    <row r="110" spans="1:115" x14ac:dyDescent="0.25">
      <c r="A110" s="49">
        <v>108</v>
      </c>
      <c r="B110" s="45">
        <v>240000</v>
      </c>
      <c r="C110" s="45">
        <v>4623300</v>
      </c>
      <c r="P110" s="110"/>
      <c r="DK110" s="40" t="s">
        <v>906</v>
      </c>
    </row>
    <row r="111" spans="1:115" x14ac:dyDescent="0.25">
      <c r="A111" s="49">
        <v>109</v>
      </c>
      <c r="B111" s="45">
        <v>280000</v>
      </c>
      <c r="C111" s="45">
        <v>4903300</v>
      </c>
    </row>
    <row r="112" spans="1:115" x14ac:dyDescent="0.25">
      <c r="A112" s="49">
        <v>110</v>
      </c>
      <c r="B112" s="45">
        <v>360000</v>
      </c>
      <c r="C112" s="45">
        <v>5263300</v>
      </c>
    </row>
    <row r="113" spans="1:3" x14ac:dyDescent="0.25">
      <c r="A113" s="49">
        <v>111</v>
      </c>
      <c r="B113" s="45">
        <v>480000</v>
      </c>
      <c r="C113" s="45">
        <v>5743300</v>
      </c>
    </row>
    <row r="114" spans="1:3" x14ac:dyDescent="0.25">
      <c r="A114" s="49">
        <v>112</v>
      </c>
      <c r="B114" s="45">
        <v>640000</v>
      </c>
      <c r="C114" s="45">
        <v>6383300</v>
      </c>
    </row>
    <row r="115" spans="1:3" x14ac:dyDescent="0.25">
      <c r="A115" s="49">
        <v>113</v>
      </c>
      <c r="B115" s="45">
        <v>900000</v>
      </c>
      <c r="C115" s="45">
        <v>7283300</v>
      </c>
    </row>
    <row r="116" spans="1:3" x14ac:dyDescent="0.25">
      <c r="A116" s="49">
        <v>114</v>
      </c>
      <c r="B116" s="45">
        <v>1200000</v>
      </c>
      <c r="C116" s="45">
        <v>8483300</v>
      </c>
    </row>
    <row r="117" spans="1:3" x14ac:dyDescent="0.25">
      <c r="A117" s="49">
        <v>115</v>
      </c>
      <c r="B117" s="45">
        <v>1600000</v>
      </c>
      <c r="C117" s="45">
        <v>10083300</v>
      </c>
    </row>
    <row r="118" spans="1:3" x14ac:dyDescent="0.25">
      <c r="A118" s="49">
        <v>116</v>
      </c>
      <c r="B118" s="45">
        <v>2200000</v>
      </c>
      <c r="C118" s="45">
        <v>12283300</v>
      </c>
    </row>
    <row r="119" spans="1:3" x14ac:dyDescent="0.25">
      <c r="A119" s="49">
        <v>117</v>
      </c>
      <c r="B119" s="45">
        <v>3000000</v>
      </c>
      <c r="C119" s="45">
        <v>15283300</v>
      </c>
    </row>
    <row r="120" spans="1:3" x14ac:dyDescent="0.25">
      <c r="A120" s="49">
        <v>118</v>
      </c>
      <c r="B120" s="45">
        <v>4000000</v>
      </c>
      <c r="C120" s="45">
        <v>19283300</v>
      </c>
    </row>
    <row r="121" spans="1:3" x14ac:dyDescent="0.25">
      <c r="A121" s="49">
        <v>119</v>
      </c>
      <c r="B121" s="45">
        <v>5000000</v>
      </c>
      <c r="C121" s="45">
        <v>24283300</v>
      </c>
    </row>
    <row r="122" spans="1:3" x14ac:dyDescent="0.25">
      <c r="A122" s="50">
        <v>120</v>
      </c>
      <c r="B122" s="47">
        <v>6000000</v>
      </c>
      <c r="C122" s="47"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4">
    <mergeCell ref="A1:C1"/>
    <mergeCell ref="E1:G1"/>
    <mergeCell ref="M1:R1"/>
    <mergeCell ref="I1:K1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F19"/>
  <sheetViews>
    <sheetView workbookViewId="0">
      <selection activeCell="B12" sqref="B12"/>
    </sheetView>
  </sheetViews>
  <sheetFormatPr defaultRowHeight="15" x14ac:dyDescent="0.25"/>
  <sheetData>
    <row r="2" spans="2:6" x14ac:dyDescent="0.25">
      <c r="B2" s="10" t="s">
        <v>917</v>
      </c>
    </row>
    <row r="3" spans="2:6" x14ac:dyDescent="0.25">
      <c r="B3" s="48">
        <v>9</v>
      </c>
      <c r="C3" s="48">
        <v>14</v>
      </c>
      <c r="D3" s="65">
        <v>19</v>
      </c>
    </row>
    <row r="4" spans="2:6" x14ac:dyDescent="0.25">
      <c r="B4" s="48">
        <v>8</v>
      </c>
      <c r="C4" s="48">
        <v>13</v>
      </c>
      <c r="D4" s="65">
        <v>18</v>
      </c>
    </row>
    <row r="5" spans="2:6" x14ac:dyDescent="0.25">
      <c r="B5" s="48">
        <v>7</v>
      </c>
      <c r="C5" s="48">
        <v>12</v>
      </c>
      <c r="D5" s="65">
        <v>17</v>
      </c>
    </row>
    <row r="7" spans="2:6" x14ac:dyDescent="0.25">
      <c r="B7" s="10" t="s">
        <v>918</v>
      </c>
    </row>
    <row r="8" spans="2:6" x14ac:dyDescent="0.25">
      <c r="B8" s="1" t="s">
        <v>919</v>
      </c>
      <c r="C8" s="1" t="s">
        <v>920</v>
      </c>
      <c r="D8" s="1" t="s">
        <v>915</v>
      </c>
      <c r="E8" s="1" t="s">
        <v>916</v>
      </c>
      <c r="F8" s="1" t="s">
        <v>924</v>
      </c>
    </row>
    <row r="9" spans="2:6" x14ac:dyDescent="0.25">
      <c r="B9" s="1">
        <v>9</v>
      </c>
      <c r="C9" s="9" t="s">
        <v>902</v>
      </c>
      <c r="D9" s="9" t="s">
        <v>926</v>
      </c>
      <c r="E9" s="9" t="str">
        <f>CLEAN(TRIM(SUBSTITUTE(D9,B9&amp;10,B9&amp;Main!D43)))</f>
        <v>"fairy_skill_on_team":"{\"1\":{\"1\":{\"team_id\":1,\"buff_id\":\"10086\",\"source_type\":1,\"source_value\":1,\"start_turn\":\"1\",\"battle_count\":0,\"battle_finish_count\":0,\"person_move_count\":0,\"mission_skill_config_id\":\"910\"}}}",</v>
      </c>
      <c r="F9" t="str">
        <f t="shared" ref="F9:F15" si="0">SUBSTITUTE(E9,"start_turn\"&amp;CHAR(34)&amp;":\"&amp;CHAR(34)&amp;1,"start_turn\"&amp;CHAR(34)&amp;":\"&amp;CHAR(34)&amp;TurnNum)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10" spans="2:6" x14ac:dyDescent="0.25">
      <c r="B10" s="1">
        <v>12</v>
      </c>
      <c r="C10" s="9" t="s">
        <v>897</v>
      </c>
      <c r="D10" s="9" t="s">
        <v>927</v>
      </c>
      <c r="E10" s="9" t="str">
        <f>CLEAN(TRIM(SUBSTITUTE(D10,B10&amp;10,B10&amp;Main!D44)))</f>
        <v>"fairy_skill_on_team":"{\"1\":{\"1\":{\"team_id\":1,\"buff_id\":\"6\",\"source_type\":1,\"source_value\":1,\"start_turn\":\"1\",\"battle_count\":0,\"battle_finish_count\":0,\"person_move_count\":0,\"mission_skill_config_id\":\"1210\"}}}",</v>
      </c>
      <c r="F10" t="str">
        <f t="shared" si="0"/>
        <v>"fairy_skill_on_team":"{\"1\":{\"1\":{\"team_id\":1,\"buff_id\":\"6\",\"source_type\":1,\"source_value\":1,\"start_turn\":\"8\",\"battle_count\":0,\"battle_finish_count\":0,\"person_move_count\":0,\"mission_skill_config_id\":\"1210\"}}}",</v>
      </c>
    </row>
    <row r="11" spans="2:6" x14ac:dyDescent="0.25">
      <c r="B11" s="1">
        <v>1004</v>
      </c>
      <c r="C11" s="9" t="s">
        <v>898</v>
      </c>
      <c r="D11" s="9" t="s">
        <v>928</v>
      </c>
      <c r="E11" s="9" t="str">
        <f>CLEAN(TRIM(SUBSTITUTE(D11,B11&amp;10,B11&amp;Main!D45)))</f>
        <v>"fairy_skill_on_team":"{\"1\":{\"1\":{\"team_id\":1,\"buff_id\":\"1004\",\"source_type\":1,\"source_value\":1,\"start_turn\":\"1\",\"battle_count\":0,\"battle_finish_count\":0,\"person_move_count\":0,\"mission_skill_config_id\":\"100410\"}}}",</v>
      </c>
      <c r="F11" t="str">
        <f t="shared" si="0"/>
        <v>"fairy_skill_on_team":"{\"1\":{\"1\":{\"team_id\":1,\"buff_id\":\"1004\",\"source_type\":1,\"source_value\":1,\"start_turn\":\"8\",\"battle_count\":0,\"battle_finish_count\":0,\"person_move_count\":0,\"mission_skill_config_id\":\"100410\"}}}",</v>
      </c>
    </row>
    <row r="12" spans="2:6" x14ac:dyDescent="0.25">
      <c r="B12" s="1">
        <v>6</v>
      </c>
      <c r="C12" s="9" t="s">
        <v>1086</v>
      </c>
      <c r="D12" s="9" t="s">
        <v>1087</v>
      </c>
      <c r="E12" s="9" t="str">
        <f>CLEAN(TRIM(SUBSTITUTE(D12,B12&amp;10,B12&amp;Main!D46)))</f>
        <v>"fairy_skill_on_team":"{\"1\":{\"1\":{\"team_id\":1,\"buff_id\":\"5\",\"source_type\":1,\"source_value\":1,\"start_turn\":\"1\",\"battle_count\":0,\"battle_finish_count\":0,\"person_move_count\":0,\"mission_skill_config_id\":\"610\"}}}",</v>
      </c>
      <c r="F12" t="str">
        <f t="shared" si="0"/>
        <v>"fairy_skill_on_team":"{\"1\":{\"1\":{\"team_id\":1,\"buff_id\":\"5\",\"source_type\":1,\"source_value\":1,\"start_turn\":\"8\",\"battle_count\":0,\"battle_finish_count\":0,\"person_move_count\":0,\"mission_skill_config_id\":\"610\"}}}",</v>
      </c>
    </row>
    <row r="13" spans="2:6" x14ac:dyDescent="0.25">
      <c r="B13" s="1">
        <v>17</v>
      </c>
      <c r="C13" s="9" t="s">
        <v>899</v>
      </c>
      <c r="D13" s="9" t="s">
        <v>929</v>
      </c>
      <c r="E13" s="9" t="str">
        <f>CLEAN(TRIM(SUBSTITUTE(D13,B13&amp;10,B13&amp;Main!D47)))</f>
        <v>"fairy_skill_on_team":"{\"1\":{\"1\":{\"team_id\":1,\"buff_id\":\"1700\",\"source_type\":1,\"source_value\":1,\"start_turn\":\"1\",\"battle_count\":0,\"battle_finish_count\":0,\"person_move_count\":0,\"mission_skill_config_id\":\"1710\"}}}",</v>
      </c>
      <c r="F13" t="str">
        <f t="shared" si="0"/>
        <v>"fairy_skill_on_team":"{\"1\":{\"1\":{\"team_id\":1,\"buff_id\":\"1700\",\"source_type\":1,\"source_value\":1,\"start_turn\":\"8\",\"battle_count\":0,\"battle_finish_count\":0,\"person_move_count\":0,\"mission_skill_config_id\":\"1710\"}}}",</v>
      </c>
    </row>
    <row r="14" spans="2:6" x14ac:dyDescent="0.25">
      <c r="B14" s="1">
        <v>17</v>
      </c>
      <c r="C14" s="9" t="s">
        <v>900</v>
      </c>
      <c r="D14" s="9" t="s">
        <v>925</v>
      </c>
      <c r="E14" s="9" t="str">
        <f>CLEAN(TRIM(SUBSTITUTE(D14,B14&amp;10,B14&amp;Main!D48)))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v>
      </c>
      <c r="F14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}}",</v>
      </c>
    </row>
    <row r="15" spans="2:6" x14ac:dyDescent="0.25">
      <c r="B15" s="1">
        <v>17</v>
      </c>
      <c r="C15" s="9" t="s">
        <v>901</v>
      </c>
      <c r="D15" s="9" t="s">
        <v>930</v>
      </c>
      <c r="E15" s="9" t="str">
        <f>CLEAN(TRIM(SUBSTITUTE(D15,B15&amp;10,B15&amp;Main!D49)))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v>
      </c>
      <c r="F15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,\"3\":{\"team_id\":1,\"buff_id\":\"1702\",\"source_type\":1,\"source_value\":1,\"start_turn\":\"8\",\"battle_count\":1,\"battle_finish_count\":0,\"person_move_count\":0,\"mission_skill_config_id\":\"1710\"}}}",</v>
      </c>
    </row>
    <row r="17" spans="2:3" x14ac:dyDescent="0.25">
      <c r="B17" s="111" t="s">
        <v>921</v>
      </c>
    </row>
    <row r="18" spans="2:3" x14ac:dyDescent="0.25">
      <c r="B18" s="1" t="s">
        <v>1046</v>
      </c>
      <c r="C18" s="1" t="s">
        <v>924</v>
      </c>
    </row>
    <row r="19" spans="2:3" x14ac:dyDescent="0.25">
      <c r="B19" t="s">
        <v>1047</v>
      </c>
      <c r="C19" t="str">
        <f t="shared" ref="C19" si="1">SUBSTITUTE(B19,"start_turn\"&amp;CHAR(34)&amp;":\"&amp;CHAR(34)&amp;1,"start_turn\"&amp;CHAR(34)&amp;":\"&amp;CHAR(34)&amp;TurnNum)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70"/>
  <sheetViews>
    <sheetView topLeftCell="AB1" workbookViewId="0">
      <pane ySplit="1" topLeftCell="A2" activePane="bottomLeft" state="frozen"/>
      <selection activeCell="B185" sqref="B185:B202"/>
      <selection pane="bottomLeft" activeCell="B185" sqref="B185:B202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385</v>
      </c>
      <c r="B1" s="10" t="s">
        <v>370</v>
      </c>
      <c r="C1" s="43" t="s">
        <v>386</v>
      </c>
      <c r="D1" s="43" t="s">
        <v>387</v>
      </c>
      <c r="E1" s="43" t="s">
        <v>388</v>
      </c>
      <c r="F1" s="43" t="s">
        <v>389</v>
      </c>
      <c r="G1" s="43" t="s">
        <v>409</v>
      </c>
      <c r="H1" s="43" t="s">
        <v>390</v>
      </c>
      <c r="I1" s="43" t="s">
        <v>391</v>
      </c>
      <c r="J1" s="43" t="s">
        <v>392</v>
      </c>
      <c r="K1" s="43" t="s">
        <v>393</v>
      </c>
      <c r="L1" s="43" t="s">
        <v>410</v>
      </c>
      <c r="M1" s="43" t="s">
        <v>394</v>
      </c>
      <c r="N1" s="43" t="s">
        <v>395</v>
      </c>
      <c r="O1" s="43" t="s">
        <v>396</v>
      </c>
      <c r="P1" s="43" t="s">
        <v>397</v>
      </c>
      <c r="Q1" s="43" t="s">
        <v>411</v>
      </c>
      <c r="R1" s="43" t="s">
        <v>398</v>
      </c>
      <c r="S1" s="43" t="s">
        <v>399</v>
      </c>
      <c r="T1" s="43" t="s">
        <v>400</v>
      </c>
      <c r="U1" s="43" t="s">
        <v>401</v>
      </c>
      <c r="V1" s="43" t="s">
        <v>412</v>
      </c>
      <c r="W1" s="43" t="s">
        <v>402</v>
      </c>
      <c r="X1" s="43" t="s">
        <v>134</v>
      </c>
      <c r="Y1" s="43" t="s">
        <v>403</v>
      </c>
      <c r="Z1" s="43" t="s">
        <v>404</v>
      </c>
      <c r="AA1" s="43" t="s">
        <v>413</v>
      </c>
      <c r="AB1" s="43" t="s">
        <v>405</v>
      </c>
      <c r="AC1" s="43" t="s">
        <v>406</v>
      </c>
      <c r="AD1" s="43" t="s">
        <v>407</v>
      </c>
      <c r="AE1" s="43" t="s">
        <v>408</v>
      </c>
      <c r="AF1" s="43" t="s">
        <v>414</v>
      </c>
      <c r="AG1" s="116"/>
      <c r="AH1" s="43" t="s">
        <v>827</v>
      </c>
      <c r="AI1" s="43" t="s">
        <v>828</v>
      </c>
      <c r="AJ1" s="43" t="s">
        <v>830</v>
      </c>
      <c r="AK1" s="43" t="s">
        <v>877</v>
      </c>
      <c r="AL1" s="43" t="s">
        <v>835</v>
      </c>
      <c r="AM1" s="43" t="s">
        <v>837</v>
      </c>
      <c r="AN1" s="43" t="s">
        <v>9</v>
      </c>
      <c r="AO1" s="43" t="s">
        <v>847</v>
      </c>
      <c r="AP1" s="43" t="s">
        <v>876</v>
      </c>
      <c r="AQ1" s="43" t="s">
        <v>852</v>
      </c>
      <c r="AR1" s="43" t="s">
        <v>748</v>
      </c>
      <c r="AS1" s="43" t="s">
        <v>862</v>
      </c>
      <c r="AT1" s="43" t="s">
        <v>863</v>
      </c>
      <c r="AU1" s="43" t="s">
        <v>683</v>
      </c>
      <c r="AV1" s="43" t="s">
        <v>2217</v>
      </c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868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979</v>
      </c>
      <c r="K2" s="9" t="s">
        <v>875</v>
      </c>
      <c r="L2" s="9" t="s">
        <v>993</v>
      </c>
      <c r="M2" s="9" t="s">
        <v>105</v>
      </c>
      <c r="N2" s="9" t="s">
        <v>959</v>
      </c>
      <c r="O2" s="9" t="s">
        <v>1011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1008</v>
      </c>
      <c r="V2" s="9" t="s">
        <v>1000</v>
      </c>
      <c r="W2" s="9" t="s">
        <v>155</v>
      </c>
      <c r="X2" s="9" t="s">
        <v>135</v>
      </c>
      <c r="Y2" s="9" t="s">
        <v>187</v>
      </c>
      <c r="Z2" s="9" t="s">
        <v>340</v>
      </c>
      <c r="AC2" s="9" t="s">
        <v>335</v>
      </c>
      <c r="AD2" s="9" t="s">
        <v>953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346</v>
      </c>
      <c r="AV2" t="s">
        <v>2208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983</v>
      </c>
      <c r="F3" s="9" t="s">
        <v>264</v>
      </c>
      <c r="G3" s="9" t="s">
        <v>1005</v>
      </c>
      <c r="H3" s="9" t="s">
        <v>77</v>
      </c>
      <c r="I3" s="9" t="s">
        <v>334</v>
      </c>
      <c r="J3" s="9" t="s">
        <v>947</v>
      </c>
      <c r="K3" s="9" t="s">
        <v>840</v>
      </c>
      <c r="M3" s="9" t="s">
        <v>102</v>
      </c>
      <c r="N3" s="9" t="s">
        <v>272</v>
      </c>
      <c r="O3" s="9" t="s">
        <v>306</v>
      </c>
      <c r="P3" s="9" t="s">
        <v>989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951</v>
      </c>
      <c r="Y3" s="9" t="s">
        <v>217</v>
      </c>
      <c r="Z3" s="9" t="s">
        <v>345</v>
      </c>
      <c r="AC3" s="9" t="s">
        <v>196</v>
      </c>
      <c r="AD3" s="9" t="s">
        <v>977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855</v>
      </c>
      <c r="AV3" t="s">
        <v>2207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864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999</v>
      </c>
      <c r="AV4" t="s">
        <v>2206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1004</v>
      </c>
      <c r="F5" s="9" t="s">
        <v>204</v>
      </c>
      <c r="H5" s="9" t="s">
        <v>91</v>
      </c>
      <c r="I5" s="9" t="s">
        <v>211</v>
      </c>
      <c r="J5" s="9" t="s">
        <v>994</v>
      </c>
      <c r="K5" s="9" t="s">
        <v>966</v>
      </c>
      <c r="M5" s="9" t="s">
        <v>348</v>
      </c>
      <c r="N5" s="9" t="s">
        <v>971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825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S5" t="s">
        <v>858</v>
      </c>
      <c r="AT5" t="s">
        <v>681</v>
      </c>
      <c r="AU5" t="s">
        <v>1000</v>
      </c>
      <c r="AV5" t="s">
        <v>2205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1102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843</v>
      </c>
      <c r="AE6" s="9" t="s">
        <v>292</v>
      </c>
      <c r="AP6" t="s">
        <v>674</v>
      </c>
      <c r="AQ6" t="s">
        <v>656</v>
      </c>
      <c r="AR6" t="s">
        <v>856</v>
      </c>
      <c r="AS6" t="s">
        <v>217</v>
      </c>
      <c r="AU6" t="s">
        <v>360</v>
      </c>
      <c r="AV6" t="s">
        <v>2204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312</v>
      </c>
      <c r="R7" s="9" t="s">
        <v>173</v>
      </c>
      <c r="S7" s="9" t="s">
        <v>152</v>
      </c>
      <c r="T7" s="9" t="s">
        <v>232</v>
      </c>
      <c r="U7" s="9" t="s">
        <v>945</v>
      </c>
      <c r="X7" s="9" t="s">
        <v>127</v>
      </c>
      <c r="Y7" s="9" t="s">
        <v>1007</v>
      </c>
      <c r="Z7" s="9" t="s">
        <v>286</v>
      </c>
      <c r="AC7" s="9" t="s">
        <v>197</v>
      </c>
      <c r="AD7" s="9" t="s">
        <v>191</v>
      </c>
      <c r="AE7" s="9" t="s">
        <v>263</v>
      </c>
      <c r="AH7" t="s">
        <v>825</v>
      </c>
      <c r="AI7" t="s">
        <v>1009</v>
      </c>
      <c r="AJ7" t="s">
        <v>864</v>
      </c>
      <c r="AK7" t="s">
        <v>875</v>
      </c>
      <c r="AL7" t="s">
        <v>832</v>
      </c>
      <c r="AM7" t="s">
        <v>1004</v>
      </c>
      <c r="AN7" t="s">
        <v>840</v>
      </c>
      <c r="AO7" t="s">
        <v>825</v>
      </c>
      <c r="AP7" t="s">
        <v>675</v>
      </c>
      <c r="AQ7" t="s">
        <v>657</v>
      </c>
      <c r="AR7" t="s">
        <v>853</v>
      </c>
      <c r="AS7" t="s">
        <v>878</v>
      </c>
      <c r="AT7" t="s">
        <v>848</v>
      </c>
      <c r="AU7" t="s">
        <v>880</v>
      </c>
      <c r="AV7" t="s">
        <v>2213</v>
      </c>
    </row>
    <row r="8" spans="1:51" x14ac:dyDescent="0.25">
      <c r="A8" s="9"/>
      <c r="C8" s="9" t="s">
        <v>69</v>
      </c>
      <c r="D8" s="9" t="s">
        <v>63</v>
      </c>
      <c r="E8" s="9" t="s">
        <v>934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937</v>
      </c>
      <c r="P8" s="9" t="s">
        <v>319</v>
      </c>
      <c r="S8" s="9" t="s">
        <v>120</v>
      </c>
      <c r="T8" s="9" t="s">
        <v>276</v>
      </c>
      <c r="U8" s="9" t="s">
        <v>957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831</v>
      </c>
      <c r="AE8" s="9" t="s">
        <v>202</v>
      </c>
      <c r="AH8" t="s">
        <v>819</v>
      </c>
      <c r="AI8" t="s">
        <v>301</v>
      </c>
      <c r="AJ8" t="s">
        <v>362</v>
      </c>
      <c r="AK8" t="s">
        <v>840</v>
      </c>
      <c r="AL8" t="s">
        <v>833</v>
      </c>
      <c r="AM8" t="s">
        <v>368</v>
      </c>
      <c r="AN8" t="s">
        <v>74</v>
      </c>
      <c r="AO8" t="s">
        <v>359</v>
      </c>
      <c r="AP8" t="s">
        <v>676</v>
      </c>
      <c r="AQ8" t="s">
        <v>658</v>
      </c>
      <c r="AR8" t="s">
        <v>854</v>
      </c>
      <c r="AS8" t="s">
        <v>134</v>
      </c>
      <c r="AT8" t="s">
        <v>98</v>
      </c>
      <c r="AU8" t="s">
        <v>883</v>
      </c>
      <c r="AV8" t="s">
        <v>2203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952</v>
      </c>
      <c r="J9" s="9" t="s">
        <v>332</v>
      </c>
      <c r="K9" s="9" t="s">
        <v>1009</v>
      </c>
      <c r="N9" s="9" t="s">
        <v>95</v>
      </c>
      <c r="O9" s="9" t="s">
        <v>968</v>
      </c>
      <c r="P9" s="9" t="s">
        <v>967</v>
      </c>
      <c r="S9" s="9" t="s">
        <v>279</v>
      </c>
      <c r="T9" s="9" t="s">
        <v>986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972</v>
      </c>
      <c r="AD9" s="9" t="s">
        <v>193</v>
      </c>
      <c r="AE9" s="9" t="s">
        <v>974</v>
      </c>
      <c r="AH9" t="s">
        <v>820</v>
      </c>
      <c r="AI9" t="s">
        <v>829</v>
      </c>
      <c r="AJ9" t="s">
        <v>361</v>
      </c>
      <c r="AK9" t="s">
        <v>868</v>
      </c>
      <c r="AL9" t="s">
        <v>834</v>
      </c>
      <c r="AM9" t="s">
        <v>355</v>
      </c>
      <c r="AN9" t="s">
        <v>838</v>
      </c>
      <c r="AO9" t="s">
        <v>846</v>
      </c>
      <c r="AP9" t="s">
        <v>677</v>
      </c>
      <c r="AQ9" t="s">
        <v>659</v>
      </c>
      <c r="AS9" t="s">
        <v>130</v>
      </c>
      <c r="AT9" t="s">
        <v>343</v>
      </c>
      <c r="AU9" t="s">
        <v>884</v>
      </c>
      <c r="AV9" t="s">
        <v>2214</v>
      </c>
    </row>
    <row r="10" spans="1:51" x14ac:dyDescent="0.25">
      <c r="A10" s="9"/>
      <c r="C10" s="9"/>
      <c r="D10" s="9" t="s">
        <v>242</v>
      </c>
      <c r="E10" s="9" t="s">
        <v>363</v>
      </c>
      <c r="F10" s="9" t="s">
        <v>954</v>
      </c>
      <c r="G10" s="9"/>
      <c r="H10" s="9" t="s">
        <v>140</v>
      </c>
      <c r="I10" s="9" t="s">
        <v>90</v>
      </c>
      <c r="J10" s="9" t="s">
        <v>829</v>
      </c>
      <c r="K10" s="9" t="s">
        <v>342</v>
      </c>
      <c r="N10" s="9" t="s">
        <v>249</v>
      </c>
      <c r="O10" s="9" t="s">
        <v>96</v>
      </c>
      <c r="P10" s="9" t="s">
        <v>186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200</v>
      </c>
      <c r="AE10" s="9" t="s">
        <v>189</v>
      </c>
      <c r="AH10" t="s">
        <v>821</v>
      </c>
      <c r="AI10" t="s">
        <v>357</v>
      </c>
      <c r="AJ10" t="s">
        <v>127</v>
      </c>
      <c r="AK10" t="s">
        <v>342</v>
      </c>
      <c r="AM10" t="s">
        <v>93</v>
      </c>
      <c r="AN10" t="s">
        <v>351</v>
      </c>
      <c r="AO10" t="s">
        <v>844</v>
      </c>
      <c r="AT10" t="s">
        <v>857</v>
      </c>
      <c r="AU10" t="s">
        <v>881</v>
      </c>
      <c r="AV10" t="s">
        <v>2215</v>
      </c>
    </row>
    <row r="11" spans="1:51" x14ac:dyDescent="0.25">
      <c r="A11" s="9"/>
      <c r="C11" s="9"/>
      <c r="D11" s="9" t="s">
        <v>251</v>
      </c>
      <c r="E11" s="9" t="s">
        <v>282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223</v>
      </c>
      <c r="S11" s="9" t="s">
        <v>273</v>
      </c>
      <c r="T11" s="9" t="s">
        <v>981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194</v>
      </c>
      <c r="AE11" s="9" t="s">
        <v>975</v>
      </c>
      <c r="AH11" t="s">
        <v>866</v>
      </c>
      <c r="AI11" t="s">
        <v>366</v>
      </c>
      <c r="AJ11" t="s">
        <v>831</v>
      </c>
      <c r="AK11" t="s">
        <v>934</v>
      </c>
      <c r="AL11" s="40"/>
      <c r="AM11" t="s">
        <v>997</v>
      </c>
      <c r="AN11" t="s">
        <v>87</v>
      </c>
      <c r="AO11" t="s">
        <v>845</v>
      </c>
      <c r="AP11" t="s">
        <v>842</v>
      </c>
      <c r="AQ11" t="s">
        <v>825</v>
      </c>
      <c r="AT11" t="s">
        <v>354</v>
      </c>
      <c r="AU11" t="s">
        <v>879</v>
      </c>
      <c r="AV11" t="s">
        <v>2216</v>
      </c>
    </row>
    <row r="12" spans="1:51" x14ac:dyDescent="0.25">
      <c r="A12" s="9"/>
      <c r="C12" s="9"/>
      <c r="D12" s="9" t="s">
        <v>71</v>
      </c>
      <c r="E12" s="9" t="s">
        <v>146</v>
      </c>
      <c r="F12" s="9" t="s">
        <v>336</v>
      </c>
      <c r="G12" s="9"/>
      <c r="I12" s="9" t="s">
        <v>183</v>
      </c>
      <c r="J12" s="9" t="s">
        <v>352</v>
      </c>
      <c r="K12" s="9" t="s">
        <v>962</v>
      </c>
      <c r="N12" s="9" t="s">
        <v>257</v>
      </c>
      <c r="O12" s="9" t="s">
        <v>212</v>
      </c>
      <c r="P12" s="9" t="s">
        <v>101</v>
      </c>
      <c r="S12" s="9" t="s">
        <v>245</v>
      </c>
      <c r="T12" s="9" t="s">
        <v>999</v>
      </c>
      <c r="U12" s="9" t="s">
        <v>359</v>
      </c>
      <c r="Y12" s="9" t="s">
        <v>163</v>
      </c>
      <c r="Z12" s="9" t="s">
        <v>207</v>
      </c>
      <c r="AD12" s="9" t="s">
        <v>199</v>
      </c>
      <c r="AE12" s="9" t="s">
        <v>321</v>
      </c>
      <c r="AH12" t="s">
        <v>870</v>
      </c>
      <c r="AJ12" t="s">
        <v>403</v>
      </c>
      <c r="AK12" t="s">
        <v>77</v>
      </c>
      <c r="AL12" s="40"/>
      <c r="AM12" t="s">
        <v>836</v>
      </c>
      <c r="AN12" t="s">
        <v>839</v>
      </c>
      <c r="AP12" t="s">
        <v>953</v>
      </c>
      <c r="AQ12" t="s">
        <v>840</v>
      </c>
      <c r="AU12" t="s">
        <v>882</v>
      </c>
      <c r="AV12" t="s">
        <v>2210</v>
      </c>
    </row>
    <row r="13" spans="1:51" x14ac:dyDescent="0.25">
      <c r="A13" s="9"/>
      <c r="C13" s="9"/>
      <c r="D13" s="9" t="s">
        <v>218</v>
      </c>
      <c r="E13" s="9" t="s">
        <v>961</v>
      </c>
      <c r="F13" s="9" t="s">
        <v>987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368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935</v>
      </c>
      <c r="AD13" s="9" t="s">
        <v>220</v>
      </c>
      <c r="AE13" s="9" t="s">
        <v>219</v>
      </c>
      <c r="AH13" t="s">
        <v>869</v>
      </c>
      <c r="AJ13" t="s">
        <v>352</v>
      </c>
      <c r="AK13" t="s">
        <v>63</v>
      </c>
      <c r="AL13" s="40"/>
      <c r="AM13" t="s">
        <v>1003</v>
      </c>
      <c r="AN13" s="40"/>
      <c r="AP13" t="s">
        <v>841</v>
      </c>
      <c r="AQ13" t="s">
        <v>994</v>
      </c>
      <c r="AU13" t="s">
        <v>885</v>
      </c>
      <c r="AV13" t="s">
        <v>2209</v>
      </c>
    </row>
    <row r="14" spans="1:51" x14ac:dyDescent="0.25">
      <c r="A14" s="9"/>
      <c r="C14" s="9"/>
      <c r="D14" s="9" t="s">
        <v>165</v>
      </c>
      <c r="E14" s="9" t="s">
        <v>19</v>
      </c>
      <c r="F14" s="9" t="s">
        <v>982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104</v>
      </c>
      <c r="S14" s="9" t="s">
        <v>113</v>
      </c>
      <c r="T14" s="9" t="s">
        <v>1012</v>
      </c>
      <c r="U14" s="9" t="s">
        <v>150</v>
      </c>
      <c r="Y14" s="9" t="s">
        <v>970</v>
      </c>
      <c r="Z14" s="9" t="s">
        <v>944</v>
      </c>
      <c r="AD14" s="9" t="s">
        <v>976</v>
      </c>
      <c r="AE14" s="9" t="s">
        <v>198</v>
      </c>
      <c r="AH14" t="s">
        <v>871</v>
      </c>
      <c r="AK14" t="s">
        <v>365</v>
      </c>
      <c r="AL14" s="40"/>
      <c r="AM14" s="40"/>
      <c r="AN14" s="40"/>
      <c r="AP14" t="s">
        <v>843</v>
      </c>
      <c r="AQ14" t="s">
        <v>364</v>
      </c>
      <c r="AU14" t="s">
        <v>1017</v>
      </c>
      <c r="AV14" t="s">
        <v>2212</v>
      </c>
    </row>
    <row r="15" spans="1:51" x14ac:dyDescent="0.25">
      <c r="A15" s="9"/>
      <c r="C15" s="9"/>
      <c r="D15" s="9" t="s">
        <v>179</v>
      </c>
      <c r="E15" s="9" t="s">
        <v>205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271</v>
      </c>
      <c r="S15" s="9" t="s">
        <v>965</v>
      </c>
      <c r="T15" s="9" t="s">
        <v>108</v>
      </c>
      <c r="U15" s="9" t="s">
        <v>164</v>
      </c>
      <c r="Y15" s="9" t="s">
        <v>936</v>
      </c>
      <c r="Z15" s="9" t="s">
        <v>1100</v>
      </c>
      <c r="AE15" s="9" t="s">
        <v>992</v>
      </c>
      <c r="AH15" t="s">
        <v>822</v>
      </c>
      <c r="AK15" t="s">
        <v>867</v>
      </c>
      <c r="AL15" s="40"/>
      <c r="AM15" s="40"/>
      <c r="AN15" s="40"/>
      <c r="AP15" s="40"/>
      <c r="AQ15" t="s">
        <v>849</v>
      </c>
      <c r="AU15" t="s">
        <v>356</v>
      </c>
      <c r="AV15" t="s">
        <v>2211</v>
      </c>
    </row>
    <row r="16" spans="1:51" x14ac:dyDescent="0.25">
      <c r="A16" s="9"/>
      <c r="C16" s="9"/>
      <c r="D16" s="9" t="s">
        <v>973</v>
      </c>
      <c r="E16" s="9" t="s">
        <v>144</v>
      </c>
      <c r="F16" s="9" t="s">
        <v>262</v>
      </c>
      <c r="G16" s="9"/>
      <c r="I16" s="9" t="s">
        <v>995</v>
      </c>
      <c r="J16" s="9" t="s">
        <v>83</v>
      </c>
      <c r="K16" s="9" t="s">
        <v>941</v>
      </c>
      <c r="N16" s="9" t="s">
        <v>166</v>
      </c>
      <c r="O16" s="9" t="s">
        <v>1001</v>
      </c>
      <c r="P16" s="9" t="s">
        <v>250</v>
      </c>
      <c r="S16" s="9" t="s">
        <v>224</v>
      </c>
      <c r="T16" s="9" t="s">
        <v>109</v>
      </c>
      <c r="U16" s="9" t="s">
        <v>1013</v>
      </c>
      <c r="Y16" s="9" t="s">
        <v>269</v>
      </c>
      <c r="Z16" s="9" t="s">
        <v>1003</v>
      </c>
      <c r="AE16" s="9" t="s">
        <v>344</v>
      </c>
      <c r="AH16" t="s">
        <v>1011</v>
      </c>
      <c r="AK16" t="s">
        <v>68</v>
      </c>
      <c r="AL16" s="40"/>
      <c r="AM16" s="40"/>
      <c r="AN16" s="40"/>
      <c r="AP16" s="40"/>
      <c r="AQ16" t="s">
        <v>993</v>
      </c>
      <c r="AU16" t="s">
        <v>358</v>
      </c>
    </row>
    <row r="17" spans="1:47" x14ac:dyDescent="0.25">
      <c r="A17" s="9"/>
      <c r="C17" s="9"/>
      <c r="D17" s="9" t="s">
        <v>302</v>
      </c>
      <c r="E17" s="9" t="s">
        <v>67</v>
      </c>
      <c r="F17" s="9" t="s">
        <v>168</v>
      </c>
      <c r="G17" s="9"/>
      <c r="I17" s="9" t="s">
        <v>978</v>
      </c>
      <c r="J17" s="9" t="s">
        <v>1098</v>
      </c>
      <c r="K17" s="9" t="s">
        <v>1002</v>
      </c>
      <c r="N17" s="9" t="s">
        <v>100</v>
      </c>
      <c r="O17" s="9" t="s">
        <v>354</v>
      </c>
      <c r="P17" s="9" t="s">
        <v>169</v>
      </c>
      <c r="S17" s="9" t="s">
        <v>323</v>
      </c>
      <c r="T17" s="9" t="s">
        <v>22</v>
      </c>
      <c r="U17" s="9" t="s">
        <v>114</v>
      </c>
      <c r="Z17" s="9" t="s">
        <v>958</v>
      </c>
      <c r="AE17" s="9" t="s">
        <v>854</v>
      </c>
      <c r="AH17" t="s">
        <v>154</v>
      </c>
      <c r="AK17" t="s">
        <v>238</v>
      </c>
      <c r="AQ17" t="s">
        <v>851</v>
      </c>
      <c r="AU17" t="s">
        <v>860</v>
      </c>
    </row>
    <row r="18" spans="1:47" x14ac:dyDescent="0.25">
      <c r="A18" s="9"/>
      <c r="C18" s="9"/>
      <c r="D18" s="9" t="s">
        <v>258</v>
      </c>
      <c r="E18" s="9" t="s">
        <v>315</v>
      </c>
      <c r="F18" s="9" t="s">
        <v>266</v>
      </c>
      <c r="G18" s="9"/>
      <c r="I18" s="9" t="s">
        <v>241</v>
      </c>
      <c r="J18" s="9" t="s">
        <v>955</v>
      </c>
      <c r="K18" s="9" t="s">
        <v>182</v>
      </c>
      <c r="N18" s="9" t="s">
        <v>284</v>
      </c>
      <c r="O18" s="9" t="s">
        <v>99</v>
      </c>
      <c r="P18" s="9" t="s">
        <v>988</v>
      </c>
      <c r="S18" s="9" t="s">
        <v>950</v>
      </c>
      <c r="T18" s="9" t="s">
        <v>949</v>
      </c>
      <c r="U18" s="9" t="s">
        <v>991</v>
      </c>
      <c r="AH18" t="s">
        <v>1013</v>
      </c>
      <c r="AK18" t="s">
        <v>363</v>
      </c>
      <c r="AQ18" t="s">
        <v>157</v>
      </c>
      <c r="AU18" t="s">
        <v>859</v>
      </c>
    </row>
    <row r="19" spans="1:47" x14ac:dyDescent="0.25">
      <c r="A19" s="9"/>
      <c r="C19" s="9"/>
      <c r="D19" s="9" t="s">
        <v>66</v>
      </c>
      <c r="E19" s="9"/>
      <c r="F19" s="9" t="s">
        <v>278</v>
      </c>
      <c r="G19" s="9"/>
      <c r="I19" s="9" t="s">
        <v>209</v>
      </c>
      <c r="J19" s="9" t="s">
        <v>188</v>
      </c>
      <c r="K19" s="9" t="s">
        <v>175</v>
      </c>
      <c r="N19" s="9" t="s">
        <v>299</v>
      </c>
      <c r="O19" s="9" t="s">
        <v>216</v>
      </c>
      <c r="P19" s="9" t="s">
        <v>1010</v>
      </c>
      <c r="T19" s="9" t="s">
        <v>309</v>
      </c>
      <c r="U19" s="9" t="s">
        <v>301</v>
      </c>
      <c r="AH19" t="s">
        <v>1012</v>
      </c>
      <c r="AK19" t="s">
        <v>168</v>
      </c>
      <c r="AQ19" t="s">
        <v>76</v>
      </c>
      <c r="AU19" t="s">
        <v>344</v>
      </c>
    </row>
    <row r="20" spans="1:47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996</v>
      </c>
      <c r="K20" s="9" t="s">
        <v>157</v>
      </c>
      <c r="N20" s="9" t="s">
        <v>311</v>
      </c>
      <c r="O20" s="9" t="s">
        <v>956</v>
      </c>
      <c r="P20" s="9" t="s">
        <v>107</v>
      </c>
      <c r="T20" s="9" t="s">
        <v>255</v>
      </c>
      <c r="U20" s="9" t="s">
        <v>254</v>
      </c>
      <c r="AH20" t="s">
        <v>101</v>
      </c>
      <c r="AK20" t="s">
        <v>1002</v>
      </c>
      <c r="AQ20" t="s">
        <v>140</v>
      </c>
      <c r="AU20" t="s">
        <v>1005</v>
      </c>
    </row>
    <row r="21" spans="1:47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861</v>
      </c>
      <c r="K21" s="9" t="s">
        <v>76</v>
      </c>
      <c r="N21" s="9" t="s">
        <v>141</v>
      </c>
      <c r="O21" s="9" t="s">
        <v>327</v>
      </c>
      <c r="P21" s="9" t="s">
        <v>277</v>
      </c>
      <c r="T21" s="9" t="s">
        <v>110</v>
      </c>
      <c r="U21" s="9" t="s">
        <v>225</v>
      </c>
      <c r="AH21" t="s">
        <v>823</v>
      </c>
      <c r="AK21" t="s">
        <v>70</v>
      </c>
      <c r="AQ21" t="s">
        <v>850</v>
      </c>
    </row>
    <row r="22" spans="1:47" x14ac:dyDescent="0.25">
      <c r="A22" s="9"/>
      <c r="C22" s="9"/>
      <c r="D22" s="9" t="s">
        <v>288</v>
      </c>
      <c r="E22" s="9"/>
      <c r="F22" s="9" t="s">
        <v>369</v>
      </c>
      <c r="J22" s="9" t="s">
        <v>24</v>
      </c>
      <c r="K22" s="9" t="s">
        <v>303</v>
      </c>
      <c r="N22" s="9" t="s">
        <v>214</v>
      </c>
      <c r="O22" s="9" t="s">
        <v>997</v>
      </c>
      <c r="P22" s="9" t="s">
        <v>280</v>
      </c>
      <c r="T22" s="9" t="s">
        <v>998</v>
      </c>
      <c r="U22" s="9" t="s">
        <v>357</v>
      </c>
      <c r="AH22" t="s">
        <v>353</v>
      </c>
      <c r="AK22" t="s">
        <v>2202</v>
      </c>
    </row>
    <row r="23" spans="1:47" x14ac:dyDescent="0.25">
      <c r="A23" s="9"/>
      <c r="C23" s="9"/>
      <c r="D23" s="9" t="s">
        <v>960</v>
      </c>
      <c r="E23" s="9"/>
      <c r="F23" s="9" t="s">
        <v>337</v>
      </c>
      <c r="J23" s="9" t="s">
        <v>23</v>
      </c>
      <c r="K23" s="9" t="s">
        <v>367</v>
      </c>
      <c r="N23" s="9" t="s">
        <v>293</v>
      </c>
      <c r="O23" s="9" t="s">
        <v>1014</v>
      </c>
      <c r="P23" s="9" t="s">
        <v>343</v>
      </c>
      <c r="T23" s="9" t="s">
        <v>121</v>
      </c>
      <c r="U23" s="9" t="s">
        <v>356</v>
      </c>
      <c r="AH23" t="s">
        <v>95</v>
      </c>
      <c r="AK23" t="s">
        <v>369</v>
      </c>
    </row>
    <row r="24" spans="1:47" x14ac:dyDescent="0.25">
      <c r="A24" s="9"/>
      <c r="C24" s="9"/>
      <c r="D24" s="9"/>
      <c r="E24" s="9"/>
      <c r="F24" s="9" t="s">
        <v>860</v>
      </c>
      <c r="J24" s="9" t="s">
        <v>147</v>
      </c>
      <c r="K24" s="9" t="s">
        <v>366</v>
      </c>
      <c r="O24" s="9" t="s">
        <v>229</v>
      </c>
      <c r="P24" s="9" t="s">
        <v>985</v>
      </c>
      <c r="T24" s="9" t="s">
        <v>117</v>
      </c>
      <c r="U24" s="9" t="s">
        <v>238</v>
      </c>
      <c r="AH24" t="s">
        <v>1010</v>
      </c>
      <c r="AK24" t="s">
        <v>874</v>
      </c>
      <c r="AQ24" s="9"/>
    </row>
    <row r="25" spans="1:47" x14ac:dyDescent="0.25">
      <c r="A25" s="9"/>
      <c r="C25" s="9"/>
      <c r="D25" s="9"/>
      <c r="E25" s="9"/>
      <c r="F25" s="9" t="s">
        <v>990</v>
      </c>
      <c r="K25" s="9" t="s">
        <v>80</v>
      </c>
      <c r="P25" s="9" t="s">
        <v>948</v>
      </c>
      <c r="T25" s="9" t="s">
        <v>239</v>
      </c>
      <c r="U25" s="9" t="s">
        <v>161</v>
      </c>
      <c r="AH25" t="s">
        <v>826</v>
      </c>
      <c r="AK25" t="s">
        <v>872</v>
      </c>
      <c r="AQ25" s="9"/>
    </row>
    <row r="26" spans="1:47" x14ac:dyDescent="0.25">
      <c r="A26" s="9"/>
      <c r="C26" s="9"/>
      <c r="D26" s="9"/>
      <c r="E26" s="9"/>
      <c r="F26" s="9" t="s">
        <v>946</v>
      </c>
      <c r="K26" s="9" t="s">
        <v>984</v>
      </c>
      <c r="P26" s="9" t="s">
        <v>339</v>
      </c>
      <c r="U26" s="9" t="s">
        <v>942</v>
      </c>
      <c r="AH26" t="s">
        <v>310</v>
      </c>
      <c r="AK26" t="s">
        <v>873</v>
      </c>
      <c r="AQ26" s="9"/>
    </row>
    <row r="27" spans="1:47" x14ac:dyDescent="0.25">
      <c r="A27" s="9"/>
      <c r="C27" s="9"/>
      <c r="D27" s="9"/>
      <c r="E27" s="9"/>
      <c r="F27" s="9" t="s">
        <v>1006</v>
      </c>
      <c r="K27" s="9" t="s">
        <v>267</v>
      </c>
      <c r="P27" s="9" t="s">
        <v>980</v>
      </c>
      <c r="U27" s="9" t="s">
        <v>310</v>
      </c>
      <c r="AH27" t="s">
        <v>865</v>
      </c>
      <c r="AK27" t="s">
        <v>67</v>
      </c>
      <c r="AQ27" s="9"/>
    </row>
    <row r="28" spans="1:47" x14ac:dyDescent="0.25">
      <c r="A28" s="9"/>
      <c r="C28" s="9"/>
      <c r="D28" s="9"/>
      <c r="E28" s="9"/>
      <c r="F28" s="9"/>
      <c r="P28" s="9" t="s">
        <v>244</v>
      </c>
      <c r="U28" s="9" t="s">
        <v>964</v>
      </c>
      <c r="AH28" t="s">
        <v>1001</v>
      </c>
      <c r="AK28" t="s">
        <v>996</v>
      </c>
    </row>
    <row r="29" spans="1:47" x14ac:dyDescent="0.25">
      <c r="A29" s="9"/>
      <c r="C29" s="9"/>
      <c r="D29" s="9"/>
      <c r="E29" s="9"/>
      <c r="P29" s="9" t="s">
        <v>963</v>
      </c>
      <c r="U29" s="9" t="s">
        <v>1099</v>
      </c>
      <c r="AH29" t="s">
        <v>173</v>
      </c>
      <c r="AK29" t="s">
        <v>861</v>
      </c>
    </row>
    <row r="30" spans="1:47" x14ac:dyDescent="0.25">
      <c r="A30" s="9"/>
      <c r="C30" s="9"/>
      <c r="D30" s="9"/>
      <c r="E30" s="9"/>
      <c r="P30" s="9" t="s">
        <v>103</v>
      </c>
      <c r="U30" s="9" t="s">
        <v>333</v>
      </c>
      <c r="AH30" t="s">
        <v>1014</v>
      </c>
      <c r="AK30" t="s">
        <v>367</v>
      </c>
    </row>
    <row r="31" spans="1:47" x14ac:dyDescent="0.25">
      <c r="A31" s="9"/>
      <c r="C31" s="9"/>
      <c r="D31" s="9"/>
      <c r="E31" s="9"/>
      <c r="U31" s="9" t="s">
        <v>358</v>
      </c>
      <c r="AH31" t="s">
        <v>824</v>
      </c>
    </row>
    <row r="32" spans="1:47" x14ac:dyDescent="0.25">
      <c r="A32" s="9"/>
      <c r="C32" s="9"/>
      <c r="D32" s="9"/>
      <c r="E32" s="9"/>
      <c r="U32" s="9" t="s">
        <v>213</v>
      </c>
      <c r="AH32" t="s">
        <v>103</v>
      </c>
    </row>
    <row r="33" spans="1:21" x14ac:dyDescent="0.25">
      <c r="A33" s="9"/>
      <c r="C33" s="9"/>
      <c r="D33" s="9"/>
      <c r="E33" s="9"/>
      <c r="U33" s="9" t="s">
        <v>943</v>
      </c>
    </row>
    <row r="34" spans="1:21" x14ac:dyDescent="0.25">
      <c r="A34" s="9"/>
      <c r="C34" s="9"/>
      <c r="D34" s="9"/>
      <c r="E34" s="9"/>
      <c r="U34" s="9" t="s">
        <v>170</v>
      </c>
    </row>
    <row r="35" spans="1:21" x14ac:dyDescent="0.25">
      <c r="A35" s="9"/>
      <c r="C35" s="9"/>
      <c r="D35" s="9"/>
      <c r="E35" s="9"/>
      <c r="U35" s="9" t="s">
        <v>171</v>
      </c>
    </row>
    <row r="36" spans="1:21" x14ac:dyDescent="0.25">
      <c r="A36" s="9"/>
      <c r="C36" s="9"/>
      <c r="D36" s="9"/>
      <c r="E36" s="9"/>
      <c r="U36" s="9" t="s">
        <v>969</v>
      </c>
    </row>
    <row r="37" spans="1:21" x14ac:dyDescent="0.25">
      <c r="A37" s="9"/>
      <c r="C37" s="9"/>
      <c r="D37" s="9"/>
      <c r="E37" s="9"/>
      <c r="U37" s="9" t="s">
        <v>226</v>
      </c>
    </row>
    <row r="38" spans="1:21" x14ac:dyDescent="0.25">
      <c r="A38" s="9"/>
      <c r="C38" s="9"/>
      <c r="D38" s="9"/>
      <c r="E38" s="9"/>
    </row>
    <row r="39" spans="1:21" x14ac:dyDescent="0.25">
      <c r="A39" s="9"/>
      <c r="C39" s="9"/>
      <c r="D39" s="9"/>
      <c r="E39" s="9"/>
    </row>
    <row r="40" spans="1:21" x14ac:dyDescent="0.25">
      <c r="A40" s="9"/>
      <c r="C40" s="9"/>
      <c r="D40" s="9"/>
      <c r="E40" s="9"/>
    </row>
    <row r="41" spans="1:21" x14ac:dyDescent="0.25">
      <c r="A41" s="9"/>
      <c r="C41" s="9"/>
      <c r="D41" s="9"/>
      <c r="E41" s="9"/>
    </row>
    <row r="42" spans="1:21" x14ac:dyDescent="0.25">
      <c r="A42" s="9"/>
      <c r="C42" s="9"/>
      <c r="D42" s="9"/>
    </row>
    <row r="43" spans="1:21" x14ac:dyDescent="0.25">
      <c r="A43" s="9"/>
      <c r="C43" s="9"/>
      <c r="D43" s="9"/>
    </row>
    <row r="44" spans="1:21" x14ac:dyDescent="0.25">
      <c r="A44" s="9"/>
      <c r="C44" s="9"/>
      <c r="D44" s="9"/>
    </row>
    <row r="45" spans="1:21" x14ac:dyDescent="0.25">
      <c r="A45" s="9"/>
      <c r="C45" s="9"/>
      <c r="D45" s="9"/>
    </row>
    <row r="46" spans="1:21" x14ac:dyDescent="0.25">
      <c r="A46" s="9"/>
      <c r="C46" s="9"/>
      <c r="D46" s="9"/>
    </row>
    <row r="47" spans="1:21" x14ac:dyDescent="0.25">
      <c r="A47" s="9"/>
      <c r="C47" s="9"/>
      <c r="D47" s="9"/>
    </row>
    <row r="48" spans="1:21" x14ac:dyDescent="0.25">
      <c r="A48" s="9"/>
      <c r="C48" s="9"/>
      <c r="D48" s="9"/>
    </row>
    <row r="49" spans="1:4" x14ac:dyDescent="0.25">
      <c r="A49" s="9"/>
      <c r="C49" s="9"/>
      <c r="D49" s="9"/>
    </row>
    <row r="50" spans="1:4" x14ac:dyDescent="0.25">
      <c r="A50" s="9"/>
      <c r="C50" s="9"/>
      <c r="D50" s="9"/>
    </row>
    <row r="51" spans="1:4" x14ac:dyDescent="0.25">
      <c r="A51" s="9"/>
      <c r="C51" s="9"/>
      <c r="D51" s="9"/>
    </row>
    <row r="52" spans="1:4" x14ac:dyDescent="0.25">
      <c r="A52" s="9"/>
      <c r="C52" s="9"/>
      <c r="D52" s="9"/>
    </row>
    <row r="53" spans="1:4" x14ac:dyDescent="0.25">
      <c r="A53" s="9"/>
      <c r="C53" s="9"/>
      <c r="D53" s="9"/>
    </row>
    <row r="54" spans="1:4" x14ac:dyDescent="0.25">
      <c r="A54" s="9"/>
      <c r="C54" s="9"/>
      <c r="D54" s="9"/>
    </row>
    <row r="55" spans="1:4" x14ac:dyDescent="0.25">
      <c r="A55" s="9"/>
      <c r="C55" s="9"/>
      <c r="D55" s="9"/>
    </row>
    <row r="56" spans="1:4" x14ac:dyDescent="0.25">
      <c r="A56" s="9"/>
      <c r="C56" s="9"/>
      <c r="D56" s="9"/>
    </row>
    <row r="57" spans="1:4" x14ac:dyDescent="0.25">
      <c r="A57" s="9"/>
      <c r="C57" s="9"/>
      <c r="D57" s="9"/>
    </row>
    <row r="58" spans="1:4" x14ac:dyDescent="0.25">
      <c r="A58" s="9"/>
      <c r="C58" s="9"/>
      <c r="D58" s="9"/>
    </row>
    <row r="59" spans="1:4" x14ac:dyDescent="0.25">
      <c r="A59" s="9"/>
      <c r="C59" s="9"/>
      <c r="D59" s="9"/>
    </row>
    <row r="60" spans="1:4" x14ac:dyDescent="0.25">
      <c r="A60" s="9"/>
      <c r="C60" s="9"/>
      <c r="D60" s="9"/>
    </row>
    <row r="61" spans="1:4" x14ac:dyDescent="0.25">
      <c r="A61" s="9"/>
      <c r="C61" s="9"/>
      <c r="D61" s="9"/>
    </row>
    <row r="62" spans="1:4" x14ac:dyDescent="0.25">
      <c r="A62" s="9"/>
      <c r="C62" s="9"/>
      <c r="D62" s="9"/>
    </row>
    <row r="63" spans="1:4" x14ac:dyDescent="0.25">
      <c r="A63" s="9"/>
      <c r="C63" s="9"/>
      <c r="D63" s="9"/>
    </row>
    <row r="64" spans="1:4" x14ac:dyDescent="0.25">
      <c r="C64" s="9"/>
      <c r="D64" s="9"/>
    </row>
    <row r="65" spans="3:4" x14ac:dyDescent="0.25">
      <c r="C65" s="9"/>
      <c r="D65" s="9"/>
    </row>
    <row r="66" spans="3:4" x14ac:dyDescent="0.25">
      <c r="C66" s="9"/>
      <c r="D66" s="9"/>
    </row>
    <row r="67" spans="3:4" x14ac:dyDescent="0.25">
      <c r="C67" s="9"/>
      <c r="D67" s="9"/>
    </row>
    <row r="68" spans="3:4" x14ac:dyDescent="0.25">
      <c r="D68" s="9"/>
    </row>
    <row r="69" spans="3:4" x14ac:dyDescent="0.25">
      <c r="D69" s="9"/>
    </row>
    <row r="70" spans="3:4" x14ac:dyDescent="0.25">
      <c r="D70" s="9"/>
    </row>
  </sheetData>
  <sortState ref="AQ11:AQ21">
    <sortCondition ref="AQ11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36FD1D-C17F-47A2-AC1E-11537E0C4D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15</vt:i4>
      </vt:variant>
    </vt:vector>
  </HeadingPairs>
  <TitlesOfParts>
    <vt:vector size="31" baseType="lpstr">
      <vt:lpstr>Main</vt:lpstr>
      <vt:lpstr>Doll</vt:lpstr>
      <vt:lpstr>Equip</vt:lpstr>
      <vt:lpstr>Fairy</vt:lpstr>
      <vt:lpstr>HOC</vt:lpstr>
      <vt:lpstr>Mission_Act_Info</vt:lpstr>
      <vt:lpstr>GFBattleSimulator</vt:lpstr>
      <vt:lpstr>Stat Calc</vt:lpstr>
      <vt:lpstr>Doll Data</vt:lpstr>
      <vt:lpstr>Sheet2</vt:lpstr>
      <vt:lpstr>Equip Data</vt:lpstr>
      <vt:lpstr>Fairy Data</vt:lpstr>
      <vt:lpstr>Talent Data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EnemyID</vt:lpstr>
      <vt:lpstr>EquipJSONPath</vt:lpstr>
      <vt:lpstr>FairyJSONPath</vt:lpstr>
      <vt:lpstr>FairySkill</vt:lpstr>
      <vt:lpstr>HOCJSONPath</vt:lpstr>
      <vt:lpstr>HOCSupport</vt:lpstr>
      <vt:lpstr>MissionJSON</vt:lpstr>
      <vt:lpstr>NodeColor</vt:lpstr>
      <vt:lpstr>SimJSON</vt:lpstr>
      <vt:lpstr>TurnNum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2021-04-05T01:02:29Z</dcterms:modified>
</cp:coreProperties>
</file>