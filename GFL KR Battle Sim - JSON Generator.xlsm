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A121BE4B-2DB1-40CA-970E-EFD4DE904F6B}" xr6:coauthVersionLast="36" xr6:coauthVersionMax="36" xr10:uidLastSave="{00000000-0000-0000-0000-000000000000}"/>
  <bookViews>
    <workbookView xWindow="0" yWindow="0" windowWidth="15360" windowHeight="7830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Fairy Data" sheetId="16" state="hidden" r:id="rId9"/>
    <sheet name="Talent Data" sheetId="17" state="hidden" r:id="rId10"/>
    <sheet name="Exp Tables" sheetId="5" state="hidden" r:id="rId11"/>
    <sheet name="Misc Inputs" sheetId="18" state="hidden" r:id="rId12"/>
    <sheet name="Dropdowns" sheetId="2" state="hidden" r:id="rId13"/>
    <sheet name="Doll Data" sheetId="4" state="hidden" r:id="rId14"/>
    <sheet name="Equip Data" sheetId="11" state="hidden" r:id="rId15"/>
  </sheets>
  <definedNames>
    <definedName name="_xlnm._FilterDatabase" localSheetId="13" hidden="1">'Doll Data'!$A$1:$K$398</definedName>
    <definedName name="_xlnm._FilterDatabase" localSheetId="14" hidden="1">'Equip Data'!$A$1:$V$202</definedName>
    <definedName name="_xlnm._FilterDatabase" localSheetId="8" hidden="1">'Fairy Data'!$A$1:$K$37</definedName>
    <definedName name="_xlnm._FilterDatabase" localSheetId="9" hidden="1">'Talent Data'!$A$1:$C$18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8" l="1"/>
  <c r="G13" i="18" s="1"/>
  <c r="C3" i="20" s="1"/>
  <c r="F15" i="18"/>
  <c r="G15" i="18" s="1"/>
  <c r="F16" i="18"/>
  <c r="G16" i="18" s="1"/>
  <c r="F14" i="18"/>
  <c r="G14" i="18" s="1"/>
  <c r="F10" i="18"/>
  <c r="G10" i="18" s="1"/>
  <c r="F11" i="18"/>
  <c r="G11" i="18" s="1"/>
  <c r="F12" i="18"/>
  <c r="G12" i="18" s="1"/>
  <c r="F9" i="18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0" i="18" l="1"/>
  <c r="C2" i="20" s="1"/>
  <c r="C2" i="24" l="1"/>
  <c r="B4" i="20"/>
  <c r="B3" i="20"/>
  <c r="B2" i="20"/>
  <c r="B18" i="1"/>
  <c r="B19" i="1"/>
  <c r="B17" i="1" l="1"/>
  <c r="B14" i="1"/>
  <c r="B13" i="1"/>
  <c r="G9" i="18" l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E19" i="3" l="1"/>
  <c r="J4" i="7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E8" authorId="0" shapeId="0" xr:uid="{0B4F56EE-80D2-4933-B380-11CF91131D9E}">
      <text>
        <r>
          <rPr>
            <sz val="9"/>
            <color indexed="81"/>
            <rFont val="Tahoma"/>
            <family val="2"/>
          </rPr>
          <t>Code that you would normally use to sim the skill at SL10</t>
        </r>
      </text>
    </comment>
    <comment ref="F8" authorId="0" shapeId="0" xr:uid="{0CCB7114-B0A8-4B28-87D9-0E9CA1E0F367}">
      <text>
        <r>
          <rPr>
            <sz val="9"/>
            <color indexed="81"/>
            <rFont val="Tahoma"/>
            <family val="2"/>
          </rPr>
          <t>Adjusts the code to the left to match the actual SL</t>
        </r>
      </text>
    </comment>
    <comment ref="G8" authorId="0" shapeId="0" xr:uid="{5F1FD132-9673-4081-B528-71A5CEAAA687}">
      <text>
        <r>
          <rPr>
            <sz val="9"/>
            <color indexed="81"/>
            <rFont val="Tahoma"/>
            <family val="2"/>
          </rPr>
          <t>Adjusts the code to the left to work on the actual turn</t>
        </r>
      </text>
    </comment>
  </commentList>
</comments>
</file>

<file path=xl/sharedStrings.xml><?xml version="1.0" encoding="utf-8"?>
<sst xmlns="http://schemas.openxmlformats.org/spreadsheetml/2006/main" count="5111" uniqueCount="1136">
  <si>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</si>
  <si>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</si>
  <si>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</si>
  <si>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</si>
  <si>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</si>
  <si>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</si>
  <si>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</si>
  <si>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</si>
  <si>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</si>
  <si>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</si>
  <si>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</si>
  <si>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</si>
  <si>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</si>
  <si>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</si>
  <si>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</si>
  <si>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</si>
  <si>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</si>
  <si>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</si>
  <si>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</si>
  <si>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</si>
  <si>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</si>
  <si>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</si>
  <si>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</si>
  <si>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</si>
  <si>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</si>
  <si>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</si>
  <si>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</si>
  <si>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</si>
  <si>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</si>
  <si>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</si>
  <si>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</si>
  <si>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</si>
  <si>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</si>
  <si>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</si>
  <si>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</si>
  <si>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</si>
  <si>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</si>
  <si>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</si>
  <si>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</si>
  <si>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</si>
  <si>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</si>
  <si>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</si>
  <si>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</si>
  <si>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</si>
  <si>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</si>
  <si>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</si>
  <si>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</si>
  <si>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</si>
  <si>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</si>
  <si>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</si>
  <si>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</si>
  <si>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</si>
  <si>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</si>
  <si>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</si>
  <si>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</si>
  <si>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</si>
  <si>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</si>
  <si>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</si>
  <si>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</si>
  <si>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</si>
  <si>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</si>
  <si>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</si>
  <si>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</si>
  <si>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</si>
  <si>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</si>
  <si>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</si>
  <si>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</si>
  <si>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</si>
  <si>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</si>
  <si>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</si>
  <si>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</si>
  <si>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</si>
  <si>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</si>
  <si>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</si>
  <si>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</si>
  <si>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</si>
  <si>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</si>
  <si>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</si>
  <si>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</si>
  <si>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</si>
  <si>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</si>
  <si>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</si>
  <si>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</si>
  <si>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</si>
  <si>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</si>
  <si>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</si>
  <si>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</si>
  <si>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</si>
  <si>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</si>
  <si>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</si>
  <si>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</si>
  <si>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</si>
  <si>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</si>
  <si>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</si>
  <si>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</si>
  <si>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</si>
  <si>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</si>
  <si>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</si>
  <si>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</si>
  <si>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</si>
  <si>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</si>
  <si>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</si>
  <si>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</si>
  <si>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</si>
  <si>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</si>
  <si>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</si>
  <si>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</si>
  <si>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</si>
  <si>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</si>
  <si>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</si>
  <si>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</si>
  <si>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</si>
  <si>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</si>
  <si>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</si>
  <si>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</si>
  <si>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</si>
  <si>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</si>
  <si>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</si>
  <si>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</si>
  <si>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</si>
  <si>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</si>
  <si>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</si>
  <si>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</si>
  <si>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</si>
  <si>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</si>
  <si>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</si>
  <si>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</si>
  <si>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</si>
  <si>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</si>
  <si>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</si>
  <si>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</si>
  <si>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</si>
  <si>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</si>
  <si>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</si>
  <si>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</si>
  <si>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</si>
  <si>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</si>
  <si>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</si>
  <si>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</si>
  <si>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</si>
  <si>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</si>
  <si>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</si>
  <si>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</si>
  <si>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</si>
  <si>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</si>
  <si>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</si>
  <si>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</si>
  <si>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</si>
  <si>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</si>
  <si>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</si>
  <si>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</si>
  <si>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</si>
  <si>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</si>
  <si>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</si>
  <si>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</si>
  <si>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</si>
  <si>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</si>
  <si>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</si>
  <si>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</si>
  <si>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</si>
  <si>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</si>
  <si>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</si>
  <si>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</si>
  <si>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</si>
  <si>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</si>
  <si>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</si>
  <si>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</si>
  <si>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</si>
  <si>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</si>
  <si>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</si>
  <si>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</si>
  <si>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</si>
  <si>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</si>
  <si>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</si>
  <si>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</si>
  <si>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</si>
  <si>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</si>
  <si>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</si>
  <si>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</si>
  <si>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</si>
  <si>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</si>
  <si>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</si>
  <si>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</si>
  <si>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</si>
  <si>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</si>
  <si>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</si>
  <si>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</si>
  <si>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</si>
  <si>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</si>
  <si>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</si>
  <si>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</si>
  <si>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</si>
  <si>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</si>
  <si>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</si>
  <si>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</si>
  <si>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</si>
  <si>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</si>
  <si>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</si>
  <si>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</si>
  <si>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</si>
  <si>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</si>
  <si>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</si>
  <si>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</si>
  <si>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</si>
  <si>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</si>
  <si>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</si>
  <si>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</si>
  <si>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</si>
  <si>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</si>
  <si>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</si>
  <si>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</si>
  <si>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</si>
  <si>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</si>
  <si>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</si>
  <si>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</si>
  <si>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</si>
  <si>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</si>
  <si>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</si>
  <si>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</si>
  <si>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</si>
  <si>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</si>
  <si>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</si>
  <si>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</si>
  <si>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</si>
  <si>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</si>
  <si>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</si>
  <si>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</si>
  <si>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</si>
  <si>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</si>
  <si>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</si>
  <si>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</si>
  <si>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</si>
  <si>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</si>
  <si>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</si>
  <si>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</si>
  <si>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</si>
  <si>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</si>
  <si>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</si>
  <si>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</si>
  <si>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</si>
  <si>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</si>
  <si>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</si>
  <si>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</si>
  <si>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</si>
  <si>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</si>
  <si>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</si>
  <si>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</si>
  <si>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</si>
  <si>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</si>
  <si>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</si>
  <si>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</si>
  <si>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</si>
  <si>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</si>
  <si>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</si>
  <si>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</si>
  <si>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</si>
  <si>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</si>
  <si>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</si>
  <si>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</si>
  <si>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</si>
  <si>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</si>
  <si>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</si>
  <si>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</si>
  <si>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</si>
  <si>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</si>
  <si>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</si>
  <si>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</si>
  <si>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</si>
  <si>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</si>
  <si>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</si>
  <si>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</si>
  <si>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</si>
  <si>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</si>
  <si>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</si>
  <si>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</si>
  <si>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</si>
  <si>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</si>
  <si>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</si>
  <si>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</si>
  <si>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</si>
  <si>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</si>
  <si>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</si>
  <si>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</si>
  <si>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</si>
  <si>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</si>
  <si>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</si>
  <si>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</si>
  <si>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</si>
  <si>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</si>
  <si>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</si>
  <si>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</si>
  <si>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</si>
  <si>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</si>
  <si>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</si>
  <si>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</si>
  <si>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</si>
  <si>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</si>
  <si>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</si>
  <si>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</si>
  <si>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</si>
  <si>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</si>
  <si>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</si>
  <si>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</si>
  <si>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</si>
  <si>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</si>
  <si>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</si>
  <si>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</si>
  <si>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</si>
  <si>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</si>
  <si>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</si>
  <si>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</si>
  <si>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</si>
  <si>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</si>
  <si>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</si>
  <si>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</si>
  <si>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</si>
  <si>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</si>
  <si>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</si>
  <si>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</si>
  <si>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</si>
  <si>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</si>
  <si>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</si>
  <si>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</si>
  <si>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</si>
  <si>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</si>
  <si>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</si>
  <si>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</si>
  <si>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</si>
  <si>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</si>
  <si>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</si>
  <si>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</si>
  <si>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</si>
  <si>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</si>
  <si>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</si>
  <si>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</si>
  <si>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</si>
  <si>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</si>
  <si>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</si>
  <si>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</si>
  <si>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</si>
  <si>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</si>
  <si>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</si>
  <si>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</si>
  <si>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</si>
  <si>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</si>
  <si>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</si>
  <si>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</si>
  <si>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</si>
  <si>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</si>
  <si>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</si>
  <si>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</si>
  <si>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</si>
  <si>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</si>
  <si>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</si>
  <si>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</si>
  <si>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</si>
  <si>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</si>
  <si>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</si>
  <si>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</si>
  <si>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</si>
  <si>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</si>
  <si>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</si>
  <si>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</si>
  <si>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</si>
  <si>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</si>
  <si>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</si>
  <si>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</si>
  <si>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</si>
  <si>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</si>
  <si>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</si>
  <si>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</si>
  <si>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</si>
  <si>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</si>
  <si>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</si>
  <si>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</si>
  <si>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</si>
  <si>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</si>
  <si>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</si>
  <si>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</si>
  <si>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</si>
  <si>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</si>
  <si>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</si>
  <si>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</si>
  <si>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</si>
  <si>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</si>
  <si>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</si>
  <si>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</si>
  <si>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</si>
  <si>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</si>
  <si>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</si>
  <si>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</si>
  <si>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</si>
  <si>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</si>
  <si>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</si>
  <si>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</si>
  <si>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</si>
  <si>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</si>
  <si>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</si>
  <si>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</si>
  <si>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</si>
  <si>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</si>
  <si>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</si>
  <si>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</si>
  <si>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</si>
  <si>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</si>
  <si>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</si>
  <si>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</si>
  <si>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</si>
  <si>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</si>
  <si>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</si>
  <si>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</si>
  <si>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</si>
  <si>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</si>
  <si>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</si>
  <si>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</si>
  <si>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</si>
  <si>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</si>
  <si>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</si>
  <si>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</si>
  <si>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</si>
  <si>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</si>
  <si>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</si>
  <si>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</si>
  <si>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</si>
  <si>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</si>
  <si>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</si>
  <si>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</si>
  <si>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</si>
  <si>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</si>
  <si>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</si>
  <si>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</si>
  <si>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</si>
  <si>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</si>
  <si>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</si>
  <si>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</si>
  <si>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</si>
  <si>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</si>
  <si>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</si>
  <si>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</si>
  <si>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</si>
  <si>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</si>
  <si>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</si>
  <si>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</si>
  <si>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</si>
  <si>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</si>
  <si>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</si>
  <si>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</si>
  <si>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</si>
  <si>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</si>
  <si>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</si>
  <si>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</si>
  <si>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</si>
  <si>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</si>
  <si>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</si>
  <si>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</si>
  <si>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</si>
  <si>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</si>
  <si>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</si>
  <si>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</si>
  <si>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</si>
  <si>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</si>
  <si>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</si>
  <si>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</si>
  <si>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</si>
  <si>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</si>
  <si>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</si>
  <si>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</si>
  <si>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</si>
  <si>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</si>
  <si>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</si>
  <si>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</si>
  <si>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</si>
  <si>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</si>
  <si>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</si>
  <si>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</si>
  <si>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</si>
  <si>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</si>
  <si>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</si>
  <si>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</si>
  <si>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</si>
  <si>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</si>
  <si>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</si>
  <si>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</si>
  <si>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</si>
  <si>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</si>
  <si>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</si>
  <si>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</si>
  <si>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</si>
  <si>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</si>
  <si>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</si>
  <si>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</si>
  <si>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</si>
  <si>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</si>
  <si>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</si>
  <si>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</si>
  <si>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</si>
  <si>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</si>
  <si>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</si>
  <si>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</si>
  <si>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</si>
  <si>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</si>
  <si>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</si>
  <si>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</si>
  <si>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</si>
  <si>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</si>
  <si>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</si>
  <si>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</si>
  <si>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</si>
  <si>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</si>
  <si>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</si>
  <si>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</si>
  <si>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</si>
  <si>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</si>
  <si>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</si>
  <si>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</si>
  <si>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</si>
  <si>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</si>
  <si>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</si>
  <si>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</si>
  <si>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</si>
  <si>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</si>
  <si>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</si>
  <si>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</si>
  <si>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</si>
  <si>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</si>
  <si>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</si>
  <si>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</si>
  <si>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</si>
  <si>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</si>
  <si>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</si>
  <si>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</si>
  <si>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</si>
  <si>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</si>
  <si>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</si>
  <si>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</si>
  <si>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</si>
  <si>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</si>
  <si>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</si>
  <si>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</si>
  <si>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</si>
  <si>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</si>
  <si>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</si>
  <si>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</si>
  <si>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</si>
  <si>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</si>
  <si>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</si>
  <si>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</si>
  <si>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</si>
  <si>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</si>
  <si>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</si>
  <si>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</si>
  <si>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</si>
  <si>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</si>
  <si>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</si>
  <si>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</si>
  <si>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</si>
  <si>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</si>
  <si>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</si>
  <si>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</si>
  <si>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</si>
  <si>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</si>
  <si>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</si>
  <si>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</si>
  <si>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</si>
  <si>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</si>
  <si>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</si>
  <si>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</si>
  <si>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</si>
  <si>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</si>
  <si>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</si>
  <si>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</si>
  <si>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</si>
  <si>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</si>
  <si>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</si>
  <si>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</si>
  <si>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</si>
  <si>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</si>
  <si>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</si>
  <si>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</si>
  <si>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</si>
  <si>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</si>
  <si>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</si>
  <si>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</si>
  <si>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</si>
  <si>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</si>
  <si>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</si>
  <si>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</si>
  <si>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</si>
  <si>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</si>
  <si>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</si>
  <si>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</si>
  <si>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</si>
  <si>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</si>
  <si>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</si>
  <si>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</si>
  <si>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</si>
  <si>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</si>
  <si>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</si>
  <si>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</si>
  <si>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</si>
  <si>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</si>
  <si>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</si>
  <si>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</si>
  <si>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</si>
  <si>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</si>
  <si>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</si>
  <si>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</si>
  <si>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</si>
  <si>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</si>
  <si>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</si>
  <si>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</si>
  <si>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</si>
  <si>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</si>
  <si>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</si>
  <si>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</si>
  <si>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</si>
  <si>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</si>
  <si>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</si>
  <si>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</si>
  <si>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</si>
  <si>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</si>
  <si>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</si>
  <si>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</si>
  <si>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</si>
  <si>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</si>
  <si>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</si>
  <si>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</si>
  <si>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</si>
  <si>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</si>
  <si>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</si>
  <si>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</si>
  <si>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</si>
  <si>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</si>
  <si>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</si>
  <si>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</si>
  <si>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</si>
  <si>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</si>
  <si>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</si>
  <si>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</si>
  <si>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</si>
  <si>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</si>
  <si>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</si>
  <si>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</si>
  <si>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</si>
  <si>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</si>
  <si>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</si>
  <si>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</si>
  <si>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</si>
  <si>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</si>
  <si>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</si>
  <si>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</si>
  <si>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</si>
  <si>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</si>
  <si>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</si>
  <si>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</si>
  <si>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</si>
  <si>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</si>
  <si>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</si>
  <si>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</si>
  <si>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</si>
  <si>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</si>
  <si>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</si>
  <si>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</si>
  <si>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</si>
  <si>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</si>
  <si>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</si>
  <si>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</si>
  <si>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</si>
  <si>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</si>
  <si>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</si>
  <si>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</si>
  <si>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</si>
  <si>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</si>
  <si>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</si>
  <si>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</si>
  <si>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</si>
  <si>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</si>
  <si>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</si>
  <si>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</si>
  <si>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</si>
  <si>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</si>
  <si>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</si>
  <si>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</si>
  <si>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</si>
  <si>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</si>
  <si>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</si>
  <si>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</si>
  <si>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</si>
  <si>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</si>
  <si>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</si>
  <si>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</si>
  <si>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</si>
  <si>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</si>
  <si>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</si>
  <si>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</si>
  <si>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</si>
  <si>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</si>
  <si>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</si>
  <si>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</si>
  <si>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</si>
  <si>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</si>
  <si>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</si>
  <si>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</si>
  <si>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</si>
  <si>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</si>
  <si>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</si>
  <si>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</si>
  <si>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</si>
  <si>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</si>
  <si>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</si>
  <si>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</si>
  <si>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</si>
  <si>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</si>
  <si>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</si>
  <si>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</si>
  <si>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</si>
  <si>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</si>
  <si>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</si>
  <si>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</si>
  <si>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</si>
  <si>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</si>
  <si>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</si>
  <si>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</si>
  <si>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</si>
  <si>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</si>
  <si>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</si>
  <si>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</si>
  <si>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</si>
  <si>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</si>
  <si>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</si>
  <si>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</si>
  <si>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</si>
  <si>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</si>
  <si>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</si>
  <si>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</si>
  <si>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</si>
  <si>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</si>
  <si>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</si>
  <si>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</si>
  <si>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</si>
  <si>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</si>
  <si>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</si>
  <si>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</si>
  <si>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</si>
  <si>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</si>
  <si>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</si>
  <si>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</si>
  <si>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</si>
  <si>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</si>
  <si>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</si>
  <si>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</si>
  <si>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</si>
  <si>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</si>
  <si>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</si>
  <si>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</si>
  <si>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</si>
  <si>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</si>
  <si>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</si>
  <si>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</si>
  <si>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</si>
  <si>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</si>
  <si>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</si>
  <si>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</si>
  <si>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</si>
  <si>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</si>
  <si>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</si>
  <si>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</si>
  <si>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</si>
  <si>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</si>
  <si>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</si>
  <si>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</si>
  <si>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</si>
  <si>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</si>
  <si>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</si>
  <si>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</si>
  <si>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</si>
  <si>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</si>
  <si>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</si>
  <si>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</si>
  <si>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</si>
  <si>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</si>
  <si>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</si>
  <si>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</si>
  <si>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</si>
  <si>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</si>
  <si>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</si>
  <si>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</si>
  <si>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</si>
  <si>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</si>
  <si>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</si>
  <si>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</si>
  <si>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</si>
  <si>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</si>
  <si>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</si>
  <si>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</si>
  <si>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</si>
  <si>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</si>
  <si>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</si>
  <si>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</si>
  <si>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</si>
  <si>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</si>
  <si>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</si>
  <si>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</si>
  <si>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</si>
  <si>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</si>
  <si>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</si>
  <si>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</si>
  <si>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</si>
  <si>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</si>
  <si>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</si>
  <si>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</si>
  <si>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</si>
  <si>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</si>
  <si>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</si>
  <si>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</si>
  <si>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</si>
  <si>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</si>
  <si>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</si>
  <si>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</si>
  <si>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</si>
  <si>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</si>
  <si>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</si>
  <si>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</si>
  <si>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</si>
  <si>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</si>
  <si>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</si>
  <si>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</si>
  <si>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</si>
  <si>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</si>
  <si>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</si>
  <si>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</si>
  <si>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</si>
  <si>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</si>
  <si>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</si>
  <si>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</si>
  <si>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</si>
  <si>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</si>
  <si>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</si>
  <si>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</si>
  <si>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</si>
  <si>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</si>
  <si>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</si>
  <si>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</si>
  <si>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</si>
  <si>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</si>
  <si>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</si>
  <si>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</si>
  <si>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</si>
  <si>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</si>
  <si>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</si>
  <si>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</si>
  <si>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</si>
  <si>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</si>
  <si>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</si>
  <si>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</si>
  <si>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</si>
  <si>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</si>
  <si>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</si>
  <si>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</si>
  <si>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</si>
  <si>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</si>
  <si>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</si>
  <si>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</si>
  <si>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</si>
  <si>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</si>
  <si>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</si>
  <si>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</si>
  <si>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</si>
  <si>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</si>
  <si>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</si>
  <si>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</si>
  <si>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</si>
  <si>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</si>
  <si>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</si>
  <si>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</si>
  <si>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</si>
  <si>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</si>
  <si>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</si>
  <si>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</si>
  <si>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</si>
  <si>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</si>
  <si>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</si>
  <si>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</si>
  <si>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</si>
  <si>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</si>
  <si>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</si>
  <si>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</si>
  <si>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</si>
  <si>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</si>
  <si>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</si>
  <si>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</si>
  <si>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</si>
  <si>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</si>
  <si>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</si>
  <si>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</si>
  <si>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</si>
  <si>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</si>
  <si>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</si>
  <si>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</si>
  <si>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</si>
  <si>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</si>
  <si>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</si>
  <si>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</si>
  <si>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</si>
  <si>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</si>
  <si>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</si>
  <si>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Actual SL</t>
  </si>
  <si>
    <t>KR Sim Grid Numbers:</t>
  </si>
  <si>
    <t>Strategy Fairy Inputs: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</si>
  <si>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</si>
  <si>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</si>
  <si>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</si>
  <si>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</si>
  <si>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</si>
  <si>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</si>
  <si>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</si>
  <si>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</si>
  <si>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</si>
  <si>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</si>
  <si>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</si>
  <si>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</si>
  <si>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</si>
  <si>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</si>
  <si>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</si>
  <si>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</si>
  <si>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</si>
  <si>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</si>
  <si>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</si>
  <si>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</si>
  <si>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</si>
  <si>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</si>
  <si>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</si>
  <si>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</si>
  <si>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</si>
  <si>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</si>
  <si>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</si>
  <si>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</si>
  <si>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</si>
  <si>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</si>
  <si>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</si>
  <si>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</si>
  <si>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</si>
  <si>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</si>
  <si>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</si>
  <si>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</si>
  <si>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</si>
  <si>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</si>
  <si>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</si>
  <si>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</si>
  <si>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</si>
  <si>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</si>
  <si>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</si>
  <si>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</si>
  <si>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</si>
  <si>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</si>
  <si>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</si>
  <si>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</si>
  <si>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</si>
  <si>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</si>
  <si>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</si>
  <si>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</si>
  <si>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</si>
  <si>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</si>
  <si>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</si>
  <si>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</si>
  <si>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</si>
  <si>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</si>
  <si>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</si>
  <si>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</si>
  <si>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</si>
  <si>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</si>
  <si>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</si>
  <si>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</si>
  <si>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</si>
  <si>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</si>
  <si>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</si>
  <si>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</si>
  <si>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</si>
  <si>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</si>
  <si>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</si>
  <si>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</si>
  <si>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</si>
  <si>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</si>
  <si>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</si>
  <si>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</si>
  <si>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</si>
  <si>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</si>
  <si>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</si>
  <si>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</si>
  <si>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</si>
  <si>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</si>
  <si>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</si>
  <si>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</si>
  <si>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</si>
  <si>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</si>
  <si>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</si>
  <si>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</si>
  <si>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</si>
  <si>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</si>
  <si>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</si>
  <si>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</si>
  <si>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</si>
  <si>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</si>
  <si>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</si>
  <si>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</si>
  <si>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</si>
  <si>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</si>
  <si>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</si>
  <si>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</si>
  <si>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</si>
  <si>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</si>
  <si>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</si>
  <si>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</si>
  <si>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</si>
  <si>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</si>
  <si>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</si>
  <si>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</si>
  <si>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</si>
  <si>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</si>
  <si>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</si>
  <si>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</si>
  <si>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</si>
  <si>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</si>
  <si>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</si>
  <si>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</si>
  <si>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</si>
  <si>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</si>
  <si>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</si>
  <si>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</si>
  <si>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</si>
  <si>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</si>
  <si>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</si>
  <si>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</si>
  <si>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</si>
  <si>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</si>
  <si>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</si>
  <si>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</si>
  <si>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</si>
  <si>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</si>
  <si>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</si>
  <si>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</si>
  <si>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</si>
  <si>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</si>
  <si>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</si>
  <si>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</si>
  <si>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</si>
  <si>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</si>
  <si>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</si>
  <si>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</si>
  <si>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</si>
  <si>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</si>
  <si>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</si>
  <si>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</si>
  <si>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</si>
  <si>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</si>
  <si>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</si>
  <si>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</si>
  <si>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</si>
  <si>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</si>
  <si>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</si>
  <si>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</si>
  <si>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</si>
  <si>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</si>
  <si>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</si>
  <si>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</si>
  <si>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</si>
  <si>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</si>
  <si>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</si>
  <si>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</si>
  <si>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</si>
  <si>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</si>
  <si>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</si>
  <si>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</si>
  <si>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</si>
  <si>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</si>
  <si>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</si>
  <si>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</si>
  <si>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</si>
  <si>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</si>
  <si>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</si>
  <si>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</si>
  <si>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</si>
  <si>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</si>
  <si>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</si>
  <si>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</si>
  <si>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</si>
  <si>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</si>
  <si>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</si>
  <si>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</si>
  <si>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</si>
  <si>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</si>
  <si>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</si>
  <si>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</si>
  <si>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</si>
  <si>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</si>
  <si>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</si>
  <si>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</si>
  <si>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</si>
  <si>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</si>
  <si>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</si>
  <si>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</si>
  <si>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</si>
  <si>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</si>
  <si>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</si>
  <si>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</si>
  <si>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</si>
  <si>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</si>
  <si>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</si>
  <si>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</si>
  <si>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</si>
  <si>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Construction + Suee</t>
  </si>
  <si>
    <t>Combo x1</t>
  </si>
  <si>
    <t>Combo x2</t>
  </si>
  <si>
    <t>Combo x3</t>
  </si>
  <si>
    <t>Config 1</t>
  </si>
  <si>
    <t>Config 2</t>
  </si>
  <si>
    <t>Suee + Construction</t>
  </si>
  <si>
    <t>Barrier</t>
  </si>
  <si>
    <t>"fairy_skill_on_team":"{\"1\":{\"1\":{\"team_id\":1,\"buff_id\":\"1004\",\"source_type\":1,\"source_value\":1,\"start_turn\":\"1\",\"battle_count\":0,\"battle_finish_count\":0,\"person_move_count\":0,\"mission_skill_config_id\":\"100410\"},\"2\":{\"team_id\":1,\"buff_id\":\"6\",\"source_type\":1,\"source_value\":1,\"start_turn\":\"1\",\"battle_count\":1,\"battle_finish_count\":0,\"person_move_count\":0,\"mission_skill_config_id\":\"1210\"}}}",</t>
  </si>
  <si>
    <t>SL10, Turn 1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</si>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</sst>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2" borderId="13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8" fillId="4" borderId="0" xfId="1" applyFill="1"/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4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1021</v>
      </c>
    </row>
    <row r="3" spans="1:5" x14ac:dyDescent="0.25">
      <c r="A3" s="60" t="s">
        <v>1022</v>
      </c>
    </row>
    <row r="4" spans="1:5" x14ac:dyDescent="0.25">
      <c r="A4" s="60" t="s">
        <v>1120</v>
      </c>
    </row>
    <row r="5" spans="1:5" x14ac:dyDescent="0.25">
      <c r="A5" s="60" t="s">
        <v>1123</v>
      </c>
      <c r="B5" s="167" t="s">
        <v>1122</v>
      </c>
    </row>
    <row r="7" spans="1:5" x14ac:dyDescent="0.25">
      <c r="A7" s="104" t="s">
        <v>892</v>
      </c>
      <c r="B7" s="119">
        <v>562858</v>
      </c>
      <c r="D7" s="104" t="s">
        <v>911</v>
      </c>
      <c r="E7" s="119">
        <v>363003</v>
      </c>
    </row>
    <row r="8" spans="1:5" x14ac:dyDescent="0.25">
      <c r="A8" s="123" t="s">
        <v>1025</v>
      </c>
      <c r="B8" s="47" t="s">
        <v>1026</v>
      </c>
      <c r="D8" s="123" t="s">
        <v>1010</v>
      </c>
      <c r="E8" s="47">
        <v>260000</v>
      </c>
    </row>
    <row r="9" spans="1:5" x14ac:dyDescent="0.25">
      <c r="A9" s="123" t="s">
        <v>1009</v>
      </c>
      <c r="B9" s="47" t="s">
        <v>1023</v>
      </c>
      <c r="D9" s="123" t="s">
        <v>1011</v>
      </c>
      <c r="E9" s="47" t="b">
        <v>1</v>
      </c>
    </row>
    <row r="10" spans="1:5" x14ac:dyDescent="0.25">
      <c r="A10" s="123" t="s">
        <v>898</v>
      </c>
      <c r="B10" s="47">
        <v>8</v>
      </c>
      <c r="D10" s="123" t="s">
        <v>1012</v>
      </c>
      <c r="E10" s="47" t="b">
        <v>1</v>
      </c>
    </row>
    <row r="12" spans="1:5" x14ac:dyDescent="0.25">
      <c r="A12" s="106" t="s">
        <v>1027</v>
      </c>
      <c r="B12" s="107"/>
    </row>
    <row r="13" spans="1:5" x14ac:dyDescent="0.25">
      <c r="A13" s="109" t="s">
        <v>894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895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1062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1063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896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899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912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1028</v>
      </c>
      <c r="L21" s="103" t="s">
        <v>1029</v>
      </c>
    </row>
    <row r="22" spans="1:25" x14ac:dyDescent="0.25">
      <c r="A22" s="101"/>
      <c r="B22" s="179" t="s">
        <v>682</v>
      </c>
      <c r="C22" s="179"/>
      <c r="D22" s="179"/>
      <c r="E22" s="179"/>
      <c r="F22" s="179"/>
      <c r="G22" s="179"/>
      <c r="H22" s="179"/>
      <c r="I22" s="179"/>
      <c r="J22" s="180"/>
      <c r="L22" s="181" t="s">
        <v>814</v>
      </c>
      <c r="M22" s="179"/>
      <c r="N22" s="179"/>
      <c r="O22" s="180"/>
      <c r="P22" s="179" t="s">
        <v>815</v>
      </c>
      <c r="Q22" s="179"/>
      <c r="R22" s="179"/>
      <c r="S22" s="180"/>
      <c r="T22" s="179" t="s">
        <v>816</v>
      </c>
      <c r="U22" s="179"/>
      <c r="V22" s="179"/>
      <c r="W22" s="180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812</v>
      </c>
      <c r="M23" s="63" t="s">
        <v>8</v>
      </c>
      <c r="N23" s="63" t="s">
        <v>18</v>
      </c>
      <c r="O23" s="64" t="s">
        <v>813</v>
      </c>
      <c r="P23" s="63" t="s">
        <v>812</v>
      </c>
      <c r="Q23" s="63" t="s">
        <v>8</v>
      </c>
      <c r="R23" s="63" t="s">
        <v>18</v>
      </c>
      <c r="S23" s="64" t="s">
        <v>813</v>
      </c>
      <c r="T23" s="63" t="s">
        <v>812</v>
      </c>
      <c r="U23" s="63" t="s">
        <v>8</v>
      </c>
      <c r="V23" s="63" t="s">
        <v>18</v>
      </c>
      <c r="W23" s="64" t="s">
        <v>813</v>
      </c>
      <c r="Y23" s="61"/>
    </row>
    <row r="24" spans="1:25" x14ac:dyDescent="0.25">
      <c r="A24" s="49">
        <v>1</v>
      </c>
      <c r="B24" s="120">
        <v>5</v>
      </c>
      <c r="C24" s="121" t="s">
        <v>6</v>
      </c>
      <c r="D24" s="122" t="s">
        <v>368</v>
      </c>
      <c r="E24" s="121">
        <v>115</v>
      </c>
      <c r="F24" s="121">
        <v>5</v>
      </c>
      <c r="G24" s="121">
        <v>10</v>
      </c>
      <c r="H24" s="121">
        <v>10</v>
      </c>
      <c r="I24" s="121">
        <v>3</v>
      </c>
      <c r="J24" s="122">
        <v>100</v>
      </c>
      <c r="K24" s="61"/>
      <c r="L24" s="52" t="s">
        <v>825</v>
      </c>
      <c r="M24" s="44" t="s">
        <v>628</v>
      </c>
      <c r="N24" s="44">
        <v>10</v>
      </c>
      <c r="O24" s="54">
        <v>1</v>
      </c>
      <c r="P24" s="52" t="s">
        <v>811</v>
      </c>
      <c r="Q24" s="44" t="s">
        <v>368</v>
      </c>
      <c r="R24" s="44">
        <v>10</v>
      </c>
      <c r="S24" s="54">
        <v>1</v>
      </c>
      <c r="T24" s="52" t="s">
        <v>861</v>
      </c>
      <c r="U24" s="44" t="s">
        <v>681</v>
      </c>
      <c r="V24" s="44">
        <v>10</v>
      </c>
      <c r="W24" s="54">
        <v>1</v>
      </c>
    </row>
    <row r="25" spans="1:25" x14ac:dyDescent="0.25">
      <c r="A25" s="49">
        <v>2</v>
      </c>
      <c r="B25" s="52">
        <v>4</v>
      </c>
      <c r="C25" s="44" t="s">
        <v>6</v>
      </c>
      <c r="D25" s="45" t="s">
        <v>1000</v>
      </c>
      <c r="E25" s="44">
        <v>115</v>
      </c>
      <c r="F25" s="44">
        <v>5</v>
      </c>
      <c r="G25" s="44">
        <v>10</v>
      </c>
      <c r="H25" s="44">
        <v>10</v>
      </c>
      <c r="I25" s="44">
        <v>3</v>
      </c>
      <c r="J25" s="45">
        <v>100</v>
      </c>
      <c r="K25" s="61"/>
      <c r="L25" s="52" t="s">
        <v>811</v>
      </c>
      <c r="M25" s="44" t="s">
        <v>1000</v>
      </c>
      <c r="N25" s="44">
        <v>10</v>
      </c>
      <c r="O25" s="54">
        <v>1</v>
      </c>
      <c r="P25" s="52" t="s">
        <v>835</v>
      </c>
      <c r="Q25" s="44" t="s">
        <v>644</v>
      </c>
      <c r="R25" s="44">
        <v>10</v>
      </c>
      <c r="S25" s="54">
        <v>1</v>
      </c>
      <c r="T25" s="52" t="s">
        <v>861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6</v>
      </c>
      <c r="C26" s="44" t="s">
        <v>3</v>
      </c>
      <c r="D26" s="45" t="s">
        <v>365</v>
      </c>
      <c r="E26" s="44">
        <v>110</v>
      </c>
      <c r="F26" s="44">
        <v>5</v>
      </c>
      <c r="G26" s="44">
        <v>10</v>
      </c>
      <c r="H26" s="44">
        <v>10</v>
      </c>
      <c r="I26" s="44">
        <v>2</v>
      </c>
      <c r="J26" s="45">
        <v>100</v>
      </c>
      <c r="K26" s="61"/>
      <c r="L26" s="52" t="s">
        <v>875</v>
      </c>
      <c r="M26" s="44" t="s">
        <v>663</v>
      </c>
      <c r="N26" s="44">
        <v>10</v>
      </c>
      <c r="O26" s="54">
        <v>1</v>
      </c>
      <c r="P26" s="52" t="s">
        <v>9</v>
      </c>
      <c r="Q26" s="44" t="s">
        <v>669</v>
      </c>
      <c r="R26" s="44">
        <v>10</v>
      </c>
      <c r="S26" s="54">
        <v>1</v>
      </c>
      <c r="T26" s="52" t="s">
        <v>850</v>
      </c>
      <c r="U26" s="44" t="s">
        <v>652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932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875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850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4</v>
      </c>
      <c r="D28" s="47" t="s">
        <v>142</v>
      </c>
      <c r="E28" s="46">
        <v>100</v>
      </c>
      <c r="F28" s="46">
        <v>5</v>
      </c>
      <c r="G28" s="46">
        <v>10</v>
      </c>
      <c r="H28" s="46">
        <v>0</v>
      </c>
      <c r="I28" s="46">
        <v>0</v>
      </c>
      <c r="J28" s="47">
        <v>100</v>
      </c>
      <c r="K28" s="61"/>
      <c r="L28" s="53" t="s">
        <v>875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850</v>
      </c>
      <c r="U28" s="46" t="s">
        <v>652</v>
      </c>
      <c r="V28" s="46">
        <v>10</v>
      </c>
      <c r="W28" s="55">
        <v>1</v>
      </c>
    </row>
    <row r="30" spans="1:25" x14ac:dyDescent="0.25">
      <c r="A30" s="103" t="s">
        <v>1121</v>
      </c>
      <c r="L30" s="103" t="s">
        <v>1030</v>
      </c>
    </row>
    <row r="31" spans="1:25" x14ac:dyDescent="0.25">
      <c r="A31" s="131"/>
      <c r="B31" s="129"/>
      <c r="C31" s="130"/>
      <c r="D31" s="181" t="s">
        <v>1061</v>
      </c>
      <c r="E31" s="179"/>
      <c r="F31" s="179"/>
      <c r="G31" s="180"/>
      <c r="H31" s="181" t="s">
        <v>1060</v>
      </c>
      <c r="I31" s="179"/>
      <c r="J31" s="180"/>
      <c r="L31" s="101"/>
      <c r="M31" s="181" t="s">
        <v>886</v>
      </c>
      <c r="N31" s="179"/>
      <c r="O31" s="179"/>
      <c r="P31" s="179"/>
      <c r="Q31" s="180"/>
    </row>
    <row r="32" spans="1:25" x14ac:dyDescent="0.25">
      <c r="A32" s="62" t="s">
        <v>1020</v>
      </c>
      <c r="B32" s="62" t="s">
        <v>1033</v>
      </c>
      <c r="C32" s="64" t="s">
        <v>8</v>
      </c>
      <c r="D32" s="63" t="s">
        <v>1043</v>
      </c>
      <c r="E32" s="63" t="s">
        <v>1042</v>
      </c>
      <c r="F32" s="63" t="s">
        <v>1044</v>
      </c>
      <c r="G32" s="64" t="s">
        <v>1045</v>
      </c>
      <c r="H32" s="63">
        <v>1</v>
      </c>
      <c r="I32" s="63">
        <v>2</v>
      </c>
      <c r="J32" s="64">
        <v>3</v>
      </c>
      <c r="L32" s="50" t="s">
        <v>890</v>
      </c>
      <c r="M32" s="62" t="s">
        <v>8</v>
      </c>
      <c r="N32" s="63" t="s">
        <v>385</v>
      </c>
      <c r="O32" s="63" t="s">
        <v>18</v>
      </c>
      <c r="P32" s="63" t="s">
        <v>891</v>
      </c>
      <c r="Q32" s="64" t="s">
        <v>689</v>
      </c>
    </row>
    <row r="33" spans="1:17" x14ac:dyDescent="0.25">
      <c r="A33" s="52"/>
      <c r="B33" s="132">
        <v>1</v>
      </c>
      <c r="C33" s="133" t="s">
        <v>1034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765</v>
      </c>
      <c r="N33" s="46">
        <v>5</v>
      </c>
      <c r="O33" s="46">
        <v>100</v>
      </c>
      <c r="P33" s="46">
        <v>10</v>
      </c>
      <c r="Q33" s="47" t="s">
        <v>777</v>
      </c>
    </row>
    <row r="34" spans="1:17" x14ac:dyDescent="0.25">
      <c r="A34" s="52"/>
      <c r="B34" s="132">
        <v>2</v>
      </c>
      <c r="C34" s="133" t="s">
        <v>1035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1036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1016</v>
      </c>
    </row>
    <row r="36" spans="1:17" x14ac:dyDescent="0.25">
      <c r="A36" s="52"/>
      <c r="B36" s="132">
        <v>4</v>
      </c>
      <c r="C36" s="133" t="s">
        <v>1037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1</v>
      </c>
      <c r="M36" s="102"/>
      <c r="N36" s="102"/>
    </row>
    <row r="37" spans="1:17" x14ac:dyDescent="0.25">
      <c r="A37" s="52"/>
      <c r="B37" s="132">
        <v>5</v>
      </c>
      <c r="C37" s="133" t="s">
        <v>1038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5</v>
      </c>
      <c r="M37" s="102">
        <v>3</v>
      </c>
      <c r="N37" s="102"/>
    </row>
    <row r="38" spans="1:17" x14ac:dyDescent="0.25">
      <c r="A38" s="52"/>
      <c r="B38" s="132">
        <v>6</v>
      </c>
      <c r="C38" s="133" t="s">
        <v>1039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2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1040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1019</v>
      </c>
      <c r="D41" s="118"/>
    </row>
    <row r="42" spans="1:17" x14ac:dyDescent="0.25">
      <c r="A42" s="48" t="s">
        <v>1020</v>
      </c>
      <c r="B42" s="170" t="s">
        <v>8</v>
      </c>
      <c r="C42" s="171"/>
      <c r="D42" s="51" t="s">
        <v>58</v>
      </c>
      <c r="E42" s="159" t="s">
        <v>59</v>
      </c>
    </row>
    <row r="43" spans="1:17" x14ac:dyDescent="0.25">
      <c r="A43" s="113"/>
      <c r="B43" s="175" t="s">
        <v>755</v>
      </c>
      <c r="C43" s="176"/>
      <c r="D43" s="113">
        <v>10</v>
      </c>
      <c r="E43" s="162"/>
    </row>
    <row r="44" spans="1:17" x14ac:dyDescent="0.25">
      <c r="A44" s="114"/>
      <c r="B44" s="177" t="s">
        <v>758</v>
      </c>
      <c r="C44" s="178"/>
      <c r="D44" s="114">
        <v>10</v>
      </c>
      <c r="E44" s="163"/>
    </row>
    <row r="45" spans="1:17" x14ac:dyDescent="0.25">
      <c r="A45" s="114"/>
      <c r="B45" s="177" t="s">
        <v>772</v>
      </c>
      <c r="C45" s="178"/>
      <c r="D45" s="114">
        <v>10</v>
      </c>
      <c r="E45" s="163"/>
    </row>
    <row r="46" spans="1:17" x14ac:dyDescent="0.25">
      <c r="A46" s="114"/>
      <c r="B46" s="160" t="s">
        <v>749</v>
      </c>
      <c r="C46" s="161"/>
      <c r="D46" s="114">
        <v>10</v>
      </c>
      <c r="E46" s="163"/>
    </row>
    <row r="47" spans="1:17" x14ac:dyDescent="0.25">
      <c r="A47" s="114" t="s">
        <v>1017</v>
      </c>
      <c r="B47" s="177" t="s">
        <v>1110</v>
      </c>
      <c r="C47" s="178"/>
      <c r="D47" s="114">
        <v>10</v>
      </c>
      <c r="E47" s="114">
        <v>10</v>
      </c>
    </row>
    <row r="48" spans="1:17" x14ac:dyDescent="0.25">
      <c r="A48" s="114"/>
      <c r="B48" s="177" t="s">
        <v>1111</v>
      </c>
      <c r="C48" s="178"/>
      <c r="D48" s="114">
        <v>10</v>
      </c>
      <c r="E48" s="163"/>
    </row>
    <row r="49" spans="1:5" x14ac:dyDescent="0.25">
      <c r="A49" s="114"/>
      <c r="B49" s="177" t="s">
        <v>1112</v>
      </c>
      <c r="C49" s="178"/>
      <c r="D49" s="114">
        <v>10</v>
      </c>
      <c r="E49" s="163"/>
    </row>
    <row r="50" spans="1:5" x14ac:dyDescent="0.25">
      <c r="A50" s="115"/>
      <c r="B50" s="168" t="s">
        <v>1113</v>
      </c>
      <c r="C50" s="169"/>
      <c r="D50" s="115">
        <v>10</v>
      </c>
      <c r="E50" s="164"/>
    </row>
    <row r="52" spans="1:5" x14ac:dyDescent="0.25">
      <c r="A52" s="103" t="s">
        <v>1018</v>
      </c>
    </row>
    <row r="53" spans="1:5" x14ac:dyDescent="0.25">
      <c r="A53" s="48" t="s">
        <v>1020</v>
      </c>
      <c r="B53" s="170" t="s">
        <v>8</v>
      </c>
      <c r="C53" s="170"/>
      <c r="D53" s="171"/>
    </row>
    <row r="54" spans="1:5" x14ac:dyDescent="0.25">
      <c r="A54" s="102"/>
      <c r="B54" s="172" t="s">
        <v>1024</v>
      </c>
      <c r="C54" s="173"/>
      <c r="D54" s="174"/>
    </row>
  </sheetData>
  <mergeCells count="17">
    <mergeCell ref="P22:S22"/>
    <mergeCell ref="T22:W22"/>
    <mergeCell ref="L22:O22"/>
    <mergeCell ref="M31:Q31"/>
    <mergeCell ref="B22:J22"/>
    <mergeCell ref="D31:G31"/>
    <mergeCell ref="H31:J31"/>
    <mergeCell ref="B50:C50"/>
    <mergeCell ref="B42:C42"/>
    <mergeCell ref="B54:D54"/>
    <mergeCell ref="B53:D53"/>
    <mergeCell ref="B43:C43"/>
    <mergeCell ref="B44:C44"/>
    <mergeCell ref="B45:C45"/>
    <mergeCell ref="B48:C48"/>
    <mergeCell ref="B49:C49"/>
    <mergeCell ref="B47:C47"/>
  </mergeCells>
  <dataValidations count="17">
    <dataValidation type="list" allowBlank="1" showInputMessage="1" showErrorMessage="1" sqref="D24:D28" xr:uid="{21AD88A9-B2AA-4C84-BC3A-E37C26248E03}">
      <formula1>DollNames</formula1>
    </dataValidation>
    <dataValidation type="whole" allowBlank="1" showInputMessage="1" showErrorMessage="1" sqref="E24:E28" xr:uid="{A91EA898-ED4C-49B1-B25F-5832A65425CB}">
      <formula1>1</formula1>
      <formula2>120</formula2>
    </dataValidation>
    <dataValidation type="list" allowBlank="1" showInputMessage="1" showErrorMessage="1" sqref="F24:F28 N33" xr:uid="{5328149F-3F1C-4230-85F4-CE5052AD7E13}">
      <formula1>"1,2,3,4,5"</formula1>
    </dataValidation>
    <dataValidation type="list" allowBlank="1" showInputMessage="1" showErrorMessage="1" sqref="G24:G28 P33 H33:J39 D43:E50" xr:uid="{3743B600-B2C7-4E16-92AE-52222B4EB2DD}">
      <formula1>"1,2,3,4,5,6,7,8,9,10"</formula1>
    </dataValidation>
    <dataValidation type="list" allowBlank="1" showInputMessage="1" showErrorMessage="1" sqref="I24:I28" xr:uid="{8861D545-850B-46AB-8C70-664D2558EF64}">
      <formula1>"0,1,2,3,4"</formula1>
    </dataValidation>
    <dataValidation type="whole" allowBlank="1" showInputMessage="1" showErrorMessage="1" sqref="J24:J28" xr:uid="{EDEC6BC1-C6A5-4F2F-AAA4-5311B2B58A29}">
      <formula1>0</formula1>
      <formula2>200</formula2>
    </dataValidation>
    <dataValidation type="list" allowBlank="1" showInputMessage="1" showErrorMessage="1" sqref="M24:M28 Q24:Q28 U24:U28" xr:uid="{F1365919-E36B-4E8B-B848-7876F1474CA2}">
      <formula1>DollEq</formula1>
    </dataValidation>
    <dataValidation type="list" allowBlank="1" showInputMessage="1" showErrorMessage="1" sqref="H24:H28 N24:N28 R24:R28 V24:V28" xr:uid="{7F119D50-6243-4326-9DB5-89EF8CAB5FBF}">
      <formula1>"0,1,2,3,4,5,6,7,8,9,10"</formula1>
    </dataValidation>
    <dataValidation type="custom" allowBlank="1" showInputMessage="1" showErrorMessage="1" sqref="A43:A50" xr:uid="{D84C28A2-AF5E-465C-9AC5-BDA27B74DA10}">
      <formula1>COUNTA($A$43:$A$50)&lt;=1</formula1>
    </dataValidation>
    <dataValidation type="whole" allowBlank="1" showInputMessage="1" showErrorMessage="1" sqref="O33" xr:uid="{9D68526B-4976-49F8-9D3A-8045E8E154EC}">
      <formula1>1</formula1>
      <formula2>100</formula2>
    </dataValidation>
    <dataValidation type="custom" allowBlank="1" showInputMessage="1" showErrorMessage="1" sqref="L36:N38" xr:uid="{8BD1B429-50DC-4CFE-9F94-B9181AFDB81D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91A11830-032B-4F14-850F-E71CB4CE3879}">
      <formula1>"Yellow,Red,Blue,White"</formula1>
    </dataValidation>
    <dataValidation type="list" allowBlank="1" showInputMessage="1" showErrorMessage="1" sqref="E9:E10" xr:uid="{95E07AA9-0A34-47CC-AAAF-FDBCE1FE9B61}">
      <formula1>"TRUE,FALSE"</formula1>
    </dataValidation>
    <dataValidation type="list" allowBlank="1" showInputMessage="1" showErrorMessage="1" sqref="B8" xr:uid="{262497FC-5EB0-426A-909B-ACC7DD53C62B}">
      <formula1>"Day,Night"</formula1>
    </dataValidation>
    <dataValidation type="whole" allowBlank="1" showInputMessage="1" showErrorMessage="1" sqref="B10" xr:uid="{89D84C23-43E3-4925-A864-E606989CC5F3}">
      <formula1>1</formula1>
      <formula2>99</formula2>
    </dataValidation>
    <dataValidation type="whole" operator="greaterThan" allowBlank="1" showInputMessage="1" showErrorMessage="1" sqref="E7:E8" xr:uid="{5B8D6E76-6639-4597-BC16-91FF3408AE4E}">
      <formula1>0</formula1>
    </dataValidation>
    <dataValidation type="whole" operator="greaterThanOrEqual" allowBlank="1" showInputMessage="1" showErrorMessage="1" sqref="D33:G39" xr:uid="{7A4D5620-C6F3-48FA-8ED0-C1233ED4B5C1}">
      <formula1>0</formula1>
    </dataValidation>
  </dataValidations>
  <hyperlinks>
    <hyperlink ref="B5" r:id="rId1" xr:uid="{CC4B866B-5C06-4BB1-B7C7-AE7333F777BC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5506503-903D-48DD-AD84-B2180011AFF3}">
          <x14:formula1>
            <xm:f>Dropdowns!$B$2:$B$7</xm:f>
          </x14:formula1>
          <xm:sqref>C24:C28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B24:B28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M33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Q33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20252</v>
      </c>
      <c r="D2" s="1">
        <f>VLOOKUP(Main!E24,'Exp Tables'!$A$3:$C$122,3,FALSE)</f>
        <v>10083300</v>
      </c>
      <c r="E2" s="1">
        <f>Main!E24</f>
        <v>115</v>
      </c>
      <c r="F2" s="1">
        <v>1</v>
      </c>
      <c r="G2" s="1">
        <f>Main!I24</f>
        <v>3</v>
      </c>
      <c r="H2" s="1">
        <f>Main!A24</f>
        <v>1</v>
      </c>
      <c r="I2" s="1">
        <f t="array" ref="I2">SUMPRODUCT((Main!$L$36:$N$38=H2)*'Misc Inputs'!$B$3:$D$5)</f>
        <v>9</v>
      </c>
      <c r="J2" s="1">
        <f>'Stat Calc'!AA3*Main!$F24</f>
        <v>450</v>
      </c>
      <c r="K2" s="1">
        <v>5</v>
      </c>
      <c r="L2" s="1">
        <v>10</v>
      </c>
      <c r="M2" s="39">
        <f>'Stat Calc'!AB17</f>
        <v>109</v>
      </c>
      <c r="N2" s="39">
        <f>'Stat Calc'!AD17</f>
        <v>76</v>
      </c>
      <c r="O2" s="39">
        <f>'Stat Calc'!AE17</f>
        <v>27</v>
      </c>
      <c r="P2" s="39">
        <f>'Stat Calc'!AC17</f>
        <v>11</v>
      </c>
      <c r="Q2" s="1">
        <f>Main!G24</f>
        <v>10</v>
      </c>
      <c r="R2" s="1">
        <f>Main!H24</f>
        <v>10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2000000</v>
      </c>
      <c r="AB2" s="1">
        <f>AA2</f>
        <v>2000000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20095</v>
      </c>
      <c r="D3" s="1">
        <f>VLOOKUP(Main!E25,'Exp Tables'!$A$3:$C$122,3,FALSE)</f>
        <v>10083300</v>
      </c>
      <c r="E3" s="1">
        <f>Main!E25</f>
        <v>115</v>
      </c>
      <c r="F3" s="1">
        <v>1</v>
      </c>
      <c r="G3" s="1">
        <f>Main!I25</f>
        <v>3</v>
      </c>
      <c r="H3" s="1">
        <f>Main!A25</f>
        <v>2</v>
      </c>
      <c r="I3" s="1">
        <f t="array" ref="I3">SUMPRODUCT((Main!$L$36:$N$38=H3)*'Misc Inputs'!$B$3:$D$5)</f>
        <v>7</v>
      </c>
      <c r="J3" s="1">
        <f>'Stat Calc'!AA4*Main!$F25</f>
        <v>520</v>
      </c>
      <c r="K3" s="1">
        <v>5</v>
      </c>
      <c r="L3" s="1">
        <v>10</v>
      </c>
      <c r="M3" s="39">
        <f>'Stat Calc'!AB18</f>
        <v>76</v>
      </c>
      <c r="N3" s="39">
        <f>'Stat Calc'!AD18</f>
        <v>60</v>
      </c>
      <c r="O3" s="39">
        <f>'Stat Calc'!AE18</f>
        <v>33</v>
      </c>
      <c r="P3" s="39">
        <f>'Stat Calc'!AC18</f>
        <v>12</v>
      </c>
      <c r="Q3" s="1">
        <f>Main!G25</f>
        <v>10</v>
      </c>
      <c r="R3" s="1">
        <f>Main!H25</f>
        <v>10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2000000</v>
      </c>
      <c r="AB3" s="1">
        <f>AA3</f>
        <v>2000000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20097</v>
      </c>
      <c r="D4" s="1">
        <f>VLOOKUP(Main!E26,'Exp Tables'!$A$3:$C$122,3,FALSE)</f>
        <v>5263300</v>
      </c>
      <c r="E4" s="1">
        <f>Main!E26</f>
        <v>110</v>
      </c>
      <c r="F4" s="1">
        <v>1</v>
      </c>
      <c r="G4" s="1">
        <f>Main!I26</f>
        <v>2</v>
      </c>
      <c r="H4" s="1">
        <f>Main!A26</f>
        <v>3</v>
      </c>
      <c r="I4" s="1">
        <f t="array" ref="I4">SUMPRODUCT((Main!$L$36:$N$38=H4)*'Misc Inputs'!$B$3:$D$5)</f>
        <v>13</v>
      </c>
      <c r="J4" s="1">
        <f>'Stat Calc'!AA5*Main!$F26</f>
        <v>395</v>
      </c>
      <c r="K4" s="1">
        <v>5</v>
      </c>
      <c r="L4" s="1">
        <v>10</v>
      </c>
      <c r="M4" s="39">
        <f>'Stat Calc'!AB19</f>
        <v>20</v>
      </c>
      <c r="N4" s="39">
        <f>'Stat Calc'!AD19</f>
        <v>49</v>
      </c>
      <c r="O4" s="39">
        <f>'Stat Calc'!AE19</f>
        <v>65</v>
      </c>
      <c r="P4" s="39">
        <f>'Stat Calc'!AC19</f>
        <v>23</v>
      </c>
      <c r="Q4" s="1">
        <f>Main!G26</f>
        <v>10</v>
      </c>
      <c r="R4" s="1">
        <f>Main!H26</f>
        <v>10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2000000</v>
      </c>
      <c r="AB4" s="1">
        <f>AA4</f>
        <v>2000000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294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430</v>
      </c>
      <c r="K5" s="1">
        <v>5</v>
      </c>
      <c r="L5" s="1">
        <v>10</v>
      </c>
      <c r="M5" s="39">
        <f>'Stat Calc'!AB20</f>
        <v>19</v>
      </c>
      <c r="N5" s="39">
        <f>'Stat Calc'!AD20</f>
        <v>58</v>
      </c>
      <c r="O5" s="39">
        <f>'Stat Calc'!AE20</f>
        <v>72</v>
      </c>
      <c r="P5" s="39">
        <f>'Stat Calc'!AC20</f>
        <v>20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96</v>
      </c>
      <c r="D6" s="1">
        <f>VLOOKUP(Main!E28,'Exp Tables'!$A$3:$C$122,3,FALSE)</f>
        <v>3263300</v>
      </c>
      <c r="E6" s="1">
        <f>Main!E28</f>
        <v>100</v>
      </c>
      <c r="F6" s="1">
        <v>1</v>
      </c>
      <c r="G6" s="1">
        <f>Main!I28</f>
        <v>0</v>
      </c>
      <c r="H6" s="1">
        <f>Main!A28</f>
        <v>5</v>
      </c>
      <c r="I6" s="1">
        <f t="array" ref="I6">SUMPRODUCT((Main!$L$36:$N$38=H6)*'Misc Inputs'!$B$3:$D$5)</f>
        <v>8</v>
      </c>
      <c r="J6" s="1">
        <f>'Stat Calc'!AA7*Main!$F28</f>
        <v>1075</v>
      </c>
      <c r="K6" s="1">
        <v>5</v>
      </c>
      <c r="L6" s="1">
        <v>10</v>
      </c>
      <c r="M6" s="39">
        <f>'Stat Calc'!AB21</f>
        <v>73</v>
      </c>
      <c r="N6" s="39">
        <f>'Stat Calc'!AD21</f>
        <v>23</v>
      </c>
      <c r="O6" s="39">
        <f>'Stat Calc'!AE21</f>
        <v>20</v>
      </c>
      <c r="P6" s="39">
        <f>'Stat Calc'!AC21</f>
        <v>36</v>
      </c>
      <c r="Q6" s="1">
        <f>Main!G28</f>
        <v>10</v>
      </c>
      <c r="R6" s="1">
        <f>Main!H28</f>
        <v>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20252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20095</v>
      </c>
      <c r="D3" s="56">
        <f>INDEX('Equip Data'!$A:$A,MATCH(Main!M25,'Equip Data'!$B:$B,0))</f>
        <v>158</v>
      </c>
      <c r="E3" s="56">
        <f>INDEX('Exp Tables'!$N$3:$R$13,MATCH(F3,'Exp Tables'!$M$3:$M$13,0),MATCH(INDEX('Equip Data'!$C:$C,MATCH(Main!M25,'Equip Data'!$B:$B,0)),'Exp Tables'!$N$2:$R$2,0))</f>
        <v>30000</v>
      </c>
      <c r="F3" s="56">
        <f>Main!N25</f>
        <v>10</v>
      </c>
      <c r="G3" s="56">
        <f>IF(INDEX('Equip Data'!F:F,MATCH($D3,'Equip Data'!$A:$A,0))="",0,Main!$O25*10000)</f>
        <v>10000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20097</v>
      </c>
      <c r="D4" s="56">
        <f>INDEX('Equip Data'!$A:$A,MATCH(Main!M26,'Equip Data'!$B:$B,0))</f>
        <v>66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10000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294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96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20252</v>
      </c>
      <c r="D7" s="56">
        <f>INDEX('Equip Data'!$A:$A,MATCH(Main!Q24,'Equip Data'!$B:$B,0))</f>
        <v>178</v>
      </c>
      <c r="E7" s="56">
        <f>INDEX('Exp Tables'!$N$3:$R$13,MATCH(F7,'Exp Tables'!$M$3:$M$13,0),MATCH(INDEX('Equip Data'!$C:$C,MATCH(Main!Q24,'Equip Data'!$B:$B,0)),'Exp Tables'!$N$2:$R$2,0))</f>
        <v>30000</v>
      </c>
      <c r="F7" s="56">
        <f>Main!R24</f>
        <v>10</v>
      </c>
      <c r="G7" s="56">
        <f>IF(INDEX('Equip Data'!F:F,MATCH($D7,'Equip Data'!$A:$A,0))="",0,Main!$S24*10000)</f>
        <v>10000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20095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20097</v>
      </c>
      <c r="D9" s="56">
        <f>INDEX('Equip Data'!$A:$A,MATCH(Main!Q26,'Equip Data'!$B:$B,0))</f>
        <v>72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10000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294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96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20252</v>
      </c>
      <c r="D12" s="56">
        <f>INDEX('Equip Data'!$A:$A,MATCH(Main!U24,'Equip Data'!$B:$B,0))</f>
        <v>90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0</v>
      </c>
      <c r="J12" s="56">
        <f>IF(INDEX('Equip Data'!I:I,MATCH($D12,'Equip Data'!$A:$A,0))="",0,Main!$W24*10000)</f>
        <v>10000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10000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20095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20097</v>
      </c>
      <c r="D14" s="56">
        <f>INDEX('Equip Data'!$A:$A,MATCH(Main!U26,'Equip Data'!$B:$B,0))</f>
        <v>40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10000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10000</v>
      </c>
      <c r="J14" s="56">
        <f>IF(INDEX('Equip Data'!I:I,MATCH($D14,'Equip Data'!$A:$A,0))="",0,Main!$W26*10000)</f>
        <v>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294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96</v>
      </c>
      <c r="D16" s="57">
        <f>INDEX('Equip Data'!$A:$A,MATCH(Main!U28,'Equip Data'!$B:$B,0))</f>
        <v>40</v>
      </c>
      <c r="E16" s="57">
        <f>INDEX('Exp Tables'!$N$3:$R$13,MATCH(F16,'Exp Tables'!$M$3:$M$13,0),MATCH(INDEX('Equip Data'!$C:$C,MATCH(Main!U28,'Equip Data'!$B:$B,0)),'Exp Tables'!$N$2:$R$2,0))</f>
        <v>10000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22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1046</v>
      </c>
      <c r="C1" s="112" t="s">
        <v>1047</v>
      </c>
      <c r="D1" s="112" t="s">
        <v>1048</v>
      </c>
      <c r="E1" s="112" t="s">
        <v>297</v>
      </c>
      <c r="F1" s="112" t="s">
        <v>1049</v>
      </c>
      <c r="G1" s="112" t="s">
        <v>34</v>
      </c>
      <c r="H1" s="112" t="s">
        <v>1050</v>
      </c>
      <c r="I1" s="112" t="s">
        <v>35</v>
      </c>
      <c r="J1" s="112" t="s">
        <v>36</v>
      </c>
      <c r="K1" s="112" t="s">
        <v>1051</v>
      </c>
      <c r="L1" s="112" t="s">
        <v>1052</v>
      </c>
      <c r="M1" s="112" t="s">
        <v>1053</v>
      </c>
      <c r="N1" s="112" t="s">
        <v>1054</v>
      </c>
      <c r="O1" s="112" t="s">
        <v>1055</v>
      </c>
      <c r="P1" s="112" t="s">
        <v>1056</v>
      </c>
      <c r="Q1" s="112" t="s">
        <v>38</v>
      </c>
      <c r="R1" s="112" t="s">
        <v>1057</v>
      </c>
      <c r="S1" s="112" t="s">
        <v>41</v>
      </c>
      <c r="T1" s="112" t="s">
        <v>42</v>
      </c>
      <c r="U1" s="112" t="s">
        <v>1058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IF(Main!A54="X",'Misc Inputs'!$C$20,CHAR(34)&amp;"fairy_skill_on_enemy"&amp;CHAR(34)&amp;": "&amp;CHAR(34)&amp;"[]"&amp;CHAR(34)&amp;",")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IFERROR(INDEX('Misc Inputs'!$G$9:$G$16,MATCH("X",Main!$A$43:$A$50,0)),CHAR(34)&amp;A3&amp;CHAR(34)&amp;": "&amp;CHAR(34)&amp;"[]"&amp;CHAR(34)&amp;",")</f>
        <v>"fairy_skill_on_team":"{\"1\":{\"1\":{\"team_id\":1,\"buff_id\":\"1004\",\"source_type\":1,\"source_value\":1,\"start_turn\":\"8\",\"battle_count\":0,\"battle_finish_count\":0,\"person_move_count\":0,\"mission_skill_config_id\":\"100410\"},\"2\":{\"team_id\":1,\"buff_id\":\"6\",\"source_type\":1,\"source_value\":1,\"start_turn\":\"8\",\"battle_count\":1,\"battle_finish_count\":0,\"person_move_count\":0,\"mission_skill_config_id\":\"1210\"}}}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1006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1004</v>
      </c>
      <c r="B4" s="1">
        <v>7</v>
      </c>
      <c r="C4" s="9" t="str">
        <f>CHAR(34)&amp;A4&amp;CHAR(34)&amp;": "&amp;EnemyID&amp;","</f>
        <v>"enemy_team_id": 363003,</v>
      </c>
    </row>
    <row r="5" spans="1:3" x14ac:dyDescent="0.25">
      <c r="A5" t="s">
        <v>1005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1007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1008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topLeftCell="U1" workbookViewId="0">
      <selection activeCell="AK3" sqref="AK3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1013</v>
      </c>
      <c r="Q1" s="10" t="s">
        <v>1014</v>
      </c>
      <c r="Y1" s="10" t="s">
        <v>1015</v>
      </c>
      <c r="Z1" s="10"/>
      <c r="AH1" s="10" t="s">
        <v>1059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1043</v>
      </c>
      <c r="AJ2" s="127" t="s">
        <v>1045</v>
      </c>
      <c r="AK2" s="127" t="s">
        <v>1044</v>
      </c>
      <c r="AL2" s="128" t="s">
        <v>1042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0.8</v>
      </c>
      <c r="K3" s="73">
        <f>INDEX($B$3:$G$8,MATCH(Main!$C24,$A$3:$A$8,0),MATCH(K$2,$B$2:$G$2,0))</f>
        <v>2.4</v>
      </c>
      <c r="L3" s="73">
        <f>INDEX($B$3:$G$8,MATCH(Main!$C24,$A$3:$A$8,0),MATCH(L$2,$B$2:$G$2,0))</f>
        <v>0.5</v>
      </c>
      <c r="M3" s="73">
        <f>INDEX($B$3:$G$8,MATCH(Main!$C24,$A$3:$A$8,0),MATCH(M$2,$B$2:$G$2,0))</f>
        <v>1.6</v>
      </c>
      <c r="N3" s="73">
        <f>INDEX($B$3:$G$8,MATCH(Main!$C24,$A$3:$A$8,0),MATCH(N$2,$B$2:$G$2,0))</f>
        <v>0.8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0.8</v>
      </c>
      <c r="S3" s="73">
        <f t="shared" si="0"/>
        <v>2.4</v>
      </c>
      <c r="T3" s="73">
        <f t="shared" si="0"/>
        <v>0.5</v>
      </c>
      <c r="U3" s="73">
        <f t="shared" si="0"/>
        <v>1.6</v>
      </c>
      <c r="V3" s="73">
        <f t="shared" si="0"/>
        <v>0.8</v>
      </c>
      <c r="W3" s="74">
        <f t="shared" si="0"/>
        <v>0</v>
      </c>
      <c r="Y3" s="66">
        <v>1</v>
      </c>
      <c r="Z3" s="75">
        <f>Main!E24</f>
        <v>115</v>
      </c>
      <c r="AA3" s="76">
        <f>_xlfn.CEILING.MATH((J10+($Z3-1)*J17)*J3*J38/100)</f>
        <v>90</v>
      </c>
      <c r="AB3" s="76">
        <f t="shared" ref="AB3:AE7" si="1">_xlfn.CEILING.MATH(K10*K3*K38/100)+_xlfn.CEILING.MATH((K31+($Z3-1)*K24)*K3*K38*$P38/100/100)</f>
        <v>164</v>
      </c>
      <c r="AC3" s="76">
        <f t="shared" si="1"/>
        <v>32</v>
      </c>
      <c r="AD3" s="76">
        <f t="shared" si="1"/>
        <v>86</v>
      </c>
      <c r="AE3" s="76">
        <f t="shared" si="1"/>
        <v>31</v>
      </c>
      <c r="AF3" s="77">
        <f>_xlfn.CEILING.MATH((O10+($Z3-1)*O17)*O3*O38/100)</f>
        <v>0</v>
      </c>
      <c r="AH3" s="49" t="s">
        <v>1034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115</v>
      </c>
      <c r="AA4" s="83">
        <f>_xlfn.CEILING.MATH((J11+($Z4-1)*J18)*J4*J39/100)</f>
        <v>104</v>
      </c>
      <c r="AB4" s="83">
        <f t="shared" si="1"/>
        <v>117</v>
      </c>
      <c r="AC4" s="83">
        <f t="shared" si="1"/>
        <v>37</v>
      </c>
      <c r="AD4" s="83">
        <f t="shared" si="1"/>
        <v>68</v>
      </c>
      <c r="AE4" s="83">
        <f t="shared" si="1"/>
        <v>38</v>
      </c>
      <c r="AF4" s="84">
        <f>_xlfn.CEILING.MATH((O11+($Z4-1)*O18)*O4*O39/100)</f>
        <v>0</v>
      </c>
      <c r="AH4" s="49" t="s">
        <v>1035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0.6</v>
      </c>
      <c r="K5" s="80">
        <f>INDEX($B$3:$G$8,MATCH(Main!$C26,$A$3:$A$8,0),MATCH(K$2,$B$2:$G$2,0))</f>
        <v>0.6</v>
      </c>
      <c r="L5" s="80">
        <f>INDEX($B$3:$G$8,MATCH(Main!$C26,$A$3:$A$8,0),MATCH(L$2,$B$2:$G$2,0))</f>
        <v>0.8</v>
      </c>
      <c r="M5" s="80">
        <f>INDEX($B$3:$G$8,MATCH(Main!$C26,$A$3:$A$8,0),MATCH(M$2,$B$2:$G$2,0))</f>
        <v>1.2</v>
      </c>
      <c r="N5" s="80">
        <f>INDEX($B$3:$G$8,MATCH(Main!$C26,$A$3:$A$8,0),MATCH(N$2,$B$2:$G$2,0))</f>
        <v>1.8</v>
      </c>
      <c r="O5" s="81">
        <f>INDEX($B$3:$G$8,MATCH(Main!$C26,$A$3:$A$8,0),MATCH(O$2,$B$2:$G$2,0))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Main!E26</f>
        <v>110</v>
      </c>
      <c r="AA5" s="83">
        <f>_xlfn.CEILING.MATH((J12+($Z5-1)*J19)*J5*J40/100)</f>
        <v>79</v>
      </c>
      <c r="AB5" s="83">
        <f t="shared" si="1"/>
        <v>32</v>
      </c>
      <c r="AC5" s="83">
        <f t="shared" si="1"/>
        <v>72</v>
      </c>
      <c r="AD5" s="83">
        <f t="shared" si="1"/>
        <v>56</v>
      </c>
      <c r="AE5" s="83">
        <f t="shared" si="1"/>
        <v>75</v>
      </c>
      <c r="AF5" s="84">
        <f>_xlfn.CEILING.MATH((O12+($Z5-1)*O19)*O5*O40/100)</f>
        <v>0</v>
      </c>
      <c r="AH5" s="49" t="s">
        <v>1036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86</v>
      </c>
      <c r="AB6" s="83">
        <f t="shared" si="1"/>
        <v>29</v>
      </c>
      <c r="AC6" s="83">
        <f t="shared" si="1"/>
        <v>57</v>
      </c>
      <c r="AD6" s="83">
        <f t="shared" si="1"/>
        <v>66</v>
      </c>
      <c r="AE6" s="83">
        <f t="shared" si="1"/>
        <v>81</v>
      </c>
      <c r="AF6" s="84">
        <f>_xlfn.CEILING.MATH((O13+($Z6-1)*O20)*O6*O41/100)</f>
        <v>0</v>
      </c>
      <c r="AH6" s="49" t="s">
        <v>1037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1.5</v>
      </c>
      <c r="K7" s="87">
        <f>INDEX($B$3:$G$8,MATCH(Main!$C28,$A$3:$A$8,0),MATCH(K$2,$B$2:$G$2,0))</f>
        <v>1.8</v>
      </c>
      <c r="L7" s="87">
        <f>INDEX($B$3:$G$8,MATCH(Main!$C28,$A$3:$A$8,0),MATCH(L$2,$B$2:$G$2,0))</f>
        <v>1.6</v>
      </c>
      <c r="M7" s="87">
        <f>INDEX($B$3:$G$8,MATCH(Main!$C28,$A$3:$A$8,0),MATCH(M$2,$B$2:$G$2,0))</f>
        <v>0.6</v>
      </c>
      <c r="N7" s="87">
        <f>INDEX($B$3:$G$8,MATCH(Main!$C28,$A$3:$A$8,0),MATCH(N$2,$B$2:$G$2,0))</f>
        <v>0.6</v>
      </c>
      <c r="O7" s="88">
        <f>INDEX($B$3:$G$8,MATCH(Main!$C28,$A$3:$A$8,0),MATCH(O$2,$B$2:$G$2,0))</f>
        <v>0</v>
      </c>
      <c r="Q7" s="85">
        <v>5</v>
      </c>
      <c r="R7" s="86">
        <f t="shared" si="0"/>
        <v>1.5</v>
      </c>
      <c r="S7" s="87">
        <f t="shared" si="0"/>
        <v>1.8</v>
      </c>
      <c r="T7" s="87">
        <f t="shared" si="0"/>
        <v>1.6</v>
      </c>
      <c r="U7" s="87">
        <f t="shared" si="0"/>
        <v>0.6</v>
      </c>
      <c r="V7" s="87">
        <f t="shared" si="0"/>
        <v>0.6</v>
      </c>
      <c r="W7" s="88">
        <f t="shared" si="0"/>
        <v>0</v>
      </c>
      <c r="Y7" s="85">
        <v>5</v>
      </c>
      <c r="Z7" s="89">
        <f>Main!E28</f>
        <v>100</v>
      </c>
      <c r="AA7" s="90">
        <f>_xlfn.CEILING.MATH((J14+($Z7-1)*J21)*J7*J42/100)</f>
        <v>215</v>
      </c>
      <c r="AB7" s="90">
        <f t="shared" si="1"/>
        <v>112</v>
      </c>
      <c r="AC7" s="90">
        <f t="shared" si="1"/>
        <v>108</v>
      </c>
      <c r="AD7" s="90">
        <f t="shared" si="1"/>
        <v>26</v>
      </c>
      <c r="AE7" s="90">
        <f t="shared" si="1"/>
        <v>23</v>
      </c>
      <c r="AF7" s="91">
        <f>_xlfn.CEILING.MATH((O14+($Z7-1)*O21)*O7*O42/100)</f>
        <v>0</v>
      </c>
      <c r="AH7" s="49" t="s">
        <v>1038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1039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1040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96.283000000000001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13.978999999999999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44</v>
      </c>
      <c r="AB10" s="76">
        <f t="shared" ref="AB10:AE14" si="3">_xlfn.CEILING.MATH(S10*S3*K38/100)+_xlfn.CEILING.MATH((S31+($Z10-1)*S24)*S3*K38*$P38/100/100)</f>
        <v>55</v>
      </c>
      <c r="AC10" s="76">
        <f t="shared" si="3"/>
        <v>21</v>
      </c>
      <c r="AD10" s="76">
        <f t="shared" si="3"/>
        <v>10</v>
      </c>
      <c r="AE10" s="76">
        <f t="shared" si="3"/>
        <v>4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96.283000000000001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13.978999999999999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51</v>
      </c>
      <c r="AB11" s="83">
        <f t="shared" si="3"/>
        <v>41</v>
      </c>
      <c r="AC11" s="83">
        <f t="shared" si="3"/>
        <v>25</v>
      </c>
      <c r="AD11" s="83">
        <f t="shared" si="3"/>
        <v>8</v>
      </c>
      <c r="AE11" s="83">
        <f t="shared" si="3"/>
        <v>5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96.283000000000001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13.978999999999999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39</v>
      </c>
      <c r="AB12" s="83">
        <f t="shared" si="3"/>
        <v>12</v>
      </c>
      <c r="AC12" s="83">
        <f t="shared" si="3"/>
        <v>49</v>
      </c>
      <c r="AD12" s="83">
        <f t="shared" si="3"/>
        <v>7</v>
      </c>
      <c r="AE12" s="83">
        <f t="shared" si="3"/>
        <v>10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43</v>
      </c>
      <c r="AB13" s="83">
        <f t="shared" si="3"/>
        <v>10</v>
      </c>
      <c r="AC13" s="83">
        <f t="shared" si="3"/>
        <v>37</v>
      </c>
      <c r="AD13" s="83">
        <f t="shared" si="3"/>
        <v>8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55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108</v>
      </c>
      <c r="AB14" s="90">
        <f t="shared" si="3"/>
        <v>39</v>
      </c>
      <c r="AC14" s="90">
        <f t="shared" si="3"/>
        <v>72</v>
      </c>
      <c r="AD14" s="90">
        <f t="shared" si="3"/>
        <v>3</v>
      </c>
      <c r="AE14" s="90">
        <f t="shared" si="3"/>
        <v>3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0.13800000000000001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0.04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109</v>
      </c>
      <c r="AC17" s="76">
        <f t="shared" si="5"/>
        <v>11</v>
      </c>
      <c r="AD17" s="76">
        <f t="shared" si="5"/>
        <v>76</v>
      </c>
      <c r="AE17" s="76">
        <f t="shared" si="5"/>
        <v>27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0.13800000000000001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0.04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76</v>
      </c>
      <c r="AC18" s="83">
        <f t="shared" si="5"/>
        <v>12</v>
      </c>
      <c r="AD18" s="83">
        <f t="shared" si="5"/>
        <v>60</v>
      </c>
      <c r="AE18" s="83">
        <f t="shared" si="5"/>
        <v>33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0.13800000000000001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0.04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23</v>
      </c>
      <c r="AD19" s="83">
        <f t="shared" si="5"/>
        <v>49</v>
      </c>
      <c r="AE19" s="83">
        <f t="shared" si="5"/>
        <v>65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19</v>
      </c>
      <c r="AC20" s="83">
        <f t="shared" si="5"/>
        <v>20</v>
      </c>
      <c r="AD20" s="83">
        <f t="shared" si="5"/>
        <v>58</v>
      </c>
      <c r="AE20" s="83">
        <f t="shared" si="5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0.55500000000000005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73</v>
      </c>
      <c r="AC21" s="90">
        <f t="shared" si="5"/>
        <v>36</v>
      </c>
      <c r="AD21" s="90">
        <f t="shared" si="5"/>
        <v>23</v>
      </c>
      <c r="AE21" s="90">
        <f t="shared" si="5"/>
        <v>20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0.06</v>
      </c>
      <c r="L24" s="93">
        <f>IF(Main!$I24&gt;0,D$15,D$23)</f>
        <v>2.1999999999999999E-2</v>
      </c>
      <c r="M24" s="93">
        <f>IF(Main!$I24&gt;0,E$15,E$23)</f>
        <v>7.4999999999999997E-2</v>
      </c>
      <c r="N24" s="93">
        <f>IF(Main!$I24&gt;0,F$15,F$23)</f>
        <v>7.4999999999999997E-2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0.06</v>
      </c>
      <c r="L25" s="96">
        <f>IF(Main!$I25&gt;0,D$15,D$23)</f>
        <v>2.1999999999999999E-2</v>
      </c>
      <c r="M25" s="96">
        <f>IF(Main!$I25&gt;0,E$15,E$23)</f>
        <v>7.4999999999999997E-2</v>
      </c>
      <c r="N25" s="96">
        <f>IF(Main!$I25&gt;0,F$15,F$23)</f>
        <v>7.4999999999999997E-2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0.06</v>
      </c>
      <c r="L26" s="96">
        <f>IF(Main!$I26&gt;0,D$15,D$23)</f>
        <v>2.1999999999999999E-2</v>
      </c>
      <c r="M26" s="96">
        <f>IF(Main!$I26&gt;0,E$15,E$23)</f>
        <v>7.4999999999999997E-2</v>
      </c>
      <c r="N26" s="96">
        <f>IF(Main!$I26&gt;0,F$15,F$23)</f>
        <v>7.4999999999999997E-2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0.24199999999999999</v>
      </c>
      <c r="L28" s="99">
        <f>IF(Main!$I28&gt;0,D$15,D$23)</f>
        <v>0.18099999999999999</v>
      </c>
      <c r="M28" s="99">
        <f>IF(Main!$I28&gt;0,E$15,E$23)</f>
        <v>0.30299999999999999</v>
      </c>
      <c r="N28" s="99">
        <f>IF(Main!$I28&gt;0,F$15,F$23)</f>
        <v>0.30299999999999999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18.018000000000001</v>
      </c>
      <c r="L31" s="3">
        <f>IF(Main!$I24&gt;0,D$16,D$24)</f>
        <v>15.741</v>
      </c>
      <c r="M31" s="3">
        <f>IF(Main!$I24&gt;0,E$16,E$24)</f>
        <v>22.571999999999999</v>
      </c>
      <c r="N31" s="3">
        <f>IF(Main!$I24&gt;0,F$16,F$24)</f>
        <v>22.571999999999999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18.018000000000001</v>
      </c>
      <c r="L32" s="13">
        <f>IF(Main!$I25&gt;0,D$16,D$24)</f>
        <v>15.741</v>
      </c>
      <c r="M32" s="13">
        <f>IF(Main!$I25&gt;0,E$16,E$24)</f>
        <v>22.571999999999999</v>
      </c>
      <c r="N32" s="13">
        <f>IF(Main!$I25&gt;0,F$16,F$24)</f>
        <v>22.571999999999999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18.018000000000001</v>
      </c>
      <c r="L33" s="13">
        <f>IF(Main!$I26&gt;0,D$16,D$24)</f>
        <v>15.741</v>
      </c>
      <c r="M33" s="13">
        <f>IF(Main!$I26&gt;0,E$16,E$24)</f>
        <v>22.571999999999999</v>
      </c>
      <c r="N33" s="13">
        <f>IF(Main!$I26&gt;0,F$16,F$24)</f>
        <v>22.571999999999999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0</v>
      </c>
      <c r="L35" s="6">
        <f>IF(Main!$I28&gt;0,D$16,D$24)</f>
        <v>0</v>
      </c>
      <c r="M35" s="6">
        <f>IF(Main!$I28&gt;0,E$16,E$24)</f>
        <v>0</v>
      </c>
      <c r="N35" s="6">
        <f>IF(Main!$I28&gt;0,F$16,F$24)</f>
        <v>0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100</v>
      </c>
      <c r="K38" s="21">
        <f>INDEX('Doll Data'!$E$2:$K$1048576,MATCH(Main!$D24,'Doll Data'!$B$2:$B$1048576,0),MATCH(K$37,'Doll Data'!$E$1:$K$1,0))</f>
        <v>142</v>
      </c>
      <c r="L38" s="21">
        <f>INDEX('Doll Data'!$E$2:$K$1048576,MATCH(Main!$D24,'Doll Data'!$B$2:$B$1048576,0),MATCH(L$37,'Doll Data'!$E$1:$K$1,0))</f>
        <v>92</v>
      </c>
      <c r="M38" s="21">
        <f>INDEX('Doll Data'!$E$2:$K$1048576,MATCH(Main!$D24,'Doll Data'!$B$2:$B$1048576,0),MATCH(M$37,'Doll Data'!$E$1:$K$1,0))</f>
        <v>118</v>
      </c>
      <c r="N38" s="21">
        <f>INDEX('Doll Data'!$E$2:$K$1048576,MATCH(Main!$D24,'Doll Data'!$B$2:$B$1048576,0),MATCH(N$37,'Doll Data'!$E$1:$K$1,0))</f>
        <v>82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128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115</v>
      </c>
      <c r="K39" s="24">
        <f>INDEX('Doll Data'!$E$2:$K$1048576,MATCH(Main!$D25,'Doll Data'!$B$2:$B$1048576,0),MATCH(K$37,'Doll Data'!$E$1:$K$1,0))</f>
        <v>105</v>
      </c>
      <c r="L39" s="24">
        <f>INDEX('Doll Data'!$E$2:$K$1048576,MATCH(Main!$D25,'Doll Data'!$B$2:$B$1048576,0),MATCH(L$37,'Doll Data'!$E$1:$K$1,0))</f>
        <v>108</v>
      </c>
      <c r="M39" s="24">
        <f>INDEX('Doll Data'!$E$2:$K$1048576,MATCH(Main!$D25,'Doll Data'!$B$2:$B$1048576,0),MATCH(M$37,'Doll Data'!$E$1:$K$1,0))</f>
        <v>100</v>
      </c>
      <c r="N39" s="24">
        <f>INDEX('Doll Data'!$E$2:$K$1048576,MATCH(Main!$D25,'Doll Data'!$B$2:$B$1048576,0),MATCH(N$37,'Doll Data'!$E$1:$K$1,0))</f>
        <v>110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120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118</v>
      </c>
      <c r="K40" s="24">
        <f>INDEX('Doll Data'!$E$2:$K$1048576,MATCH(Main!$D26,'Doll Data'!$B$2:$B$1048576,0),MATCH(K$37,'Doll Data'!$E$1:$K$1,0))</f>
        <v>116</v>
      </c>
      <c r="L40" s="24">
        <f>INDEX('Doll Data'!$E$2:$K$1048576,MATCH(Main!$D26,'Doll Data'!$B$2:$B$1048576,0),MATCH(L$37,'Doll Data'!$E$1:$K$1,0))</f>
        <v>135</v>
      </c>
      <c r="M40" s="24">
        <f>INDEX('Doll Data'!$E$2:$K$1048576,MATCH(Main!$D26,'Doll Data'!$B$2:$B$1048576,0),MATCH(M$37,'Doll Data'!$E$1:$K$1,0))</f>
        <v>115</v>
      </c>
      <c r="N40" s="24">
        <f>INDEX('Doll Data'!$E$2:$K$1048576,MATCH(Main!$D26,'Doll Data'!$B$2:$B$1048576,0),MATCH(N$37,'Doll Data'!$E$1:$K$1,0))</f>
        <v>102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115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130</v>
      </c>
      <c r="K41" s="24">
        <f>INDEX('Doll Data'!$E$2:$K$1048576,MATCH(Main!$D27,'Doll Data'!$B$2:$B$1048576,0),MATCH(K$37,'Doll Data'!$E$1:$K$1,0))</f>
        <v>98</v>
      </c>
      <c r="L41" s="24">
        <f>INDEX('Doll Data'!$E$2:$K$1048576,MATCH(Main!$D27,'Doll Data'!$B$2:$B$1048576,0),MATCH(L$37,'Doll Data'!$E$1:$K$1,0))</f>
        <v>102</v>
      </c>
      <c r="M41" s="24">
        <f>INDEX('Doll Data'!$E$2:$K$1048576,MATCH(Main!$D27,'Doll Data'!$B$2:$B$1048576,0),MATCH(M$37,'Doll Data'!$E$1:$K$1,0))</f>
        <v>120</v>
      </c>
      <c r="N41" s="24">
        <f>INDEX('Doll Data'!$E$2:$K$1048576,MATCH(Main!$D27,'Doll Data'!$B$2:$B$1048576,0),MATCH(N$37,'Doll Data'!$E$1:$K$1,0))</f>
        <v>100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132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130</v>
      </c>
      <c r="K42" s="27">
        <f>INDEX('Doll Data'!$E$2:$K$1048576,MATCH(Main!$D28,'Doll Data'!$B$2:$B$1048576,0),MATCH(K$37,'Doll Data'!$E$1:$K$1,0))</f>
        <v>135</v>
      </c>
      <c r="L42" s="27">
        <f>INDEX('Doll Data'!$E$2:$K$1048576,MATCH(Main!$D28,'Doll Data'!$B$2:$B$1048576,0),MATCH(L$37,'Doll Data'!$E$1:$K$1,0))</f>
        <v>100</v>
      </c>
      <c r="M42" s="27">
        <f>INDEX('Doll Data'!$E$2:$K$1048576,MATCH(Main!$D28,'Doll Data'!$B$2:$B$1048576,0),MATCH(M$37,'Doll Data'!$E$1:$K$1,0))</f>
        <v>100</v>
      </c>
      <c r="N42" s="27">
        <f>INDEX('Doll Data'!$E$2:$K$1048576,MATCH(Main!$D28,'Doll Data'!$B$2:$B$1048576,0),MATCH(N$37,'Doll Data'!$E$1:$K$1,0))</f>
        <v>85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125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690</v>
      </c>
      <c r="E1" s="117" t="s">
        <v>741</v>
      </c>
      <c r="F1" s="117" t="s">
        <v>742</v>
      </c>
      <c r="G1" s="117" t="s">
        <v>743</v>
      </c>
      <c r="H1" s="117" t="s">
        <v>744</v>
      </c>
      <c r="I1" s="117" t="s">
        <v>745</v>
      </c>
      <c r="J1" s="117" t="s">
        <v>415</v>
      </c>
      <c r="K1" s="117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4">
        <v>0</v>
      </c>
      <c r="F3" s="124">
        <v>100</v>
      </c>
      <c r="G3" s="124">
        <v>200</v>
      </c>
      <c r="H3" s="124">
        <v>350</v>
      </c>
      <c r="I3" s="124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4">
        <v>0</v>
      </c>
      <c r="F6" s="124">
        <v>100</v>
      </c>
      <c r="G6" s="124">
        <v>200</v>
      </c>
      <c r="H6" s="124">
        <v>350</v>
      </c>
      <c r="I6" s="124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1117</v>
      </c>
      <c r="C7" s="1">
        <v>3</v>
      </c>
      <c r="D7" t="s">
        <v>718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4">
        <v>0</v>
      </c>
      <c r="F8" s="124">
        <v>100</v>
      </c>
      <c r="G8" s="124">
        <v>200</v>
      </c>
      <c r="H8" s="124">
        <v>350</v>
      </c>
      <c r="I8" s="124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4">
        <v>0</v>
      </c>
      <c r="F9" s="124">
        <v>100</v>
      </c>
      <c r="G9" s="124">
        <v>200</v>
      </c>
      <c r="H9" s="124">
        <v>350</v>
      </c>
      <c r="I9" s="124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4">
        <v>0</v>
      </c>
      <c r="F10" s="124">
        <v>100</v>
      </c>
      <c r="G10" s="124">
        <v>200</v>
      </c>
      <c r="H10" s="124">
        <v>350</v>
      </c>
      <c r="I10" s="124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4">
        <v>0</v>
      </c>
      <c r="F14" s="124">
        <v>100</v>
      </c>
      <c r="G14" s="124">
        <v>200</v>
      </c>
      <c r="H14" s="124">
        <v>350</v>
      </c>
      <c r="I14" s="124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4">
        <v>0</v>
      </c>
      <c r="F16" s="124">
        <v>100</v>
      </c>
      <c r="G16" s="124">
        <v>200</v>
      </c>
      <c r="H16" s="124">
        <v>350</v>
      </c>
      <c r="I16" s="124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4">
        <v>0</v>
      </c>
      <c r="F17" s="124">
        <v>100</v>
      </c>
      <c r="G17" s="124">
        <v>200</v>
      </c>
      <c r="H17" s="124">
        <v>350</v>
      </c>
      <c r="I17" s="124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4">
        <v>0</v>
      </c>
      <c r="F20" s="124">
        <v>100</v>
      </c>
      <c r="G20" s="124">
        <v>500</v>
      </c>
      <c r="H20" s="124">
        <v>1500</v>
      </c>
      <c r="I20" s="124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4">
        <v>0</v>
      </c>
      <c r="F22" s="124">
        <v>100</v>
      </c>
      <c r="G22" s="124">
        <v>500</v>
      </c>
      <c r="H22" s="124">
        <v>1500</v>
      </c>
      <c r="I22" s="124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4">
        <v>0</v>
      </c>
      <c r="F25" s="124">
        <v>100</v>
      </c>
      <c r="G25" s="124">
        <v>200</v>
      </c>
      <c r="H25" s="124">
        <v>350</v>
      </c>
      <c r="I25" s="124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4">
        <v>0</v>
      </c>
      <c r="F28" s="124">
        <v>100</v>
      </c>
      <c r="G28" s="124">
        <v>500</v>
      </c>
      <c r="H28" s="124">
        <v>1500</v>
      </c>
      <c r="I28" s="124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4">
        <v>0</v>
      </c>
      <c r="F29" s="124">
        <v>100</v>
      </c>
      <c r="G29" s="124">
        <v>500</v>
      </c>
      <c r="H29" s="124">
        <v>1500</v>
      </c>
      <c r="I29" s="124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4">
        <v>0</v>
      </c>
      <c r="F32" s="124">
        <v>100</v>
      </c>
      <c r="G32" s="124">
        <v>500</v>
      </c>
      <c r="H32" s="124">
        <v>1500</v>
      </c>
      <c r="I32" s="124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4">
        <v>0</v>
      </c>
      <c r="F33" s="124">
        <v>100</v>
      </c>
      <c r="G33" s="124">
        <v>500</v>
      </c>
      <c r="H33" s="124">
        <v>1500</v>
      </c>
      <c r="I33" s="124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4">
        <v>0</v>
      </c>
      <c r="F35" s="124">
        <v>100</v>
      </c>
      <c r="G35" s="124">
        <v>500</v>
      </c>
      <c r="H35" s="124">
        <v>1500</v>
      </c>
      <c r="I35" s="124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4">
        <v>0</v>
      </c>
      <c r="F36" s="124">
        <v>100</v>
      </c>
      <c r="G36" s="124">
        <v>500</v>
      </c>
      <c r="H36" s="124">
        <v>1500</v>
      </c>
      <c r="I36" s="124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4">
        <v>0</v>
      </c>
      <c r="F37" s="124">
        <v>100</v>
      </c>
      <c r="G37" s="124">
        <v>500</v>
      </c>
      <c r="H37" s="124">
        <v>1500</v>
      </c>
      <c r="I37" s="124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</sheetData>
  <autoFilter ref="A1:C18" xr:uid="{0E359118-7D95-4ACC-8776-8DCF05482381}">
    <sortState ref="A2:C18">
      <sortCondition ref="A1:A18"/>
    </sortState>
  </autoFilter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82" t="s">
        <v>887</v>
      </c>
      <c r="B1" s="182"/>
      <c r="C1" s="182"/>
      <c r="E1" s="182" t="s">
        <v>888</v>
      </c>
      <c r="F1" s="182"/>
      <c r="G1" s="182"/>
      <c r="I1" s="182" t="s">
        <v>1041</v>
      </c>
      <c r="J1" s="182"/>
      <c r="K1" s="182"/>
      <c r="M1" s="183" t="s">
        <v>889</v>
      </c>
      <c r="N1" s="183"/>
      <c r="O1" s="183"/>
      <c r="P1" s="183"/>
      <c r="Q1" s="183"/>
      <c r="R1" s="183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G20"/>
  <sheetViews>
    <sheetView workbookViewId="0">
      <selection activeCell="F13" sqref="F13"/>
    </sheetView>
  </sheetViews>
  <sheetFormatPr defaultRowHeight="15" x14ac:dyDescent="0.25"/>
  <sheetData>
    <row r="2" spans="2:7" x14ac:dyDescent="0.25">
      <c r="B2" s="10" t="s">
        <v>907</v>
      </c>
    </row>
    <row r="3" spans="2:7" x14ac:dyDescent="0.25">
      <c r="B3" s="48">
        <v>9</v>
      </c>
      <c r="C3" s="48">
        <v>14</v>
      </c>
      <c r="D3" s="65">
        <v>19</v>
      </c>
    </row>
    <row r="4" spans="2:7" x14ac:dyDescent="0.25">
      <c r="B4" s="48">
        <v>8</v>
      </c>
      <c r="C4" s="48">
        <v>13</v>
      </c>
      <c r="D4" s="65">
        <v>18</v>
      </c>
    </row>
    <row r="5" spans="2:7" x14ac:dyDescent="0.25">
      <c r="B5" s="48">
        <v>7</v>
      </c>
      <c r="C5" s="48">
        <v>12</v>
      </c>
      <c r="D5" s="65">
        <v>17</v>
      </c>
    </row>
    <row r="7" spans="2:7" x14ac:dyDescent="0.25">
      <c r="B7" s="10" t="s">
        <v>908</v>
      </c>
    </row>
    <row r="8" spans="2:7" x14ac:dyDescent="0.25">
      <c r="B8" t="s">
        <v>1114</v>
      </c>
      <c r="C8" s="1" t="s">
        <v>1115</v>
      </c>
      <c r="D8" s="1" t="s">
        <v>909</v>
      </c>
      <c r="E8" s="1" t="s">
        <v>1119</v>
      </c>
      <c r="F8" s="1" t="s">
        <v>906</v>
      </c>
      <c r="G8" s="1" t="s">
        <v>913</v>
      </c>
    </row>
    <row r="9" spans="2:7" x14ac:dyDescent="0.25">
      <c r="B9" s="1">
        <v>9</v>
      </c>
      <c r="C9" s="165">
        <v>9</v>
      </c>
      <c r="D9" s="9" t="s">
        <v>755</v>
      </c>
      <c r="E9" s="166" t="s">
        <v>915</v>
      </c>
      <c r="F9" s="9" t="str">
        <f>CLEAN(TRIM(SUBSTITUTE(E9,B9&amp;10,B9&amp;TEXT(Main!D43,"00"))))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G9" t="str">
        <f t="shared" ref="G9:G16" si="0">SUBSTITUTE(F9,"start_turn\"&amp;CHAR(34)&amp;":\"&amp;CHAR(34)&amp;1,"start_turn\"&amp;CHAR(34)&amp;":\"&amp;CHAR(34)&amp;TurnNum)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7" x14ac:dyDescent="0.25">
      <c r="B10" s="1">
        <v>12</v>
      </c>
      <c r="C10" s="165">
        <v>12</v>
      </c>
      <c r="D10" s="9" t="s">
        <v>758</v>
      </c>
      <c r="E10" s="166" t="s">
        <v>916</v>
      </c>
      <c r="F10" s="9" t="str">
        <f>CLEAN(TRIM(SUBSTITUTE(E10,B10&amp;10,B10&amp;TEXT(Main!D44,"00"))))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G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7" x14ac:dyDescent="0.25">
      <c r="B11" s="1">
        <v>1004</v>
      </c>
      <c r="C11" s="1">
        <v>1004</v>
      </c>
      <c r="D11" s="9" t="s">
        <v>772</v>
      </c>
      <c r="E11" s="166" t="s">
        <v>917</v>
      </c>
      <c r="F11" s="9" t="str">
        <f>CLEAN(TRIM(SUBSTITUTE(E11,B11&amp;10,B11&amp;TEXT(Main!D45,"00"))))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G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7" x14ac:dyDescent="0.25">
      <c r="B12" s="1">
        <v>6</v>
      </c>
      <c r="C12" s="1">
        <v>6</v>
      </c>
      <c r="D12" s="9" t="s">
        <v>749</v>
      </c>
      <c r="E12" s="166" t="s">
        <v>1070</v>
      </c>
      <c r="F12" s="9" t="str">
        <f>CLEAN(TRIM(SUBSTITUTE(E12,B12&amp;10,B12&amp;TEXT(Main!D46,"00"))))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G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7" x14ac:dyDescent="0.25">
      <c r="B13" s="1">
        <v>1004</v>
      </c>
      <c r="C13" s="1">
        <v>12</v>
      </c>
      <c r="D13" s="9" t="s">
        <v>1116</v>
      </c>
      <c r="E13" s="166" t="s">
        <v>1118</v>
      </c>
      <c r="F13" s="166" t="str">
        <f>CLEAN(TRIM(SUBSTITUTE(SUBSTITUTE(E13,B13&amp;10,B13&amp;TEXT(Main!D47,"00")),C13&amp;10,C13&amp;TEXT(Main!E47,"00"))))</f>
        <v>"fairy_skill_on_team":"{\"1\":{\"1\":{\"team_id\":1,\"buff_id\":\"1004\",\"source_type\":1,\"source_value\":1,\"start_turn\":\"1\",\"battle_count\":0,\"battle_finish_count\":0,\"person_move_count\":0,\"mission_skill_config_id\":\"100410\"},\"2\":{\"team_id\":1,\"buff_id\":\"6\",\"source_type\":1,\"source_value\":1,\"start_turn\":\"1\",\"battle_count\":1,\"battle_finish_count\":0,\"person_move_count\":0,\"mission_skill_config_id\":\"1210\"}}}",</v>
      </c>
      <c r="G13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,\"2\":{\"team_id\":1,\"buff_id\":\"6\",\"source_type\":1,\"source_value\":1,\"start_turn\":\"8\",\"battle_count\":1,\"battle_finish_count\":0,\"person_move_count\":0,\"mission_skill_config_id\":\"1210\"}}}",</v>
      </c>
    </row>
    <row r="14" spans="2:7" x14ac:dyDescent="0.25">
      <c r="B14" s="1">
        <v>17</v>
      </c>
      <c r="C14" s="1">
        <v>17</v>
      </c>
      <c r="D14" s="9" t="s">
        <v>1111</v>
      </c>
      <c r="E14" s="166" t="s">
        <v>918</v>
      </c>
      <c r="F14" s="9" t="str">
        <f>CLEAN(TRIM(SUBSTITUTE(E14,B14&amp;10,B14&amp;TEXT(Main!D48,"00"))))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G14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5" spans="2:7" x14ac:dyDescent="0.25">
      <c r="B15" s="1">
        <v>17</v>
      </c>
      <c r="C15" s="1">
        <v>17</v>
      </c>
      <c r="D15" s="9" t="s">
        <v>1112</v>
      </c>
      <c r="E15" s="166" t="s">
        <v>914</v>
      </c>
      <c r="F15" s="9" t="str">
        <f>CLEAN(TRIM(SUBSTITUTE(E15,B15&amp;10,B15&amp;TEXT(Main!D49,"00"))))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G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6" spans="2:7" x14ac:dyDescent="0.25">
      <c r="B16" s="1">
        <v>17</v>
      </c>
      <c r="C16" s="1">
        <v>17</v>
      </c>
      <c r="D16" s="9" t="s">
        <v>1113</v>
      </c>
      <c r="E16" s="166" t="s">
        <v>919</v>
      </c>
      <c r="F16" s="9" t="str">
        <f>CLEAN(TRIM(SUBSTITUTE(E16,B16&amp;10,B16&amp;TEXT(Main!D50,"00"))))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G16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8" spans="2:3" x14ac:dyDescent="0.25">
      <c r="B18" s="111" t="s">
        <v>910</v>
      </c>
    </row>
    <row r="19" spans="2:3" x14ac:dyDescent="0.25">
      <c r="B19" s="1" t="s">
        <v>1031</v>
      </c>
      <c r="C19" s="1" t="s">
        <v>913</v>
      </c>
    </row>
    <row r="20" spans="2:3" x14ac:dyDescent="0.25">
      <c r="B20" t="s">
        <v>1032</v>
      </c>
      <c r="C20" t="str">
        <f t="shared" ref="C20" si="1">SUBSTITUTE(B20,"start_turn\"&amp;CHAR(34)&amp;":\"&amp;CHAR(34)&amp;1,"start_turn\"&amp;CHAR(34)&amp;":\"&amp;CHAR(34)&amp;TurnNum)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1100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965</v>
      </c>
      <c r="K2" s="9" t="s">
        <v>873</v>
      </c>
      <c r="L2" s="9" t="s">
        <v>979</v>
      </c>
      <c r="M2" s="9" t="s">
        <v>105</v>
      </c>
      <c r="N2" s="9" t="s">
        <v>945</v>
      </c>
      <c r="O2" s="9" t="s">
        <v>997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994</v>
      </c>
      <c r="V2" s="9" t="s">
        <v>986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1124</v>
      </c>
      <c r="AC2" s="9" t="s">
        <v>335</v>
      </c>
      <c r="AD2" s="9" t="s">
        <v>939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1094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969</v>
      </c>
      <c r="F3" s="9" t="s">
        <v>264</v>
      </c>
      <c r="G3" s="9" t="s">
        <v>991</v>
      </c>
      <c r="H3" s="9" t="s">
        <v>77</v>
      </c>
      <c r="I3" s="9" t="s">
        <v>334</v>
      </c>
      <c r="J3" s="9" t="s">
        <v>933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975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937</v>
      </c>
      <c r="Y3" s="9" t="s">
        <v>217</v>
      </c>
      <c r="Z3" s="9" t="s">
        <v>345</v>
      </c>
      <c r="AC3" s="9" t="s">
        <v>196</v>
      </c>
      <c r="AD3" s="9" t="s">
        <v>963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1093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1092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990</v>
      </c>
      <c r="F5" s="9" t="s">
        <v>204</v>
      </c>
      <c r="H5" s="9" t="s">
        <v>91</v>
      </c>
      <c r="I5" s="9" t="s">
        <v>211</v>
      </c>
      <c r="J5" s="9" t="s">
        <v>980</v>
      </c>
      <c r="K5" s="9" t="s">
        <v>952</v>
      </c>
      <c r="M5" s="9" t="s">
        <v>348</v>
      </c>
      <c r="N5" s="9" t="s">
        <v>957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1091</v>
      </c>
      <c r="AV5" t="s">
        <v>1105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1075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1090</v>
      </c>
      <c r="AV6" t="s">
        <v>1104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931</v>
      </c>
      <c r="X7" s="9" t="s">
        <v>127</v>
      </c>
      <c r="Y7" s="9" t="s">
        <v>993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1099</v>
      </c>
      <c r="AV7" t="s">
        <v>1106</v>
      </c>
    </row>
    <row r="8" spans="1:51" x14ac:dyDescent="0.25">
      <c r="A8" s="9"/>
      <c r="C8" s="9" t="s">
        <v>69</v>
      </c>
      <c r="D8" s="9" t="s">
        <v>63</v>
      </c>
      <c r="E8" s="9" t="s">
        <v>920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923</v>
      </c>
      <c r="P8" s="9" t="s">
        <v>319</v>
      </c>
      <c r="S8" s="9" t="s">
        <v>120</v>
      </c>
      <c r="T8" s="9" t="s">
        <v>276</v>
      </c>
      <c r="U8" s="9" t="s">
        <v>943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1089</v>
      </c>
      <c r="AV8" t="s">
        <v>1101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938</v>
      </c>
      <c r="J9" s="9" t="s">
        <v>332</v>
      </c>
      <c r="K9" s="9" t="s">
        <v>995</v>
      </c>
      <c r="N9" s="9" t="s">
        <v>95</v>
      </c>
      <c r="O9" s="9" t="s">
        <v>954</v>
      </c>
      <c r="P9" s="9" t="s">
        <v>953</v>
      </c>
      <c r="S9" s="9" t="s">
        <v>279</v>
      </c>
      <c r="T9" s="9" t="s">
        <v>972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958</v>
      </c>
      <c r="AD9" s="9" t="s">
        <v>193</v>
      </c>
      <c r="AE9" s="9" t="s">
        <v>960</v>
      </c>
      <c r="AP9" t="s">
        <v>677</v>
      </c>
      <c r="AQ9" t="s">
        <v>659</v>
      </c>
      <c r="AU9" t="s">
        <v>1107</v>
      </c>
      <c r="AV9" t="s">
        <v>1103</v>
      </c>
    </row>
    <row r="10" spans="1:51" x14ac:dyDescent="0.25">
      <c r="A10" s="9"/>
      <c r="C10" s="9"/>
      <c r="D10" s="9" t="s">
        <v>242</v>
      </c>
      <c r="E10" s="9" t="s">
        <v>1135</v>
      </c>
      <c r="F10" s="9" t="s">
        <v>940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1125</v>
      </c>
      <c r="AE10" s="9" t="s">
        <v>189</v>
      </c>
      <c r="AU10" t="s">
        <v>1108</v>
      </c>
      <c r="AV10" t="s">
        <v>1102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967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961</v>
      </c>
      <c r="AL11" s="40"/>
      <c r="AU11" t="s">
        <v>1109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948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985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1096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973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921</v>
      </c>
      <c r="AD13" s="9" t="s">
        <v>199</v>
      </c>
      <c r="AE13" s="9" t="s">
        <v>219</v>
      </c>
      <c r="AL13" s="40"/>
      <c r="AU13" t="s">
        <v>1095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947</v>
      </c>
      <c r="F14" s="9" t="s">
        <v>968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998</v>
      </c>
      <c r="U14" s="9" t="s">
        <v>150</v>
      </c>
      <c r="Y14" s="9" t="s">
        <v>956</v>
      </c>
      <c r="Z14" s="9" t="s">
        <v>930</v>
      </c>
      <c r="AD14" s="9" t="s">
        <v>220</v>
      </c>
      <c r="AE14" s="9" t="s">
        <v>198</v>
      </c>
      <c r="AL14" s="40"/>
      <c r="AM14" s="40"/>
      <c r="AU14" t="s">
        <v>1098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951</v>
      </c>
      <c r="T15" s="9" t="s">
        <v>108</v>
      </c>
      <c r="U15" s="9" t="s">
        <v>164</v>
      </c>
      <c r="Y15" s="9" t="s">
        <v>922</v>
      </c>
      <c r="Z15" s="9" t="s">
        <v>1074</v>
      </c>
      <c r="AD15" s="9" t="s">
        <v>962</v>
      </c>
      <c r="AE15" s="9" t="s">
        <v>978</v>
      </c>
      <c r="AL15" s="40"/>
      <c r="AM15" s="40"/>
      <c r="AP15" s="40"/>
      <c r="AU15" t="s">
        <v>1097</v>
      </c>
      <c r="AV15" t="s">
        <v>217</v>
      </c>
    </row>
    <row r="16" spans="1:51" x14ac:dyDescent="0.25">
      <c r="A16" s="9"/>
      <c r="C16" s="9"/>
      <c r="D16" s="9" t="s">
        <v>959</v>
      </c>
      <c r="E16" s="9" t="s">
        <v>205</v>
      </c>
      <c r="F16" s="9" t="s">
        <v>262</v>
      </c>
      <c r="G16" s="9"/>
      <c r="I16" s="9" t="s">
        <v>981</v>
      </c>
      <c r="J16" s="9" t="s">
        <v>83</v>
      </c>
      <c r="K16" s="9" t="s">
        <v>927</v>
      </c>
      <c r="N16" s="9" t="s">
        <v>166</v>
      </c>
      <c r="O16" s="9" t="s">
        <v>987</v>
      </c>
      <c r="P16" s="9" t="s">
        <v>250</v>
      </c>
      <c r="S16" s="9" t="s">
        <v>224</v>
      </c>
      <c r="T16" s="9" t="s">
        <v>109</v>
      </c>
      <c r="U16" s="9" t="s">
        <v>999</v>
      </c>
      <c r="Y16" s="9" t="s">
        <v>269</v>
      </c>
      <c r="Z16" s="9" t="s">
        <v>989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964</v>
      </c>
      <c r="J17" s="9" t="s">
        <v>1072</v>
      </c>
      <c r="K17" s="9" t="s">
        <v>988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944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941</v>
      </c>
      <c r="K18" s="9" t="s">
        <v>182</v>
      </c>
      <c r="N18" s="9" t="s">
        <v>284</v>
      </c>
      <c r="O18" s="9" t="s">
        <v>99</v>
      </c>
      <c r="P18" s="9" t="s">
        <v>974</v>
      </c>
      <c r="S18" s="9" t="s">
        <v>936</v>
      </c>
      <c r="T18" s="9" t="s">
        <v>935</v>
      </c>
      <c r="U18" s="9" t="s">
        <v>977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996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982</v>
      </c>
      <c r="K20" s="9" t="s">
        <v>157</v>
      </c>
      <c r="N20" s="9" t="s">
        <v>311</v>
      </c>
      <c r="O20" s="9" t="s">
        <v>942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983</v>
      </c>
      <c r="P22" s="9" t="s">
        <v>280</v>
      </c>
      <c r="T22" s="9" t="s">
        <v>984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946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1000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971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976</v>
      </c>
      <c r="K25" s="9" t="s">
        <v>80</v>
      </c>
      <c r="P25" s="9" t="s">
        <v>934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932</v>
      </c>
      <c r="K26" s="9" t="s">
        <v>970</v>
      </c>
      <c r="P26" s="9" t="s">
        <v>339</v>
      </c>
      <c r="U26" s="9" t="s">
        <v>928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992</v>
      </c>
      <c r="K27" s="9" t="s">
        <v>267</v>
      </c>
      <c r="P27" s="9" t="s">
        <v>966</v>
      </c>
      <c r="U27" s="9" t="s">
        <v>310</v>
      </c>
      <c r="AQ27" s="9"/>
      <c r="AV27" t="s">
        <v>939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950</v>
      </c>
      <c r="AV28" t="s">
        <v>854</v>
      </c>
    </row>
    <row r="29" spans="1:48" x14ac:dyDescent="0.25">
      <c r="A29" s="9"/>
      <c r="C29" s="9"/>
      <c r="D29" s="9"/>
      <c r="E29" s="9"/>
      <c r="P29" s="9" t="s">
        <v>949</v>
      </c>
      <c r="U29" s="9" t="s">
        <v>1073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980</v>
      </c>
    </row>
    <row r="31" spans="1:48" x14ac:dyDescent="0.25">
      <c r="A31" s="9"/>
      <c r="C31" s="9"/>
      <c r="D31" s="9"/>
      <c r="E31" s="9"/>
      <c r="P31" s="9" t="s">
        <v>1126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929</v>
      </c>
      <c r="AV33" t="s">
        <v>997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955</v>
      </c>
      <c r="AV36" t="s">
        <v>985</v>
      </c>
    </row>
    <row r="37" spans="1:48" x14ac:dyDescent="0.25">
      <c r="A37" s="9"/>
      <c r="C37" s="9"/>
      <c r="D37" s="9"/>
      <c r="E37" s="9"/>
      <c r="U37" s="9" t="s">
        <v>226</v>
      </c>
      <c r="AV37" t="s">
        <v>986</v>
      </c>
    </row>
    <row r="38" spans="1:48" x14ac:dyDescent="0.25">
      <c r="A38" s="9"/>
      <c r="C38" s="9"/>
      <c r="D38" s="9"/>
      <c r="E38" s="9"/>
      <c r="AV38" t="s">
        <v>999</v>
      </c>
    </row>
    <row r="39" spans="1:48" x14ac:dyDescent="0.25">
      <c r="A39" s="9"/>
      <c r="C39" s="9"/>
      <c r="D39" s="9"/>
      <c r="E39" s="9"/>
      <c r="AV39" t="s">
        <v>998</v>
      </c>
    </row>
    <row r="40" spans="1:48" x14ac:dyDescent="0.25">
      <c r="A40" s="9"/>
      <c r="C40" s="9"/>
      <c r="D40" s="9"/>
      <c r="E40" s="9"/>
      <c r="AV40" t="s">
        <v>995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990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1003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920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1135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1124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996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988</v>
      </c>
    </row>
    <row r="92" spans="48:48" x14ac:dyDescent="0.25">
      <c r="AV92" t="s">
        <v>70</v>
      </c>
    </row>
    <row r="93" spans="48:48" x14ac:dyDescent="0.25">
      <c r="AV93" t="s">
        <v>1088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1125</v>
      </c>
    </row>
    <row r="98" spans="48:48" x14ac:dyDescent="0.25">
      <c r="AV98" t="s">
        <v>979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982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987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983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989</v>
      </c>
    </row>
    <row r="128" spans="48:48" x14ac:dyDescent="0.25">
      <c r="AV128" t="s">
        <v>141</v>
      </c>
    </row>
    <row r="129" spans="48:48" x14ac:dyDescent="0.25">
      <c r="AV129" t="s">
        <v>1000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991</v>
      </c>
    </row>
    <row r="137" spans="48:48" x14ac:dyDescent="0.25">
      <c r="AV137" t="s">
        <v>1126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384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981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924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925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1001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926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992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922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923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921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994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927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993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928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929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930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931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932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933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934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935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936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937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938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939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940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941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942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943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944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945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946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947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948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949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950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951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1002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953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954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955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956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957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958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959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960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961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962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963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964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965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966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967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968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969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970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971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972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1072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1075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1073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1074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973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974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975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976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977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978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920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995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982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996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983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997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984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998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999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985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1000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991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986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987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988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979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980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989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990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1135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1124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1125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1126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997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996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920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998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982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999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984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1003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995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1000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990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986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987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979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1103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1101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1102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1104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1105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1106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985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988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8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8" t="s">
        <v>624</v>
      </c>
    </row>
    <row r="179" spans="1:23" x14ac:dyDescent="0.25">
      <c r="A179" s="1">
        <v>212</v>
      </c>
      <c r="B179" t="s">
        <v>983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8" t="s">
        <v>1065</v>
      </c>
    </row>
    <row r="180" spans="1:23" x14ac:dyDescent="0.25">
      <c r="A180" s="1">
        <v>213</v>
      </c>
      <c r="B180" t="s">
        <v>991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8" t="s">
        <v>1066</v>
      </c>
    </row>
    <row r="181" spans="1:23" x14ac:dyDescent="0.25">
      <c r="A181" s="1">
        <v>214</v>
      </c>
      <c r="B181" t="s">
        <v>980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8" t="s">
        <v>1067</v>
      </c>
    </row>
    <row r="182" spans="1:23" x14ac:dyDescent="0.25">
      <c r="A182" s="1">
        <v>215</v>
      </c>
      <c r="B182" t="s">
        <v>989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8" t="s">
        <v>1068</v>
      </c>
    </row>
    <row r="183" spans="1:23" x14ac:dyDescent="0.25">
      <c r="A183" s="1">
        <v>216</v>
      </c>
      <c r="B183" t="s">
        <v>939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8" t="s">
        <v>1069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8" t="s">
        <v>1064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8" t="s">
        <v>1078</v>
      </c>
      <c r="W185">
        <v>0</v>
      </c>
    </row>
    <row r="186" spans="1:23" x14ac:dyDescent="0.25">
      <c r="A186" s="1">
        <v>219</v>
      </c>
      <c r="B186" t="s">
        <v>1088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8" t="s">
        <v>1071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8" t="s">
        <v>1079</v>
      </c>
      <c r="W187">
        <v>0</v>
      </c>
    </row>
    <row r="188" spans="1:23" x14ac:dyDescent="0.25">
      <c r="A188" s="1">
        <v>222</v>
      </c>
      <c r="B188" t="s">
        <v>1107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8" t="s">
        <v>432</v>
      </c>
      <c r="W188">
        <v>0</v>
      </c>
    </row>
    <row r="189" spans="1:23" x14ac:dyDescent="0.25">
      <c r="A189" s="1">
        <v>223</v>
      </c>
      <c r="B189" t="s">
        <v>1108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8" t="s">
        <v>432</v>
      </c>
      <c r="W189">
        <v>0</v>
      </c>
    </row>
    <row r="190" spans="1:23" x14ac:dyDescent="0.25">
      <c r="A190" s="1">
        <v>224</v>
      </c>
      <c r="B190" t="s">
        <v>1109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1080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8" t="s">
        <v>432</v>
      </c>
      <c r="W190">
        <v>0</v>
      </c>
    </row>
    <row r="191" spans="1:23" x14ac:dyDescent="0.25">
      <c r="A191" s="1">
        <v>225</v>
      </c>
      <c r="B191" t="s">
        <v>1099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8" t="s">
        <v>432</v>
      </c>
      <c r="W191">
        <v>0</v>
      </c>
    </row>
    <row r="192" spans="1:23" x14ac:dyDescent="0.25">
      <c r="A192" s="1">
        <v>226</v>
      </c>
      <c r="B192" t="s">
        <v>1098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1081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8" t="s">
        <v>432</v>
      </c>
      <c r="W192">
        <v>0</v>
      </c>
    </row>
    <row r="193" spans="1:23" x14ac:dyDescent="0.25">
      <c r="A193" s="1">
        <v>227</v>
      </c>
      <c r="B193" t="s">
        <v>1097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1082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8" t="s">
        <v>432</v>
      </c>
      <c r="W193">
        <v>0</v>
      </c>
    </row>
    <row r="194" spans="1:23" x14ac:dyDescent="0.25">
      <c r="A194" s="1">
        <v>228</v>
      </c>
      <c r="B194" t="s">
        <v>1096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1083</v>
      </c>
      <c r="K194" s="1" t="s">
        <v>432</v>
      </c>
      <c r="L194" s="1" t="s">
        <v>432</v>
      </c>
      <c r="M194" s="1" t="s">
        <v>1084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8" t="s">
        <v>432</v>
      </c>
      <c r="W194">
        <v>0</v>
      </c>
    </row>
    <row r="195" spans="1:23" x14ac:dyDescent="0.25">
      <c r="A195" s="1">
        <v>229</v>
      </c>
      <c r="B195" t="s">
        <v>1095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1083</v>
      </c>
      <c r="K195" s="1" t="s">
        <v>432</v>
      </c>
      <c r="L195" s="1" t="s">
        <v>432</v>
      </c>
      <c r="M195" s="1" t="s">
        <v>1085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8" t="s">
        <v>432</v>
      </c>
      <c r="W195">
        <v>0</v>
      </c>
    </row>
    <row r="196" spans="1:23" x14ac:dyDescent="0.25">
      <c r="A196" s="1">
        <v>230</v>
      </c>
      <c r="B196" t="s">
        <v>1094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1077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8" t="s">
        <v>432</v>
      </c>
      <c r="W196">
        <v>0</v>
      </c>
    </row>
    <row r="197" spans="1:23" x14ac:dyDescent="0.25">
      <c r="A197" s="1">
        <v>231</v>
      </c>
      <c r="B197" t="s">
        <v>1093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1076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8" t="s">
        <v>432</v>
      </c>
      <c r="W197">
        <v>0</v>
      </c>
    </row>
    <row r="198" spans="1:23" x14ac:dyDescent="0.25">
      <c r="A198" s="1">
        <v>232</v>
      </c>
      <c r="B198" t="s">
        <v>1092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1086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8" t="s">
        <v>432</v>
      </c>
      <c r="W198">
        <v>0</v>
      </c>
    </row>
    <row r="199" spans="1:23" x14ac:dyDescent="0.25">
      <c r="A199" s="1">
        <v>233</v>
      </c>
      <c r="B199" t="s">
        <v>1091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1086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8" t="s">
        <v>432</v>
      </c>
      <c r="W199">
        <v>0</v>
      </c>
    </row>
    <row r="200" spans="1:23" x14ac:dyDescent="0.25">
      <c r="A200" s="1">
        <v>234</v>
      </c>
      <c r="B200" t="s">
        <v>1090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1086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8" t="s">
        <v>432</v>
      </c>
      <c r="W200">
        <v>0</v>
      </c>
    </row>
    <row r="201" spans="1:23" x14ac:dyDescent="0.25">
      <c r="A201" s="1">
        <v>235</v>
      </c>
      <c r="B201" t="s">
        <v>1089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8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8" t="s">
        <v>1087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58" t="s">
        <v>1129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1130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58" t="s">
        <v>1131</v>
      </c>
      <c r="W204">
        <v>0</v>
      </c>
    </row>
    <row r="205" spans="1:23" x14ac:dyDescent="0.25">
      <c r="A205" s="1">
        <v>238</v>
      </c>
      <c r="B205" t="s">
        <v>1135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58" t="s">
        <v>1128</v>
      </c>
      <c r="W205">
        <v>0</v>
      </c>
    </row>
    <row r="206" spans="1:23" x14ac:dyDescent="0.25">
      <c r="A206" s="1">
        <v>239</v>
      </c>
      <c r="B206" t="s">
        <v>1124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1132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58" t="s">
        <v>1127</v>
      </c>
      <c r="W206">
        <v>0</v>
      </c>
    </row>
    <row r="207" spans="1:23" x14ac:dyDescent="0.25">
      <c r="A207" s="1">
        <v>240</v>
      </c>
      <c r="B207" t="s">
        <v>1125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58" t="s">
        <v>1133</v>
      </c>
      <c r="W207">
        <v>0</v>
      </c>
    </row>
    <row r="208" spans="1:23" x14ac:dyDescent="0.25">
      <c r="A208" s="1">
        <v>241</v>
      </c>
      <c r="B208" t="s">
        <v>1126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58" t="s">
        <v>1134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4E48FC-AF8D-4338-A489-3EDEBFA72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Fairy Data</vt:lpstr>
      <vt:lpstr>Talent Data</vt:lpstr>
      <vt:lpstr>Exp Tables</vt:lpstr>
      <vt:lpstr>Misc Inputs</vt:lpstr>
      <vt:lpstr>Dropdowns</vt:lpstr>
      <vt:lpstr>Doll Data</vt:lpstr>
      <vt:lpstr>Equip Data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2021-05-13T21:45:30Z</dcterms:modified>
</cp:coreProperties>
</file>